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bookViews>
    <workbookView xWindow="7448" yWindow="-16695" windowWidth="28994" windowHeight="15675" tabRatio="808" xr2:uid="{00000000-000D-0000-FFFF-FFFF00000000}"/>
  </bookViews>
  <sheets>
    <sheet name="Inputs" sheetId="3" r:id="rId1"/>
    <sheet name="Assumptions" sheetId="45" r:id="rId2"/>
    <sheet name="Revenues" sheetId="46" r:id="rId3"/>
    <sheet name="Calcs" sheetId="47" r:id="rId4"/>
    <sheet name="Debt" sheetId="48" r:id="rId5"/>
    <sheet name="IS" sheetId="49" r:id="rId6"/>
    <sheet name="BS" sheetId="50" r:id="rId7"/>
    <sheet name="CFS" sheetId="51" r:id="rId8"/>
    <sheet name="Ratios" sheetId="52" r:id="rId9"/>
  </sheets>
  <definedNames>
    <definedName name="calendar">#REF!</definedName>
    <definedName name="Ccy">Inputs!$C$21</definedName>
    <definedName name="circ">Inputs!$C$24</definedName>
    <definedName name="CoName">Inputs!$C$19</definedName>
    <definedName name="Ticker0005_Share_Pric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efin">#REF!</definedName>
    <definedName name="roll">#REF!</definedName>
    <definedName name="Units">Inputs!$C$22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9" l="1"/>
  <c r="D17" i="49"/>
  <c r="C17" i="49"/>
  <c r="E8" i="49"/>
  <c r="D8" i="49"/>
  <c r="C8" i="49"/>
  <c r="C9" i="45" l="1"/>
  <c r="D9" i="45"/>
  <c r="E10" i="45"/>
  <c r="E23" i="49" s="1"/>
  <c r="E9" i="45"/>
  <c r="E19" i="50" l="1"/>
  <c r="G5" i="48"/>
  <c r="H5" i="48"/>
  <c r="I5" i="48"/>
  <c r="J5" i="48"/>
  <c r="G16" i="48"/>
  <c r="H16" i="48"/>
  <c r="I16" i="48"/>
  <c r="J16" i="48"/>
  <c r="G25" i="48"/>
  <c r="H25" i="48"/>
  <c r="I25" i="48"/>
  <c r="J25" i="48"/>
  <c r="G34" i="48"/>
  <c r="H34" i="48"/>
  <c r="I34" i="48"/>
  <c r="J34" i="48"/>
  <c r="G43" i="48"/>
  <c r="H43" i="48"/>
  <c r="I43" i="48"/>
  <c r="J43" i="48"/>
  <c r="G61" i="48"/>
  <c r="H61" i="48"/>
  <c r="I61" i="48"/>
  <c r="J61" i="48"/>
  <c r="F43" i="48"/>
  <c r="F61" i="48"/>
  <c r="F34" i="48"/>
  <c r="F31" i="48"/>
  <c r="F25" i="48"/>
  <c r="F22" i="48"/>
  <c r="F16" i="48"/>
  <c r="F13" i="48"/>
  <c r="F7" i="48"/>
  <c r="F5" i="48"/>
  <c r="G13" i="50"/>
  <c r="H13" i="50"/>
  <c r="I13" i="50"/>
  <c r="J14" i="51" s="1"/>
  <c r="J13" i="50"/>
  <c r="E25" i="47"/>
  <c r="E24" i="47"/>
  <c r="E23" i="47"/>
  <c r="E22" i="47"/>
  <c r="E26" i="47" s="1"/>
  <c r="E20" i="47"/>
  <c r="E19" i="47"/>
  <c r="F13" i="50"/>
  <c r="F14" i="51" s="1"/>
  <c r="G12" i="49"/>
  <c r="G6" i="51" s="1"/>
  <c r="H12" i="49"/>
  <c r="H6" i="51" s="1"/>
  <c r="I12" i="49"/>
  <c r="I6" i="51" s="1"/>
  <c r="J12" i="49"/>
  <c r="J6" i="51" s="1"/>
  <c r="G17" i="49"/>
  <c r="H17" i="49"/>
  <c r="I17" i="49"/>
  <c r="J17" i="49"/>
  <c r="H14" i="51" l="1"/>
  <c r="I14" i="51"/>
  <c r="G14" i="51"/>
  <c r="F29" i="49"/>
  <c r="F17" i="49"/>
  <c r="F12" i="49"/>
  <c r="G14" i="47"/>
  <c r="G18" i="51" s="1"/>
  <c r="H14" i="47"/>
  <c r="H18" i="51" s="1"/>
  <c r="I14" i="47"/>
  <c r="I18" i="51" s="1"/>
  <c r="J14" i="47"/>
  <c r="J18" i="51" s="1"/>
  <c r="F14" i="47"/>
  <c r="F18" i="51" s="1"/>
  <c r="E18" i="52"/>
  <c r="F12" i="50" l="1"/>
  <c r="G12" i="50" s="1"/>
  <c r="H12" i="50" s="1"/>
  <c r="I12" i="50" s="1"/>
  <c r="J12" i="50" s="1"/>
  <c r="F6" i="51"/>
  <c r="D10" i="45" l="1"/>
  <c r="D23" i="49" s="1"/>
  <c r="C10" i="45"/>
  <c r="C23" i="49" s="1"/>
  <c r="G37" i="46" l="1"/>
  <c r="H37" i="46"/>
  <c r="I37" i="46"/>
  <c r="J37" i="46"/>
  <c r="G34" i="46"/>
  <c r="G38" i="46" s="1"/>
  <c r="H34" i="46"/>
  <c r="H38" i="46" s="1"/>
  <c r="I34" i="46"/>
  <c r="I38" i="46" s="1"/>
  <c r="J34" i="46"/>
  <c r="J38" i="46" s="1"/>
  <c r="G28" i="46"/>
  <c r="H28" i="46"/>
  <c r="I28" i="46"/>
  <c r="J28" i="46"/>
  <c r="G19" i="46"/>
  <c r="H19" i="46"/>
  <c r="I19" i="46"/>
  <c r="J19" i="46"/>
  <c r="G10" i="46"/>
  <c r="H10" i="46"/>
  <c r="I10" i="46"/>
  <c r="J10" i="46"/>
  <c r="G25" i="46"/>
  <c r="G29" i="46" s="1"/>
  <c r="H25" i="46"/>
  <c r="H29" i="46" s="1"/>
  <c r="I25" i="46"/>
  <c r="I29" i="46" s="1"/>
  <c r="J25" i="46"/>
  <c r="G16" i="46"/>
  <c r="G20" i="46" s="1"/>
  <c r="H16" i="46"/>
  <c r="I16" i="46"/>
  <c r="I20" i="46" s="1"/>
  <c r="J16" i="46"/>
  <c r="G7" i="46"/>
  <c r="G11" i="46" s="1"/>
  <c r="H7" i="46"/>
  <c r="H11" i="46" s="1"/>
  <c r="I7" i="46"/>
  <c r="I11" i="46" s="1"/>
  <c r="J7" i="46"/>
  <c r="J11" i="46" l="1"/>
  <c r="H20" i="46"/>
  <c r="J20" i="46"/>
  <c r="J29" i="46"/>
  <c r="G10" i="45"/>
  <c r="G23" i="49" s="1"/>
  <c r="H10" i="45"/>
  <c r="H23" i="49" s="1"/>
  <c r="I10" i="45"/>
  <c r="I23" i="49" s="1"/>
  <c r="J10" i="45"/>
  <c r="J23" i="49" s="1"/>
  <c r="F10" i="45"/>
  <c r="F23" i="49" s="1"/>
  <c r="E42" i="48"/>
  <c r="F40" i="48" s="1"/>
  <c r="E28" i="50"/>
  <c r="E14" i="50"/>
  <c r="E5" i="50"/>
  <c r="E18" i="47" s="1"/>
  <c r="E21" i="47" s="1"/>
  <c r="E27" i="47" s="1"/>
  <c r="D14" i="50"/>
  <c r="D12" i="50"/>
  <c r="D11" i="50"/>
  <c r="D10" i="50"/>
  <c r="D5" i="50"/>
  <c r="D4" i="50"/>
  <c r="C11" i="49"/>
  <c r="A1" i="47" l="1"/>
  <c r="A1" i="48"/>
  <c r="A1" i="49"/>
  <c r="A1" i="50"/>
  <c r="A1" i="51"/>
  <c r="A1" i="52"/>
  <c r="A1" i="46"/>
  <c r="E2" i="47"/>
  <c r="D2" i="47" s="1"/>
  <c r="C2" i="47" s="1"/>
  <c r="E2" i="48"/>
  <c r="D2" i="48" s="1"/>
  <c r="C2" i="48" s="1"/>
  <c r="E2" i="49"/>
  <c r="F2" i="49" s="1"/>
  <c r="G2" i="49" s="1"/>
  <c r="H2" i="49" s="1"/>
  <c r="I2" i="49" s="1"/>
  <c r="J2" i="49" s="1"/>
  <c r="E2" i="50"/>
  <c r="D2" i="50" s="1"/>
  <c r="C2" i="50" s="1"/>
  <c r="E2" i="51"/>
  <c r="F2" i="51" s="1"/>
  <c r="G2" i="51" s="1"/>
  <c r="H2" i="51" s="1"/>
  <c r="I2" i="51" s="1"/>
  <c r="J2" i="51" s="1"/>
  <c r="E2" i="52"/>
  <c r="D2" i="52" s="1"/>
  <c r="C2" i="52" s="1"/>
  <c r="E2" i="46"/>
  <c r="A1" i="45"/>
  <c r="E2" i="45"/>
  <c r="D18" i="52"/>
  <c r="E25" i="51"/>
  <c r="E8" i="50"/>
  <c r="D8" i="50"/>
  <c r="D15" i="50"/>
  <c r="D18" i="45"/>
  <c r="E18" i="45"/>
  <c r="F18" i="45" s="1"/>
  <c r="F11" i="50" s="1"/>
  <c r="E24" i="50"/>
  <c r="D24" i="50"/>
  <c r="D29" i="50"/>
  <c r="C8" i="45"/>
  <c r="D8" i="45"/>
  <c r="E8" i="45"/>
  <c r="C33" i="49"/>
  <c r="D33" i="49"/>
  <c r="D13" i="45" s="1"/>
  <c r="E33" i="49"/>
  <c r="F33" i="49" s="1"/>
  <c r="A4" i="48"/>
  <c r="B5" i="48"/>
  <c r="B47" i="48"/>
  <c r="B54" i="48" s="1"/>
  <c r="E47" i="48"/>
  <c r="B48" i="48"/>
  <c r="B55" i="48" s="1"/>
  <c r="E48" i="48"/>
  <c r="B49" i="48"/>
  <c r="B56" i="48" s="1"/>
  <c r="B53" i="48"/>
  <c r="E60" i="48"/>
  <c r="E8" i="47"/>
  <c r="F5" i="47" s="1"/>
  <c r="F7" i="47" s="1"/>
  <c r="F11" i="49" s="1"/>
  <c r="F5" i="51" s="1"/>
  <c r="E15" i="47"/>
  <c r="F11" i="47" s="1"/>
  <c r="B18" i="47"/>
  <c r="B19" i="47"/>
  <c r="B20" i="47"/>
  <c r="B22" i="47"/>
  <c r="B23" i="47"/>
  <c r="B24" i="47"/>
  <c r="B25" i="47"/>
  <c r="F7" i="46"/>
  <c r="F10" i="46"/>
  <c r="D11" i="46"/>
  <c r="E11" i="46"/>
  <c r="B12" i="46"/>
  <c r="F16" i="46"/>
  <c r="F19" i="46"/>
  <c r="D20" i="46"/>
  <c r="E20" i="46"/>
  <c r="B21" i="46"/>
  <c r="F25" i="46"/>
  <c r="F28" i="46"/>
  <c r="D29" i="46"/>
  <c r="E29" i="46"/>
  <c r="B30" i="46"/>
  <c r="F34" i="46"/>
  <c r="F37" i="46"/>
  <c r="D38" i="46"/>
  <c r="E38" i="46"/>
  <c r="B39" i="46"/>
  <c r="C42" i="46"/>
  <c r="C4" i="49" s="1"/>
  <c r="C5" i="45" s="1"/>
  <c r="D42" i="46"/>
  <c r="D4" i="49" s="1"/>
  <c r="D28" i="45" s="1"/>
  <c r="E42" i="46"/>
  <c r="C7" i="45"/>
  <c r="D7" i="45"/>
  <c r="E7" i="45"/>
  <c r="C11" i="45"/>
  <c r="D11" i="45"/>
  <c r="E11" i="45"/>
  <c r="G11" i="45"/>
  <c r="G29" i="49" s="1"/>
  <c r="C12" i="45"/>
  <c r="D12" i="45"/>
  <c r="E12" i="45"/>
  <c r="D16" i="45"/>
  <c r="E16" i="45"/>
  <c r="D20" i="45"/>
  <c r="E20" i="45"/>
  <c r="D21" i="45"/>
  <c r="E21" i="45"/>
  <c r="E29" i="45"/>
  <c r="B35" i="45"/>
  <c r="B36" i="45"/>
  <c r="B37" i="45"/>
  <c r="B38" i="45"/>
  <c r="F12" i="45" l="1"/>
  <c r="F30" i="49" s="1"/>
  <c r="G33" i="49"/>
  <c r="H33" i="49" s="1"/>
  <c r="I33" i="49" s="1"/>
  <c r="J33" i="49" s="1"/>
  <c r="F26" i="49"/>
  <c r="F13" i="47" s="1"/>
  <c r="F17" i="51" s="1"/>
  <c r="D32" i="50"/>
  <c r="D17" i="50"/>
  <c r="D34" i="50" s="1"/>
  <c r="G26" i="49"/>
  <c r="G13" i="47" s="1"/>
  <c r="G17" i="51" s="1"/>
  <c r="F20" i="46"/>
  <c r="F21" i="46" s="1"/>
  <c r="G21" i="46" s="1"/>
  <c r="F11" i="46"/>
  <c r="F12" i="46" s="1"/>
  <c r="G12" i="46" s="1"/>
  <c r="H12" i="46" s="1"/>
  <c r="I12" i="46" s="1"/>
  <c r="J12" i="46" s="1"/>
  <c r="F29" i="46"/>
  <c r="F30" i="46" s="1"/>
  <c r="G12" i="45"/>
  <c r="G30" i="49" s="1"/>
  <c r="D24" i="45"/>
  <c r="D23" i="45"/>
  <c r="C28" i="45"/>
  <c r="E49" i="48"/>
  <c r="E50" i="48" s="1"/>
  <c r="E26" i="50" s="1"/>
  <c r="E13" i="45"/>
  <c r="D6" i="45"/>
  <c r="D5" i="45"/>
  <c r="F38" i="46"/>
  <c r="F39" i="46" s="1"/>
  <c r="G39" i="46" s="1"/>
  <c r="H39" i="46" s="1"/>
  <c r="I39" i="46" s="1"/>
  <c r="J39" i="46" s="1"/>
  <c r="F2" i="47"/>
  <c r="G2" i="47" s="1"/>
  <c r="H2" i="47" s="1"/>
  <c r="I2" i="47" s="1"/>
  <c r="J2" i="47" s="1"/>
  <c r="F2" i="48"/>
  <c r="G2" i="48" s="1"/>
  <c r="H2" i="48" s="1"/>
  <c r="I2" i="48" s="1"/>
  <c r="J2" i="48" s="1"/>
  <c r="D2" i="51"/>
  <c r="C2" i="51" s="1"/>
  <c r="F2" i="52"/>
  <c r="G2" i="52" s="1"/>
  <c r="H2" i="52" s="1"/>
  <c r="I2" i="52" s="1"/>
  <c r="J2" i="52" s="1"/>
  <c r="F2" i="50"/>
  <c r="G2" i="50" s="1"/>
  <c r="H2" i="50" s="1"/>
  <c r="I2" i="50" s="1"/>
  <c r="J2" i="50" s="1"/>
  <c r="D2" i="49"/>
  <c r="C2" i="49" s="1"/>
  <c r="D26" i="45"/>
  <c r="D22" i="45"/>
  <c r="D15" i="45"/>
  <c r="D25" i="45"/>
  <c r="D19" i="45"/>
  <c r="D17" i="45"/>
  <c r="F2" i="45"/>
  <c r="G2" i="45" s="1"/>
  <c r="H2" i="45" s="1"/>
  <c r="I2" i="45" s="1"/>
  <c r="J2" i="45" s="1"/>
  <c r="D2" i="45"/>
  <c r="C2" i="45" s="1"/>
  <c r="E4" i="49"/>
  <c r="E43" i="46"/>
  <c r="G18" i="45"/>
  <c r="G11" i="50" s="1"/>
  <c r="H11" i="45"/>
  <c r="H29" i="49" s="1"/>
  <c r="H26" i="49" s="1"/>
  <c r="H13" i="47" s="1"/>
  <c r="H17" i="51" s="1"/>
  <c r="D43" i="46"/>
  <c r="F2" i="46"/>
  <c r="G2" i="46" s="1"/>
  <c r="H2" i="46" s="1"/>
  <c r="I2" i="46" s="1"/>
  <c r="J2" i="46" s="1"/>
  <c r="D2" i="46"/>
  <c r="C2" i="46" s="1"/>
  <c r="D25" i="52"/>
  <c r="C6" i="49"/>
  <c r="C9" i="49" s="1"/>
  <c r="C6" i="45"/>
  <c r="D5" i="52"/>
  <c r="D6" i="49"/>
  <c r="D9" i="49" s="1"/>
  <c r="D11" i="52" s="1"/>
  <c r="E15" i="50"/>
  <c r="E17" i="50" s="1"/>
  <c r="D26" i="52"/>
  <c r="D17" i="52"/>
  <c r="D16" i="52"/>
  <c r="E26" i="52" l="1"/>
  <c r="E5" i="52"/>
  <c r="E25" i="52"/>
  <c r="F42" i="46"/>
  <c r="F43" i="46" s="1"/>
  <c r="E17" i="52"/>
  <c r="E16" i="52"/>
  <c r="G30" i="46"/>
  <c r="H30" i="46" s="1"/>
  <c r="I30" i="46" s="1"/>
  <c r="J30" i="46" s="1"/>
  <c r="H21" i="46"/>
  <c r="G42" i="46"/>
  <c r="E29" i="50"/>
  <c r="E32" i="50" s="1"/>
  <c r="E34" i="50" s="1"/>
  <c r="E6" i="49"/>
  <c r="E9" i="49" s="1"/>
  <c r="E6" i="45"/>
  <c r="E15" i="45"/>
  <c r="E17" i="45"/>
  <c r="E19" i="45"/>
  <c r="E23" i="45"/>
  <c r="E25" i="45"/>
  <c r="E28" i="45"/>
  <c r="E22" i="45"/>
  <c r="E24" i="45"/>
  <c r="E26" i="45"/>
  <c r="E5" i="45"/>
  <c r="I11" i="45"/>
  <c r="I29" i="49" s="1"/>
  <c r="I26" i="49" s="1"/>
  <c r="I13" i="47" s="1"/>
  <c r="I17" i="51" s="1"/>
  <c r="H12" i="45"/>
  <c r="H30" i="49" s="1"/>
  <c r="D19" i="52"/>
  <c r="D27" i="52"/>
  <c r="D28" i="52" s="1"/>
  <c r="D18" i="49"/>
  <c r="D13" i="49"/>
  <c r="C11" i="52"/>
  <c r="C13" i="49"/>
  <c r="C18" i="49"/>
  <c r="H18" i="45"/>
  <c r="H11" i="50" s="1"/>
  <c r="F4" i="49" l="1"/>
  <c r="D20" i="52"/>
  <c r="D12" i="52"/>
  <c r="D21" i="52"/>
  <c r="E31" i="52"/>
  <c r="E11" i="52"/>
  <c r="E19" i="52"/>
  <c r="G43" i="46"/>
  <c r="G4" i="49"/>
  <c r="I21" i="46"/>
  <c r="H42" i="46"/>
  <c r="F22" i="50"/>
  <c r="F24" i="47" s="1"/>
  <c r="F28" i="50"/>
  <c r="F10" i="51" s="1"/>
  <c r="F21" i="50"/>
  <c r="F23" i="47" s="1"/>
  <c r="F5" i="50"/>
  <c r="F18" i="47" s="1"/>
  <c r="F8" i="48"/>
  <c r="F27" i="50"/>
  <c r="F9" i="51" s="1"/>
  <c r="F23" i="50"/>
  <c r="F25" i="47" s="1"/>
  <c r="F14" i="50"/>
  <c r="F7" i="50"/>
  <c r="F20" i="47" s="1"/>
  <c r="F6" i="47"/>
  <c r="F5" i="49"/>
  <c r="F8" i="49"/>
  <c r="F5" i="52"/>
  <c r="E27" i="52"/>
  <c r="C21" i="49"/>
  <c r="C24" i="49" s="1"/>
  <c r="J11" i="45"/>
  <c r="J29" i="49" s="1"/>
  <c r="J26" i="49" s="1"/>
  <c r="J13" i="47" s="1"/>
  <c r="J17" i="51" s="1"/>
  <c r="C21" i="52"/>
  <c r="C12" i="52"/>
  <c r="E13" i="49"/>
  <c r="E18" i="49"/>
  <c r="I18" i="45"/>
  <c r="I11" i="50" s="1"/>
  <c r="D6" i="52"/>
  <c r="D21" i="49"/>
  <c r="D24" i="49" s="1"/>
  <c r="D31" i="52"/>
  <c r="I12" i="45"/>
  <c r="I30" i="49" s="1"/>
  <c r="E21" i="52" l="1"/>
  <c r="E12" i="52"/>
  <c r="E6" i="52"/>
  <c r="E20" i="52"/>
  <c r="D22" i="52"/>
  <c r="D13" i="52"/>
  <c r="F8" i="51"/>
  <c r="H4" i="49"/>
  <c r="H43" i="46"/>
  <c r="F6" i="49"/>
  <c r="F9" i="49" s="1"/>
  <c r="F6" i="50"/>
  <c r="F19" i="47" s="1"/>
  <c r="F21" i="47" s="1"/>
  <c r="F20" i="50"/>
  <c r="F22" i="47" s="1"/>
  <c r="F26" i="47" s="1"/>
  <c r="J21" i="46"/>
  <c r="J42" i="46" s="1"/>
  <c r="I42" i="46"/>
  <c r="F13" i="51"/>
  <c r="F15" i="51" s="1"/>
  <c r="F8" i="47"/>
  <c r="G8" i="48"/>
  <c r="G7" i="50"/>
  <c r="G20" i="47" s="1"/>
  <c r="G14" i="50"/>
  <c r="G23" i="50"/>
  <c r="G25" i="47" s="1"/>
  <c r="G5" i="49"/>
  <c r="G6" i="49" s="1"/>
  <c r="G27" i="50"/>
  <c r="G9" i="51" s="1"/>
  <c r="G21" i="50"/>
  <c r="G23" i="47" s="1"/>
  <c r="G28" i="50"/>
  <c r="G10" i="51" s="1"/>
  <c r="G5" i="50"/>
  <c r="G18" i="47" s="1"/>
  <c r="G22" i="50"/>
  <c r="G24" i="47" s="1"/>
  <c r="G8" i="49"/>
  <c r="G6" i="47"/>
  <c r="G13" i="51" s="1"/>
  <c r="G15" i="51" s="1"/>
  <c r="G5" i="52"/>
  <c r="E28" i="52"/>
  <c r="D8" i="52"/>
  <c r="D31" i="49"/>
  <c r="D32" i="49"/>
  <c r="E21" i="49"/>
  <c r="E24" i="49" s="1"/>
  <c r="E32" i="52"/>
  <c r="C22" i="52"/>
  <c r="C13" i="52"/>
  <c r="C31" i="49"/>
  <c r="C32" i="49"/>
  <c r="J12" i="45"/>
  <c r="J30" i="49" s="1"/>
  <c r="J18" i="45"/>
  <c r="J11" i="50" s="1"/>
  <c r="G9" i="49" l="1"/>
  <c r="G31" i="52" s="1"/>
  <c r="G20" i="50"/>
  <c r="G22" i="47" s="1"/>
  <c r="G26" i="47" s="1"/>
  <c r="G6" i="50"/>
  <c r="G19" i="47" s="1"/>
  <c r="G21" i="47" s="1"/>
  <c r="I43" i="46"/>
  <c r="I4" i="49"/>
  <c r="F11" i="52"/>
  <c r="F13" i="49"/>
  <c r="F31" i="52"/>
  <c r="F32" i="52" s="1"/>
  <c r="G11" i="52"/>
  <c r="J43" i="46"/>
  <c r="J4" i="49"/>
  <c r="F10" i="50"/>
  <c r="F15" i="50" s="1"/>
  <c r="G5" i="47"/>
  <c r="H22" i="50"/>
  <c r="H24" i="47" s="1"/>
  <c r="H8" i="49"/>
  <c r="H23" i="50"/>
  <c r="H25" i="47" s="1"/>
  <c r="H5" i="52"/>
  <c r="H5" i="50"/>
  <c r="H18" i="47" s="1"/>
  <c r="H8" i="48"/>
  <c r="H27" i="50"/>
  <c r="H9" i="51" s="1"/>
  <c r="H5" i="49"/>
  <c r="H6" i="49" s="1"/>
  <c r="H9" i="49" s="1"/>
  <c r="H6" i="47"/>
  <c r="H13" i="51" s="1"/>
  <c r="H15" i="51" s="1"/>
  <c r="H7" i="50"/>
  <c r="H20" i="47" s="1"/>
  <c r="H14" i="50"/>
  <c r="H8" i="51" s="1"/>
  <c r="H28" i="50"/>
  <c r="H10" i="51" s="1"/>
  <c r="H21" i="50"/>
  <c r="H23" i="47" s="1"/>
  <c r="F27" i="47"/>
  <c r="G8" i="51"/>
  <c r="E13" i="52"/>
  <c r="E22" i="52"/>
  <c r="E8" i="52"/>
  <c r="E33" i="52"/>
  <c r="E31" i="49"/>
  <c r="E32" i="49"/>
  <c r="F26" i="52" l="1"/>
  <c r="H31" i="52"/>
  <c r="H11" i="52"/>
  <c r="J14" i="50"/>
  <c r="J21" i="50"/>
  <c r="J23" i="47" s="1"/>
  <c r="J28" i="50"/>
  <c r="J5" i="52"/>
  <c r="J22" i="50"/>
  <c r="J24" i="47" s="1"/>
  <c r="J8" i="49"/>
  <c r="J5" i="50"/>
  <c r="J18" i="47" s="1"/>
  <c r="J23" i="50"/>
  <c r="J25" i="47" s="1"/>
  <c r="J7" i="50"/>
  <c r="J20" i="47" s="1"/>
  <c r="J8" i="48"/>
  <c r="J27" i="50"/>
  <c r="J5" i="49"/>
  <c r="J6" i="47"/>
  <c r="J13" i="51" s="1"/>
  <c r="J15" i="51" s="1"/>
  <c r="G27" i="47"/>
  <c r="G7" i="51" s="1"/>
  <c r="H6" i="50"/>
  <c r="H19" i="47" s="1"/>
  <c r="H21" i="47" s="1"/>
  <c r="H20" i="50"/>
  <c r="H22" i="47" s="1"/>
  <c r="H26" i="47" s="1"/>
  <c r="G7" i="47"/>
  <c r="G11" i="49" s="1"/>
  <c r="F7" i="51"/>
  <c r="F25" i="52"/>
  <c r="I23" i="50"/>
  <c r="I25" i="47" s="1"/>
  <c r="I5" i="49"/>
  <c r="I27" i="50"/>
  <c r="I9" i="51" s="1"/>
  <c r="I5" i="50"/>
  <c r="I18" i="47" s="1"/>
  <c r="I8" i="49"/>
  <c r="I21" i="50"/>
  <c r="I23" i="47" s="1"/>
  <c r="I28" i="50"/>
  <c r="I10" i="51" s="1"/>
  <c r="I8" i="48"/>
  <c r="I6" i="47"/>
  <c r="I13" i="51" s="1"/>
  <c r="I15" i="51" s="1"/>
  <c r="I22" i="50"/>
  <c r="I24" i="47" s="1"/>
  <c r="I7" i="50"/>
  <c r="I20" i="47" s="1"/>
  <c r="I14" i="50"/>
  <c r="I8" i="51" s="1"/>
  <c r="I5" i="52"/>
  <c r="F12" i="52"/>
  <c r="F6" i="52"/>
  <c r="H27" i="47" l="1"/>
  <c r="H7" i="51" s="1"/>
  <c r="G8" i="47"/>
  <c r="H5" i="47" s="1"/>
  <c r="I6" i="50"/>
  <c r="I19" i="47" s="1"/>
  <c r="I21" i="47" s="1"/>
  <c r="I20" i="50"/>
  <c r="I22" i="47" s="1"/>
  <c r="I26" i="47" s="1"/>
  <c r="J20" i="50"/>
  <c r="J22" i="47" s="1"/>
  <c r="J26" i="47" s="1"/>
  <c r="J6" i="50"/>
  <c r="J19" i="47" s="1"/>
  <c r="J21" i="47" s="1"/>
  <c r="J8" i="51"/>
  <c r="J9" i="51"/>
  <c r="J6" i="49"/>
  <c r="J9" i="49" s="1"/>
  <c r="G10" i="50"/>
  <c r="G15" i="50" s="1"/>
  <c r="J10" i="51"/>
  <c r="G25" i="52"/>
  <c r="I6" i="49"/>
  <c r="I9" i="49" s="1"/>
  <c r="G5" i="51"/>
  <c r="G13" i="49"/>
  <c r="G12" i="52" s="1"/>
  <c r="I27" i="47" l="1"/>
  <c r="H25" i="52"/>
  <c r="G6" i="52"/>
  <c r="J11" i="52"/>
  <c r="J31" i="52"/>
  <c r="I31" i="52"/>
  <c r="I11" i="52"/>
  <c r="I25" i="52"/>
  <c r="G26" i="52"/>
  <c r="H7" i="47"/>
  <c r="H11" i="49" s="1"/>
  <c r="J27" i="47"/>
  <c r="J25" i="52" s="1"/>
  <c r="I7" i="51"/>
  <c r="H8" i="47" l="1"/>
  <c r="H10" i="50" s="1"/>
  <c r="J7" i="51"/>
  <c r="H5" i="51"/>
  <c r="H13" i="49"/>
  <c r="H12" i="52" s="1"/>
  <c r="I5" i="47" l="1"/>
  <c r="H6" i="52"/>
  <c r="I7" i="47"/>
  <c r="I11" i="49" s="1"/>
  <c r="H15" i="50"/>
  <c r="H26" i="52"/>
  <c r="I8" i="47" l="1"/>
  <c r="J5" i="47"/>
  <c r="I10" i="50"/>
  <c r="I5" i="51"/>
  <c r="I13" i="49"/>
  <c r="I6" i="52" s="1"/>
  <c r="I12" i="52" l="1"/>
  <c r="J7" i="47"/>
  <c r="J11" i="49" s="1"/>
  <c r="I15" i="50"/>
  <c r="I26" i="52"/>
  <c r="J5" i="51" l="1"/>
  <c r="J13" i="49"/>
  <c r="J8" i="47"/>
  <c r="J10" i="50" s="1"/>
  <c r="J15" i="50" l="1"/>
  <c r="J26" i="52"/>
  <c r="J6" i="52"/>
  <c r="J12" i="52"/>
  <c r="F4" i="50"/>
  <c r="G4" i="50"/>
  <c r="H4" i="50"/>
  <c r="I4" i="50"/>
  <c r="J4" i="50"/>
  <c r="F8" i="50"/>
  <c r="G8" i="50"/>
  <c r="H8" i="50"/>
  <c r="I8" i="50"/>
  <c r="J8" i="50"/>
  <c r="F17" i="50"/>
  <c r="G17" i="50"/>
  <c r="H17" i="50"/>
  <c r="I17" i="50"/>
  <c r="J17" i="50"/>
  <c r="F19" i="50"/>
  <c r="G19" i="50"/>
  <c r="H19" i="50"/>
  <c r="I19" i="50"/>
  <c r="J19" i="50"/>
  <c r="F24" i="50"/>
  <c r="G24" i="50"/>
  <c r="H24" i="50"/>
  <c r="I24" i="50"/>
  <c r="J24" i="50"/>
  <c r="F26" i="50"/>
  <c r="G26" i="50"/>
  <c r="H26" i="50"/>
  <c r="I26" i="50"/>
  <c r="J26" i="50"/>
  <c r="F29" i="50"/>
  <c r="G29" i="50"/>
  <c r="H29" i="50"/>
  <c r="I29" i="50"/>
  <c r="J29" i="50"/>
  <c r="F31" i="50"/>
  <c r="G31" i="50"/>
  <c r="H31" i="50"/>
  <c r="I31" i="50"/>
  <c r="J31" i="50"/>
  <c r="F32" i="50"/>
  <c r="G32" i="50"/>
  <c r="H32" i="50"/>
  <c r="I32" i="50"/>
  <c r="J32" i="50"/>
  <c r="F34" i="50"/>
  <c r="G34" i="50"/>
  <c r="H34" i="50"/>
  <c r="I34" i="50"/>
  <c r="J34" i="50"/>
  <c r="G11" i="47"/>
  <c r="H11" i="47"/>
  <c r="I11" i="47"/>
  <c r="J11" i="47"/>
  <c r="F12" i="47"/>
  <c r="G12" i="47"/>
  <c r="H12" i="47"/>
  <c r="I12" i="47"/>
  <c r="J12" i="47"/>
  <c r="F15" i="47"/>
  <c r="G15" i="47"/>
  <c r="H15" i="47"/>
  <c r="I15" i="47"/>
  <c r="J15" i="47"/>
  <c r="F4" i="51"/>
  <c r="G4" i="51"/>
  <c r="H4" i="51"/>
  <c r="I4" i="51"/>
  <c r="J4" i="51"/>
  <c r="F11" i="51"/>
  <c r="G11" i="51"/>
  <c r="H11" i="51"/>
  <c r="I11" i="51"/>
  <c r="J11" i="51"/>
  <c r="F19" i="51"/>
  <c r="G19" i="51"/>
  <c r="H19" i="51"/>
  <c r="I19" i="51"/>
  <c r="J19" i="51"/>
  <c r="F20" i="51"/>
  <c r="G20" i="51"/>
  <c r="H20" i="51"/>
  <c r="I20" i="51"/>
  <c r="J20" i="51"/>
  <c r="F21" i="51"/>
  <c r="G21" i="51"/>
  <c r="H21" i="51"/>
  <c r="I21" i="51"/>
  <c r="J21" i="51"/>
  <c r="F23" i="51"/>
  <c r="G23" i="51"/>
  <c r="H23" i="51"/>
  <c r="I23" i="51"/>
  <c r="J23" i="51"/>
  <c r="F25" i="51"/>
  <c r="G25" i="51"/>
  <c r="H25" i="51"/>
  <c r="I25" i="51"/>
  <c r="J25" i="51"/>
  <c r="G7" i="48"/>
  <c r="H7" i="48"/>
  <c r="I7" i="48"/>
  <c r="J7" i="48"/>
  <c r="F9" i="48"/>
  <c r="G9" i="48"/>
  <c r="H9" i="48"/>
  <c r="I9" i="48"/>
  <c r="J9" i="48"/>
  <c r="F10" i="48"/>
  <c r="G10" i="48"/>
  <c r="H10" i="48"/>
  <c r="I10" i="48"/>
  <c r="J10" i="48"/>
  <c r="G13" i="48"/>
  <c r="H13" i="48"/>
  <c r="I13" i="48"/>
  <c r="J13" i="48"/>
  <c r="F14" i="48"/>
  <c r="G14" i="48"/>
  <c r="H14" i="48"/>
  <c r="I14" i="48"/>
  <c r="J14" i="48"/>
  <c r="F15" i="48"/>
  <c r="G15" i="48"/>
  <c r="H15" i="48"/>
  <c r="I15" i="48"/>
  <c r="J15" i="48"/>
  <c r="F17" i="48"/>
  <c r="G17" i="48"/>
  <c r="H17" i="48"/>
  <c r="I17" i="48"/>
  <c r="J17" i="48"/>
  <c r="F19" i="48"/>
  <c r="G19" i="48"/>
  <c r="H19" i="48"/>
  <c r="I19" i="48"/>
  <c r="J19" i="48"/>
  <c r="G22" i="48"/>
  <c r="H22" i="48"/>
  <c r="I22" i="48"/>
  <c r="J22" i="48"/>
  <c r="F23" i="48"/>
  <c r="G23" i="48"/>
  <c r="H23" i="48"/>
  <c r="I23" i="48"/>
  <c r="J23" i="48"/>
  <c r="F24" i="48"/>
  <c r="G24" i="48"/>
  <c r="H24" i="48"/>
  <c r="I24" i="48"/>
  <c r="J24" i="48"/>
  <c r="F26" i="48"/>
  <c r="G26" i="48"/>
  <c r="H26" i="48"/>
  <c r="I26" i="48"/>
  <c r="J26" i="48"/>
  <c r="F28" i="48"/>
  <c r="G28" i="48"/>
  <c r="H28" i="48"/>
  <c r="I28" i="48"/>
  <c r="J28" i="48"/>
  <c r="G31" i="48"/>
  <c r="H31" i="48"/>
  <c r="I31" i="48"/>
  <c r="J31" i="48"/>
  <c r="F32" i="48"/>
  <c r="G32" i="48"/>
  <c r="H32" i="48"/>
  <c r="I32" i="48"/>
  <c r="J32" i="48"/>
  <c r="F33" i="48"/>
  <c r="G33" i="48"/>
  <c r="H33" i="48"/>
  <c r="I33" i="48"/>
  <c r="J33" i="48"/>
  <c r="F35" i="48"/>
  <c r="G35" i="48"/>
  <c r="H35" i="48"/>
  <c r="I35" i="48"/>
  <c r="J35" i="48"/>
  <c r="F37" i="48"/>
  <c r="G37" i="48"/>
  <c r="H37" i="48"/>
  <c r="I37" i="48"/>
  <c r="J37" i="48"/>
  <c r="G40" i="48"/>
  <c r="H40" i="48"/>
  <c r="I40" i="48"/>
  <c r="J40" i="48"/>
  <c r="F41" i="48"/>
  <c r="G41" i="48"/>
  <c r="H41" i="48"/>
  <c r="I41" i="48"/>
  <c r="J41" i="48"/>
  <c r="F42" i="48"/>
  <c r="G42" i="48"/>
  <c r="H42" i="48"/>
  <c r="I42" i="48"/>
  <c r="J42" i="48"/>
  <c r="F44" i="48"/>
  <c r="G44" i="48"/>
  <c r="H44" i="48"/>
  <c r="I44" i="48"/>
  <c r="J44" i="48"/>
  <c r="F47" i="48"/>
  <c r="G47" i="48"/>
  <c r="H47" i="48"/>
  <c r="I47" i="48"/>
  <c r="J47" i="48"/>
  <c r="F48" i="48"/>
  <c r="G48" i="48"/>
  <c r="H48" i="48"/>
  <c r="I48" i="48"/>
  <c r="J48" i="48"/>
  <c r="F49" i="48"/>
  <c r="G49" i="48"/>
  <c r="H49" i="48"/>
  <c r="I49" i="48"/>
  <c r="J49" i="48"/>
  <c r="F50" i="48"/>
  <c r="G50" i="48"/>
  <c r="H50" i="48"/>
  <c r="I50" i="48"/>
  <c r="J50" i="48"/>
  <c r="F53" i="48"/>
  <c r="G53" i="48"/>
  <c r="H53" i="48"/>
  <c r="I53" i="48"/>
  <c r="J53" i="48"/>
  <c r="F54" i="48"/>
  <c r="G54" i="48"/>
  <c r="H54" i="48"/>
  <c r="I54" i="48"/>
  <c r="J54" i="48"/>
  <c r="F55" i="48"/>
  <c r="G55" i="48"/>
  <c r="H55" i="48"/>
  <c r="I55" i="48"/>
  <c r="J55" i="48"/>
  <c r="F56" i="48"/>
  <c r="G56" i="48"/>
  <c r="H56" i="48"/>
  <c r="I56" i="48"/>
  <c r="J56" i="48"/>
  <c r="F57" i="48"/>
  <c r="G57" i="48"/>
  <c r="H57" i="48"/>
  <c r="I57" i="48"/>
  <c r="J57" i="48"/>
  <c r="F60" i="48"/>
  <c r="G60" i="48"/>
  <c r="H60" i="48"/>
  <c r="I60" i="48"/>
  <c r="J60" i="48"/>
  <c r="F62" i="48"/>
  <c r="G62" i="48"/>
  <c r="H62" i="48"/>
  <c r="I62" i="48"/>
  <c r="J62" i="48"/>
  <c r="F15" i="49"/>
  <c r="G15" i="49"/>
  <c r="H15" i="49"/>
  <c r="I15" i="49"/>
  <c r="J15" i="49"/>
  <c r="F16" i="49"/>
  <c r="G16" i="49"/>
  <c r="H16" i="49"/>
  <c r="I16" i="49"/>
  <c r="J16" i="49"/>
  <c r="F18" i="49"/>
  <c r="G18" i="49"/>
  <c r="H18" i="49"/>
  <c r="I18" i="49"/>
  <c r="J18" i="49"/>
  <c r="F20" i="49"/>
  <c r="G20" i="49"/>
  <c r="H20" i="49"/>
  <c r="I20" i="49"/>
  <c r="J20" i="49"/>
  <c r="F21" i="49"/>
  <c r="G21" i="49"/>
  <c r="H21" i="49"/>
  <c r="I21" i="49"/>
  <c r="J21" i="49"/>
  <c r="F24" i="49"/>
  <c r="G24" i="49"/>
  <c r="H24" i="49"/>
  <c r="I24" i="49"/>
  <c r="J24" i="49"/>
  <c r="F31" i="49"/>
  <c r="G31" i="49"/>
  <c r="H31" i="49"/>
  <c r="I31" i="49"/>
  <c r="J31" i="49"/>
  <c r="F32" i="49"/>
  <c r="G32" i="49"/>
  <c r="H32" i="49"/>
  <c r="I32" i="49"/>
  <c r="J32" i="49"/>
  <c r="G7" i="52"/>
  <c r="H7" i="52"/>
  <c r="I7" i="52"/>
  <c r="J7" i="52"/>
  <c r="F8" i="52"/>
  <c r="G8" i="52"/>
  <c r="H8" i="52"/>
  <c r="I8" i="52"/>
  <c r="J8" i="52"/>
  <c r="F13" i="52"/>
  <c r="G13" i="52"/>
  <c r="H13" i="52"/>
  <c r="I13" i="52"/>
  <c r="J13" i="52"/>
  <c r="F16" i="52"/>
  <c r="G16" i="52"/>
  <c r="H16" i="52"/>
  <c r="I16" i="52"/>
  <c r="J16" i="52"/>
  <c r="F17" i="52"/>
  <c r="G17" i="52"/>
  <c r="H17" i="52"/>
  <c r="I17" i="52"/>
  <c r="J17" i="52"/>
  <c r="F18" i="52"/>
  <c r="G18" i="52"/>
  <c r="H18" i="52"/>
  <c r="I18" i="52"/>
  <c r="J18" i="52"/>
  <c r="F19" i="52"/>
  <c r="G19" i="52"/>
  <c r="H19" i="52"/>
  <c r="I19" i="52"/>
  <c r="J19" i="52"/>
  <c r="F20" i="52"/>
  <c r="G20" i="52"/>
  <c r="H20" i="52"/>
  <c r="I20" i="52"/>
  <c r="J20" i="52"/>
  <c r="F21" i="52"/>
  <c r="G21" i="52"/>
  <c r="H21" i="52"/>
  <c r="I21" i="52"/>
  <c r="J21" i="52"/>
  <c r="F22" i="52"/>
  <c r="G22" i="52"/>
  <c r="H22" i="52"/>
  <c r="I22" i="52"/>
  <c r="J22" i="52"/>
  <c r="F27" i="52"/>
  <c r="G27" i="52"/>
  <c r="H27" i="52"/>
  <c r="I27" i="52"/>
  <c r="J27" i="52"/>
  <c r="F28" i="52"/>
  <c r="G28" i="52"/>
  <c r="H28" i="52"/>
  <c r="I28" i="52"/>
  <c r="J28" i="52"/>
  <c r="G32" i="52"/>
  <c r="H32" i="52"/>
  <c r="I32" i="52"/>
  <c r="J32" i="52"/>
  <c r="F33" i="52"/>
  <c r="G33" i="52"/>
  <c r="H33" i="52"/>
  <c r="I33" i="52"/>
  <c r="J33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C20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G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H7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I7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J7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Note 5, p. 83 of 10K, p. 115 of PDF</t>
        </r>
      </text>
    </comment>
    <comment ref="B9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
Historicals have been adjusted for non-recurring items</t>
        </r>
      </text>
    </comment>
    <comment ref="B10" authorId="0" shapeId="0" xr:uid="{00000000-0006-0000-0100-000007000000}">
      <text>
        <r>
          <rPr>
            <sz val="9"/>
            <color indexed="81"/>
            <rFont val="Tahoma"/>
            <family val="2"/>
          </rPr>
          <t>Footnote 14 pg 11 10K (pdf page 143 of PDF)</t>
        </r>
      </text>
    </comment>
    <comment ref="F11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
Front page of 10K (pdf page 31)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12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Page 3 of 10-Ticker0019 (pdf page 35)</t>
        </r>
      </text>
    </comment>
    <comment ref="B21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0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  <comment ref="B3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Page 3 of 10-Ticker0019 (pdf page 34)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6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From CFS p. 67 of PDF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24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33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
Illustrative amount for teaching purposes</t>
        </r>
      </text>
    </comment>
    <comment ref="E42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
Long Term Debt from the BS including current portions less the amounts shown separately for teaching purposes.</t>
        </r>
      </text>
    </comment>
    <comment ref="E50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
Long term debt per BS (including current portion)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C8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$291 million (Note 6, page 85 of 10-Ticker0019, pdf page 117) have been removed as non-recurring. </t>
        </r>
      </text>
    </comment>
    <comment ref="D8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Includes Amortization expense.
Implementation charges of $372 million (Note 6, page 85 of 10-Ticker0019, pdf page 117) have been removed as non-recurring. 
</t>
        </r>
      </text>
    </comment>
    <comment ref="E8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Includes Amortization expense.
Adjusted for non-recurring items:
- Implementation charges of $257 million (Note 6, page 85 of 10-Ticker0019, pdf page 117) have been removed as non-recurring. 
- Income from Company0648 tax ruling of $46m + $4m , and Brazilian tax ruling of $153m, see note 12 (tax matters), p. 107 of 10K p. 139 of pdf.
</t>
        </r>
      </text>
    </comment>
    <comment ref="B11" authorId="0" shapeId="0" xr:uid="{00000000-0006-0000-0500-000004000000}">
      <text>
        <r>
          <rPr>
            <sz val="9"/>
            <color indexed="81"/>
            <rFont val="Tahoma"/>
            <family val="2"/>
          </rPr>
          <t>Note 16 pg 116 AR (pdf page 148)</t>
        </r>
      </text>
    </comment>
    <comment ref="B12" authorId="0" shapeId="0" xr:uid="{00000000-0006-0000-0500-000005000000}">
      <text>
        <r>
          <rPr>
            <sz val="9"/>
            <color indexed="81"/>
            <rFont val="Tahoma"/>
            <family val="2"/>
          </rPr>
          <t>From income statement, and also in note 5 pg.83 AR (pg. 115 pdf)</t>
        </r>
      </text>
    </comment>
    <comment ref="B16" authorId="0" shapeId="0" xr:uid="{00000000-0006-0000-0500-000006000000}">
      <text>
        <r>
          <rPr>
            <sz val="9"/>
            <color indexed="81"/>
            <rFont val="Tahoma"/>
            <family val="2"/>
          </rPr>
          <t xml:space="preserve">
Includes interest expense on debt only, see Note 7, p. 89 of AR, p. 121 of PIB</t>
        </r>
      </text>
    </comment>
    <comment ref="C17" authorId="0" shapeId="0" xr:uid="{00000000-0006-0000-0500-000007000000}">
      <text>
        <r>
          <rPr>
            <sz val="9"/>
            <color indexed="81"/>
            <rFont val="Tahoma"/>
            <family val="2"/>
          </rPr>
          <t xml:space="preserve">Author1:
-Asset impairments and exit costs 
-Net gain on divestitures
-Loss on deconsolidation of Venezuela
From note 6, page 85 of 10-Ticker0019 (pdf page 117):
- Implementation charges of $291m
From note 7, p. 89 of 10-Ticker0019 (pdf page 121), the following four items have been calculated collectively as (1,013 - 609)
- Loss on debt extinguishment and related expenses of $753m
- Company1399 coffee business transactions currency-related net gains of $436m
- Loss related to interest rate swaps of $34m
- Other (income)/expense, net of $53m
Note: intangible assets impairments (shown in note 5, p.84 of 10-Ticker0019, pdf page 116) have not been included here as they are presumed to be included within Asset impairments and exit costs </t>
        </r>
      </text>
    </comment>
    <comment ref="D17" authorId="0" shapeId="0" xr:uid="{00000000-0006-0000-0500-000008000000}">
      <text>
        <r>
          <rPr>
            <sz val="9"/>
            <color indexed="81"/>
            <rFont val="Tahoma"/>
            <family val="2"/>
          </rPr>
          <t>Author1:
-Asset impairments and exit costs 
-Net gain on divestitures
From note 6, page 85 of 10-Ticker0019 (pdf page 117):
- Implementation charges of $372m
From note 5, p. 84 of 10K (pdf page 116) of -137, this is part of asset impairments included on IS charge but not included into the restructuring charges in note 6
From note 7, p. 89 of 10-Ticker0019 (pdf page 121), the following three items have been calculated collectively as (1115-515)
- Loss on debt extinguishment and related expenses 
- Loss related to interest rate swaps
- Other (income)/expense, net 
Also includes (Face of IS) for simplicity:
- Gain on equity method investment exchange
- Equity method investment net earnings</t>
        </r>
      </text>
    </comment>
    <comment ref="E17" authorId="0" shapeId="0" xr:uid="{00000000-0006-0000-0500-000009000000}">
      <text>
        <r>
          <rPr>
            <sz val="9"/>
            <color indexed="81"/>
            <rFont val="Tahoma"/>
            <family val="2"/>
          </rPr>
          <t xml:space="preserve">Author1:
-Asset impairments and exit costs 
-Net gain on divestitures
From note 6, page 85 of 10-Ticker0019 (pdf page 117):
- Implementation charges of $372m
From note 12, p. 107 of 10K p. 139 of pdf: 
Income (included in SG&amp;A) of $153, $46m and $4m
From note 7, p. 89 of 10-Ticker0019 (pdf page 121):
- Loss on debt extinguishment and related expenses 
- Other (income)/expense, net 
</t>
        </r>
        <r>
          <rPr>
            <sz val="9"/>
            <color indexed="81"/>
            <rFont val="Tahoma"/>
            <family val="2"/>
          </rPr>
          <t>Also includes (Face of IS) for simplicity:
- Gain on equity method investment exchange
- equity method investment net earnings</t>
        </r>
      </text>
    </comment>
    <comment ref="D18" authorId="0" shapeId="0" xr:uid="{00000000-0006-0000-0500-00000A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E18" authorId="0" shapeId="0" xr:uid="{00000000-0006-0000-0500-00000B000000}">
      <text>
        <r>
          <rPr>
            <sz val="9"/>
            <color indexed="81"/>
            <rFont val="Tahoma"/>
            <family val="2"/>
          </rPr>
          <t xml:space="preserve">
Note: this figure does not match the reported PBT due to inclusion (for simplicity) of gain on equity method investments and equity method investment earnings.</t>
        </r>
      </text>
    </comment>
    <comment ref="C23" authorId="0" shapeId="0" xr:uid="{00000000-0006-0000-0500-00000C000000}">
      <text>
        <r>
          <rPr>
            <sz val="9"/>
            <color indexed="81"/>
            <rFont val="Tahoma"/>
            <family val="2"/>
          </rPr>
          <t xml:space="preserve">
Post-tax gain on divestiture is $6.6bn (p. 77 of 10K, p. 109 of PIB).
Tax impact of other non-recurring items has been estimated using the MTR.</t>
        </r>
      </text>
    </comment>
    <comment ref="D23" authorId="0" shapeId="0" xr:uid="{00000000-0006-0000-0500-00000D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E23" authorId="0" shapeId="0" xr:uid="{00000000-0006-0000-0500-00000E000000}">
      <text>
        <r>
          <rPr>
            <sz val="9"/>
            <color indexed="81"/>
            <rFont val="Tahoma"/>
            <family val="2"/>
          </rPr>
          <t xml:space="preserve">
All non recurring items are adjusted at (1-MTR) excluding equity affiliate earnings and gains from equity method transactions, which are already presented post-tax.</t>
        </r>
      </text>
    </comment>
    <comment ref="B26" authorId="0" shapeId="0" xr:uid="{00000000-0006-0000-0500-00000F000000}">
      <text>
        <r>
          <rPr>
            <sz val="9"/>
            <color indexed="81"/>
            <rFont val="Tahoma"/>
            <family val="2"/>
          </rPr>
          <t xml:space="preserve">
From Cash Flow Statement</t>
        </r>
      </text>
    </comment>
    <comment ref="B29" authorId="0" shapeId="0" xr:uid="{00000000-0006-0000-0500-000010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  <comment ref="B30" authorId="0" shapeId="0" xr:uid="{00000000-0006-0000-0500-000011000000}">
      <text>
        <r>
          <rPr>
            <sz val="9"/>
            <color indexed="81"/>
            <rFont val="Tahoma"/>
            <family val="2"/>
          </rPr>
          <t xml:space="preserve">
Note 15 pg 113 AR (pdf pg 145)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26" authorId="0" shapeId="0" xr:uid="{00000000-0006-0000-0600-000001000000}">
      <text>
        <r>
          <rPr>
            <sz val="9"/>
            <color indexed="81"/>
            <rFont val="Tahoma"/>
            <family val="2"/>
          </rPr>
          <t>Includes current portion of LT debt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14" authorId="0" shapeId="0" xr:uid="{00000000-0006-0000-0700-000001000000}">
      <text>
        <r>
          <rPr>
            <sz val="9"/>
            <color indexed="81"/>
            <rFont val="Tahoma"/>
            <family val="2"/>
          </rPr>
          <t>Assuming that the change is due to investments / divestitures</t>
        </r>
      </text>
    </comment>
  </commentList>
</comments>
</file>

<file path=xl/sharedStrings.xml><?xml version="1.0" encoding="utf-8"?>
<sst xmlns="http://schemas.openxmlformats.org/spreadsheetml/2006/main" count="306" uniqueCount="176">
  <si>
    <t>Financial Forecasting and Modeling</t>
  </si>
  <si>
    <t>Fully integrated financial model</t>
  </si>
  <si>
    <t>Special features</t>
  </si>
  <si>
    <t>Detailed revenue forecast</t>
  </si>
  <si>
    <t>Cash sweep with revolver (including mandated repayments)</t>
  </si>
  <si>
    <t>Positive presentation income statement</t>
  </si>
  <si>
    <t>Non-threaded assumptions</t>
  </si>
  <si>
    <t>OWC accounts forecast on days</t>
  </si>
  <si>
    <t>Cash and revolver</t>
  </si>
  <si>
    <t>Ratios</t>
  </si>
  <si>
    <t>Model information</t>
  </si>
  <si>
    <t>Company name</t>
  </si>
  <si>
    <t>Company1825</t>
  </si>
  <si>
    <t>Latest BS date</t>
  </si>
  <si>
    <t>Currency</t>
  </si>
  <si>
    <t>USD</t>
  </si>
  <si>
    <t>Units</t>
  </si>
  <si>
    <t>m</t>
  </si>
  <si>
    <t>Analyst name</t>
  </si>
  <si>
    <t>Circular switch</t>
  </si>
  <si>
    <t>Hist.</t>
  </si>
  <si>
    <t>Proj.</t>
  </si>
  <si>
    <t>Assumptions</t>
  </si>
  <si>
    <t>Income statement</t>
  </si>
  <si>
    <t>COGS % of sales</t>
  </si>
  <si>
    <t>SG&amp;A % of sales</t>
  </si>
  <si>
    <t>Amortization amount</t>
  </si>
  <si>
    <t>Non-recurring income / (expense) amount</t>
  </si>
  <si>
    <t>Effective tax rate</t>
  </si>
  <si>
    <t>Marginal tax rate</t>
  </si>
  <si>
    <t>Basic WASO</t>
  </si>
  <si>
    <t>Diluted WASO</t>
  </si>
  <si>
    <t>Dividend per share growth rate</t>
  </si>
  <si>
    <t>Balance sheet</t>
  </si>
  <si>
    <t>Receivables days</t>
  </si>
  <si>
    <t>Inventory days</t>
  </si>
  <si>
    <t>Other current assets % of sales</t>
  </si>
  <si>
    <t>Goodwill amount</t>
  </si>
  <si>
    <t>Other long-term assets % of sales</t>
  </si>
  <si>
    <t>Equity method investments $ amount</t>
  </si>
  <si>
    <t>Payable days</t>
  </si>
  <si>
    <t>Accrued marketing % of sales</t>
  </si>
  <si>
    <t>Accrued employment costs % of sales</t>
  </si>
  <si>
    <t>Other current liabilities % of sales</t>
  </si>
  <si>
    <t>Deferred taxes % of sales</t>
  </si>
  <si>
    <t>Other long-term liabilities % of sales</t>
  </si>
  <si>
    <t>PP&amp;E</t>
  </si>
  <si>
    <t>Capital expenditure % of sales</t>
  </si>
  <si>
    <t>Depreciation % of beginning PP&amp;E</t>
  </si>
  <si>
    <t>Equity</t>
  </si>
  <si>
    <t>Share issuance / (repurchases)</t>
  </si>
  <si>
    <t>Cash available for debt repayment</t>
  </si>
  <si>
    <t>Minimum cash % of sales</t>
  </si>
  <si>
    <t>Interest rates</t>
  </si>
  <si>
    <t>Interest income on cash</t>
  </si>
  <si>
    <t>Revenues</t>
  </si>
  <si>
    <t>North America</t>
  </si>
  <si>
    <t>CPI increase / (decrease) %</t>
  </si>
  <si>
    <t>Price growth over / (under) CPI %</t>
  </si>
  <si>
    <r>
      <t xml:space="preserve">Price growth % </t>
    </r>
    <r>
      <rPr>
        <i/>
        <sz val="10"/>
        <rFont val="Arial"/>
        <family val="2"/>
      </rPr>
      <t>(additive)</t>
    </r>
  </si>
  <si>
    <t>Population growth increase</t>
  </si>
  <si>
    <t>Market share growth / (decline)</t>
  </si>
  <si>
    <t>Volume growth</t>
  </si>
  <si>
    <t>Sales growth</t>
  </si>
  <si>
    <t>Europe</t>
  </si>
  <si>
    <t>Latin America</t>
  </si>
  <si>
    <t>Other</t>
  </si>
  <si>
    <t>Sales summary</t>
  </si>
  <si>
    <t>Total sales</t>
  </si>
  <si>
    <t>Calcs</t>
  </si>
  <si>
    <t>Beginning balance</t>
  </si>
  <si>
    <t>Capital expenditure</t>
  </si>
  <si>
    <t>Depreciation</t>
  </si>
  <si>
    <t>Ending balance</t>
  </si>
  <si>
    <t>Net income</t>
  </si>
  <si>
    <t>Dividends</t>
  </si>
  <si>
    <t>OWC</t>
  </si>
  <si>
    <t xml:space="preserve"> Total operating current assets</t>
  </si>
  <si>
    <t xml:space="preserve"> Total operating current liabilities</t>
  </si>
  <si>
    <t>Debt</t>
  </si>
  <si>
    <t>Beginning cash</t>
  </si>
  <si>
    <t>Minimum cash</t>
  </si>
  <si>
    <t>Cash flow available for debt repayment</t>
  </si>
  <si>
    <t>Short-term debt / revolver</t>
  </si>
  <si>
    <t>Issuance / (repayment)</t>
  </si>
  <si>
    <t>Interest rate</t>
  </si>
  <si>
    <t>Interest expense</t>
  </si>
  <si>
    <t>Cash available after servicing the revolver</t>
  </si>
  <si>
    <t>U.S. dollar notes</t>
  </si>
  <si>
    <t>Accelerated repayment</t>
  </si>
  <si>
    <t>Cash available for acceleration of debt 2</t>
  </si>
  <si>
    <t>Euro notes</t>
  </si>
  <si>
    <t>Cash available for acceleration of debt 3</t>
  </si>
  <si>
    <t>Other debt</t>
  </si>
  <si>
    <t>Long-term debt summary</t>
  </si>
  <si>
    <t>Total long-term debt</t>
  </si>
  <si>
    <t>Interest expense summary</t>
  </si>
  <si>
    <t>Total interest expense</t>
  </si>
  <si>
    <t>Interest income</t>
  </si>
  <si>
    <t>Cash</t>
  </si>
  <si>
    <t>Income Statement</t>
  </si>
  <si>
    <t>Sales</t>
  </si>
  <si>
    <t>COGS</t>
  </si>
  <si>
    <t>Gross profit</t>
  </si>
  <si>
    <t>SG&amp;A</t>
  </si>
  <si>
    <t>EBIT</t>
  </si>
  <si>
    <t>Amortization</t>
  </si>
  <si>
    <t>EBITDA</t>
  </si>
  <si>
    <t>Non-recurring income / (expense)</t>
  </si>
  <si>
    <t>Profit before tax</t>
  </si>
  <si>
    <t>Tax</t>
  </si>
  <si>
    <t>Post-tax non-recurring (income) / expense</t>
  </si>
  <si>
    <t>Recurring net income</t>
  </si>
  <si>
    <t>Shareholder information</t>
  </si>
  <si>
    <t>Basic EPS</t>
  </si>
  <si>
    <t>Diluted EPS</t>
  </si>
  <si>
    <t>Dividend per share</t>
  </si>
  <si>
    <t>Balance Sheet</t>
  </si>
  <si>
    <t>Cash and cash equivalents</t>
  </si>
  <si>
    <t>Receivables</t>
  </si>
  <si>
    <t>Inventories, net</t>
  </si>
  <si>
    <t>Other current assets</t>
  </si>
  <si>
    <t>Total current assets</t>
  </si>
  <si>
    <t>Property, plant and equipment, net</t>
  </si>
  <si>
    <t>Goodwill</t>
  </si>
  <si>
    <t>Intangible assets, net</t>
  </si>
  <si>
    <t>Equity method investments</t>
  </si>
  <si>
    <t>Other long-term assets</t>
  </si>
  <si>
    <t>Total other non-current assets</t>
  </si>
  <si>
    <t>TOTAL ASSETS</t>
  </si>
  <si>
    <t>Accounts payable</t>
  </si>
  <si>
    <t>Accrued marketing</t>
  </si>
  <si>
    <t>Accrued employment costs</t>
  </si>
  <si>
    <t>Other current liabilities</t>
  </si>
  <si>
    <t>Total current liabilities</t>
  </si>
  <si>
    <t>Long-term debt</t>
  </si>
  <si>
    <t>Deferred income taxes</t>
  </si>
  <si>
    <t>Other long-term liabilities</t>
  </si>
  <si>
    <t>Total non-current liabilities</t>
  </si>
  <si>
    <t>TOTAL LIABILITIES &amp; EQUITY</t>
  </si>
  <si>
    <t>Balance check</t>
  </si>
  <si>
    <t>Cash Flow Statement</t>
  </si>
  <si>
    <t>(inc) dec in OWC</t>
  </si>
  <si>
    <t>(inc) dec in other long-term assets</t>
  </si>
  <si>
    <t>inc (dec) in deferred income tax liability</t>
  </si>
  <si>
    <t>inc (dec) in other liabilities</t>
  </si>
  <si>
    <t>Operating cash flow</t>
  </si>
  <si>
    <t>(inc) dec in equity method investments</t>
  </si>
  <si>
    <t xml:space="preserve">Investing cash flow </t>
  </si>
  <si>
    <t>Issuance / (repayment) of short-term debt / revolver</t>
  </si>
  <si>
    <t>Issuance / (repayment) of long-term debt</t>
  </si>
  <si>
    <t>Financing cash flow</t>
  </si>
  <si>
    <t>NET CASH FLOW</t>
  </si>
  <si>
    <t>Cash balance</t>
  </si>
  <si>
    <t>Growth</t>
  </si>
  <si>
    <t>CFO</t>
  </si>
  <si>
    <t>Profitability</t>
  </si>
  <si>
    <t>EBIT margin</t>
  </si>
  <si>
    <t>EBITDA margin</t>
  </si>
  <si>
    <t>Net income margin</t>
  </si>
  <si>
    <t>Credit</t>
  </si>
  <si>
    <t>Total debt</t>
  </si>
  <si>
    <t>Net debt</t>
  </si>
  <si>
    <t>Net debt / equity</t>
  </si>
  <si>
    <t>Net debt / EBITDA</t>
  </si>
  <si>
    <t>EBITDA / interest expense</t>
  </si>
  <si>
    <t>Dividend payout ratio</t>
  </si>
  <si>
    <t>Asset turnover</t>
  </si>
  <si>
    <t>OWC to sales</t>
  </si>
  <si>
    <t>Net PPE to sales</t>
  </si>
  <si>
    <t>Invested capital</t>
  </si>
  <si>
    <t>Invested capital to sales</t>
  </si>
  <si>
    <t>Returns</t>
  </si>
  <si>
    <t>Net operating profit after tax (NOPAT)</t>
  </si>
  <si>
    <t>Return on invested capital</t>
  </si>
  <si>
    <t>Return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</si>
</sst>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0.0%"/>
    <numFmt numFmtId="171" formatCode="#,##0.00_)\x;\(#,##0.00\)\x"/>
    <numFmt numFmtId="172" formatCode="&quot;Yes&quot;;;&quot;No&quot;"/>
    <numFmt numFmtId="173" formatCode="#,##0.0\x_);\(#,##0.0\x\);0.0_);@_)"/>
    <numFmt numFmtId="174" formatCode="#,##0.00_);\(#,##0.00\);0.00_);@_)"/>
  </numFmts>
  <fonts count="41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b/>
      <sz val="14"/>
      <color rgb="FF027D07"/>
      <name val="Arial"/>
      <family val="2"/>
    </font>
    <font>
      <b/>
      <sz val="12"/>
      <color rgb="FF027D07"/>
      <name val="Arial"/>
      <family val="2"/>
    </font>
    <font>
      <sz val="11"/>
      <color rgb="FF027D07"/>
      <name val="Arial"/>
      <family val="2"/>
    </font>
    <font>
      <b/>
      <sz val="10"/>
      <color rgb="FF027D07"/>
      <name val="Arial"/>
      <family val="2"/>
    </font>
    <font>
      <b/>
      <sz val="11"/>
      <color theme="2"/>
      <name val="Arial"/>
      <family val="2"/>
    </font>
    <font>
      <sz val="10"/>
      <color rgb="FF027D07"/>
      <name val="Arial"/>
      <family val="2"/>
    </font>
    <font>
      <sz val="7"/>
      <color indexed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</borders>
  <cellStyleXfs count="62">
    <xf numFmtId="167" fontId="0" fillId="0" borderId="0"/>
    <xf numFmtId="15" fontId="31" fillId="0" borderId="0" applyFill="0" applyBorder="0" applyProtection="0">
      <alignment horizontal="center"/>
    </xf>
    <xf numFmtId="0" fontId="5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1" fillId="0" borderId="0" applyFont="0" applyFill="0" applyBorder="0" applyAlignment="0" applyProtection="0"/>
    <xf numFmtId="167" fontId="28" fillId="0" borderId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5" borderId="6" applyNumberFormat="0" applyAlignment="0" applyProtection="0"/>
    <xf numFmtId="0" fontId="15" fillId="0" borderId="7" applyNumberFormat="0" applyFill="0" applyAlignment="0" applyProtection="0"/>
    <xf numFmtId="0" fontId="16" fillId="6" borderId="8" applyNumberFormat="0" applyAlignment="0" applyProtection="0"/>
    <xf numFmtId="0" fontId="17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0" fillId="31" borderId="0" applyNumberFormat="0" applyBorder="0" applyAlignment="0" applyProtection="0"/>
    <xf numFmtId="166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3" fillId="32" borderId="0" applyNumberFormat="0" applyBorder="0" applyProtection="0">
      <alignment horizontal="left" vertical="center"/>
    </xf>
    <xf numFmtId="167" fontId="24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69" fontId="28" fillId="33" borderId="1" applyAlignment="0" applyProtection="0"/>
    <xf numFmtId="166" fontId="1" fillId="0" borderId="0"/>
    <xf numFmtId="166" fontId="2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166" fontId="1" fillId="0" borderId="0">
      <protection locked="0"/>
    </xf>
    <xf numFmtId="166" fontId="40" fillId="0" borderId="0" applyNumberFormat="0" applyFill="0" applyBorder="0" applyProtection="0">
      <alignment vertical="center"/>
      <protection hidden="1"/>
    </xf>
  </cellStyleXfs>
  <cellXfs count="45">
    <xf numFmtId="167" fontId="0" fillId="0" borderId="0" xfId="0"/>
    <xf numFmtId="169" fontId="1" fillId="0" borderId="0" xfId="4" applyFont="1"/>
    <xf numFmtId="169" fontId="1" fillId="0" borderId="0" xfId="4" applyFont="1" applyFill="1" applyBorder="1"/>
    <xf numFmtId="166" fontId="25" fillId="0" borderId="0" xfId="57" applyFont="1"/>
    <xf numFmtId="166" fontId="26" fillId="0" borderId="0" xfId="57" applyFont="1"/>
    <xf numFmtId="166" fontId="27" fillId="0" borderId="0" xfId="57" applyFont="1"/>
    <xf numFmtId="169" fontId="2" fillId="0" borderId="0" xfId="4" applyFont="1"/>
    <xf numFmtId="166" fontId="2" fillId="0" borderId="0" xfId="57" applyFont="1"/>
    <xf numFmtId="166" fontId="30" fillId="0" borderId="0" xfId="57" applyFont="1"/>
    <xf numFmtId="166" fontId="25" fillId="0" borderId="0" xfId="57" applyFont="1" applyAlignment="1">
      <alignment horizontal="right"/>
    </xf>
    <xf numFmtId="166" fontId="25" fillId="0" borderId="0" xfId="57" quotePrefix="1" applyFont="1"/>
    <xf numFmtId="167" fontId="32" fillId="0" borderId="0" xfId="0" applyFont="1"/>
    <xf numFmtId="167" fontId="33" fillId="32" borderId="0" xfId="53" applyFont="1">
      <alignment horizontal="left" vertical="center"/>
    </xf>
    <xf numFmtId="167" fontId="28" fillId="33" borderId="1" xfId="3" applyAlignment="1">
      <alignment horizontal="center"/>
    </xf>
    <xf numFmtId="168" fontId="28" fillId="33" borderId="1" xfId="3" applyNumberFormat="1" applyAlignment="1">
      <alignment horizontal="center"/>
    </xf>
    <xf numFmtId="167" fontId="34" fillId="0" borderId="0" xfId="0" applyFont="1"/>
    <xf numFmtId="37" fontId="35" fillId="0" borderId="0" xfId="0" applyNumberFormat="1" applyFont="1" applyAlignment="1">
      <alignment horizontal="center"/>
    </xf>
    <xf numFmtId="167" fontId="36" fillId="0" borderId="0" xfId="0" applyFont="1"/>
    <xf numFmtId="167" fontId="34" fillId="0" borderId="11" xfId="52" applyFont="1"/>
    <xf numFmtId="15" fontId="34" fillId="0" borderId="11" xfId="52" applyNumberFormat="1" applyFont="1" applyAlignment="1">
      <alignment horizontal="center"/>
    </xf>
    <xf numFmtId="37" fontId="37" fillId="0" borderId="11" xfId="52" applyNumberFormat="1" applyFont="1"/>
    <xf numFmtId="15" fontId="31" fillId="0" borderId="0" xfId="1" applyFill="1" applyBorder="1">
      <alignment horizontal="center"/>
    </xf>
    <xf numFmtId="166" fontId="1" fillId="0" borderId="0" xfId="57"/>
    <xf numFmtId="166" fontId="38" fillId="0" borderId="0" xfId="54" applyNumberFormat="1" applyFont="1"/>
    <xf numFmtId="167" fontId="1" fillId="0" borderId="0" xfId="0" applyFont="1"/>
    <xf numFmtId="169" fontId="28" fillId="33" borderId="1" xfId="3" applyNumberFormat="1"/>
    <xf numFmtId="166" fontId="28" fillId="33" borderId="1" xfId="3" applyNumberFormat="1"/>
    <xf numFmtId="167" fontId="28" fillId="33" borderId="1" xfId="3"/>
    <xf numFmtId="166" fontId="34" fillId="0" borderId="0" xfId="52" applyNumberFormat="1" applyFont="1" applyFill="1" applyBorder="1"/>
    <xf numFmtId="15" fontId="37" fillId="0" borderId="0" xfId="1" applyFont="1" applyFill="1" applyBorder="1">
      <alignment horizontal="center"/>
    </xf>
    <xf numFmtId="166" fontId="39" fillId="0" borderId="0" xfId="57" applyFont="1"/>
    <xf numFmtId="166" fontId="34" fillId="0" borderId="11" xfId="52" applyNumberFormat="1" applyFont="1" applyFill="1"/>
    <xf numFmtId="15" fontId="37" fillId="0" borderId="11" xfId="1" applyFont="1" applyFill="1" applyBorder="1">
      <alignment horizontal="center"/>
    </xf>
    <xf numFmtId="166" fontId="37" fillId="0" borderId="11" xfId="52" applyNumberFormat="1" applyFont="1" applyFill="1"/>
    <xf numFmtId="174" fontId="1" fillId="0" borderId="0" xfId="57" applyNumberFormat="1"/>
    <xf numFmtId="169" fontId="28" fillId="33" borderId="1" xfId="56"/>
    <xf numFmtId="170" fontId="1" fillId="0" borderId="0" xfId="57" applyNumberFormat="1"/>
    <xf numFmtId="166" fontId="2" fillId="0" borderId="0" xfId="58"/>
    <xf numFmtId="166" fontId="38" fillId="0" borderId="0" xfId="54" applyNumberFormat="1" applyFont="1" applyBorder="1"/>
    <xf numFmtId="169" fontId="1" fillId="0" borderId="0" xfId="4" applyFont="1" applyFill="1"/>
    <xf numFmtId="9" fontId="1" fillId="0" borderId="0" xfId="57" applyNumberFormat="1"/>
    <xf numFmtId="169" fontId="1" fillId="0" borderId="0" xfId="57" applyNumberFormat="1"/>
    <xf numFmtId="169" fontId="38" fillId="0" borderId="0" xfId="54" applyNumberFormat="1" applyFont="1"/>
    <xf numFmtId="167" fontId="28" fillId="0" borderId="0" xfId="5"/>
    <xf numFmtId="173" fontId="1" fillId="0" borderId="0" xfId="59" applyFont="1"/>
  </cellXfs>
  <cellStyles count="62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ue" xfId="58" xr:uid="{00000000-0005-0000-0000-000019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0000000}"/>
    <cellStyle name="Explanatory Text" xfId="20" builtinId="53" hidden="1"/>
    <cellStyle name="Followed Hyperlink" xfId="46" builtinId="9" hidden="1"/>
    <cellStyle name="Good" xfId="11" builtinId="26" hidden="1"/>
    <cellStyle name="Header" xfId="52" xr:uid="{00000000-0005-0000-0000-000024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9000000}"/>
    <cellStyle name="Hyperlink" xfId="2" builtinId="8" hidden="1"/>
    <cellStyle name="Input" xfId="3" builtinId="20" customBuiltin="1"/>
    <cellStyle name="Input %" xfId="56" xr:uid="{00000000-0005-0000-0000-00002C000000}"/>
    <cellStyle name="Linked Cell" xfId="16" builtinId="24" hidden="1"/>
    <cellStyle name="Multiple" xfId="51" xr:uid="{00000000-0005-0000-0000-00002E000000}"/>
    <cellStyle name="Neutral" xfId="13" builtinId="28" hidden="1"/>
    <cellStyle name="Normal" xfId="0" builtinId="0" customBuiltin="1"/>
    <cellStyle name="Normal 2" xfId="57" xr:uid="{00000000-0005-0000-0000-000031000000}"/>
    <cellStyle name="Normal 3" xfId="60" xr:uid="{B359837F-AC8B-4AC8-A603-36CA4ECDBE31}"/>
    <cellStyle name="Note" xfId="19" builtinId="10" hidden="1"/>
    <cellStyle name="Output" xfId="14" builtinId="21" hidden="1"/>
    <cellStyle name="Percent" xfId="4" builtinId="5" customBuiltin="1"/>
    <cellStyle name="SubHeader" xfId="53" xr:uid="{00000000-0005-0000-0000-000035000000}"/>
    <cellStyle name="SubHeader2" xfId="54" xr:uid="{00000000-0005-0000-0000-000036000000}"/>
    <cellStyle name="Times" xfId="59" xr:uid="{00000000-0005-0000-0000-000037000000}"/>
    <cellStyle name="Title" xfId="6" builtinId="15" hidden="1"/>
    <cellStyle name="Total" xfId="21" builtinId="25" hidden="1"/>
    <cellStyle name="Warning Text" xfId="18" builtinId="11" hidden="1"/>
    <cellStyle name="xGuides" xfId="61" xr:uid="{F1496797-4AB5-45AA-A5A2-AD1101071EE3}"/>
    <cellStyle name="YesNo" xfId="55" xr:uid="{00000000-0005-0000-0000-00003B000000}"/>
  </cellStyles>
  <dxfs count="2">
    <dxf>
      <font>
        <b/>
        <i val="0"/>
        <color rgb="FF0500FF"/>
      </font>
    </dxf>
    <dxf>
      <font>
        <b/>
        <i val="0"/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E1E1"/>
      <color rgb="FF0000FF"/>
      <color rgb="FF05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4"/>
  <sheetViews>
    <sheetView showGridLines="0" tabSelected="1" zoomScaleNormal="100" workbookViewId="0"/>
  </sheetViews>
  <sheetFormatPr defaultColWidth="9.109375" defaultRowHeight="13.8" x14ac:dyDescent="0.25"/>
  <cols>
    <col min="1" max="1" width="2.44140625" style="11" customWidth="1"/>
    <col min="2" max="2" width="30.6640625" style="11" customWidth="1"/>
    <col min="3" max="3" width="13.44140625" style="11" customWidth="1"/>
    <col min="4" max="4" width="14.109375" style="11" customWidth="1"/>
    <col min="5" max="14" width="13.44140625" style="11" customWidth="1"/>
    <col min="15" max="15" width="13.109375" style="11" customWidth="1"/>
    <col min="16" max="16" width="12.6640625" style="11" customWidth="1"/>
    <col min="17" max="17" width="13.109375" style="11" customWidth="1"/>
    <col min="18" max="16384" width="9.109375" style="11"/>
  </cols>
  <sheetData>
    <row r="1" spans="1:15" s="17" customFormat="1" ht="17.399999999999999" x14ac:dyDescent="0.3">
      <c r="A1" s="15" t="s">
        <v>0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7" customFormat="1" ht="18" thickBot="1" x14ac:dyDescent="0.35">
      <c r="A2" s="20" t="s">
        <v>1</v>
      </c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4.4" thickTop="1" x14ac:dyDescent="0.25"/>
    <row r="4" spans="1:15" ht="17.399999999999999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customFormat="1" ht="13.2" x14ac:dyDescent="0.25"/>
    <row r="6" spans="1:15" customFormat="1" ht="13.2" x14ac:dyDescent="0.25">
      <c r="B6" t="s">
        <v>3</v>
      </c>
    </row>
    <row r="7" spans="1:15" customFormat="1" ht="13.2" x14ac:dyDescent="0.25">
      <c r="B7" t="s">
        <v>4</v>
      </c>
    </row>
    <row r="8" spans="1:15" customFormat="1" ht="13.2" x14ac:dyDescent="0.25">
      <c r="B8" t="s">
        <v>5</v>
      </c>
    </row>
    <row r="9" spans="1:15" customFormat="1" ht="13.2" x14ac:dyDescent="0.25">
      <c r="B9" t="s">
        <v>6</v>
      </c>
    </row>
    <row r="10" spans="1:15" customFormat="1" ht="13.2" x14ac:dyDescent="0.25">
      <c r="B10" t="s">
        <v>7</v>
      </c>
    </row>
    <row r="11" spans="1:15" customFormat="1" ht="13.2" x14ac:dyDescent="0.25">
      <c r="B11" t="s">
        <v>8</v>
      </c>
    </row>
    <row r="12" spans="1:15" customFormat="1" ht="13.2" x14ac:dyDescent="0.25">
      <c r="B12" t="s">
        <v>9</v>
      </c>
    </row>
    <row r="13" spans="1:15" customFormat="1" ht="13.2" x14ac:dyDescent="0.25"/>
    <row r="14" spans="1:15" customFormat="1" ht="13.2" x14ac:dyDescent="0.25"/>
    <row r="15" spans="1:15" customFormat="1" ht="13.2" x14ac:dyDescent="0.25"/>
    <row r="16" spans="1:15" customFormat="1" ht="13.2" x14ac:dyDescent="0.25"/>
    <row r="17" spans="1:15" ht="17.399999999999999" x14ac:dyDescent="0.25">
      <c r="A17" s="12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9" spans="1:15" x14ac:dyDescent="0.25">
      <c r="B19" t="s">
        <v>11</v>
      </c>
      <c r="C19" s="13" t="s">
        <v>12</v>
      </c>
    </row>
    <row r="20" spans="1:15" x14ac:dyDescent="0.25">
      <c r="B20" t="s">
        <v>13</v>
      </c>
      <c r="C20" s="14">
        <v>43100</v>
      </c>
    </row>
    <row r="21" spans="1:15" x14ac:dyDescent="0.25">
      <c r="B21" t="s">
        <v>14</v>
      </c>
      <c r="C21" s="13" t="s">
        <v>15</v>
      </c>
    </row>
    <row r="22" spans="1:15" x14ac:dyDescent="0.25">
      <c r="B22" t="s">
        <v>16</v>
      </c>
      <c r="C22" s="13" t="s">
        <v>17</v>
      </c>
    </row>
    <row r="23" spans="1:15" x14ac:dyDescent="0.25">
      <c r="B23" t="s">
        <v>18</v>
      </c>
      <c r="C23" s="13" t="s">
        <v>18</v>
      </c>
    </row>
    <row r="24" spans="1:15" x14ac:dyDescent="0.25">
      <c r="B24" t="s">
        <v>19</v>
      </c>
      <c r="C24" s="13">
        <v>1</v>
      </c>
    </row>
  </sheetData>
  <conditionalFormatting sqref="B7:B9">
    <cfRule type="expression" dxfId="1" priority="4">
      <formula>$B7=#REF!</formula>
    </cfRule>
  </conditionalFormatting>
  <conditionalFormatting sqref="B12:B14">
    <cfRule type="expression" dxfId="0" priority="1">
      <formula>$B12=#REF!</formula>
    </cfRule>
  </conditionalFormatting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&amp;R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M40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3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3" s="30" customFormat="1" ht="18" thickBot="1" x14ac:dyDescent="0.35">
      <c r="A2" s="33" t="s">
        <v>22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3" ht="13.8" thickTop="1" x14ac:dyDescent="0.25"/>
    <row r="4" spans="1:13" ht="13.8" x14ac:dyDescent="0.25">
      <c r="A4" s="23" t="s">
        <v>23</v>
      </c>
      <c r="B4" s="24"/>
      <c r="M4" s="5"/>
    </row>
    <row r="5" spans="1:13" x14ac:dyDescent="0.25">
      <c r="A5" s="4"/>
      <c r="B5" s="24" t="s">
        <v>24</v>
      </c>
      <c r="C5" s="1">
        <f>+IS!C5/IS!C4</f>
      </c>
      <c r="D5" s="1">
        <f>+IS!D5/IS!D4</f>
      </c>
      <c r="E5" s="1">
        <f>+IS!E5/IS!E4</f>
      </c>
      <c r="F5" s="25">
        <v>0.61</v>
      </c>
      <c r="G5" s="25">
        <v>0.61</v>
      </c>
      <c r="H5" s="25">
        <v>0.61</v>
      </c>
      <c r="I5" s="25">
        <v>0.61</v>
      </c>
      <c r="J5" s="25">
        <v>0.61</v>
      </c>
    </row>
    <row r="6" spans="1:13" x14ac:dyDescent="0.25">
      <c r="A6" s="4"/>
      <c r="B6" s="24" t="s">
        <v>25</v>
      </c>
      <c r="C6" s="1">
        <f>+IS!C8/IS!C4</f>
      </c>
      <c r="D6" s="1">
        <f>+IS!D8/IS!D4</f>
      </c>
      <c r="E6" s="1">
        <f>+IS!E8/IS!E4</f>
      </c>
      <c r="F6" s="25">
        <v>0.215</v>
      </c>
      <c r="G6" s="25">
        <v>0.215</v>
      </c>
      <c r="H6" s="25">
        <v>0.215</v>
      </c>
      <c r="I6" s="25">
        <v>0.215</v>
      </c>
      <c r="J6" s="25">
        <v>0.215</v>
      </c>
    </row>
    <row r="7" spans="1:13" x14ac:dyDescent="0.25">
      <c r="A7" s="4"/>
      <c r="B7" s="24" t="s">
        <v>26</v>
      </c>
      <c r="C7" s="22">
        <f>+IS!C12</f>
      </c>
      <c r="D7" s="22">
        <f>+IS!D12</f>
      </c>
      <c r="E7" s="22">
        <f>+IS!E12</f>
      </c>
      <c r="F7" s="26">
        <v>175</v>
      </c>
      <c r="G7" s="26">
        <v>175</v>
      </c>
      <c r="H7" s="26">
        <v>175</v>
      </c>
      <c r="I7" s="26">
        <v>85</v>
      </c>
      <c r="J7" s="26">
        <v>85</v>
      </c>
      <c r="M7" s="5"/>
    </row>
    <row r="8" spans="1:13" x14ac:dyDescent="0.25">
      <c r="A8" s="4"/>
      <c r="B8" s="24" t="s">
        <v>27</v>
      </c>
      <c r="C8" s="22">
        <f>+IS!C17</f>
      </c>
      <c r="D8" s="22">
        <f>+IS!D17</f>
      </c>
      <c r="E8" s="22">
        <f>+IS!E17</f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M8" s="5"/>
    </row>
    <row r="9" spans="1:13" x14ac:dyDescent="0.25">
      <c r="A9" s="4"/>
      <c r="B9" s="24" t="s">
        <v>28</v>
      </c>
      <c r="C9" s="6">
        <f>(593-(6822-6600))/(7884-6822)</f>
      </c>
      <c r="D9" s="6">
        <f>129/1454</f>
      </c>
      <c r="E9" s="6">
        <f>688/3121</f>
      </c>
      <c r="F9" s="25">
        <v>0.22</v>
      </c>
      <c r="G9" s="25">
        <v>0.22</v>
      </c>
      <c r="H9" s="25">
        <v>0.22</v>
      </c>
      <c r="I9" s="25">
        <v>0.22</v>
      </c>
      <c r="J9" s="25">
        <v>0.22</v>
      </c>
      <c r="M9" s="5"/>
    </row>
    <row r="10" spans="1:13" x14ac:dyDescent="0.25">
      <c r="A10" s="4"/>
      <c r="B10" s="24" t="s">
        <v>29</v>
      </c>
      <c r="C10" s="6">
        <f>35%+-0.1%</f>
      </c>
      <c r="D10" s="6">
        <f>35%+0.8%</f>
      </c>
      <c r="E10" s="6">
        <f>35%+0.8%</f>
      </c>
      <c r="F10" s="25">
        <f>21%+1%</f>
      </c>
      <c r="G10" s="25">
        <f t="shared" ref="G10:J10" si="0">21%+1%</f>
      </c>
      <c r="H10" s="25">
        <f t="shared" si="0"/>
      </c>
      <c r="I10" s="25">
        <f t="shared" si="0"/>
      </c>
      <c r="J10" s="25">
        <f t="shared" si="0"/>
      </c>
      <c r="M10" s="5"/>
    </row>
    <row r="11" spans="1:13" x14ac:dyDescent="0.25">
      <c r="A11" s="4"/>
      <c r="B11" s="24" t="s">
        <v>30</v>
      </c>
      <c r="C11" s="22">
        <f>+IS!C29</f>
      </c>
      <c r="D11" s="22">
        <f>+IS!D29</f>
      </c>
      <c r="E11" s="22">
        <f>+IS!E29</f>
      </c>
      <c r="F11" s="26">
        <v>1487.3284659999999</v>
      </c>
      <c r="G11" s="26">
        <f>F11</f>
      </c>
      <c r="H11" s="26">
        <f>G11</f>
      </c>
      <c r="I11" s="26">
        <f>H11</f>
      </c>
      <c r="J11" s="26">
        <f>I11</f>
      </c>
    </row>
    <row r="12" spans="1:13" x14ac:dyDescent="0.25">
      <c r="A12" s="4"/>
      <c r="B12" s="24" t="s">
        <v>31</v>
      </c>
      <c r="C12" s="22">
        <f>+IS!C30</f>
      </c>
      <c r="D12" s="22">
        <f>+IS!D30</f>
      </c>
      <c r="E12" s="22">
        <f>+IS!E30</f>
      </c>
      <c r="F12" s="22">
        <f>+E12/E11*F11</f>
      </c>
      <c r="G12" s="22">
        <f>+F12/F11*G11</f>
      </c>
      <c r="H12" s="22">
        <f>+G12/G11*H11</f>
      </c>
      <c r="I12" s="22">
        <f>+H12/H11*I11</f>
      </c>
      <c r="J12" s="22">
        <f>+I12/I11*J11</f>
      </c>
    </row>
    <row r="13" spans="1:13" x14ac:dyDescent="0.25">
      <c r="A13" s="4"/>
      <c r="B13" s="24" t="s">
        <v>32</v>
      </c>
      <c r="C13" s="1"/>
      <c r="D13" s="1">
        <f>+IS!D33/IS!C33-1</f>
      </c>
      <c r="E13" s="1">
        <f>+IS!E33/IS!D33-1</f>
      </c>
      <c r="F13" s="25">
        <v>0.1</v>
      </c>
      <c r="G13" s="25">
        <v>0.05</v>
      </c>
      <c r="H13" s="25">
        <v>0.05</v>
      </c>
      <c r="I13" s="25">
        <v>0.05</v>
      </c>
      <c r="J13" s="25">
        <v>0.05</v>
      </c>
    </row>
    <row r="14" spans="1:13" ht="13.8" x14ac:dyDescent="0.25">
      <c r="A14" s="23" t="s">
        <v>33</v>
      </c>
      <c r="B14" s="24"/>
      <c r="F14" s="1"/>
      <c r="G14" s="1"/>
      <c r="H14" s="1"/>
      <c r="I14" s="1"/>
      <c r="J14" s="1"/>
    </row>
    <row r="15" spans="1:13" x14ac:dyDescent="0.25">
      <c r="A15" s="4"/>
      <c r="B15" s="24" t="s">
        <v>34</v>
      </c>
      <c r="D15" s="22">
        <f>+BS!D5/IS!D4*365</f>
      </c>
      <c r="E15" s="22">
        <f>+BS!E5/IS!E4*365</f>
      </c>
      <c r="F15" s="27">
        <v>49.5</v>
      </c>
      <c r="G15" s="27">
        <v>49.5</v>
      </c>
      <c r="H15" s="27">
        <v>49.5</v>
      </c>
      <c r="I15" s="27">
        <v>49.5</v>
      </c>
      <c r="J15" s="27">
        <v>49.5</v>
      </c>
    </row>
    <row r="16" spans="1:13" x14ac:dyDescent="0.25">
      <c r="A16" s="4"/>
      <c r="B16" s="24" t="s">
        <v>35</v>
      </c>
      <c r="D16" s="22">
        <f>+BS!D6/IS!D5*365</f>
      </c>
      <c r="E16" s="22">
        <f>+BS!E6/IS!E5*365</f>
      </c>
      <c r="F16" s="27">
        <v>58</v>
      </c>
      <c r="G16" s="27">
        <v>58</v>
      </c>
      <c r="H16" s="27">
        <v>58</v>
      </c>
      <c r="I16" s="27">
        <v>58</v>
      </c>
      <c r="J16" s="27">
        <v>58</v>
      </c>
    </row>
    <row r="17" spans="1:10" x14ac:dyDescent="0.25">
      <c r="A17" s="4"/>
      <c r="B17" s="24" t="s">
        <v>36</v>
      </c>
      <c r="C17" s="1"/>
      <c r="D17" s="1">
        <f>+BS!D7/IS!D4</f>
      </c>
      <c r="E17" s="1">
        <f>+BS!E7/IS!E4</f>
      </c>
      <c r="F17" s="25">
        <v>2.7E-2</v>
      </c>
      <c r="G17" s="25">
        <v>2.7E-2</v>
      </c>
      <c r="H17" s="25">
        <v>2.7E-2</v>
      </c>
      <c r="I17" s="25">
        <v>2.7E-2</v>
      </c>
      <c r="J17" s="25">
        <v>2.7E-2</v>
      </c>
    </row>
    <row r="18" spans="1:10" x14ac:dyDescent="0.25">
      <c r="A18" s="4"/>
      <c r="B18" s="24" t="s">
        <v>37</v>
      </c>
      <c r="D18" s="22">
        <f>+BS!D11</f>
      </c>
      <c r="E18" s="22">
        <f>+BS!E11</f>
      </c>
      <c r="F18" s="27">
        <f>E18</f>
      </c>
      <c r="G18" s="27">
        <f>F18</f>
      </c>
      <c r="H18" s="27">
        <f>G18</f>
      </c>
      <c r="I18" s="27">
        <f>H18</f>
      </c>
      <c r="J18" s="27">
        <f>I18</f>
      </c>
    </row>
    <row r="19" spans="1:10" x14ac:dyDescent="0.25">
      <c r="A19" s="4"/>
      <c r="B19" s="24" t="s">
        <v>38</v>
      </c>
      <c r="D19" s="1">
        <f>BS!D14/IS!D4</f>
      </c>
      <c r="E19" s="1">
        <f>BS!E14/IS!E4</f>
      </c>
      <c r="F19" s="25">
        <v>3.3000000000000002E-2</v>
      </c>
      <c r="G19" s="25">
        <v>3.3000000000000002E-2</v>
      </c>
      <c r="H19" s="25">
        <v>3.3000000000000002E-2</v>
      </c>
      <c r="I19" s="25">
        <v>3.3000000000000002E-2</v>
      </c>
      <c r="J19" s="25">
        <v>3.3000000000000002E-2</v>
      </c>
    </row>
    <row r="20" spans="1:10" x14ac:dyDescent="0.25">
      <c r="A20" s="4"/>
      <c r="B20" s="24" t="s">
        <v>39</v>
      </c>
      <c r="D20" s="22">
        <f>BS!D13</f>
      </c>
      <c r="E20" s="22">
        <f>BS!E13</f>
      </c>
      <c r="F20" s="27">
        <v>6450</v>
      </c>
      <c r="G20" s="27">
        <v>6500</v>
      </c>
      <c r="H20" s="27">
        <v>6550</v>
      </c>
      <c r="I20" s="27">
        <v>6600</v>
      </c>
      <c r="J20" s="27">
        <v>6650</v>
      </c>
    </row>
    <row r="21" spans="1:10" x14ac:dyDescent="0.25">
      <c r="A21" s="4"/>
      <c r="B21" s="24" t="s">
        <v>40</v>
      </c>
      <c r="D21" s="22">
        <f>+BS!D20/IS!D5*365</f>
      </c>
      <c r="E21" s="22">
        <f>+BS!E20/IS!E5*365</f>
      </c>
      <c r="F21" s="27">
        <v>130</v>
      </c>
      <c r="G21" s="27">
        <v>130</v>
      </c>
      <c r="H21" s="27">
        <v>130</v>
      </c>
      <c r="I21" s="27">
        <v>130</v>
      </c>
      <c r="J21" s="27">
        <v>130</v>
      </c>
    </row>
    <row r="22" spans="1:10" x14ac:dyDescent="0.25">
      <c r="A22" s="4"/>
      <c r="B22" s="24" t="s">
        <v>41</v>
      </c>
      <c r="C22" s="1"/>
      <c r="D22" s="1">
        <f>+BS!D21/IS!D4</f>
      </c>
      <c r="E22" s="1">
        <f>+BS!E21/IS!E4</f>
      </c>
      <c r="F22" s="25">
        <v>6.7000000000000004E-2</v>
      </c>
      <c r="G22" s="25">
        <v>6.7000000000000004E-2</v>
      </c>
      <c r="H22" s="25">
        <v>6.7000000000000004E-2</v>
      </c>
      <c r="I22" s="25">
        <v>6.7000000000000004E-2</v>
      </c>
      <c r="J22" s="25">
        <v>6.7000000000000004E-2</v>
      </c>
    </row>
    <row r="23" spans="1:10" x14ac:dyDescent="0.25">
      <c r="A23" s="4"/>
      <c r="B23" s="24" t="s">
        <v>42</v>
      </c>
      <c r="C23" s="1"/>
      <c r="D23" s="1">
        <f>+BS!D22/IS!D4</f>
      </c>
      <c r="E23" s="1">
        <f>+BS!E22/IS!E4</f>
      </c>
      <c r="F23" s="25">
        <v>2.8000000000000001E-2</v>
      </c>
      <c r="G23" s="25">
        <v>2.8000000000000001E-2</v>
      </c>
      <c r="H23" s="25">
        <v>2.8000000000000001E-2</v>
      </c>
      <c r="I23" s="25">
        <v>2.8000000000000001E-2</v>
      </c>
      <c r="J23" s="25">
        <v>2.8000000000000001E-2</v>
      </c>
    </row>
    <row r="24" spans="1:10" x14ac:dyDescent="0.25">
      <c r="B24" s="24" t="s">
        <v>43</v>
      </c>
      <c r="C24" s="1"/>
      <c r="D24" s="1">
        <f>BS!D23/IS!D4</f>
      </c>
      <c r="E24" s="1">
        <f>BS!E23/IS!E4</f>
      </c>
      <c r="F24" s="25">
        <v>0.11</v>
      </c>
      <c r="G24" s="25">
        <v>0.11</v>
      </c>
      <c r="H24" s="25">
        <v>0.11</v>
      </c>
      <c r="I24" s="25">
        <v>0.11</v>
      </c>
      <c r="J24" s="25">
        <v>0.11</v>
      </c>
    </row>
    <row r="25" spans="1:10" x14ac:dyDescent="0.25">
      <c r="B25" s="24" t="s">
        <v>44</v>
      </c>
      <c r="C25" s="1"/>
      <c r="D25" s="1">
        <f>+BS!D27/IS!D4</f>
      </c>
      <c r="E25" s="1">
        <f>+BS!E27/IS!E4</f>
      </c>
      <c r="F25" s="25">
        <v>0.14000000000000001</v>
      </c>
      <c r="G25" s="25">
        <v>0.13</v>
      </c>
      <c r="H25" s="25">
        <v>0.12</v>
      </c>
      <c r="I25" s="25">
        <v>0.11</v>
      </c>
      <c r="J25" s="25">
        <v>0.09</v>
      </c>
    </row>
    <row r="26" spans="1:10" x14ac:dyDescent="0.25">
      <c r="B26" s="24" t="s">
        <v>45</v>
      </c>
      <c r="C26" s="1"/>
      <c r="D26" s="1">
        <f>+BS!D28/IS!D4</f>
      </c>
      <c r="E26" s="1">
        <f>+BS!E28/IS!E4</f>
      </c>
      <c r="F26" s="25">
        <v>0.16</v>
      </c>
      <c r="G26" s="25">
        <v>0.15</v>
      </c>
      <c r="H26" s="25">
        <v>0.14000000000000001</v>
      </c>
      <c r="I26" s="25">
        <v>0.12</v>
      </c>
      <c r="J26" s="25">
        <v>0.11</v>
      </c>
    </row>
    <row r="27" spans="1:10" ht="13.8" x14ac:dyDescent="0.25">
      <c r="A27" s="23" t="s">
        <v>46</v>
      </c>
      <c r="B27" s="24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B28" s="24" t="s">
        <v>47</v>
      </c>
      <c r="C28" s="1">
        <f>+Calcs!C6/IS!C4</f>
      </c>
      <c r="D28" s="1">
        <f>+Calcs!D6/IS!D4</f>
      </c>
      <c r="E28" s="1">
        <f>+Calcs!E6/IS!E4</f>
      </c>
      <c r="F28" s="25">
        <v>3.9E-2</v>
      </c>
      <c r="G28" s="25">
        <v>3.9E-2</v>
      </c>
      <c r="H28" s="25">
        <v>3.9E-2</v>
      </c>
      <c r="I28" s="25">
        <v>3.9E-2</v>
      </c>
      <c r="J28" s="25">
        <v>3.9E-2</v>
      </c>
    </row>
    <row r="29" spans="1:10" x14ac:dyDescent="0.25">
      <c r="B29" s="24" t="s">
        <v>48</v>
      </c>
      <c r="D29" s="1"/>
      <c r="E29" s="1">
        <f>+IS!E11/BS!D10</f>
      </c>
      <c r="F29" s="25">
        <v>7.8E-2</v>
      </c>
      <c r="G29" s="25">
        <v>7.8E-2</v>
      </c>
      <c r="H29" s="25">
        <v>7.8E-2</v>
      </c>
      <c r="I29" s="25">
        <v>7.8E-2</v>
      </c>
      <c r="J29" s="25">
        <v>7.8E-2</v>
      </c>
    </row>
    <row r="30" spans="1:10" x14ac:dyDescent="0.25">
      <c r="A30" s="3" t="s">
        <v>49</v>
      </c>
      <c r="B30" s="24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B31" s="24" t="s">
        <v>50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</row>
    <row r="32" spans="1:10" x14ac:dyDescent="0.25">
      <c r="A32" s="3" t="s">
        <v>51</v>
      </c>
      <c r="B32" s="24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B33" s="24" t="s">
        <v>52</v>
      </c>
      <c r="F33" s="25">
        <v>5.0000000000000001E-3</v>
      </c>
      <c r="G33" s="25">
        <v>5.0000000000000001E-3</v>
      </c>
      <c r="H33" s="25">
        <v>5.0000000000000001E-3</v>
      </c>
      <c r="I33" s="25">
        <v>5.0000000000000001E-3</v>
      </c>
      <c r="J33" s="25">
        <v>5.0000000000000001E-3</v>
      </c>
    </row>
    <row r="34" spans="1:10" x14ac:dyDescent="0.25">
      <c r="A34" s="3" t="s">
        <v>53</v>
      </c>
      <c r="B34" s="24"/>
    </row>
    <row r="35" spans="1:10" x14ac:dyDescent="0.25">
      <c r="B35" s="24" t="str">
        <f>Debt!B12</f>
      </c>
      <c r="F35" s="25">
        <v>1.7999999999999999E-2</v>
      </c>
      <c r="G35" s="25">
        <v>1.7999999999999999E-2</v>
      </c>
      <c r="H35" s="25">
        <v>1.7999999999999999E-2</v>
      </c>
      <c r="I35" s="25">
        <v>1.7999999999999999E-2</v>
      </c>
      <c r="J35" s="25">
        <v>1.7999999999999999E-2</v>
      </c>
    </row>
    <row r="36" spans="1:10" x14ac:dyDescent="0.25">
      <c r="B36" s="24" t="str">
        <f>Debt!B21</f>
      </c>
      <c r="F36" s="25">
        <v>3.4139999999999997E-2</v>
      </c>
      <c r="G36" s="25">
        <v>3.4139999999999997E-2</v>
      </c>
      <c r="H36" s="25">
        <v>3.4139999999999997E-2</v>
      </c>
      <c r="I36" s="25">
        <v>3.4139999999999997E-2</v>
      </c>
      <c r="J36" s="25">
        <v>3.4139999999999997E-2</v>
      </c>
    </row>
    <row r="37" spans="1:10" x14ac:dyDescent="0.25">
      <c r="B37" s="24" t="str">
        <f>Debt!B30</f>
      </c>
      <c r="F37" s="25">
        <v>1.9300000000000001E-2</v>
      </c>
      <c r="G37" s="25">
        <v>1.9300000000000001E-2</v>
      </c>
      <c r="H37" s="25">
        <v>1.9300000000000001E-2</v>
      </c>
      <c r="I37" s="25">
        <v>1.9300000000000001E-2</v>
      </c>
      <c r="J37" s="25">
        <v>1.9300000000000001E-2</v>
      </c>
    </row>
    <row r="38" spans="1:10" x14ac:dyDescent="0.25">
      <c r="B38" s="24" t="str">
        <f>Debt!B39</f>
      </c>
      <c r="F38" s="25">
        <v>1.4999999999999999E-2</v>
      </c>
      <c r="G38" s="25">
        <v>1.4999999999999999E-2</v>
      </c>
      <c r="H38" s="25">
        <v>1.4999999999999999E-2</v>
      </c>
      <c r="I38" s="25">
        <v>1.4999999999999999E-2</v>
      </c>
      <c r="J38" s="25">
        <v>1.4999999999999999E-2</v>
      </c>
    </row>
    <row r="39" spans="1:10" x14ac:dyDescent="0.25">
      <c r="B39" s="24" t="s">
        <v>54</v>
      </c>
      <c r="F39" s="25">
        <v>0.01</v>
      </c>
      <c r="G39" s="25">
        <v>0.01</v>
      </c>
      <c r="H39" s="25">
        <v>0.01</v>
      </c>
      <c r="I39" s="25">
        <v>0.01</v>
      </c>
      <c r="J39" s="25">
        <v>0.01</v>
      </c>
    </row>
    <row r="40" spans="1:10" x14ac:dyDescent="0.25">
      <c r="B40" s="2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R4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8" width="9.88671875" style="22" bestFit="1" customWidth="1"/>
    <col min="19" max="16384" width="8.88671875" style="22"/>
  </cols>
  <sheetData>
    <row r="1" spans="1:18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8" s="30" customFormat="1" ht="18" thickBot="1" x14ac:dyDescent="0.35">
      <c r="A2" s="33" t="s">
        <v>55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8" ht="13.8" thickTop="1" x14ac:dyDescent="0.25"/>
    <row r="4" spans="1:18" ht="13.8" x14ac:dyDescent="0.25">
      <c r="A4" s="23" t="s">
        <v>56</v>
      </c>
      <c r="B4" s="24"/>
      <c r="M4" s="34"/>
      <c r="N4" s="34"/>
      <c r="O4" s="34"/>
      <c r="P4" s="34"/>
      <c r="Q4" s="34"/>
      <c r="R4" s="34"/>
    </row>
    <row r="5" spans="1:18" x14ac:dyDescent="0.25">
      <c r="B5" s="24" t="s">
        <v>57</v>
      </c>
      <c r="F5" s="35">
        <v>1.6043686237988464E-2</v>
      </c>
      <c r="G5" s="35">
        <v>1.8081826514457111E-2</v>
      </c>
      <c r="H5" s="35">
        <v>1.9847765591749944E-2</v>
      </c>
      <c r="I5" s="35">
        <v>1.9822639540949316E-2</v>
      </c>
      <c r="J5" s="35">
        <v>2.0617745425929312E-2</v>
      </c>
      <c r="N5" s="36"/>
      <c r="O5" s="36"/>
      <c r="P5" s="36"/>
      <c r="Q5" s="36"/>
      <c r="R5" s="36"/>
    </row>
    <row r="6" spans="1:18" x14ac:dyDescent="0.25">
      <c r="B6" s="24" t="s">
        <v>58</v>
      </c>
      <c r="F6" s="35">
        <v>0.01</v>
      </c>
      <c r="G6" s="35">
        <v>0.01</v>
      </c>
      <c r="H6" s="35">
        <v>5.0000000000000001E-3</v>
      </c>
      <c r="I6" s="35">
        <v>5.0000000000000001E-3</v>
      </c>
      <c r="J6" s="35">
        <v>0</v>
      </c>
    </row>
    <row r="7" spans="1:18" x14ac:dyDescent="0.25">
      <c r="B7" s="24" t="s">
        <v>59</v>
      </c>
      <c r="F7" s="1">
        <f>SUM(F5:F6)</f>
      </c>
      <c r="G7" s="1">
        <f t="shared" ref="G7:J7" si="0">SUM(G5:G6)</f>
      </c>
      <c r="H7" s="1">
        <f t="shared" si="0"/>
      </c>
      <c r="I7" s="1">
        <f t="shared" si="0"/>
      </c>
      <c r="J7" s="1">
        <f t="shared" si="0"/>
      </c>
    </row>
    <row r="8" spans="1:18" x14ac:dyDescent="0.25">
      <c r="B8" s="24" t="s">
        <v>60</v>
      </c>
      <c r="F8" s="35">
        <v>8.0000000000000002E-3</v>
      </c>
      <c r="G8" s="35">
        <v>8.0000000000000002E-3</v>
      </c>
      <c r="H8" s="35">
        <v>8.0000000000000002E-3</v>
      </c>
      <c r="I8" s="35">
        <v>8.0000000000000002E-3</v>
      </c>
      <c r="J8" s="35">
        <v>8.0000000000000002E-3</v>
      </c>
    </row>
    <row r="9" spans="1:18" x14ac:dyDescent="0.25">
      <c r="B9" s="24" t="s">
        <v>61</v>
      </c>
      <c r="F9" s="35">
        <v>0</v>
      </c>
      <c r="G9" s="35">
        <v>-0.01</v>
      </c>
      <c r="H9" s="35">
        <v>-0.01</v>
      </c>
      <c r="I9" s="35">
        <v>5.0000000000000001E-3</v>
      </c>
      <c r="J9" s="35">
        <v>0</v>
      </c>
    </row>
    <row r="10" spans="1:18" x14ac:dyDescent="0.25">
      <c r="B10" s="24" t="s">
        <v>62</v>
      </c>
      <c r="D10" s="7"/>
      <c r="F10" s="1">
        <f>(1+F8)*(1+F9)-1</f>
      </c>
      <c r="G10" s="1">
        <f t="shared" ref="G10:J10" si="1">(1+G8)*(1+G9)-1</f>
      </c>
      <c r="H10" s="1">
        <f t="shared" si="1"/>
      </c>
      <c r="I10" s="1">
        <f t="shared" si="1"/>
      </c>
      <c r="J10" s="1">
        <f t="shared" si="1"/>
      </c>
    </row>
    <row r="11" spans="1:18" x14ac:dyDescent="0.25">
      <c r="B11" s="24" t="s">
        <v>63</v>
      </c>
      <c r="D11" s="2">
        <f>D12/C12-1</f>
      </c>
      <c r="E11" s="2">
        <f>E12/D12-1</f>
      </c>
      <c r="F11" s="1">
        <f>(1+F7)*(1+F10)-1</f>
      </c>
      <c r="G11" s="1">
        <f t="shared" ref="G11:J11" si="2">(1+G7)*(1+G10)-1</f>
      </c>
      <c r="H11" s="1">
        <f t="shared" si="2"/>
      </c>
      <c r="I11" s="1">
        <f t="shared" si="2"/>
      </c>
      <c r="J11" s="1">
        <f t="shared" si="2"/>
      </c>
      <c r="M11" s="5"/>
    </row>
    <row r="12" spans="1:18" x14ac:dyDescent="0.25">
      <c r="B12" s="24" t="str">
        <f>A4&amp;" Sales"</f>
      </c>
      <c r="C12" s="37">
        <v>6974</v>
      </c>
      <c r="D12" s="37">
        <v>6960</v>
      </c>
      <c r="E12" s="37">
        <v>6797</v>
      </c>
      <c r="F12" s="22">
        <f>(1+F11)*E12</f>
      </c>
      <c r="G12" s="22">
        <f t="shared" ref="G12:J12" si="3">(1+G11)*F12</f>
      </c>
      <c r="H12" s="22">
        <f t="shared" si="3"/>
      </c>
      <c r="I12" s="22">
        <f t="shared" si="3"/>
      </c>
      <c r="J12" s="22">
        <f t="shared" si="3"/>
      </c>
    </row>
    <row r="13" spans="1:18" ht="13.8" x14ac:dyDescent="0.25">
      <c r="A13" s="38" t="s">
        <v>64</v>
      </c>
      <c r="B13" s="24"/>
      <c r="C13" s="7"/>
      <c r="D13" s="7"/>
      <c r="E13" s="7"/>
    </row>
    <row r="14" spans="1:18" x14ac:dyDescent="0.25">
      <c r="B14" s="24" t="s">
        <v>57</v>
      </c>
      <c r="F14" s="35">
        <v>7.0000000000000001E-3</v>
      </c>
      <c r="G14" s="35">
        <v>7.0000000000000001E-3</v>
      </c>
      <c r="H14" s="35">
        <v>0.01</v>
      </c>
      <c r="I14" s="35">
        <v>1.4999999999999999E-2</v>
      </c>
      <c r="J14" s="35">
        <v>1.4999999999999999E-2</v>
      </c>
    </row>
    <row r="15" spans="1:18" x14ac:dyDescent="0.25">
      <c r="B15" s="24" t="s">
        <v>58</v>
      </c>
      <c r="F15" s="35">
        <v>0.01</v>
      </c>
      <c r="G15" s="35">
        <v>0.01</v>
      </c>
      <c r="H15" s="35">
        <v>5.0000000000000001E-3</v>
      </c>
      <c r="I15" s="35">
        <v>5.0000000000000001E-3</v>
      </c>
      <c r="J15" s="35">
        <v>0</v>
      </c>
    </row>
    <row r="16" spans="1:18" x14ac:dyDescent="0.25">
      <c r="B16" s="24" t="s">
        <v>59</v>
      </c>
      <c r="F16" s="1">
        <f>SUM(F14:F15)</f>
      </c>
      <c r="G16" s="1">
        <f t="shared" ref="G16:J16" si="4">SUM(G14:G15)</f>
      </c>
      <c r="H16" s="1">
        <f t="shared" si="4"/>
      </c>
      <c r="I16" s="1">
        <f t="shared" si="4"/>
      </c>
      <c r="J16" s="1">
        <f t="shared" si="4"/>
      </c>
    </row>
    <row r="17" spans="1:13" x14ac:dyDescent="0.25">
      <c r="B17" s="24" t="s">
        <v>60</v>
      </c>
      <c r="F17" s="35">
        <v>8.0000000000000002E-3</v>
      </c>
      <c r="G17" s="35">
        <v>8.0000000000000002E-3</v>
      </c>
      <c r="H17" s="35">
        <v>8.0000000000000002E-3</v>
      </c>
      <c r="I17" s="35">
        <v>8.0000000000000002E-3</v>
      </c>
      <c r="J17" s="35">
        <v>8.0000000000000002E-3</v>
      </c>
    </row>
    <row r="18" spans="1:13" x14ac:dyDescent="0.25">
      <c r="B18" s="24" t="s">
        <v>61</v>
      </c>
      <c r="F18" s="35">
        <v>0</v>
      </c>
      <c r="G18" s="35">
        <v>-0.01</v>
      </c>
      <c r="H18" s="35">
        <v>-0.01</v>
      </c>
      <c r="I18" s="35">
        <v>5.0000000000000001E-3</v>
      </c>
      <c r="J18" s="35">
        <v>0</v>
      </c>
    </row>
    <row r="19" spans="1:13" x14ac:dyDescent="0.25">
      <c r="B19" s="24" t="s">
        <v>62</v>
      </c>
      <c r="F19" s="1">
        <f>(1+F17)*(1+F18)-1</f>
      </c>
      <c r="G19" s="1">
        <f t="shared" ref="G19:J19" si="5">(1+G17)*(1+G18)-1</f>
      </c>
      <c r="H19" s="1">
        <f t="shared" si="5"/>
      </c>
      <c r="I19" s="1">
        <f t="shared" si="5"/>
      </c>
      <c r="J19" s="1">
        <f t="shared" si="5"/>
      </c>
    </row>
    <row r="20" spans="1:13" x14ac:dyDescent="0.25">
      <c r="B20" s="24" t="s">
        <v>63</v>
      </c>
      <c r="D20" s="2">
        <f>D21/C21-1</f>
      </c>
      <c r="E20" s="2">
        <f>E21/D21-1</f>
      </c>
      <c r="F20" s="1">
        <f>(1+F16)*(1+F19)-1</f>
      </c>
      <c r="G20" s="1">
        <f t="shared" ref="G20:J20" si="6">(1+G16)*(1+G19)-1</f>
      </c>
      <c r="H20" s="1">
        <f t="shared" si="6"/>
      </c>
      <c r="I20" s="1">
        <f t="shared" si="6"/>
      </c>
      <c r="J20" s="1">
        <f t="shared" si="6"/>
      </c>
      <c r="M20" s="5"/>
    </row>
    <row r="21" spans="1:13" x14ac:dyDescent="0.25">
      <c r="B21" s="24" t="str">
        <f>A13&amp;" Sales"</f>
      </c>
      <c r="C21" s="37">
        <v>11672</v>
      </c>
      <c r="D21" s="37">
        <v>9755</v>
      </c>
      <c r="E21" s="37">
        <v>9794</v>
      </c>
      <c r="F21" s="22">
        <f>(1+F20)*E21</f>
      </c>
      <c r="G21" s="22">
        <f t="shared" ref="G21:J21" si="7">(1+G20)*F21</f>
      </c>
      <c r="H21" s="22">
        <f t="shared" si="7"/>
      </c>
      <c r="I21" s="22">
        <f t="shared" si="7"/>
      </c>
      <c r="J21" s="22">
        <f t="shared" si="7"/>
      </c>
    </row>
    <row r="22" spans="1:13" ht="13.8" x14ac:dyDescent="0.25">
      <c r="A22" s="38" t="s">
        <v>65</v>
      </c>
      <c r="B22" s="24"/>
    </row>
    <row r="23" spans="1:13" x14ac:dyDescent="0.25">
      <c r="A23" s="8"/>
      <c r="B23" s="24" t="s">
        <v>57</v>
      </c>
      <c r="F23" s="35">
        <v>4.4999999999999998E-2</v>
      </c>
      <c r="G23" s="35">
        <v>0.04</v>
      </c>
      <c r="H23" s="35">
        <v>0.04</v>
      </c>
      <c r="I23" s="35">
        <v>3.5000000000000003E-2</v>
      </c>
      <c r="J23" s="35">
        <v>3.5000000000000003E-2</v>
      </c>
    </row>
    <row r="24" spans="1:13" x14ac:dyDescent="0.25">
      <c r="A24" s="8"/>
      <c r="B24" s="24" t="s">
        <v>58</v>
      </c>
      <c r="F24" s="35">
        <v>0.01</v>
      </c>
      <c r="G24" s="35">
        <v>0.01</v>
      </c>
      <c r="H24" s="35">
        <v>5.0000000000000001E-3</v>
      </c>
      <c r="I24" s="35">
        <v>5.0000000000000001E-3</v>
      </c>
      <c r="J24" s="35">
        <v>0</v>
      </c>
    </row>
    <row r="25" spans="1:13" x14ac:dyDescent="0.25">
      <c r="A25" s="8"/>
      <c r="B25" s="24" t="s">
        <v>59</v>
      </c>
      <c r="F25" s="1">
        <f>SUM(F23:F24)</f>
      </c>
      <c r="G25" s="1">
        <f t="shared" ref="G25:J25" si="8">SUM(G23:G24)</f>
      </c>
      <c r="H25" s="1">
        <f t="shared" si="8"/>
      </c>
      <c r="I25" s="1">
        <f t="shared" si="8"/>
      </c>
      <c r="J25" s="1">
        <f t="shared" si="8"/>
      </c>
    </row>
    <row r="26" spans="1:13" x14ac:dyDescent="0.25">
      <c r="A26" s="8"/>
      <c r="B26" s="24" t="s">
        <v>60</v>
      </c>
      <c r="F26" s="35">
        <v>7.0000000000000001E-3</v>
      </c>
      <c r="G26" s="35">
        <v>7.0000000000000001E-3</v>
      </c>
      <c r="H26" s="35">
        <v>7.0000000000000001E-3</v>
      </c>
      <c r="I26" s="35">
        <v>7.0000000000000001E-3</v>
      </c>
      <c r="J26" s="35">
        <v>7.0000000000000001E-3</v>
      </c>
    </row>
    <row r="27" spans="1:13" x14ac:dyDescent="0.25">
      <c r="A27" s="8"/>
      <c r="B27" s="24" t="s">
        <v>61</v>
      </c>
      <c r="F27" s="35">
        <v>5.0000000000000001E-3</v>
      </c>
      <c r="G27" s="35">
        <v>-0.01</v>
      </c>
      <c r="H27" s="35">
        <v>0</v>
      </c>
      <c r="I27" s="35">
        <v>5.0000000000000001E-3</v>
      </c>
      <c r="J27" s="35">
        <v>0</v>
      </c>
    </row>
    <row r="28" spans="1:13" x14ac:dyDescent="0.25">
      <c r="A28" s="8"/>
      <c r="B28" s="24" t="s">
        <v>62</v>
      </c>
      <c r="F28" s="39">
        <f>(1+F26)*(1+F27)-1</f>
      </c>
      <c r="G28" s="39">
        <f t="shared" ref="G28:J28" si="9">(1+G26)*(1+G27)-1</f>
      </c>
      <c r="H28" s="39">
        <f t="shared" si="9"/>
      </c>
      <c r="I28" s="39">
        <f t="shared" si="9"/>
      </c>
      <c r="J28" s="39">
        <f t="shared" si="9"/>
      </c>
    </row>
    <row r="29" spans="1:13" x14ac:dyDescent="0.25">
      <c r="B29" s="24" t="s">
        <v>63</v>
      </c>
      <c r="D29" s="2">
        <f>D30/C30-1</f>
      </c>
      <c r="E29" s="2">
        <f>E30/D30-1</f>
      </c>
      <c r="F29" s="39">
        <f>(1+F25)*(1+F28)-1</f>
      </c>
      <c r="G29" s="39">
        <f t="shared" ref="G29:J29" si="10">(1+G25)*(1+G28)-1</f>
      </c>
      <c r="H29" s="39">
        <f t="shared" si="10"/>
      </c>
      <c r="I29" s="39">
        <f t="shared" si="10"/>
      </c>
      <c r="J29" s="39">
        <f t="shared" si="10"/>
      </c>
      <c r="M29" s="5"/>
    </row>
    <row r="30" spans="1:13" x14ac:dyDescent="0.25">
      <c r="B30" s="24" t="str">
        <f>A22&amp;" Sales"</f>
      </c>
      <c r="C30" s="7">
        <v>4988</v>
      </c>
      <c r="D30" s="7">
        <v>3392</v>
      </c>
      <c r="E30" s="7">
        <v>3566</v>
      </c>
      <c r="F30" s="22">
        <f>(1+F29)*E30</f>
      </c>
      <c r="G30" s="22">
        <f>(1+G29)*F30</f>
      </c>
      <c r="H30" s="22">
        <f>(1+H29)*G30</f>
      </c>
      <c r="I30" s="22">
        <f>(1+I29)*H30</f>
      </c>
      <c r="J30" s="22">
        <f>(1+J29)*I30</f>
      </c>
    </row>
    <row r="31" spans="1:13" ht="13.8" x14ac:dyDescent="0.25">
      <c r="A31" s="38" t="s">
        <v>66</v>
      </c>
      <c r="B31" s="24"/>
      <c r="F31" s="40"/>
      <c r="G31" s="40"/>
      <c r="H31" s="40"/>
      <c r="I31" s="40"/>
      <c r="J31" s="40"/>
    </row>
    <row r="32" spans="1:13" x14ac:dyDescent="0.25">
      <c r="B32" s="24" t="s">
        <v>57</v>
      </c>
      <c r="E32" s="41"/>
      <c r="F32" s="35">
        <v>2.5000000000000001E-2</v>
      </c>
      <c r="G32" s="35">
        <v>2.5000000000000001E-2</v>
      </c>
      <c r="H32" s="35">
        <v>0.02</v>
      </c>
      <c r="I32" s="35">
        <v>0.02</v>
      </c>
      <c r="J32" s="35">
        <v>0.02</v>
      </c>
    </row>
    <row r="33" spans="1:13" x14ac:dyDescent="0.25">
      <c r="B33" s="24" t="s">
        <v>58</v>
      </c>
      <c r="E33" s="41"/>
      <c r="F33" s="35">
        <v>0.01</v>
      </c>
      <c r="G33" s="35">
        <v>0.01</v>
      </c>
      <c r="H33" s="35">
        <v>5.0000000000000001E-3</v>
      </c>
      <c r="I33" s="35">
        <v>5.0000000000000001E-3</v>
      </c>
      <c r="J33" s="35">
        <v>0</v>
      </c>
    </row>
    <row r="34" spans="1:13" x14ac:dyDescent="0.25">
      <c r="B34" s="24" t="s">
        <v>59</v>
      </c>
      <c r="E34" s="41"/>
      <c r="F34" s="1">
        <f>SUM(F32:F33)</f>
      </c>
      <c r="G34" s="1">
        <f t="shared" ref="G34:J34" si="11">SUM(G32:G33)</f>
      </c>
      <c r="H34" s="1">
        <f t="shared" si="11"/>
      </c>
      <c r="I34" s="1">
        <f t="shared" si="11"/>
      </c>
      <c r="J34" s="1">
        <f t="shared" si="11"/>
      </c>
    </row>
    <row r="35" spans="1:13" x14ac:dyDescent="0.25">
      <c r="B35" s="24" t="s">
        <v>60</v>
      </c>
      <c r="E35" s="41"/>
      <c r="F35" s="35">
        <v>0.01</v>
      </c>
      <c r="G35" s="35">
        <v>0.01</v>
      </c>
      <c r="H35" s="35">
        <v>0.01</v>
      </c>
      <c r="I35" s="35">
        <v>0.01</v>
      </c>
      <c r="J35" s="35">
        <v>0.01</v>
      </c>
    </row>
    <row r="36" spans="1:13" x14ac:dyDescent="0.25">
      <c r="B36" s="24" t="s">
        <v>61</v>
      </c>
      <c r="F36" s="35">
        <v>8.0000000000000002E-3</v>
      </c>
      <c r="G36" s="35">
        <v>-5.0000000000000001E-3</v>
      </c>
      <c r="H36" s="35">
        <v>0</v>
      </c>
      <c r="I36" s="35">
        <v>5.0000000000000001E-3</v>
      </c>
      <c r="J36" s="35">
        <v>0</v>
      </c>
    </row>
    <row r="37" spans="1:13" x14ac:dyDescent="0.25">
      <c r="B37" s="24" t="s">
        <v>62</v>
      </c>
      <c r="F37" s="1">
        <f>(1+F35)*(1+F36)-1</f>
      </c>
      <c r="G37" s="1">
        <f t="shared" ref="G37:J37" si="12">(1+G35)*(1+G36)-1</f>
      </c>
      <c r="H37" s="1">
        <f t="shared" si="12"/>
      </c>
      <c r="I37" s="1">
        <f t="shared" si="12"/>
      </c>
      <c r="J37" s="1">
        <f t="shared" si="12"/>
      </c>
    </row>
    <row r="38" spans="1:13" x14ac:dyDescent="0.25">
      <c r="B38" s="24" t="s">
        <v>63</v>
      </c>
      <c r="D38" s="2">
        <f>D39/C39-1</f>
      </c>
      <c r="E38" s="2">
        <f>E39/D39-1</f>
      </c>
      <c r="F38" s="1">
        <f>(1+F34)*(1+F37)-1</f>
      </c>
      <c r="G38" s="1">
        <f t="shared" ref="G38:J38" si="13">(1+G34)*(1+G37)-1</f>
      </c>
      <c r="H38" s="1">
        <f t="shared" si="13"/>
      </c>
      <c r="I38" s="1">
        <f t="shared" si="13"/>
      </c>
      <c r="J38" s="1">
        <f t="shared" si="13"/>
      </c>
      <c r="M38" s="5"/>
    </row>
    <row r="39" spans="1:13" x14ac:dyDescent="0.25">
      <c r="B39" s="24" t="str">
        <f>A31&amp;" Sales"</f>
      </c>
      <c r="C39" s="7">
        <v>6002</v>
      </c>
      <c r="D39" s="7">
        <v>5816</v>
      </c>
      <c r="E39" s="7">
        <v>5739</v>
      </c>
      <c r="F39" s="22">
        <f>(1+F38)*E39</f>
      </c>
      <c r="G39" s="22">
        <f t="shared" ref="G39:J39" si="14">(1+G38)*F39</f>
      </c>
      <c r="H39" s="22">
        <f t="shared" si="14"/>
      </c>
      <c r="I39" s="22">
        <f t="shared" si="14"/>
      </c>
      <c r="J39" s="22">
        <f t="shared" si="14"/>
      </c>
    </row>
    <row r="40" spans="1:13" x14ac:dyDescent="0.25">
      <c r="B40" s="24"/>
    </row>
    <row r="41" spans="1:13" ht="13.8" x14ac:dyDescent="0.25">
      <c r="A41" s="23" t="s">
        <v>67</v>
      </c>
      <c r="B41" s="24"/>
    </row>
    <row r="42" spans="1:13" x14ac:dyDescent="0.25">
      <c r="B42" s="24" t="s">
        <v>68</v>
      </c>
      <c r="C42" s="22">
        <f t="shared" ref="C42:E42" si="15">SUM(C12,C21,C39,C30)</f>
      </c>
      <c r="D42" s="22">
        <f t="shared" si="15"/>
      </c>
      <c r="E42" s="22">
        <f t="shared" si="15"/>
      </c>
      <c r="F42" s="22">
        <f t="shared" ref="F42:J42" si="16">SUM(F12,F21,F39,F30)</f>
      </c>
      <c r="G42" s="22">
        <f t="shared" si="16"/>
      </c>
      <c r="H42" s="22">
        <f t="shared" si="16"/>
      </c>
      <c r="I42" s="22">
        <f t="shared" si="16"/>
      </c>
      <c r="J42" s="22">
        <f t="shared" si="16"/>
      </c>
    </row>
    <row r="43" spans="1:13" x14ac:dyDescent="0.25">
      <c r="B43" s="24" t="s">
        <v>63</v>
      </c>
      <c r="D43" s="1">
        <f t="shared" ref="D43:E43" si="17">D42/C42-1</f>
      </c>
      <c r="E43" s="1">
        <f t="shared" si="17"/>
      </c>
      <c r="F43" s="1">
        <f t="shared" ref="F43" si="18">F42/E42-1</f>
      </c>
      <c r="G43" s="1">
        <f t="shared" ref="G43" si="19">G42/F42-1</f>
      </c>
      <c r="H43" s="1">
        <f t="shared" ref="H43" si="20">H42/G42-1</f>
      </c>
      <c r="I43" s="1">
        <f t="shared" ref="I43" si="21">I42/H42-1</f>
      </c>
      <c r="J43" s="1">
        <f t="shared" ref="J43" si="22">J42/I42-1</f>
      </c>
    </row>
    <row r="45" spans="1:13" x14ac:dyDescent="0.25">
      <c r="E45" s="1"/>
      <c r="F45" s="1"/>
      <c r="G45" s="1"/>
      <c r="H45" s="1"/>
      <c r="I45" s="1"/>
      <c r="J45" s="1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N27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69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4" ht="13.8" thickTop="1" x14ac:dyDescent="0.25"/>
    <row r="4" spans="1:14" ht="13.8" x14ac:dyDescent="0.25">
      <c r="A4" s="23" t="s">
        <v>46</v>
      </c>
    </row>
    <row r="5" spans="1:14" x14ac:dyDescent="0.25">
      <c r="B5" s="22" t="s">
        <v>70</v>
      </c>
      <c r="F5" s="22">
        <f>E8</f>
      </c>
      <c r="G5" s="22">
        <f t="shared" ref="G5:J5" si="0">F8</f>
      </c>
      <c r="H5" s="22">
        <f t="shared" si="0"/>
      </c>
      <c r="I5" s="22">
        <f t="shared" si="0"/>
      </c>
      <c r="J5" s="22">
        <f t="shared" si="0"/>
      </c>
      <c r="N5" s="5"/>
    </row>
    <row r="6" spans="1:14" x14ac:dyDescent="0.25">
      <c r="B6" s="22" t="s">
        <v>71</v>
      </c>
      <c r="C6" s="7">
        <v>1514</v>
      </c>
      <c r="D6" s="7">
        <v>1224</v>
      </c>
      <c r="E6" s="7">
        <v>1014</v>
      </c>
      <c r="F6" s="22">
        <f>Assumptions!F28*IS!F4</f>
      </c>
      <c r="G6" s="22">
        <f>Assumptions!G28*IS!G4</f>
      </c>
      <c r="H6" s="22">
        <f>Assumptions!H28*IS!H4</f>
      </c>
      <c r="I6" s="22">
        <f>Assumptions!I28*IS!I4</f>
      </c>
      <c r="J6" s="22">
        <f>Assumptions!J28*IS!J4</f>
      </c>
    </row>
    <row r="7" spans="1:14" x14ac:dyDescent="0.25">
      <c r="B7" s="22" t="s">
        <v>72</v>
      </c>
      <c r="F7" s="22">
        <f>Assumptions!F29*Calcs!F5</f>
      </c>
      <c r="G7" s="22">
        <f>Assumptions!G29*Calcs!G5</f>
      </c>
      <c r="H7" s="22">
        <f>Assumptions!H29*Calcs!H5</f>
      </c>
      <c r="I7" s="22">
        <f>Assumptions!I29*Calcs!I5</f>
      </c>
      <c r="J7" s="22">
        <f>Assumptions!J29*Calcs!J5</f>
      </c>
    </row>
    <row r="8" spans="1:14" x14ac:dyDescent="0.25">
      <c r="B8" s="22" t="s">
        <v>73</v>
      </c>
      <c r="E8" s="22">
        <f>BS!E10</f>
      </c>
      <c r="F8" s="22">
        <f>F5+F6-F7</f>
      </c>
      <c r="G8" s="22">
        <f t="shared" ref="G8:J8" si="1">G5+G6-G7</f>
      </c>
      <c r="H8" s="22">
        <f t="shared" si="1"/>
      </c>
      <c r="I8" s="22">
        <f t="shared" si="1"/>
      </c>
      <c r="J8" s="22">
        <f t="shared" si="1"/>
      </c>
    </row>
    <row r="10" spans="1:14" ht="13.8" x14ac:dyDescent="0.25">
      <c r="A10" s="23" t="s">
        <v>49</v>
      </c>
    </row>
    <row r="11" spans="1:14" x14ac:dyDescent="0.25">
      <c r="B11" s="22" t="s">
        <v>70</v>
      </c>
      <c r="F11" s="22">
        <f>E15</f>
      </c>
      <c r="G11" s="22">
        <f t="shared" ref="G11:J11" ca="1" si="2">F15</f>
      </c>
      <c r="H11" s="22">
        <f t="shared" ca="1" si="2"/>
      </c>
      <c r="I11" s="22">
        <f t="shared" ca="1" si="2"/>
      </c>
      <c r="J11" s="22">
        <f t="shared" ca="1" si="2"/>
      </c>
    </row>
    <row r="12" spans="1:14" x14ac:dyDescent="0.25">
      <c r="B12" s="22" t="s">
        <v>74</v>
      </c>
      <c r="F12" s="22">
        <f ca="1">IS!F21</f>
      </c>
      <c r="G12" s="22">
        <f ca="1">IS!G21</f>
      </c>
      <c r="H12" s="22">
        <f ca="1">IS!H21</f>
      </c>
      <c r="I12" s="22">
        <f ca="1">IS!I21</f>
      </c>
      <c r="J12" s="22">
        <f ca="1">IS!J21</f>
      </c>
    </row>
    <row r="13" spans="1:14" x14ac:dyDescent="0.25">
      <c r="B13" s="22" t="s">
        <v>75</v>
      </c>
      <c r="F13" s="22">
        <f>IS!F26</f>
      </c>
      <c r="G13" s="22">
        <f>IS!G26</f>
      </c>
      <c r="H13" s="22">
        <f>IS!H26</f>
      </c>
      <c r="I13" s="22">
        <f>IS!I26</f>
      </c>
      <c r="J13" s="22">
        <f>IS!J26</f>
      </c>
    </row>
    <row r="14" spans="1:14" x14ac:dyDescent="0.25">
      <c r="B14" s="22" t="s">
        <v>50</v>
      </c>
      <c r="F14" s="22">
        <f>Assumptions!F31</f>
      </c>
      <c r="G14" s="22">
        <f>Assumptions!G31</f>
      </c>
      <c r="H14" s="22">
        <f>Assumptions!H31</f>
      </c>
      <c r="I14" s="22">
        <f>Assumptions!I31</f>
      </c>
      <c r="J14" s="22">
        <f>Assumptions!J31</f>
      </c>
    </row>
    <row r="15" spans="1:14" x14ac:dyDescent="0.25">
      <c r="B15" s="22" t="s">
        <v>73</v>
      </c>
      <c r="E15" s="22">
        <f>BS!E31</f>
      </c>
      <c r="F15" s="22">
        <f ca="1">F11+F12-F13+F14</f>
      </c>
      <c r="G15" s="22">
        <f t="shared" ref="G15:J15" ca="1" si="3">G11+G12-G13+G14</f>
      </c>
      <c r="H15" s="22">
        <f t="shared" ca="1" si="3"/>
      </c>
      <c r="I15" s="22">
        <f t="shared" ca="1" si="3"/>
      </c>
      <c r="J15" s="22">
        <f t="shared" ca="1" si="3"/>
      </c>
    </row>
    <row r="17" spans="1:11" ht="13.8" x14ac:dyDescent="0.25">
      <c r="A17" s="23" t="s">
        <v>76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B18" s="22" t="str">
        <f>+BS!B5</f>
      </c>
      <c r="E18" s="22">
        <f>BS!E5</f>
      </c>
      <c r="F18" s="22">
        <f>BS!F5</f>
      </c>
      <c r="G18" s="22">
        <f>BS!G5</f>
      </c>
      <c r="H18" s="22">
        <f>BS!H5</f>
      </c>
      <c r="I18" s="22">
        <f>BS!I5</f>
      </c>
      <c r="J18" s="22">
        <f>BS!J5</f>
      </c>
    </row>
    <row r="19" spans="1:11" x14ac:dyDescent="0.25">
      <c r="B19" s="22" t="str">
        <f>+BS!B6</f>
      </c>
      <c r="E19" s="22">
        <f>BS!E6</f>
      </c>
      <c r="F19" s="22">
        <f>BS!F6</f>
      </c>
      <c r="G19" s="22">
        <f>BS!G6</f>
      </c>
      <c r="H19" s="22">
        <f>BS!H6</f>
      </c>
      <c r="I19" s="22">
        <f>BS!I6</f>
      </c>
      <c r="J19" s="22">
        <f>BS!J6</f>
      </c>
    </row>
    <row r="20" spans="1:11" x14ac:dyDescent="0.25">
      <c r="B20" s="22" t="str">
        <f>+BS!B7</f>
      </c>
      <c r="E20" s="22">
        <f>BS!E7</f>
      </c>
      <c r="F20" s="22">
        <f>BS!F7</f>
      </c>
      <c r="G20" s="22">
        <f>BS!G7</f>
      </c>
      <c r="H20" s="22">
        <f>BS!H7</f>
      </c>
      <c r="I20" s="22">
        <f>BS!I7</f>
      </c>
      <c r="J20" s="22">
        <f>BS!J7</f>
      </c>
    </row>
    <row r="21" spans="1:11" x14ac:dyDescent="0.25">
      <c r="A21" s="3"/>
      <c r="B21" s="3" t="s">
        <v>77</v>
      </c>
      <c r="C21" s="3"/>
      <c r="D21" s="3"/>
      <c r="E21" s="3">
        <f>SUM(E18:E20)</f>
      </c>
      <c r="F21" s="3">
        <f t="shared" ref="F21:J21" si="4">SUM(F18:F20)</f>
      </c>
      <c r="G21" s="3">
        <f t="shared" si="4"/>
      </c>
      <c r="H21" s="3">
        <f t="shared" si="4"/>
      </c>
      <c r="I21" s="3">
        <f t="shared" si="4"/>
      </c>
      <c r="J21" s="3">
        <f t="shared" si="4"/>
      </c>
    </row>
    <row r="22" spans="1:11" x14ac:dyDescent="0.25">
      <c r="B22" s="22" t="str">
        <f>+BS!B20</f>
      </c>
      <c r="E22" s="22">
        <f>BS!E20</f>
      </c>
      <c r="F22" s="22">
        <f>BS!F20</f>
      </c>
      <c r="G22" s="22">
        <f>BS!G20</f>
      </c>
      <c r="H22" s="22">
        <f>BS!H20</f>
      </c>
      <c r="I22" s="22">
        <f>BS!I20</f>
      </c>
      <c r="J22" s="22">
        <f>BS!J20</f>
      </c>
    </row>
    <row r="23" spans="1:11" x14ac:dyDescent="0.25">
      <c r="B23" s="22" t="str">
        <f>+BS!B21</f>
      </c>
      <c r="E23" s="22">
        <f>BS!E21</f>
      </c>
      <c r="F23" s="22">
        <f>BS!F21</f>
      </c>
      <c r="G23" s="22">
        <f>BS!G21</f>
      </c>
      <c r="H23" s="22">
        <f>BS!H21</f>
      </c>
      <c r="I23" s="22">
        <f>BS!I21</f>
      </c>
      <c r="J23" s="22">
        <f>BS!J21</f>
      </c>
    </row>
    <row r="24" spans="1:11" x14ac:dyDescent="0.25">
      <c r="B24" s="22" t="str">
        <f>+BS!B22</f>
      </c>
      <c r="E24" s="22">
        <f>BS!E22</f>
      </c>
      <c r="F24" s="22">
        <f>BS!F22</f>
      </c>
      <c r="G24" s="22">
        <f>BS!G22</f>
      </c>
      <c r="H24" s="22">
        <f>BS!H22</f>
      </c>
      <c r="I24" s="22">
        <f>BS!I22</f>
      </c>
      <c r="J24" s="22">
        <f>BS!J22</f>
      </c>
    </row>
    <row r="25" spans="1:11" x14ac:dyDescent="0.25">
      <c r="B25" s="22" t="str">
        <f>+BS!B23</f>
      </c>
      <c r="E25" s="22">
        <f>BS!E23</f>
      </c>
      <c r="F25" s="22">
        <f>BS!F23</f>
      </c>
      <c r="G25" s="22">
        <f>BS!G23</f>
      </c>
      <c r="H25" s="22">
        <f>BS!H23</f>
      </c>
      <c r="I25" s="22">
        <f>BS!I23</f>
      </c>
      <c r="J25" s="22">
        <f>BS!J23</f>
      </c>
    </row>
    <row r="26" spans="1:11" x14ac:dyDescent="0.25">
      <c r="A26" s="3"/>
      <c r="B26" s="3" t="s">
        <v>78</v>
      </c>
      <c r="C26" s="3"/>
      <c r="D26" s="3"/>
      <c r="E26" s="3">
        <f>SUM(E22:E25)</f>
      </c>
      <c r="F26" s="3">
        <f t="shared" ref="F26:J26" si="5">SUM(F22:F25)</f>
      </c>
      <c r="G26" s="3">
        <f t="shared" si="5"/>
      </c>
      <c r="H26" s="3">
        <f t="shared" si="5"/>
      </c>
      <c r="I26" s="3">
        <f t="shared" si="5"/>
      </c>
      <c r="J26" s="3">
        <f t="shared" si="5"/>
      </c>
    </row>
    <row r="27" spans="1:11" x14ac:dyDescent="0.25">
      <c r="A27" s="3"/>
      <c r="B27" s="3" t="s">
        <v>76</v>
      </c>
      <c r="C27" s="3"/>
      <c r="D27" s="3"/>
      <c r="E27" s="3">
        <f>E21-E26</f>
      </c>
      <c r="F27" s="3">
        <f t="shared" ref="F27:J27" si="6">F21-F26</f>
      </c>
      <c r="G27" s="3">
        <f t="shared" si="6"/>
      </c>
      <c r="H27" s="3">
        <f t="shared" si="6"/>
      </c>
      <c r="I27" s="3">
        <f t="shared" si="6"/>
      </c>
      <c r="J27" s="3">
        <f t="shared" si="6"/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K62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1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1" s="30" customFormat="1" ht="18" thickBot="1" x14ac:dyDescent="0.35">
      <c r="A2" s="33" t="s">
        <v>79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1" s="3" customFormat="1" ht="13.8" thickTop="1" x14ac:dyDescent="0.25"/>
    <row r="4" spans="1:11" ht="13.8" x14ac:dyDescent="0.25">
      <c r="A4" s="42" t="str">
        <f>Assumptions!A32</f>
      </c>
      <c r="C4" s="3"/>
      <c r="D4" s="3"/>
      <c r="E4" s="3"/>
      <c r="F4" s="3"/>
      <c r="G4" s="3"/>
      <c r="H4" s="3"/>
      <c r="I4" s="3"/>
      <c r="J4" s="3"/>
    </row>
    <row r="5" spans="1:11" s="3" customFormat="1" x14ac:dyDescent="0.25">
      <c r="A5" s="8"/>
      <c r="B5" s="1" t="str">
        <f>Assumptions!B33</f>
      </c>
      <c r="C5" s="22"/>
      <c r="D5" s="22"/>
      <c r="E5" s="22"/>
      <c r="F5" s="1">
        <f>Assumptions!F33</f>
      </c>
      <c r="G5" s="1">
        <f>Assumptions!G33</f>
      </c>
      <c r="H5" s="1">
        <f>Assumptions!H33</f>
      </c>
      <c r="I5" s="1">
        <f>Assumptions!I33</f>
      </c>
      <c r="J5" s="1">
        <f>Assumptions!J33</f>
      </c>
      <c r="K5" s="22"/>
    </row>
    <row r="6" spans="1:11" x14ac:dyDescent="0.25">
      <c r="A6" s="8"/>
      <c r="B6" s="3"/>
      <c r="C6" s="3"/>
      <c r="D6" s="3"/>
      <c r="E6" s="3"/>
      <c r="F6" s="3"/>
      <c r="G6" s="3"/>
      <c r="H6" s="3"/>
      <c r="I6" s="3"/>
      <c r="J6" s="3"/>
    </row>
    <row r="7" spans="1:11" s="3" customFormat="1" x14ac:dyDescent="0.25">
      <c r="A7" s="8"/>
      <c r="B7" s="22" t="s">
        <v>80</v>
      </c>
      <c r="C7" s="22"/>
      <c r="D7" s="22"/>
      <c r="E7" s="22"/>
      <c r="F7" s="22">
        <f>BS!E4</f>
      </c>
      <c r="G7" s="22">
        <f ca="1">BS!F4</f>
      </c>
      <c r="H7" s="22">
        <f ca="1">BS!G4</f>
      </c>
      <c r="I7" s="22">
        <f ca="1">BS!H4</f>
      </c>
      <c r="J7" s="22">
        <f ca="1">BS!I4</f>
      </c>
      <c r="K7" s="22"/>
    </row>
    <row r="8" spans="1:11" x14ac:dyDescent="0.25">
      <c r="A8" s="8"/>
      <c r="B8" s="22" t="s">
        <v>81</v>
      </c>
      <c r="F8" s="22">
        <f>-IS!F4*Debt!F5</f>
      </c>
      <c r="G8" s="22">
        <f>-IS!G4*Debt!G5</f>
      </c>
      <c r="H8" s="22">
        <f>-IS!H4*Debt!H5</f>
      </c>
      <c r="I8" s="22">
        <f>-IS!I4*Debt!I5</f>
      </c>
      <c r="J8" s="22">
        <f>-IS!J4*Debt!J5</f>
      </c>
    </row>
    <row r="9" spans="1:11" x14ac:dyDescent="0.25">
      <c r="A9" s="8"/>
      <c r="B9" s="22" t="s">
        <v>82</v>
      </c>
      <c r="F9" s="22">
        <f ca="1">CFS!F11+CFS!F15+CFS!F17+CFS!F18</f>
      </c>
      <c r="G9" s="22">
        <f ca="1">CFS!G11+CFS!G15+CFS!G17+CFS!G18</f>
      </c>
      <c r="H9" s="22">
        <f ca="1">CFS!H11+CFS!H15+CFS!H17+CFS!H18</f>
      </c>
      <c r="I9" s="22">
        <f ca="1">CFS!I11+CFS!I15+CFS!I17+CFS!I18</f>
      </c>
      <c r="J9" s="22">
        <f ca="1">CFS!J11+CFS!J15+CFS!J17+CFS!J18</f>
      </c>
    </row>
    <row r="10" spans="1:11" x14ac:dyDescent="0.25">
      <c r="A10" s="8"/>
      <c r="B10" s="3" t="s">
        <v>51</v>
      </c>
      <c r="C10" s="3"/>
      <c r="D10" s="3"/>
      <c r="E10" s="3"/>
      <c r="F10" s="3">
        <f ca="1">SUM(F7:F9)</f>
      </c>
      <c r="G10" s="3">
        <f t="shared" ref="G10:J10" ca="1" si="0">SUM(G7:G9)</f>
      </c>
      <c r="H10" s="3">
        <f t="shared" ca="1" si="0"/>
      </c>
      <c r="I10" s="3">
        <f t="shared" ca="1" si="0"/>
      </c>
      <c r="J10" s="3">
        <f t="shared" ca="1" si="0"/>
      </c>
    </row>
    <row r="11" spans="1:11" x14ac:dyDescent="0.25">
      <c r="A11" s="8"/>
    </row>
    <row r="12" spans="1:11" s="3" customFormat="1" x14ac:dyDescent="0.25">
      <c r="A12" s="8"/>
      <c r="B12" s="8" t="s">
        <v>83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25">
      <c r="A13" s="8"/>
      <c r="B13" s="22" t="s">
        <v>70</v>
      </c>
      <c r="F13" s="22">
        <f>E15</f>
      </c>
      <c r="G13" s="22">
        <f t="shared" ref="G13:J13" ca="1" si="1">F15</f>
      </c>
      <c r="H13" s="22">
        <f t="shared" ca="1" si="1"/>
      </c>
      <c r="I13" s="22">
        <f t="shared" ca="1" si="1"/>
      </c>
      <c r="J13" s="22">
        <f t="shared" ca="1" si="1"/>
      </c>
    </row>
    <row r="14" spans="1:11" x14ac:dyDescent="0.25">
      <c r="A14" s="8"/>
      <c r="B14" s="22" t="s">
        <v>84</v>
      </c>
      <c r="F14" s="22">
        <f ca="1">-MIN(F13,F10)</f>
      </c>
      <c r="G14" s="22">
        <f ca="1">-MIN(G13,G10)</f>
      </c>
      <c r="H14" s="22">
        <f ca="1">-MIN(H13,H10)</f>
      </c>
      <c r="I14" s="22">
        <f ca="1">-MIN(I13,I10)</f>
      </c>
      <c r="J14" s="22">
        <f ca="1">-MIN(J13,J10)</f>
      </c>
    </row>
    <row r="15" spans="1:11" x14ac:dyDescent="0.25">
      <c r="A15" s="8"/>
      <c r="B15" s="22" t="s">
        <v>73</v>
      </c>
      <c r="E15" s="7">
        <v>3517</v>
      </c>
      <c r="F15" s="22">
        <f ca="1">SUM(F13:F14)</f>
      </c>
      <c r="G15" s="22">
        <f t="shared" ref="G15:J15" ca="1" si="2">SUM(G13:G14)</f>
      </c>
      <c r="H15" s="22">
        <f t="shared" ca="1" si="2"/>
      </c>
      <c r="I15" s="22">
        <f t="shared" ca="1" si="2"/>
      </c>
      <c r="J15" s="22">
        <f t="shared" ca="1" si="2"/>
      </c>
    </row>
    <row r="16" spans="1:11" x14ac:dyDescent="0.25">
      <c r="A16" s="8"/>
      <c r="B16" s="22" t="s">
        <v>85</v>
      </c>
      <c r="F16" s="1">
        <f>Assumptions!F$35</f>
      </c>
      <c r="G16" s="1">
        <f>Assumptions!G$35</f>
      </c>
      <c r="H16" s="1">
        <f>Assumptions!H$35</f>
      </c>
      <c r="I16" s="1">
        <f>Assumptions!I$35</f>
      </c>
      <c r="J16" s="1">
        <f>Assumptions!J$35</f>
      </c>
    </row>
    <row r="17" spans="1:11" s="3" customFormat="1" x14ac:dyDescent="0.25">
      <c r="A17" s="8"/>
      <c r="B17" s="22" t="s">
        <v>86</v>
      </c>
      <c r="C17" s="22"/>
      <c r="D17" s="22"/>
      <c r="E17" s="22"/>
      <c r="F17" s="22">
        <f ca="1">AVERAGE(E15:F15)*F16</f>
      </c>
      <c r="G17" s="22">
        <f t="shared" ref="G17:J17" ca="1" si="3">AVERAGE(F15:G15)*G16</f>
      </c>
      <c r="H17" s="22">
        <f t="shared" ca="1" si="3"/>
      </c>
      <c r="I17" s="22">
        <f t="shared" ca="1" si="3"/>
      </c>
      <c r="J17" s="22">
        <f t="shared" ca="1" si="3"/>
      </c>
      <c r="K17" s="22"/>
    </row>
    <row r="18" spans="1:11" x14ac:dyDescent="0.25">
      <c r="A18" s="8"/>
    </row>
    <row r="19" spans="1:11" x14ac:dyDescent="0.25">
      <c r="A19" s="8"/>
      <c r="B19" s="22" t="s">
        <v>87</v>
      </c>
      <c r="F19" s="22">
        <f ca="1">F14+F10</f>
      </c>
      <c r="G19" s="22">
        <f ca="1">G14+G10</f>
      </c>
      <c r="H19" s="22">
        <f ca="1">H14+H10</f>
      </c>
      <c r="I19" s="22">
        <f ca="1">I14+I10</f>
      </c>
      <c r="J19" s="22">
        <f ca="1">J14+J10</f>
      </c>
    </row>
    <row r="20" spans="1:11" x14ac:dyDescent="0.25">
      <c r="A20" s="8"/>
    </row>
    <row r="21" spans="1:11" x14ac:dyDescent="0.25">
      <c r="A21" s="8"/>
      <c r="B21" s="8" t="s">
        <v>88</v>
      </c>
    </row>
    <row r="22" spans="1:11" x14ac:dyDescent="0.25">
      <c r="A22" s="8"/>
      <c r="B22" s="22" t="s">
        <v>70</v>
      </c>
      <c r="F22" s="22">
        <f>E24</f>
      </c>
      <c r="G22" s="22">
        <f t="shared" ref="G22:J22" ca="1" si="4">F24</f>
      </c>
      <c r="H22" s="22">
        <f t="shared" ca="1" si="4"/>
      </c>
      <c r="I22" s="22">
        <f t="shared" ca="1" si="4"/>
      </c>
      <c r="J22" s="22">
        <f t="shared" ca="1" si="4"/>
      </c>
    </row>
    <row r="23" spans="1:11" s="3" customFormat="1" x14ac:dyDescent="0.25">
      <c r="A23" s="8"/>
      <c r="B23" s="22" t="s">
        <v>89</v>
      </c>
      <c r="C23" s="22"/>
      <c r="D23" s="22"/>
      <c r="E23" s="22"/>
      <c r="F23" s="22">
        <f ca="1">-MIN(F22,F19)</f>
      </c>
      <c r="G23" s="22">
        <f t="shared" ref="G23:J23" ca="1" si="5">-MIN(G22,G19)</f>
      </c>
      <c r="H23" s="22">
        <f t="shared" ca="1" si="5"/>
      </c>
      <c r="I23" s="22">
        <f t="shared" ca="1" si="5"/>
      </c>
      <c r="J23" s="22">
        <f t="shared" ca="1" si="5"/>
      </c>
      <c r="K23" s="22"/>
    </row>
    <row r="24" spans="1:11" x14ac:dyDescent="0.25">
      <c r="A24" s="8"/>
      <c r="B24" s="22" t="s">
        <v>73</v>
      </c>
      <c r="D24" s="7"/>
      <c r="E24" s="7">
        <v>8327</v>
      </c>
      <c r="F24" s="22">
        <f ca="1">SUM(F22:F23)</f>
      </c>
      <c r="G24" s="22">
        <f ca="1">SUM(G22:G23)</f>
      </c>
      <c r="H24" s="22">
        <f ca="1">SUM(H22:H23)</f>
      </c>
      <c r="I24" s="22">
        <f ca="1">SUM(I22:I23)</f>
      </c>
      <c r="J24" s="22">
        <f ca="1">SUM(J22:J23)</f>
      </c>
    </row>
    <row r="25" spans="1:11" s="3" customFormat="1" x14ac:dyDescent="0.25">
      <c r="A25" s="8"/>
      <c r="B25" s="22" t="s">
        <v>85</v>
      </c>
      <c r="C25" s="22"/>
      <c r="D25" s="22"/>
      <c r="E25" s="22"/>
      <c r="F25" s="1">
        <f>Assumptions!F$36</f>
      </c>
      <c r="G25" s="1">
        <f>Assumptions!G$36</f>
      </c>
      <c r="H25" s="1">
        <f>Assumptions!H$36</f>
      </c>
      <c r="I25" s="1">
        <f>Assumptions!I$36</f>
      </c>
      <c r="J25" s="1">
        <f>Assumptions!J$36</f>
      </c>
      <c r="K25" s="22"/>
    </row>
    <row r="26" spans="1:11" x14ac:dyDescent="0.25">
      <c r="A26" s="8"/>
      <c r="B26" s="22" t="s">
        <v>86</v>
      </c>
      <c r="F26" s="22">
        <f ca="1">AVERAGE(E24:F24)*F25</f>
      </c>
      <c r="G26" s="22">
        <f t="shared" ref="G26:J26" ca="1" si="6">AVERAGE(F24:G24)*G25</f>
      </c>
      <c r="H26" s="22">
        <f t="shared" ca="1" si="6"/>
      </c>
      <c r="I26" s="22">
        <f t="shared" ca="1" si="6"/>
      </c>
      <c r="J26" s="22">
        <f t="shared" ca="1" si="6"/>
      </c>
    </row>
    <row r="27" spans="1:11" x14ac:dyDescent="0.25">
      <c r="A27" s="8"/>
    </row>
    <row r="28" spans="1:11" x14ac:dyDescent="0.25">
      <c r="A28" s="8"/>
      <c r="B28" s="22" t="s">
        <v>90</v>
      </c>
      <c r="F28" s="22">
        <f ca="1">F23+F19</f>
      </c>
      <c r="G28" s="22">
        <f ca="1">G23+G19</f>
      </c>
      <c r="H28" s="22">
        <f ca="1">H23+H19</f>
      </c>
      <c r="I28" s="22">
        <f ca="1">I23+I19</f>
      </c>
      <c r="J28" s="22">
        <f ca="1">J23+J19</f>
      </c>
    </row>
    <row r="29" spans="1:11" x14ac:dyDescent="0.25">
      <c r="A29" s="8"/>
    </row>
    <row r="30" spans="1:11" x14ac:dyDescent="0.25">
      <c r="A30" s="8"/>
      <c r="B30" s="8" t="s">
        <v>91</v>
      </c>
    </row>
    <row r="31" spans="1:11" x14ac:dyDescent="0.25">
      <c r="A31" s="8"/>
      <c r="B31" s="22" t="s">
        <v>70</v>
      </c>
      <c r="F31" s="22">
        <f>E33</f>
      </c>
      <c r="G31" s="22">
        <f t="shared" ref="G31:J31" ca="1" si="7">F33</f>
      </c>
      <c r="H31" s="22">
        <f t="shared" ca="1" si="7"/>
      </c>
      <c r="I31" s="22">
        <f t="shared" ca="1" si="7"/>
      </c>
      <c r="J31" s="22">
        <f t="shared" ca="1" si="7"/>
      </c>
    </row>
    <row r="32" spans="1:11" x14ac:dyDescent="0.25">
      <c r="A32" s="8"/>
      <c r="B32" s="22" t="s">
        <v>89</v>
      </c>
      <c r="F32" s="22">
        <f ca="1">-MIN(F31,F28)</f>
      </c>
      <c r="G32" s="22">
        <f t="shared" ref="G32:J32" ca="1" si="8">-MIN(G31,G28)</f>
      </c>
      <c r="H32" s="22">
        <f t="shared" ca="1" si="8"/>
      </c>
      <c r="I32" s="22">
        <f t="shared" ca="1" si="8"/>
      </c>
      <c r="J32" s="22">
        <f t="shared" ca="1" si="8"/>
      </c>
    </row>
    <row r="33" spans="1:10" x14ac:dyDescent="0.25">
      <c r="A33" s="8"/>
      <c r="B33" s="22" t="s">
        <v>73</v>
      </c>
      <c r="D33" s="7"/>
      <c r="E33" s="7">
        <v>3653</v>
      </c>
      <c r="F33" s="22">
        <f ca="1">SUM(F31:F32)</f>
      </c>
      <c r="G33" s="22">
        <f ca="1">SUM(G31:G32)</f>
      </c>
      <c r="H33" s="22">
        <f ca="1">SUM(H31:H32)</f>
      </c>
      <c r="I33" s="22">
        <f ca="1">SUM(I31:I32)</f>
      </c>
      <c r="J33" s="22">
        <f ca="1">SUM(J31:J32)</f>
      </c>
    </row>
    <row r="34" spans="1:10" x14ac:dyDescent="0.25">
      <c r="A34" s="8"/>
      <c r="B34" s="22" t="s">
        <v>85</v>
      </c>
      <c r="F34" s="1">
        <f>Assumptions!F$37</f>
      </c>
      <c r="G34" s="1">
        <f>Assumptions!G$37</f>
      </c>
      <c r="H34" s="1">
        <f>Assumptions!H$37</f>
      </c>
      <c r="I34" s="1">
        <f>Assumptions!I$37</f>
      </c>
      <c r="J34" s="1">
        <f>Assumptions!J$37</f>
      </c>
    </row>
    <row r="35" spans="1:10" x14ac:dyDescent="0.25">
      <c r="A35" s="8"/>
      <c r="B35" s="22" t="s">
        <v>86</v>
      </c>
      <c r="F35" s="22">
        <f ca="1">AVERAGE(E33:F33)*F34</f>
      </c>
      <c r="G35" s="22">
        <f t="shared" ref="G35:J35" ca="1" si="9">AVERAGE(F33:G33)*G34</f>
      </c>
      <c r="H35" s="22">
        <f t="shared" ca="1" si="9"/>
      </c>
      <c r="I35" s="22">
        <f t="shared" ca="1" si="9"/>
      </c>
      <c r="J35" s="22">
        <f t="shared" ca="1" si="9"/>
      </c>
    </row>
    <row r="36" spans="1:10" x14ac:dyDescent="0.25">
      <c r="A36" s="8"/>
    </row>
    <row r="37" spans="1:10" x14ac:dyDescent="0.25">
      <c r="A37" s="8"/>
      <c r="B37" s="22" t="s">
        <v>92</v>
      </c>
      <c r="F37" s="22">
        <f ca="1">F28+F32</f>
      </c>
      <c r="G37" s="22">
        <f ca="1">G28+G32</f>
      </c>
      <c r="H37" s="22">
        <f ca="1">H28+H32</f>
      </c>
      <c r="I37" s="22">
        <f ca="1">I28+I32</f>
      </c>
      <c r="J37" s="22">
        <f ca="1">J28+J32</f>
      </c>
    </row>
    <row r="38" spans="1:10" x14ac:dyDescent="0.25">
      <c r="A38" s="8"/>
    </row>
    <row r="39" spans="1:10" x14ac:dyDescent="0.25">
      <c r="A39" s="4"/>
      <c r="B39" s="8" t="s">
        <v>93</v>
      </c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4"/>
      <c r="B40" s="22" t="s">
        <v>70</v>
      </c>
      <c r="C40" s="3"/>
      <c r="D40" s="3"/>
      <c r="E40" s="3"/>
      <c r="F40" s="22">
        <f>E42</f>
      </c>
      <c r="G40" s="22">
        <f t="shared" ref="G40:J40" ca="1" si="10">F42</f>
      </c>
      <c r="H40" s="22">
        <f t="shared" ca="1" si="10"/>
      </c>
      <c r="I40" s="22">
        <f t="shared" ca="1" si="10"/>
      </c>
      <c r="J40" s="22">
        <f t="shared" ca="1" si="10"/>
      </c>
    </row>
    <row r="41" spans="1:10" x14ac:dyDescent="0.25">
      <c r="A41" s="4"/>
      <c r="B41" s="22" t="s">
        <v>89</v>
      </c>
      <c r="C41" s="3"/>
      <c r="D41" s="3"/>
      <c r="E41" s="3"/>
      <c r="F41" s="22">
        <f ca="1">-MIN(F40,F37)</f>
      </c>
      <c r="G41" s="22">
        <f t="shared" ref="G41:J41" ca="1" si="11">-MIN(G40,G37)</f>
      </c>
      <c r="H41" s="22">
        <f t="shared" ca="1" si="11"/>
      </c>
      <c r="I41" s="22">
        <f t="shared" ca="1" si="11"/>
      </c>
      <c r="J41" s="22">
        <f t="shared" ca="1" si="11"/>
      </c>
    </row>
    <row r="42" spans="1:10" x14ac:dyDescent="0.25">
      <c r="A42" s="8"/>
      <c r="B42" s="22" t="s">
        <v>73</v>
      </c>
      <c r="D42" s="7"/>
      <c r="E42" s="7">
        <f>(12972+1163)-SUM(E24,E33)</f>
      </c>
      <c r="F42" s="22">
        <f ca="1">SUM(F40:F41)</f>
      </c>
      <c r="G42" s="22">
        <f ca="1">SUM(G40:G41)</f>
      </c>
      <c r="H42" s="22">
        <f ca="1">SUM(H40:H41)</f>
      </c>
      <c r="I42" s="22">
        <f ca="1">SUM(I40:I41)</f>
      </c>
      <c r="J42" s="22">
        <f ca="1">SUM(J40:J41)</f>
      </c>
    </row>
    <row r="43" spans="1:10" x14ac:dyDescent="0.25">
      <c r="A43" s="4"/>
      <c r="B43" s="22" t="s">
        <v>85</v>
      </c>
      <c r="C43" s="3"/>
      <c r="D43" s="3"/>
      <c r="E43" s="3"/>
      <c r="F43" s="1">
        <f>Assumptions!F$38</f>
      </c>
      <c r="G43" s="1">
        <f>Assumptions!G$38</f>
      </c>
      <c r="H43" s="1">
        <f>Assumptions!H$38</f>
      </c>
      <c r="I43" s="1">
        <f>Assumptions!I$38</f>
      </c>
      <c r="J43" s="1">
        <f>Assumptions!J$38</f>
      </c>
    </row>
    <row r="44" spans="1:10" x14ac:dyDescent="0.25">
      <c r="A44" s="4"/>
      <c r="B44" s="22" t="s">
        <v>86</v>
      </c>
      <c r="C44" s="3"/>
      <c r="D44" s="3"/>
      <c r="E44" s="3"/>
      <c r="F44" s="22">
        <f ca="1">AVERAGE(E42:F42)*F43</f>
      </c>
      <c r="G44" s="22">
        <f t="shared" ref="G44:J44" ca="1" si="12">AVERAGE(F42:G42)*G43</f>
      </c>
      <c r="H44" s="22">
        <f t="shared" ca="1" si="12"/>
      </c>
      <c r="I44" s="22">
        <f t="shared" ca="1" si="12"/>
      </c>
      <c r="J44" s="22">
        <f t="shared" ca="1" si="12"/>
      </c>
    </row>
    <row r="45" spans="1:10" x14ac:dyDescent="0.25">
      <c r="A45" s="4"/>
      <c r="C45" s="3"/>
      <c r="D45" s="3"/>
      <c r="E45" s="3"/>
      <c r="F45" s="3"/>
      <c r="G45" s="3"/>
      <c r="H45" s="3"/>
      <c r="I45" s="3"/>
      <c r="J45" s="3"/>
    </row>
    <row r="46" spans="1:10" ht="13.8" x14ac:dyDescent="0.25">
      <c r="A46" s="23" t="s">
        <v>94</v>
      </c>
      <c r="C46" s="3"/>
      <c r="D46" s="3"/>
      <c r="E46" s="3"/>
      <c r="F46" s="3"/>
      <c r="G46" s="3"/>
      <c r="H46" s="3"/>
      <c r="I46" s="3"/>
      <c r="J46" s="3"/>
    </row>
    <row r="47" spans="1:10" x14ac:dyDescent="0.25">
      <c r="B47" s="22" t="str">
        <f>+B21</f>
      </c>
      <c r="E47" s="22">
        <f t="shared" ref="E47:J47" si="13">+E24</f>
      </c>
      <c r="F47" s="22">
        <f t="shared" ca="1" si="13"/>
      </c>
      <c r="G47" s="22">
        <f t="shared" ca="1" si="13"/>
      </c>
      <c r="H47" s="22">
        <f t="shared" ca="1" si="13"/>
      </c>
      <c r="I47" s="22">
        <f t="shared" ca="1" si="13"/>
      </c>
      <c r="J47" s="22">
        <f t="shared" ca="1" si="13"/>
      </c>
    </row>
    <row r="48" spans="1:10" x14ac:dyDescent="0.25">
      <c r="B48" s="22" t="str">
        <f>+B30</f>
      </c>
      <c r="E48" s="22">
        <f t="shared" ref="E48:J48" si="14">+E33</f>
      </c>
      <c r="F48" s="22">
        <f t="shared" ca="1" si="14"/>
      </c>
      <c r="G48" s="22">
        <f t="shared" ca="1" si="14"/>
      </c>
      <c r="H48" s="22">
        <f t="shared" ca="1" si="14"/>
      </c>
      <c r="I48" s="22">
        <f t="shared" ca="1" si="14"/>
      </c>
      <c r="J48" s="22">
        <f t="shared" ca="1" si="14"/>
      </c>
    </row>
    <row r="49" spans="1:10" x14ac:dyDescent="0.25">
      <c r="B49" s="22" t="str">
        <f>+B39</f>
      </c>
      <c r="E49" s="22">
        <f t="shared" ref="E49:J49" si="15">+E42</f>
      </c>
      <c r="F49" s="22">
        <f t="shared" ca="1" si="15"/>
      </c>
      <c r="G49" s="22">
        <f t="shared" ca="1" si="15"/>
      </c>
      <c r="H49" s="22">
        <f t="shared" ca="1" si="15"/>
      </c>
      <c r="I49" s="22">
        <f t="shared" ca="1" si="15"/>
      </c>
      <c r="J49" s="22">
        <f t="shared" ca="1" si="15"/>
      </c>
    </row>
    <row r="50" spans="1:10" x14ac:dyDescent="0.25">
      <c r="A50" s="3"/>
      <c r="B50" s="3" t="s">
        <v>95</v>
      </c>
      <c r="C50" s="3"/>
      <c r="D50" s="3"/>
      <c r="E50" s="3">
        <f t="shared" ref="E50:F50" si="16">SUM(E47:E49)</f>
      </c>
      <c r="F50" s="3">
        <f t="shared" ca="1" si="16"/>
      </c>
      <c r="G50" s="3">
        <f t="shared" ref="G50:J50" ca="1" si="17">SUM(G47:G49)</f>
      </c>
      <c r="H50" s="3">
        <f t="shared" ca="1" si="17"/>
      </c>
      <c r="I50" s="3">
        <f t="shared" ca="1" si="17"/>
      </c>
      <c r="J50" s="3">
        <f t="shared" ca="1" si="17"/>
      </c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3.8" x14ac:dyDescent="0.25">
      <c r="A52" s="23" t="s">
        <v>96</v>
      </c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22" t="str">
        <f>B12</f>
      </c>
      <c r="C53" s="3"/>
      <c r="D53" s="3"/>
      <c r="E53" s="3"/>
      <c r="F53" s="22">
        <f ca="1">F17</f>
      </c>
      <c r="G53" s="22">
        <f ca="1">G17</f>
      </c>
      <c r="H53" s="22">
        <f ca="1">H17</f>
      </c>
      <c r="I53" s="22">
        <f ca="1">I17</f>
      </c>
      <c r="J53" s="22">
        <f ca="1">J17</f>
      </c>
    </row>
    <row r="54" spans="1:10" x14ac:dyDescent="0.25">
      <c r="A54" s="3"/>
      <c r="B54" s="22" t="str">
        <f>+B47</f>
      </c>
      <c r="C54" s="3"/>
      <c r="D54" s="3"/>
      <c r="E54" s="3"/>
      <c r="F54" s="22">
        <f ca="1">F26</f>
      </c>
      <c r="G54" s="22">
        <f ca="1">G26</f>
      </c>
      <c r="H54" s="22">
        <f ca="1">H26</f>
      </c>
      <c r="I54" s="22">
        <f ca="1">I26</f>
      </c>
      <c r="J54" s="22">
        <f ca="1">J26</f>
      </c>
    </row>
    <row r="55" spans="1:10" x14ac:dyDescent="0.25">
      <c r="A55" s="3"/>
      <c r="B55" s="22" t="str">
        <f>+B48</f>
      </c>
      <c r="C55" s="3"/>
      <c r="D55" s="3"/>
      <c r="E55" s="3"/>
      <c r="F55" s="22">
        <f ca="1">F35</f>
      </c>
      <c r="G55" s="22">
        <f ca="1">G35</f>
      </c>
      <c r="H55" s="22">
        <f ca="1">H35</f>
      </c>
      <c r="I55" s="22">
        <f ca="1">I35</f>
      </c>
      <c r="J55" s="22">
        <f ca="1">J35</f>
      </c>
    </row>
    <row r="56" spans="1:10" x14ac:dyDescent="0.25">
      <c r="A56" s="3"/>
      <c r="B56" s="22" t="str">
        <f>+B49</f>
      </c>
      <c r="C56" s="3"/>
      <c r="D56" s="3"/>
      <c r="E56" s="3"/>
      <c r="F56" s="22">
        <f ca="1">F44</f>
      </c>
      <c r="G56" s="22">
        <f ca="1">G44</f>
      </c>
      <c r="H56" s="22">
        <f ca="1">H44</f>
      </c>
      <c r="I56" s="22">
        <f ca="1">I44</f>
      </c>
      <c r="J56" s="22">
        <f ca="1">J44</f>
      </c>
    </row>
    <row r="57" spans="1:10" x14ac:dyDescent="0.25">
      <c r="A57" s="3"/>
      <c r="B57" s="3" t="s">
        <v>97</v>
      </c>
      <c r="C57" s="3"/>
      <c r="D57" s="3"/>
      <c r="E57" s="3"/>
      <c r="F57" s="3">
        <f ca="1">SUM(F53:F56)</f>
      </c>
      <c r="G57" s="3">
        <f t="shared" ref="G57:J57" ca="1" si="18">SUM(G53:G56)</f>
      </c>
      <c r="H57" s="3">
        <f t="shared" ca="1" si="18"/>
      </c>
      <c r="I57" s="3">
        <f t="shared" ca="1" si="18"/>
      </c>
      <c r="J57" s="3">
        <f t="shared" ca="1" si="18"/>
      </c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3.8" x14ac:dyDescent="0.25">
      <c r="A59" s="23" t="s">
        <v>98</v>
      </c>
      <c r="C59" s="3"/>
      <c r="D59" s="3"/>
      <c r="E59" s="3"/>
      <c r="F59" s="3"/>
      <c r="G59" s="3"/>
      <c r="H59" s="3"/>
      <c r="I59" s="3"/>
      <c r="J59" s="3"/>
    </row>
    <row r="60" spans="1:10" x14ac:dyDescent="0.25">
      <c r="B60" s="22" t="s">
        <v>99</v>
      </c>
      <c r="E60" s="22">
        <f>+BS!E4</f>
      </c>
      <c r="F60" s="22">
        <f ca="1">+BS!F4</f>
      </c>
      <c r="G60" s="22">
        <f ca="1">+BS!G4</f>
      </c>
      <c r="H60" s="22">
        <f ca="1">+BS!H4</f>
      </c>
      <c r="I60" s="22">
        <f ca="1">+BS!I4</f>
      </c>
      <c r="J60" s="22">
        <f ca="1">+BS!J4</f>
      </c>
    </row>
    <row r="61" spans="1:10" x14ac:dyDescent="0.25">
      <c r="B61" s="22" t="s">
        <v>85</v>
      </c>
      <c r="F61" s="1">
        <f>Assumptions!F$39</f>
      </c>
      <c r="G61" s="1">
        <f>Assumptions!G$39</f>
      </c>
      <c r="H61" s="1">
        <f>Assumptions!H$39</f>
      </c>
      <c r="I61" s="1">
        <f>Assumptions!I$39</f>
      </c>
      <c r="J61" s="1">
        <f>Assumptions!J$39</f>
      </c>
    </row>
    <row r="62" spans="1:10" x14ac:dyDescent="0.25">
      <c r="B62" s="22" t="s">
        <v>98</v>
      </c>
      <c r="F62" s="22">
        <f ca="1">AVERAGE(E60:F60)*F61</f>
      </c>
      <c r="G62" s="22">
        <f t="shared" ref="G62:J62" ca="1" si="19">AVERAGE(F60:G60)*G61</f>
      </c>
      <c r="H62" s="22">
        <f t="shared" ca="1" si="19"/>
      </c>
      <c r="I62" s="22">
        <f t="shared" ca="1" si="19"/>
      </c>
      <c r="J62" s="22">
        <f t="shared" ca="1" si="19"/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N1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4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4" s="30" customFormat="1" ht="18" thickBot="1" x14ac:dyDescent="0.35">
      <c r="A2" s="33" t="s">
        <v>100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4" ht="13.8" thickTop="1" x14ac:dyDescent="0.25">
      <c r="L3" s="40"/>
      <c r="M3" s="40"/>
      <c r="N3" s="40"/>
    </row>
    <row r="4" spans="1:14" s="3" customFormat="1" x14ac:dyDescent="0.25">
      <c r="A4" s="22"/>
      <c r="B4" s="22" t="s">
        <v>101</v>
      </c>
      <c r="C4" s="22">
        <f>Revenues!C42</f>
      </c>
      <c r="D4" s="22">
        <f>Revenues!D42</f>
      </c>
      <c r="E4" s="22">
        <f>Revenues!E42</f>
      </c>
      <c r="F4" s="22">
        <f>Revenues!F42</f>
      </c>
      <c r="G4" s="22">
        <f>Revenues!G42</f>
      </c>
      <c r="H4" s="22">
        <f>Revenues!H42</f>
      </c>
      <c r="I4" s="22">
        <f>Revenues!I42</f>
      </c>
      <c r="J4" s="22">
        <f>Revenues!J42</f>
      </c>
      <c r="K4" s="22"/>
      <c r="N4" s="4"/>
    </row>
    <row r="5" spans="1:14" x14ac:dyDescent="0.25">
      <c r="A5" s="3"/>
      <c r="B5" s="22" t="s">
        <v>102</v>
      </c>
      <c r="C5" s="7">
        <v>18124</v>
      </c>
      <c r="D5" s="7">
        <v>15795</v>
      </c>
      <c r="E5" s="7">
        <v>15831</v>
      </c>
      <c r="F5" s="22">
        <f>Assumptions!F5*IS!F4</f>
      </c>
      <c r="G5" s="22">
        <f>Assumptions!G5*IS!G4</f>
      </c>
      <c r="H5" s="22">
        <f>Assumptions!H5*IS!H4</f>
      </c>
      <c r="I5" s="22">
        <f>Assumptions!I5*IS!I4</f>
      </c>
      <c r="J5" s="22">
        <f>Assumptions!J5*IS!J4</f>
      </c>
    </row>
    <row r="6" spans="1:14" s="3" customFormat="1" x14ac:dyDescent="0.25">
      <c r="A6" s="22"/>
      <c r="B6" s="3" t="s">
        <v>103</v>
      </c>
      <c r="C6" s="3">
        <f t="shared" ref="C6:F6" si="0">C4-C5</f>
      </c>
      <c r="D6" s="3">
        <f t="shared" si="0"/>
      </c>
      <c r="E6" s="3">
        <f t="shared" si="0"/>
      </c>
      <c r="F6" s="3">
        <f t="shared" si="0"/>
      </c>
      <c r="G6" s="3">
        <f t="shared" ref="G6:J6" si="1">G4-G5</f>
      </c>
      <c r="H6" s="3">
        <f t="shared" si="1"/>
      </c>
      <c r="I6" s="3">
        <f t="shared" si="1"/>
      </c>
      <c r="J6" s="3">
        <f t="shared" si="1"/>
      </c>
      <c r="K6" s="22"/>
      <c r="N6" s="4"/>
    </row>
    <row r="7" spans="1:14" x14ac:dyDescent="0.25">
      <c r="N7" s="5"/>
    </row>
    <row r="8" spans="1:14" x14ac:dyDescent="0.25">
      <c r="A8" s="3"/>
      <c r="B8" s="22" t="s">
        <v>104</v>
      </c>
      <c r="C8" s="7">
        <f>7577+C12-291</f>
      </c>
      <c r="D8" s="7">
        <f>6540+D12-372</f>
      </c>
      <c r="E8" s="7">
        <f>5911+E12-257+153+46+4</f>
      </c>
      <c r="F8" s="22">
        <f>Assumptions!F6*IS!F4</f>
      </c>
      <c r="G8" s="22">
        <f>Assumptions!G6*IS!G4</f>
      </c>
      <c r="H8" s="22">
        <f>Assumptions!H6*IS!H4</f>
      </c>
      <c r="I8" s="22">
        <f>Assumptions!I6*IS!I4</f>
      </c>
      <c r="J8" s="22">
        <f>Assumptions!J6*IS!J4</f>
      </c>
      <c r="N8" s="4"/>
    </row>
    <row r="9" spans="1:14" x14ac:dyDescent="0.25">
      <c r="B9" s="3" t="s">
        <v>105</v>
      </c>
      <c r="C9" s="3">
        <f t="shared" ref="C9:F9" si="2">C6-C8</f>
      </c>
      <c r="D9" s="3">
        <f t="shared" si="2"/>
      </c>
      <c r="E9" s="3">
        <f t="shared" si="2"/>
      </c>
      <c r="F9" s="3">
        <f t="shared" si="2"/>
      </c>
      <c r="G9" s="3">
        <f t="shared" ref="G9:J9" si="3">G6-G8</f>
      </c>
      <c r="H9" s="3">
        <f t="shared" si="3"/>
      </c>
      <c r="I9" s="3">
        <f t="shared" si="3"/>
      </c>
      <c r="J9" s="3">
        <f t="shared" si="3"/>
      </c>
      <c r="N9" s="4"/>
    </row>
    <row r="10" spans="1:14" x14ac:dyDescent="0.25">
      <c r="C10" s="36"/>
      <c r="D10" s="36"/>
      <c r="E10" s="36"/>
      <c r="F10" s="36"/>
      <c r="G10" s="36"/>
      <c r="H10" s="36"/>
      <c r="I10" s="36"/>
      <c r="J10" s="36"/>
      <c r="K10" s="36"/>
      <c r="N10" s="5"/>
    </row>
    <row r="11" spans="1:14" x14ac:dyDescent="0.25">
      <c r="B11" s="22" t="s">
        <v>72</v>
      </c>
      <c r="C11" s="7">
        <f>713</f>
      </c>
      <c r="D11" s="7">
        <v>647</v>
      </c>
      <c r="E11" s="7">
        <v>638</v>
      </c>
      <c r="F11" s="22">
        <f>Calcs!F7</f>
      </c>
      <c r="G11" s="22">
        <f>Calcs!G7</f>
      </c>
      <c r="H11" s="22">
        <f>Calcs!H7</f>
      </c>
      <c r="I11" s="22">
        <f>Calcs!I7</f>
      </c>
      <c r="J11" s="22">
        <f>Calcs!J7</f>
      </c>
      <c r="N11" s="5"/>
    </row>
    <row r="12" spans="1:14" x14ac:dyDescent="0.25">
      <c r="A12" s="3"/>
      <c r="B12" s="22" t="s">
        <v>106</v>
      </c>
      <c r="C12" s="7">
        <v>181</v>
      </c>
      <c r="D12" s="7">
        <v>176</v>
      </c>
      <c r="E12" s="7">
        <v>178</v>
      </c>
      <c r="F12" s="22">
        <f>Assumptions!F7</f>
      </c>
      <c r="G12" s="22">
        <f>Assumptions!G7</f>
      </c>
      <c r="H12" s="22">
        <f>Assumptions!H7</f>
      </c>
      <c r="I12" s="22">
        <f>Assumptions!I7</f>
      </c>
      <c r="J12" s="22">
        <f>Assumptions!J7</f>
      </c>
      <c r="N12" s="4"/>
    </row>
    <row r="13" spans="1:14" s="3" customFormat="1" x14ac:dyDescent="0.25">
      <c r="A13" s="22"/>
      <c r="B13" s="3" t="s">
        <v>107</v>
      </c>
      <c r="C13" s="3">
        <f t="shared" ref="C13:F13" si="4">C9+SUM(C11:C12)</f>
      </c>
      <c r="D13" s="3">
        <f t="shared" si="4"/>
      </c>
      <c r="E13" s="3">
        <f t="shared" si="4"/>
      </c>
      <c r="F13" s="3">
        <f t="shared" si="4"/>
      </c>
      <c r="G13" s="3">
        <f t="shared" ref="G13:J13" si="5">G9+SUM(G11:G12)</f>
      </c>
      <c r="H13" s="3">
        <f t="shared" si="5"/>
      </c>
      <c r="I13" s="3">
        <f t="shared" si="5"/>
      </c>
      <c r="J13" s="3">
        <f t="shared" si="5"/>
      </c>
      <c r="K13" s="22"/>
    </row>
    <row r="15" spans="1:14" x14ac:dyDescent="0.25">
      <c r="B15" s="22" t="s">
        <v>98</v>
      </c>
      <c r="C15" s="7">
        <v>0</v>
      </c>
      <c r="D15" s="7">
        <v>0</v>
      </c>
      <c r="E15" s="7">
        <v>0</v>
      </c>
      <c r="F15" s="22">
        <f ca="1">IF(circ=1,Debt!F62,0)</f>
      </c>
      <c r="G15" s="22">
        <f ca="1">IF(circ=1,Debt!G62,0)</f>
      </c>
      <c r="H15" s="22">
        <f ca="1">IF(circ=1,Debt!H62,0)</f>
      </c>
      <c r="I15" s="22">
        <f ca="1">IF(circ=1,Debt!I62,0)</f>
      </c>
      <c r="J15" s="22">
        <f ca="1">IF(circ=1,Debt!J62,0)</f>
      </c>
    </row>
    <row r="16" spans="1:14" x14ac:dyDescent="0.25">
      <c r="B16" s="22" t="s">
        <v>86</v>
      </c>
      <c r="C16" s="7">
        <v>609</v>
      </c>
      <c r="D16" s="7">
        <v>515</v>
      </c>
      <c r="E16" s="7">
        <v>396</v>
      </c>
      <c r="F16" s="22">
        <f ca="1">IF(circ=1,Debt!F57,0)</f>
      </c>
      <c r="G16" s="22">
        <f ca="1">IF(circ=1,Debt!G57,0)</f>
      </c>
      <c r="H16" s="22">
        <f ca="1">IF(circ=1,Debt!H57,0)</f>
      </c>
      <c r="I16" s="22">
        <f ca="1">IF(circ=1,Debt!I57,0)</f>
      </c>
      <c r="J16" s="22">
        <f ca="1">IF(circ=1,Debt!J57,0)</f>
      </c>
      <c r="N16" s="5"/>
    </row>
    <row r="17" spans="1:11" x14ac:dyDescent="0.25">
      <c r="A17" s="3"/>
      <c r="B17" s="22" t="s">
        <v>108</v>
      </c>
      <c r="C17" s="7">
        <f>-901+6822-778-291-(1013-C16)</f>
      </c>
      <c r="D17" s="7">
        <f>-852+9-372-(1115-515)+43+301</f>
      </c>
      <c r="E17" s="7">
        <f>-656+186-257+(153+46+4)+(-11+25)+40+460</f>
      </c>
      <c r="F17" s="22">
        <f>Assumptions!F8</f>
      </c>
      <c r="G17" s="22">
        <f>Assumptions!G8</f>
      </c>
      <c r="H17" s="22">
        <f>Assumptions!H8</f>
      </c>
      <c r="I17" s="22">
        <f>Assumptions!I8</f>
      </c>
      <c r="J17" s="22">
        <f>Assumptions!J8</f>
      </c>
    </row>
    <row r="18" spans="1:11" s="3" customFormat="1" x14ac:dyDescent="0.25">
      <c r="A18" s="22"/>
      <c r="B18" s="3" t="s">
        <v>109</v>
      </c>
      <c r="C18" s="3">
        <f t="shared" ref="C18:F18" si="6">C9+C15-C16+C17</f>
      </c>
      <c r="D18" s="3">
        <f t="shared" si="6"/>
      </c>
      <c r="E18" s="3">
        <f t="shared" si="6"/>
      </c>
      <c r="F18" s="3">
        <f t="shared" ca="1" si="6"/>
      </c>
      <c r="G18" s="3">
        <f t="shared" ref="G18:J18" ca="1" si="7">G9+G15-G16+G17</f>
      </c>
      <c r="H18" s="3">
        <f t="shared" ca="1" si="7"/>
      </c>
      <c r="I18" s="3">
        <f t="shared" ca="1" si="7"/>
      </c>
      <c r="J18" s="3">
        <f t="shared" ca="1" si="7"/>
      </c>
      <c r="K18" s="22"/>
    </row>
    <row r="20" spans="1:11" x14ac:dyDescent="0.25">
      <c r="A20" s="3"/>
      <c r="B20" s="22" t="s">
        <v>110</v>
      </c>
      <c r="C20" s="7">
        <v>593</v>
      </c>
      <c r="D20" s="7">
        <v>129</v>
      </c>
      <c r="E20" s="7">
        <v>688</v>
      </c>
      <c r="F20" s="22">
        <f ca="1">F18*Assumptions!F9</f>
      </c>
      <c r="G20" s="22">
        <f ca="1">G18*Assumptions!G9</f>
      </c>
      <c r="H20" s="22">
        <f ca="1">H18*Assumptions!H9</f>
      </c>
      <c r="I20" s="22">
        <f ca="1">I18*Assumptions!I9</f>
      </c>
      <c r="J20" s="22">
        <f ca="1">J18*Assumptions!J9</f>
      </c>
    </row>
    <row r="21" spans="1:11" x14ac:dyDescent="0.25">
      <c r="A21" s="3"/>
      <c r="B21" s="3" t="s">
        <v>74</v>
      </c>
      <c r="C21" s="3">
        <f t="shared" ref="C21:F21" si="8">C18-C20</f>
      </c>
      <c r="D21" s="3">
        <f t="shared" si="8"/>
      </c>
      <c r="E21" s="3">
        <f t="shared" si="8"/>
      </c>
      <c r="F21" s="3">
        <f t="shared" ca="1" si="8"/>
      </c>
      <c r="G21" s="3">
        <f t="shared" ref="G21:J21" ca="1" si="9">G18-G20</f>
      </c>
      <c r="H21" s="3">
        <f t="shared" ca="1" si="9"/>
      </c>
      <c r="I21" s="3">
        <f t="shared" ca="1" si="9"/>
      </c>
      <c r="J21" s="3">
        <f t="shared" ca="1" si="9"/>
      </c>
    </row>
    <row r="22" spans="1:1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s="3" customFormat="1" x14ac:dyDescent="0.25">
      <c r="B23" s="22" t="s">
        <v>111</v>
      </c>
      <c r="C23" s="43">
        <f>-6600-(C17-6822)*(1-Assumptions!C10)</f>
      </c>
      <c r="D23" s="43">
        <f>-(D17-43-301)*(1-Assumptions!D10)-(43+301)</f>
      </c>
      <c r="E23" s="43">
        <f>-(E17-40-460)*(1-Assumptions!E10)-(40+460)</f>
      </c>
      <c r="F23" s="22">
        <f>-(1-Assumptions!F10)*IS!F17</f>
      </c>
      <c r="G23" s="22">
        <f>-(1-Assumptions!G10)*IS!G17</f>
      </c>
      <c r="H23" s="22">
        <f>-(1-Assumptions!H10)*IS!H17</f>
      </c>
      <c r="I23" s="22">
        <f>-(1-Assumptions!I10)*IS!I17</f>
      </c>
      <c r="J23" s="22">
        <f>-(1-Assumptions!J10)*IS!J17</f>
      </c>
      <c r="K23" s="22"/>
    </row>
    <row r="24" spans="1:11" x14ac:dyDescent="0.25">
      <c r="A24" s="3"/>
      <c r="B24" s="3" t="s">
        <v>112</v>
      </c>
      <c r="C24" s="3">
        <f t="shared" ref="C24:F24" si="10">C21+C23</f>
      </c>
      <c r="D24" s="3">
        <f t="shared" si="10"/>
      </c>
      <c r="E24" s="3">
        <f t="shared" si="10"/>
      </c>
      <c r="F24" s="3">
        <f t="shared" ca="1" si="10"/>
      </c>
      <c r="G24" s="3">
        <f t="shared" ref="G24:J24" ca="1" si="11">G21+G23</f>
      </c>
      <c r="H24" s="3">
        <f t="shared" ca="1" si="11"/>
      </c>
      <c r="I24" s="3">
        <f t="shared" ca="1" si="11"/>
      </c>
      <c r="J24" s="3">
        <f t="shared" ca="1" si="11"/>
      </c>
    </row>
    <row r="25" spans="1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B26" s="22" t="s">
        <v>75</v>
      </c>
      <c r="C26" s="7">
        <v>1008</v>
      </c>
      <c r="D26" s="7">
        <v>1094</v>
      </c>
      <c r="E26" s="7">
        <v>1198</v>
      </c>
      <c r="F26" s="22">
        <f>F29*F33</f>
      </c>
      <c r="G26" s="22">
        <f t="shared" ref="G26:J26" si="12">G29*G33</f>
      </c>
      <c r="H26" s="22">
        <f t="shared" si="12"/>
      </c>
      <c r="I26" s="22">
        <f t="shared" si="12"/>
      </c>
      <c r="J26" s="22">
        <f t="shared" si="12"/>
      </c>
    </row>
    <row r="27" spans="1:11" x14ac:dyDescent="0.25">
      <c r="A27" s="4"/>
    </row>
    <row r="28" spans="1:11" s="3" customFormat="1" ht="13.8" x14ac:dyDescent="0.25">
      <c r="A28" s="23" t="s">
        <v>113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x14ac:dyDescent="0.25">
      <c r="B29" s="22" t="s">
        <v>30</v>
      </c>
      <c r="C29" s="7">
        <v>1618</v>
      </c>
      <c r="D29" s="7">
        <v>1556</v>
      </c>
      <c r="E29" s="7">
        <v>1513</v>
      </c>
      <c r="F29" s="22">
        <f>Assumptions!F11</f>
      </c>
      <c r="G29" s="22">
        <f>Assumptions!G11</f>
      </c>
      <c r="H29" s="22">
        <f>Assumptions!H11</f>
      </c>
      <c r="I29" s="22">
        <f>Assumptions!I11</f>
      </c>
      <c r="J29" s="22">
        <f>Assumptions!J11</f>
      </c>
    </row>
    <row r="30" spans="1:11" s="3" customFormat="1" x14ac:dyDescent="0.25">
      <c r="A30" s="22"/>
      <c r="B30" s="22" t="s">
        <v>31</v>
      </c>
      <c r="C30" s="7">
        <v>1637</v>
      </c>
      <c r="D30" s="7">
        <v>1573</v>
      </c>
      <c r="E30" s="7">
        <v>1531</v>
      </c>
      <c r="F30" s="22">
        <f>Assumptions!F12</f>
      </c>
      <c r="G30" s="22">
        <f>Assumptions!G12</f>
      </c>
      <c r="H30" s="22">
        <f>Assumptions!H12</f>
      </c>
      <c r="I30" s="22">
        <f>Assumptions!I12</f>
      </c>
      <c r="J30" s="22">
        <f>Assumptions!J12</f>
      </c>
      <c r="K30" s="22"/>
    </row>
    <row r="31" spans="1:11" x14ac:dyDescent="0.25">
      <c r="B31" s="22" t="s">
        <v>114</v>
      </c>
      <c r="C31" s="34">
        <f t="shared" ref="C31:E31" si="13">+C24/C29</f>
      </c>
      <c r="D31" s="34">
        <f t="shared" si="13"/>
      </c>
      <c r="E31" s="34">
        <f t="shared" si="13"/>
      </c>
      <c r="F31" s="34">
        <f t="shared" ref="F31:J31" ca="1" si="14">+F24/F29</f>
      </c>
      <c r="G31" s="34">
        <f t="shared" ca="1" si="14"/>
      </c>
      <c r="H31" s="34">
        <f t="shared" ca="1" si="14"/>
      </c>
      <c r="I31" s="34">
        <f t="shared" ca="1" si="14"/>
      </c>
      <c r="J31" s="34">
        <f t="shared" ca="1" si="14"/>
      </c>
    </row>
    <row r="32" spans="1:11" x14ac:dyDescent="0.25">
      <c r="B32" s="22" t="s">
        <v>115</v>
      </c>
      <c r="C32" s="34">
        <f t="shared" ref="C32:E32" si="15">+C24/C30</f>
      </c>
      <c r="D32" s="34">
        <f t="shared" si="15"/>
      </c>
      <c r="E32" s="34">
        <f t="shared" si="15"/>
      </c>
      <c r="F32" s="34">
        <f t="shared" ref="F32:J32" ca="1" si="16">+F24/F30</f>
      </c>
      <c r="G32" s="34">
        <f t="shared" ca="1" si="16"/>
      </c>
      <c r="H32" s="34">
        <f t="shared" ca="1" si="16"/>
      </c>
      <c r="I32" s="34">
        <f t="shared" ca="1" si="16"/>
      </c>
      <c r="J32" s="34">
        <f t="shared" ca="1" si="16"/>
      </c>
    </row>
    <row r="33" spans="2:10" x14ac:dyDescent="0.25">
      <c r="B33" s="22" t="s">
        <v>116</v>
      </c>
      <c r="C33" s="34">
        <f>+C26/C29</f>
      </c>
      <c r="D33" s="34">
        <f>+D26/D29</f>
      </c>
      <c r="E33" s="34">
        <f>+E26/E29</f>
      </c>
      <c r="F33" s="34">
        <f>(1+Assumptions!F13)*IS!E33</f>
      </c>
      <c r="G33" s="34">
        <f>(1+Assumptions!G13)*IS!F33</f>
      </c>
      <c r="H33" s="34">
        <f>(1+Assumptions!H13)*IS!G33</f>
      </c>
      <c r="I33" s="34">
        <f>(1+Assumptions!I13)*IS!H33</f>
      </c>
      <c r="J33" s="34">
        <f>(1+Assumptions!J13)*IS!I33</f>
      </c>
    </row>
    <row r="34" spans="2:10" s="3" customFormat="1" x14ac:dyDescent="0.25"/>
    <row r="35" spans="2:10" s="3" customFormat="1" x14ac:dyDescent="0.25"/>
    <row r="36" spans="2:10" s="3" customFormat="1" x14ac:dyDescent="0.25">
      <c r="E36" s="10"/>
    </row>
    <row r="41" spans="2:10" x14ac:dyDescent="0.25">
      <c r="E41" s="3"/>
    </row>
    <row r="5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9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O36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5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5" s="30" customFormat="1" ht="18" thickBot="1" x14ac:dyDescent="0.35">
      <c r="A2" s="33" t="s">
        <v>117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5" ht="13.8" thickTop="1" x14ac:dyDescent="0.25">
      <c r="N3" s="4"/>
    </row>
    <row r="4" spans="1:15" s="3" customFormat="1" x14ac:dyDescent="0.25">
      <c r="A4" s="22"/>
      <c r="B4" s="22" t="s">
        <v>118</v>
      </c>
      <c r="C4" s="7"/>
      <c r="D4" s="7">
        <f>1741</f>
      </c>
      <c r="E4" s="7">
        <v>761</v>
      </c>
      <c r="F4" s="22">
        <f ca="1">CFS!F25</f>
      </c>
      <c r="G4" s="22">
        <f ca="1">CFS!G25</f>
      </c>
      <c r="H4" s="22">
        <f ca="1">CFS!H25</f>
      </c>
      <c r="I4" s="22">
        <f ca="1">CFS!I25</f>
      </c>
      <c r="J4" s="22">
        <f ca="1">CFS!J25</f>
      </c>
      <c r="K4" s="22"/>
      <c r="N4" s="4"/>
      <c r="O4" s="4"/>
    </row>
    <row r="5" spans="1:15" x14ac:dyDescent="0.25">
      <c r="B5" s="22" t="s">
        <v>119</v>
      </c>
      <c r="C5" s="7"/>
      <c r="D5" s="7">
        <f>2611+859</f>
      </c>
      <c r="E5" s="7">
        <f>2691+835</f>
      </c>
      <c r="F5" s="22">
        <f>Assumptions!F15*IS!F4/365</f>
      </c>
      <c r="G5" s="22">
        <f>Assumptions!G15*IS!G4/365</f>
      </c>
      <c r="H5" s="22">
        <f>Assumptions!H15*IS!H4/365</f>
      </c>
      <c r="I5" s="22">
        <f>Assumptions!I15*IS!I4/365</f>
      </c>
      <c r="J5" s="22">
        <f>Assumptions!J15*IS!J4/365</f>
      </c>
      <c r="N5" s="4"/>
    </row>
    <row r="6" spans="1:15" x14ac:dyDescent="0.25">
      <c r="B6" s="22" t="s">
        <v>120</v>
      </c>
      <c r="C6" s="7"/>
      <c r="D6" s="7">
        <v>2469</v>
      </c>
      <c r="E6" s="7">
        <v>2557</v>
      </c>
      <c r="F6" s="22">
        <f>Assumptions!F16*IS!F5/365</f>
      </c>
      <c r="G6" s="22">
        <f>Assumptions!G16*IS!G5/365</f>
      </c>
      <c r="H6" s="22">
        <f>Assumptions!H16*IS!H5/365</f>
      </c>
      <c r="I6" s="22">
        <f>Assumptions!I16*IS!I5/365</f>
      </c>
      <c r="J6" s="22">
        <f>Assumptions!J16*IS!J5/365</f>
      </c>
      <c r="N6" s="4"/>
    </row>
    <row r="7" spans="1:15" x14ac:dyDescent="0.25">
      <c r="A7" s="3"/>
      <c r="B7" s="22" t="s">
        <v>121</v>
      </c>
      <c r="C7" s="7"/>
      <c r="D7" s="7">
        <v>800</v>
      </c>
      <c r="E7" s="7">
        <v>676</v>
      </c>
      <c r="F7" s="22">
        <f>Assumptions!F17*IS!F4</f>
      </c>
      <c r="G7" s="22">
        <f>Assumptions!G17*IS!G4</f>
      </c>
      <c r="H7" s="22">
        <f>Assumptions!H17*IS!H4</f>
      </c>
      <c r="I7" s="22">
        <f>Assumptions!I17*IS!I4</f>
      </c>
      <c r="J7" s="22">
        <f>Assumptions!J17*IS!J4</f>
      </c>
      <c r="N7" s="4"/>
    </row>
    <row r="8" spans="1:15" s="3" customFormat="1" x14ac:dyDescent="0.25">
      <c r="A8" s="22"/>
      <c r="B8" s="3" t="s">
        <v>122</v>
      </c>
      <c r="D8" s="3">
        <f t="shared" ref="D8:F8" si="0">SUM(D4:D7)</f>
      </c>
      <c r="E8" s="3">
        <f t="shared" si="0"/>
      </c>
      <c r="F8" s="3">
        <f t="shared" ca="1" si="0"/>
      </c>
      <c r="G8" s="3">
        <f t="shared" ref="G8:J8" ca="1" si="1">SUM(G4:G7)</f>
      </c>
      <c r="H8" s="3">
        <f t="shared" ca="1" si="1"/>
      </c>
      <c r="I8" s="3">
        <f t="shared" ca="1" si="1"/>
      </c>
      <c r="J8" s="3">
        <f t="shared" ca="1" si="1"/>
      </c>
      <c r="K8" s="22"/>
      <c r="N8" s="4"/>
    </row>
    <row r="10" spans="1:15" x14ac:dyDescent="0.25">
      <c r="B10" s="22" t="s">
        <v>123</v>
      </c>
      <c r="C10" s="7"/>
      <c r="D10" s="7">
        <f>8229</f>
      </c>
      <c r="E10" s="7">
        <v>8677</v>
      </c>
      <c r="F10" s="22">
        <f>Calcs!F8</f>
      </c>
      <c r="G10" s="22">
        <f>Calcs!G8</f>
      </c>
      <c r="H10" s="22">
        <f>Calcs!H8</f>
      </c>
      <c r="I10" s="22">
        <f>Calcs!I8</f>
      </c>
      <c r="J10" s="22">
        <f>Calcs!J8</f>
      </c>
      <c r="N10" s="4"/>
    </row>
    <row r="11" spans="1:15" x14ac:dyDescent="0.25">
      <c r="B11" s="22" t="s">
        <v>124</v>
      </c>
      <c r="C11" s="7"/>
      <c r="D11" s="7">
        <f>20276</f>
      </c>
      <c r="E11" s="7">
        <v>21085</v>
      </c>
      <c r="F11" s="22">
        <f>Assumptions!F18</f>
      </c>
      <c r="G11" s="22">
        <f>Assumptions!G18</f>
      </c>
      <c r="H11" s="22">
        <f>Assumptions!H18</f>
      </c>
      <c r="I11" s="22">
        <f>Assumptions!I18</f>
      </c>
      <c r="J11" s="22">
        <f>Assumptions!J18</f>
      </c>
      <c r="N11" s="5"/>
    </row>
    <row r="12" spans="1:15" x14ac:dyDescent="0.25">
      <c r="B12" s="22" t="s">
        <v>125</v>
      </c>
      <c r="C12" s="7"/>
      <c r="D12" s="7">
        <f>18101</f>
      </c>
      <c r="E12" s="7">
        <v>18639</v>
      </c>
      <c r="F12" s="22">
        <f>-IS!F12+BS!E12</f>
      </c>
      <c r="G12" s="22">
        <f>-IS!G12+BS!F12</f>
      </c>
      <c r="H12" s="22">
        <f>-IS!H12+BS!G12</f>
      </c>
      <c r="I12" s="22">
        <f>-IS!I12+BS!H12</f>
      </c>
      <c r="J12" s="22">
        <f>-IS!J12+BS!I12</f>
      </c>
      <c r="N12" s="5"/>
    </row>
    <row r="13" spans="1:15" x14ac:dyDescent="0.25">
      <c r="B13" s="22" t="s">
        <v>126</v>
      </c>
      <c r="C13" s="7"/>
      <c r="D13" s="7">
        <v>5585</v>
      </c>
      <c r="E13" s="7">
        <v>6345</v>
      </c>
      <c r="F13" s="22">
        <f>Assumptions!F20</f>
      </c>
      <c r="G13" s="22">
        <f>Assumptions!G20</f>
      </c>
      <c r="H13" s="22">
        <f>Assumptions!H20</f>
      </c>
      <c r="I13" s="22">
        <f>Assumptions!I20</f>
      </c>
      <c r="J13" s="22">
        <f>Assumptions!J20</f>
      </c>
      <c r="N13" s="4"/>
    </row>
    <row r="14" spans="1:15" x14ac:dyDescent="0.25">
      <c r="A14" s="3"/>
      <c r="B14" s="22" t="s">
        <v>127</v>
      </c>
      <c r="C14" s="7"/>
      <c r="D14" s="7">
        <f>350+358+159</f>
      </c>
      <c r="E14" s="7">
        <f>366+319+158</f>
      </c>
      <c r="F14" s="22">
        <f>Assumptions!F19*IS!F4</f>
      </c>
      <c r="G14" s="22">
        <f>Assumptions!G19*IS!G4</f>
      </c>
      <c r="H14" s="22">
        <f>Assumptions!H19*IS!H4</f>
      </c>
      <c r="I14" s="22">
        <f>Assumptions!I19*IS!I4</f>
      </c>
      <c r="J14" s="22">
        <f>Assumptions!J19*IS!J4</f>
      </c>
      <c r="N14" s="4"/>
    </row>
    <row r="15" spans="1:15" x14ac:dyDescent="0.25">
      <c r="B15" s="3" t="s">
        <v>128</v>
      </c>
      <c r="C15" s="3"/>
      <c r="D15" s="3">
        <f t="shared" ref="D15:F15" si="2">SUM(D10:D14)</f>
      </c>
      <c r="E15" s="3">
        <f t="shared" si="2"/>
      </c>
      <c r="F15" s="3">
        <f t="shared" si="2"/>
      </c>
      <c r="G15" s="3">
        <f t="shared" ref="G15:J15" si="3">SUM(G10:G14)</f>
      </c>
      <c r="H15" s="3">
        <f t="shared" si="3"/>
      </c>
      <c r="I15" s="3">
        <f t="shared" si="3"/>
      </c>
      <c r="J15" s="3">
        <f t="shared" si="3"/>
      </c>
    </row>
    <row r="16" spans="1:15" s="3" customFormat="1" x14ac:dyDescent="0.25">
      <c r="B16" s="22"/>
      <c r="C16" s="22"/>
      <c r="D16" s="22"/>
      <c r="E16" s="22"/>
      <c r="F16" s="22"/>
      <c r="G16" s="22"/>
      <c r="H16" s="22"/>
      <c r="I16" s="22"/>
      <c r="J16" s="22"/>
      <c r="K16" s="22"/>
      <c r="N16" s="22"/>
    </row>
    <row r="17" spans="1:14" x14ac:dyDescent="0.25">
      <c r="B17" s="3" t="s">
        <v>129</v>
      </c>
      <c r="C17" s="3"/>
      <c r="D17" s="3">
        <f t="shared" ref="D17:F17" si="4">D15+D8</f>
      </c>
      <c r="E17" s="3">
        <f t="shared" si="4"/>
      </c>
      <c r="F17" s="3">
        <f t="shared" ca="1" si="4"/>
      </c>
      <c r="G17" s="3">
        <f t="shared" ref="G17:J17" ca="1" si="5">G15+G8</f>
      </c>
      <c r="H17" s="3">
        <f t="shared" ca="1" si="5"/>
      </c>
      <c r="I17" s="3">
        <f t="shared" ca="1" si="5"/>
      </c>
      <c r="J17" s="3">
        <f t="shared" ca="1" si="5"/>
      </c>
    </row>
    <row r="18" spans="1:14" s="3" customForma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N18" s="22"/>
    </row>
    <row r="19" spans="1:14" x14ac:dyDescent="0.25">
      <c r="B19" s="22" t="s">
        <v>83</v>
      </c>
      <c r="C19" s="7"/>
      <c r="D19" s="7">
        <v>2531</v>
      </c>
      <c r="E19" s="22">
        <f>+Debt!E15</f>
      </c>
      <c r="F19" s="22">
        <f ca="1">+Debt!F15</f>
      </c>
      <c r="G19" s="22">
        <f ca="1">+Debt!G15</f>
      </c>
      <c r="H19" s="22">
        <f ca="1">+Debt!H15</f>
      </c>
      <c r="I19" s="22">
        <f ca="1">+Debt!I15</f>
      </c>
      <c r="J19" s="22">
        <f ca="1">+Debt!J15</f>
      </c>
      <c r="N19" s="5"/>
    </row>
    <row r="20" spans="1:14" x14ac:dyDescent="0.25">
      <c r="B20" s="22" t="s">
        <v>130</v>
      </c>
      <c r="C20" s="7"/>
      <c r="D20" s="7">
        <v>5318</v>
      </c>
      <c r="E20" s="7">
        <v>5705</v>
      </c>
      <c r="F20" s="22">
        <f>Assumptions!F21*IS!F5/365</f>
      </c>
      <c r="G20" s="22">
        <f>Assumptions!G21*IS!G5/365</f>
      </c>
      <c r="H20" s="22">
        <f>Assumptions!H21*IS!H5/365</f>
      </c>
      <c r="I20" s="22">
        <f>Assumptions!I21*IS!I5/365</f>
      </c>
      <c r="J20" s="22">
        <f>Assumptions!J21*IS!J5/365</f>
      </c>
    </row>
    <row r="21" spans="1:14" s="3" customFormat="1" x14ac:dyDescent="0.25">
      <c r="A21" s="22"/>
      <c r="B21" s="22" t="s">
        <v>131</v>
      </c>
      <c r="C21" s="7"/>
      <c r="D21" s="7">
        <v>1745</v>
      </c>
      <c r="E21" s="7">
        <v>1728</v>
      </c>
      <c r="F21" s="22">
        <f>Assumptions!F22*IS!F$4</f>
      </c>
      <c r="G21" s="22">
        <f>Assumptions!G22*IS!G$4</f>
      </c>
      <c r="H21" s="22">
        <f>Assumptions!H22*IS!H$4</f>
      </c>
      <c r="I21" s="22">
        <f>Assumptions!I22*IS!I$4</f>
      </c>
      <c r="J21" s="22">
        <f>Assumptions!J22*IS!J$4</f>
      </c>
      <c r="K21" s="22"/>
      <c r="N21" s="22"/>
    </row>
    <row r="22" spans="1:14" s="3" customFormat="1" x14ac:dyDescent="0.25">
      <c r="A22" s="22"/>
      <c r="B22" s="22" t="s">
        <v>132</v>
      </c>
      <c r="C22" s="7"/>
      <c r="D22" s="7">
        <v>736</v>
      </c>
      <c r="E22" s="7">
        <v>721</v>
      </c>
      <c r="F22" s="22">
        <f>Assumptions!F23*IS!F$4</f>
      </c>
      <c r="G22" s="22">
        <f>Assumptions!G23*IS!G$4</f>
      </c>
      <c r="H22" s="22">
        <f>Assumptions!H23*IS!H$4</f>
      </c>
      <c r="I22" s="22">
        <f>Assumptions!I23*IS!I$4</f>
      </c>
      <c r="J22" s="22">
        <f>Assumptions!J23*IS!J$4</f>
      </c>
      <c r="K22" s="22"/>
      <c r="N22" s="22"/>
    </row>
    <row r="23" spans="1:14" s="3" customFormat="1" x14ac:dyDescent="0.25">
      <c r="B23" s="22" t="s">
        <v>133</v>
      </c>
      <c r="C23" s="7"/>
      <c r="D23" s="7">
        <v>2636</v>
      </c>
      <c r="E23" s="7">
        <v>2959</v>
      </c>
      <c r="F23" s="22">
        <f>Assumptions!F24*IS!F$4</f>
      </c>
      <c r="G23" s="22">
        <f>Assumptions!G24*IS!G$4</f>
      </c>
      <c r="H23" s="22">
        <f>Assumptions!H24*IS!H$4</f>
      </c>
      <c r="I23" s="22">
        <f>Assumptions!I24*IS!I$4</f>
      </c>
      <c r="J23" s="22">
        <f>Assumptions!J24*IS!J$4</f>
      </c>
      <c r="K23" s="22"/>
      <c r="N23" s="22"/>
    </row>
    <row r="24" spans="1:14" x14ac:dyDescent="0.25">
      <c r="B24" s="3" t="s">
        <v>134</v>
      </c>
      <c r="C24" s="3"/>
      <c r="D24" s="3">
        <f t="shared" ref="D24:F24" si="6">SUM(D19:D23)</f>
      </c>
      <c r="E24" s="3">
        <f t="shared" si="6"/>
      </c>
      <c r="F24" s="3">
        <f t="shared" ca="1" si="6"/>
      </c>
      <c r="G24" s="3">
        <f t="shared" ref="G24:J24" ca="1" si="7">SUM(G19:G23)</f>
      </c>
      <c r="H24" s="3">
        <f t="shared" ca="1" si="7"/>
      </c>
      <c r="I24" s="3">
        <f t="shared" ca="1" si="7"/>
      </c>
      <c r="J24" s="3">
        <f t="shared" ca="1" si="7"/>
      </c>
    </row>
    <row r="25" spans="1:14" x14ac:dyDescent="0.25">
      <c r="N25" s="5"/>
    </row>
    <row r="26" spans="1:14" x14ac:dyDescent="0.25">
      <c r="B26" s="22" t="s">
        <v>135</v>
      </c>
      <c r="C26" s="7"/>
      <c r="D26" s="7">
        <v>14668</v>
      </c>
      <c r="E26" s="22">
        <f>Debt!E50</f>
      </c>
      <c r="F26" s="22">
        <f ca="1">Debt!F50</f>
      </c>
      <c r="G26" s="22">
        <f ca="1">Debt!G50</f>
      </c>
      <c r="H26" s="22">
        <f ca="1">Debt!H50</f>
      </c>
      <c r="I26" s="22">
        <f ca="1">Debt!I50</f>
      </c>
      <c r="J26" s="22">
        <f ca="1">Debt!J50</f>
      </c>
    </row>
    <row r="27" spans="1:14" x14ac:dyDescent="0.25">
      <c r="B27" s="22" t="s">
        <v>136</v>
      </c>
      <c r="C27" s="7"/>
      <c r="D27" s="7">
        <v>4721</v>
      </c>
      <c r="E27" s="7">
        <v>3376</v>
      </c>
      <c r="F27" s="22">
        <f>Assumptions!F25*IS!F$4</f>
      </c>
      <c r="G27" s="22">
        <f>Assumptions!G25*IS!G$4</f>
      </c>
      <c r="H27" s="22">
        <f>Assumptions!H25*IS!H$4</f>
      </c>
      <c r="I27" s="22">
        <f>Assumptions!I25*IS!I$4</f>
      </c>
      <c r="J27" s="22">
        <f>Assumptions!J25*IS!J$4</f>
      </c>
    </row>
    <row r="28" spans="1:14" x14ac:dyDescent="0.25">
      <c r="A28" s="3"/>
      <c r="B28" s="22" t="s">
        <v>137</v>
      </c>
      <c r="C28" s="7"/>
      <c r="D28" s="7">
        <v>3968</v>
      </c>
      <c r="E28" s="7">
        <f>1669+419+2689</f>
      </c>
      <c r="F28" s="22">
        <f>Assumptions!F26*IS!F$4</f>
      </c>
      <c r="G28" s="22">
        <f>Assumptions!G26*IS!G$4</f>
      </c>
      <c r="H28" s="22">
        <f>Assumptions!H26*IS!H$4</f>
      </c>
      <c r="I28" s="22">
        <f>Assumptions!I26*IS!I$4</f>
      </c>
      <c r="J28" s="22">
        <f>Assumptions!J26*IS!J$4</f>
      </c>
    </row>
    <row r="29" spans="1:14" x14ac:dyDescent="0.25">
      <c r="B29" s="3" t="s">
        <v>138</v>
      </c>
      <c r="C29" s="3"/>
      <c r="D29" s="3">
        <f t="shared" ref="D29:F29" si="8">SUM(D26:D28)</f>
      </c>
      <c r="E29" s="3">
        <f t="shared" si="8"/>
      </c>
      <c r="F29" s="3">
        <f t="shared" ca="1" si="8"/>
      </c>
      <c r="G29" s="3">
        <f t="shared" ref="G29:J29" ca="1" si="9">SUM(G26:G28)</f>
      </c>
      <c r="H29" s="3">
        <f t="shared" ca="1" si="9"/>
      </c>
      <c r="I29" s="3">
        <f t="shared" ca="1" si="9"/>
      </c>
      <c r="J29" s="3">
        <f t="shared" ca="1" si="9"/>
      </c>
    </row>
    <row r="30" spans="1:14" x14ac:dyDescent="0.25">
      <c r="C30" s="7"/>
      <c r="D30" s="7"/>
      <c r="E30" s="7"/>
    </row>
    <row r="31" spans="1:14" x14ac:dyDescent="0.25">
      <c r="A31" s="3"/>
      <c r="B31" s="22" t="s">
        <v>49</v>
      </c>
      <c r="C31" s="7"/>
      <c r="D31" s="7">
        <v>25215</v>
      </c>
      <c r="E31" s="7">
        <v>26191</v>
      </c>
      <c r="F31" s="22">
        <f ca="1">Calcs!F15</f>
      </c>
      <c r="G31" s="22">
        <f ca="1">Calcs!G15</f>
      </c>
      <c r="H31" s="22">
        <f ca="1">Calcs!H15</f>
      </c>
      <c r="I31" s="22">
        <f ca="1">Calcs!I15</f>
      </c>
      <c r="J31" s="22">
        <f ca="1">Calcs!J15</f>
      </c>
    </row>
    <row r="32" spans="1:14" x14ac:dyDescent="0.25">
      <c r="B32" s="3" t="s">
        <v>139</v>
      </c>
      <c r="C32" s="3"/>
      <c r="D32" s="3">
        <f t="shared" ref="D32:F32" si="10">D24+D29+D31</f>
      </c>
      <c r="E32" s="3">
        <f t="shared" si="10"/>
      </c>
      <c r="F32" s="3">
        <f t="shared" ca="1" si="10"/>
      </c>
      <c r="G32" s="3">
        <f t="shared" ref="G32:J32" ca="1" si="11">G24+G29+G31</f>
      </c>
      <c r="H32" s="3">
        <f t="shared" ca="1" si="11"/>
      </c>
      <c r="I32" s="3">
        <f t="shared" ca="1" si="11"/>
      </c>
      <c r="J32" s="3">
        <f t="shared" ca="1" si="11"/>
      </c>
    </row>
    <row r="33" spans="1:10" x14ac:dyDescent="0.25">
      <c r="A33" s="3"/>
    </row>
    <row r="34" spans="1:10" x14ac:dyDescent="0.25">
      <c r="B34" s="3" t="s">
        <v>140</v>
      </c>
      <c r="C34" s="9"/>
      <c r="D34" s="9" t="str">
        <f t="shared" ref="D34:F34" si="12">IF(D32=D17,"OK",D32-D17)</f>
      </c>
      <c r="E34" s="9" t="str">
        <f t="shared" si="12"/>
      </c>
      <c r="F34" s="9" t="str">
        <f t="shared" ca="1" si="12"/>
      </c>
      <c r="G34" s="9" t="str">
        <f t="shared" ref="G34:J34" ca="1" si="13">IF(G32=G17,"OK",G32-G17)</f>
      </c>
      <c r="H34" s="9" t="str">
        <f t="shared" ca="1" si="13"/>
      </c>
      <c r="I34" s="9" t="str">
        <f t="shared" ca="1" si="13"/>
      </c>
      <c r="J34" s="9" t="str">
        <f t="shared" ca="1" si="13"/>
      </c>
    </row>
    <row r="36" spans="1:10" s="3" customFormat="1" x14ac:dyDescent="0.25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J25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141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0" ht="13.8" thickTop="1" x14ac:dyDescent="0.25"/>
    <row r="4" spans="1:10" x14ac:dyDescent="0.25">
      <c r="B4" s="22" t="s">
        <v>74</v>
      </c>
      <c r="F4" s="22">
        <f ca="1">IS!F21</f>
      </c>
      <c r="G4" s="22">
        <f ca="1">IS!G21</f>
      </c>
      <c r="H4" s="22">
        <f ca="1">IS!H21</f>
      </c>
      <c r="I4" s="22">
        <f ca="1">IS!I21</f>
      </c>
      <c r="J4" s="22">
        <f ca="1">IS!J21</f>
      </c>
    </row>
    <row r="5" spans="1:10" x14ac:dyDescent="0.25">
      <c r="B5" s="22" t="s">
        <v>72</v>
      </c>
      <c r="F5" s="22">
        <f>IS!F11</f>
      </c>
      <c r="G5" s="22">
        <f>IS!G11</f>
      </c>
      <c r="H5" s="22">
        <f>IS!H11</f>
      </c>
      <c r="I5" s="22">
        <f>IS!I11</f>
      </c>
      <c r="J5" s="22">
        <f>IS!J11</f>
      </c>
    </row>
    <row r="6" spans="1:10" x14ac:dyDescent="0.25">
      <c r="B6" s="22" t="s">
        <v>106</v>
      </c>
      <c r="F6" s="22">
        <f>IS!F12</f>
      </c>
      <c r="G6" s="22">
        <f>IS!G12</f>
      </c>
      <c r="H6" s="22">
        <f>IS!H12</f>
      </c>
      <c r="I6" s="22">
        <f>IS!I12</f>
      </c>
      <c r="J6" s="22">
        <f>IS!J12</f>
      </c>
    </row>
    <row r="7" spans="1:10" x14ac:dyDescent="0.25">
      <c r="B7" s="22" t="s">
        <v>142</v>
      </c>
      <c r="F7" s="22">
        <f>Calcs!E27-Calcs!F27</f>
      </c>
      <c r="G7" s="22">
        <f>Calcs!F27-Calcs!G27</f>
      </c>
      <c r="H7" s="22">
        <f>Calcs!G27-Calcs!H27</f>
      </c>
      <c r="I7" s="22">
        <f>Calcs!H27-Calcs!I27</f>
      </c>
      <c r="J7" s="22">
        <f>Calcs!I27-Calcs!J27</f>
      </c>
    </row>
    <row r="8" spans="1:10" x14ac:dyDescent="0.25">
      <c r="B8" s="22" t="s">
        <v>143</v>
      </c>
      <c r="F8" s="22">
        <f>BS!E14-BS!F14</f>
      </c>
      <c r="G8" s="22">
        <f>BS!F14-BS!G14</f>
      </c>
      <c r="H8" s="22">
        <f>BS!G14-BS!H14</f>
      </c>
      <c r="I8" s="22">
        <f>BS!H14-BS!I14</f>
      </c>
      <c r="J8" s="22">
        <f>BS!I14-BS!J14</f>
      </c>
    </row>
    <row r="9" spans="1:10" x14ac:dyDescent="0.25">
      <c r="B9" s="22" t="s">
        <v>144</v>
      </c>
      <c r="F9" s="22">
        <f>BS!F27-BS!E27</f>
      </c>
      <c r="G9" s="22">
        <f>BS!G27-BS!F27</f>
      </c>
      <c r="H9" s="22">
        <f>BS!H27-BS!G27</f>
      </c>
      <c r="I9" s="22">
        <f>BS!I27-BS!H27</f>
      </c>
      <c r="J9" s="22">
        <f>BS!J27-BS!I27</f>
      </c>
    </row>
    <row r="10" spans="1:10" x14ac:dyDescent="0.25">
      <c r="B10" s="22" t="s">
        <v>145</v>
      </c>
      <c r="F10" s="22">
        <f>BS!F28-BS!E28</f>
      </c>
      <c r="G10" s="22">
        <f>BS!G28-BS!F28</f>
      </c>
      <c r="H10" s="22">
        <f>BS!H28-BS!G28</f>
      </c>
      <c r="I10" s="22">
        <f>BS!I28-BS!H28</f>
      </c>
      <c r="J10" s="22">
        <f>BS!J28-BS!I28</f>
      </c>
    </row>
    <row r="11" spans="1:10" x14ac:dyDescent="0.25">
      <c r="A11" s="3"/>
      <c r="B11" s="3" t="s">
        <v>146</v>
      </c>
      <c r="C11" s="3"/>
      <c r="D11" s="3"/>
      <c r="E11" s="3"/>
      <c r="F11" s="3">
        <f ca="1">SUM(F4:F10)</f>
      </c>
      <c r="G11" s="3">
        <f t="shared" ref="G11:J11" ca="1" si="0">SUM(G4:G10)</f>
      </c>
      <c r="H11" s="3">
        <f t="shared" ca="1" si="0"/>
      </c>
      <c r="I11" s="3">
        <f t="shared" ca="1" si="0"/>
      </c>
      <c r="J11" s="3">
        <f t="shared" ca="1" si="0"/>
      </c>
    </row>
    <row r="13" spans="1:10" x14ac:dyDescent="0.25">
      <c r="B13" s="22" t="s">
        <v>71</v>
      </c>
      <c r="F13" s="22">
        <f>-Calcs!F6</f>
      </c>
      <c r="G13" s="22">
        <f>-Calcs!G6</f>
      </c>
      <c r="H13" s="22">
        <f>-Calcs!H6</f>
      </c>
      <c r="I13" s="22">
        <f>-Calcs!I6</f>
      </c>
      <c r="J13" s="22">
        <f>-Calcs!J6</f>
      </c>
    </row>
    <row r="14" spans="1:10" x14ac:dyDescent="0.25">
      <c r="B14" s="22" t="s">
        <v>147</v>
      </c>
      <c r="F14" s="22">
        <f>BS!E13-BS!F13</f>
      </c>
      <c r="G14" s="22">
        <f>BS!F13-BS!G13</f>
      </c>
      <c r="H14" s="22">
        <f>BS!G13-BS!H13</f>
      </c>
      <c r="I14" s="22">
        <f>BS!H13-BS!I13</f>
      </c>
      <c r="J14" s="22">
        <f>BS!I13-BS!J13</f>
      </c>
    </row>
    <row r="15" spans="1:10" x14ac:dyDescent="0.25">
      <c r="A15" s="3"/>
      <c r="B15" s="3" t="s">
        <v>148</v>
      </c>
      <c r="C15" s="3"/>
      <c r="D15" s="3"/>
      <c r="E15" s="3"/>
      <c r="F15" s="3">
        <f>SUM(F13:F14)</f>
      </c>
      <c r="G15" s="3">
        <f t="shared" ref="G15:J15" si="1">SUM(G13:G14)</f>
      </c>
      <c r="H15" s="3">
        <f t="shared" si="1"/>
      </c>
      <c r="I15" s="3">
        <f t="shared" si="1"/>
      </c>
      <c r="J15" s="3">
        <f t="shared" si="1"/>
      </c>
    </row>
    <row r="17" spans="1:10" x14ac:dyDescent="0.25">
      <c r="B17" s="22" t="s">
        <v>75</v>
      </c>
      <c r="F17" s="22">
        <f>-Calcs!F13</f>
      </c>
      <c r="G17" s="22">
        <f>-Calcs!G13</f>
      </c>
      <c r="H17" s="22">
        <f>-Calcs!H13</f>
      </c>
      <c r="I17" s="22">
        <f>-Calcs!I13</f>
      </c>
      <c r="J17" s="22">
        <f>-Calcs!J13</f>
      </c>
    </row>
    <row r="18" spans="1:10" x14ac:dyDescent="0.25">
      <c r="B18" s="22" t="s">
        <v>50</v>
      </c>
      <c r="F18" s="22">
        <f>Calcs!F14</f>
      </c>
      <c r="G18" s="22">
        <f>Calcs!G14</f>
      </c>
      <c r="H18" s="22">
        <f>Calcs!H14</f>
      </c>
      <c r="I18" s="22">
        <f>Calcs!I14</f>
      </c>
      <c r="J18" s="22">
        <f>Calcs!J14</f>
      </c>
    </row>
    <row r="19" spans="1:10" x14ac:dyDescent="0.25">
      <c r="B19" s="22" t="s">
        <v>149</v>
      </c>
      <c r="F19" s="22">
        <f ca="1">BS!F19-BS!E19</f>
      </c>
      <c r="G19" s="22">
        <f ca="1">BS!G19-BS!F19</f>
      </c>
      <c r="H19" s="22">
        <f ca="1">BS!H19-BS!G19</f>
      </c>
      <c r="I19" s="22">
        <f ca="1">BS!I19-BS!H19</f>
      </c>
      <c r="J19" s="22">
        <f ca="1">BS!J19-BS!I19</f>
      </c>
    </row>
    <row r="20" spans="1:10" x14ac:dyDescent="0.25">
      <c r="B20" s="22" t="s">
        <v>150</v>
      </c>
      <c r="F20" s="22">
        <f ca="1">BS!F26-BS!E26</f>
      </c>
      <c r="G20" s="22">
        <f ca="1">BS!G26-BS!F26</f>
      </c>
      <c r="H20" s="22">
        <f ca="1">BS!H26-BS!G26</f>
      </c>
      <c r="I20" s="22">
        <f ca="1">BS!I26-BS!H26</f>
      </c>
      <c r="J20" s="22">
        <f ca="1">BS!J26-BS!I26</f>
      </c>
    </row>
    <row r="21" spans="1:10" x14ac:dyDescent="0.25">
      <c r="A21" s="3"/>
      <c r="B21" s="3" t="s">
        <v>151</v>
      </c>
      <c r="C21" s="3"/>
      <c r="D21" s="3"/>
      <c r="E21" s="3"/>
      <c r="F21" s="3">
        <f ca="1">SUM(F17:F20)</f>
      </c>
      <c r="G21" s="3">
        <f t="shared" ref="G21:J21" ca="1" si="2">SUM(G17:G20)</f>
      </c>
      <c r="H21" s="3">
        <f t="shared" ca="1" si="2"/>
      </c>
      <c r="I21" s="3">
        <f t="shared" ca="1" si="2"/>
      </c>
      <c r="J21" s="3">
        <f t="shared" ca="1" si="2"/>
      </c>
    </row>
    <row r="23" spans="1:10" x14ac:dyDescent="0.25">
      <c r="A23" s="3"/>
      <c r="B23" s="3" t="s">
        <v>152</v>
      </c>
      <c r="C23" s="3"/>
      <c r="D23" s="3"/>
      <c r="E23" s="3"/>
      <c r="F23" s="3">
        <f ca="1">F21+F15+F11</f>
      </c>
      <c r="G23" s="3">
        <f t="shared" ref="G23:J23" ca="1" si="3">G21+G15+G11</f>
      </c>
      <c r="H23" s="3">
        <f t="shared" ca="1" si="3"/>
      </c>
      <c r="I23" s="3">
        <f t="shared" ca="1" si="3"/>
      </c>
      <c r="J23" s="3">
        <f t="shared" ca="1" si="3"/>
      </c>
    </row>
    <row r="25" spans="1:10" x14ac:dyDescent="0.25">
      <c r="B25" s="22" t="s">
        <v>153</v>
      </c>
      <c r="E25" s="22">
        <f>BS!E4</f>
      </c>
      <c r="F25" s="22">
        <f ca="1">E25+F23</f>
      </c>
      <c r="G25" s="22">
        <f t="shared" ref="G25:J25" ca="1" si="4">F25+G23</f>
      </c>
      <c r="H25" s="22">
        <f t="shared" ca="1" si="4"/>
      </c>
      <c r="I25" s="22">
        <f t="shared" ca="1" si="4"/>
      </c>
      <c r="J25" s="22">
        <f t="shared" ca="1" si="4"/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J33"/>
  <sheetViews>
    <sheetView showGridLines="0" zoomScaleNormal="100" workbookViewId="0"/>
  </sheetViews>
  <sheetFormatPr defaultColWidth="8.88671875" defaultRowHeight="13.2" x14ac:dyDescent="0.25"/>
  <cols>
    <col min="1" max="1" width="1.6640625" style="22" customWidth="1"/>
    <col min="2" max="2" width="36.5546875" style="22" customWidth="1"/>
    <col min="3" max="16" width="11.6640625" style="22" customWidth="1"/>
    <col min="17" max="16384" width="8.88671875" style="22"/>
  </cols>
  <sheetData>
    <row r="1" spans="1:10" s="30" customFormat="1" ht="17.399999999999999" x14ac:dyDescent="0.3">
      <c r="A1" s="28" t="str">
        <f>CoName</f>
      </c>
      <c r="B1" s="28"/>
      <c r="C1" s="29" t="s">
        <v>20</v>
      </c>
      <c r="D1" s="29" t="s">
        <v>20</v>
      </c>
      <c r="E1" s="29" t="s">
        <v>20</v>
      </c>
      <c r="F1" s="29" t="s">
        <v>21</v>
      </c>
      <c r="G1" s="29" t="s">
        <v>21</v>
      </c>
      <c r="H1" s="29" t="s">
        <v>21</v>
      </c>
      <c r="I1" s="29" t="s">
        <v>21</v>
      </c>
      <c r="J1" s="29" t="s">
        <v>21</v>
      </c>
    </row>
    <row r="2" spans="1:10" s="30" customFormat="1" ht="18" thickBot="1" x14ac:dyDescent="0.35">
      <c r="A2" s="33" t="s">
        <v>9</v>
      </c>
      <c r="B2" s="31"/>
      <c r="C2" s="32">
        <f>DATE(YEAR(D2)-1,MONTH(D2),DAY(D2))</f>
      </c>
      <c r="D2" s="32">
        <f>DATE(YEAR(E2)-1,MONTH(E2),DAY(E2))</f>
      </c>
      <c r="E2" s="32">
        <f>Inputs!C20</f>
      </c>
      <c r="F2" s="32">
        <f>DATE(YEAR(E2)+1,MONTH(E2),DAY(E2))</f>
      </c>
      <c r="G2" s="32">
        <f>DATE(YEAR(F2)+1,MONTH(F2),DAY(F2))</f>
      </c>
      <c r="H2" s="32">
        <f>DATE(YEAR(G2)+1,MONTH(G2),DAY(G2))</f>
      </c>
      <c r="I2" s="32">
        <f>DATE(YEAR(H2)+1,MONTH(H2),DAY(H2))</f>
      </c>
      <c r="J2" s="32">
        <f>DATE(YEAR(I2)+1,MONTH(I2),DAY(I2))</f>
      </c>
    </row>
    <row r="3" spans="1:10" ht="14.4" thickTop="1" x14ac:dyDescent="0.25">
      <c r="A3" s="23"/>
      <c r="C3" s="21"/>
      <c r="D3" s="21"/>
      <c r="E3" s="21"/>
      <c r="F3" s="21"/>
      <c r="G3" s="21"/>
      <c r="H3" s="21"/>
      <c r="I3" s="21"/>
      <c r="J3" s="21"/>
    </row>
    <row r="4" spans="1:10" ht="13.8" x14ac:dyDescent="0.25">
      <c r="A4" s="23" t="s">
        <v>154</v>
      </c>
    </row>
    <row r="5" spans="1:10" x14ac:dyDescent="0.25">
      <c r="B5" s="22" t="s">
        <v>101</v>
      </c>
      <c r="D5" s="1">
        <f>IS!D4/IS!C4-1</f>
      </c>
      <c r="E5" s="1">
        <f>IS!E4/IS!D4-1</f>
      </c>
      <c r="F5" s="1">
        <f>IS!F4/IS!E4-1</f>
      </c>
      <c r="G5" s="1">
        <f>IS!G4/IS!F4-1</f>
      </c>
      <c r="H5" s="1">
        <f>IS!H4/IS!G4-1</f>
      </c>
      <c r="I5" s="1">
        <f>IS!I4/IS!H4-1</f>
      </c>
      <c r="J5" s="1">
        <f>IS!J4/IS!I4-1</f>
      </c>
    </row>
    <row r="6" spans="1:10" x14ac:dyDescent="0.25">
      <c r="B6" s="22" t="s">
        <v>107</v>
      </c>
      <c r="D6" s="1">
        <f>IS!D13/IS!C13-1</f>
      </c>
      <c r="E6" s="1">
        <f>IS!E13/IS!D13-1</f>
      </c>
      <c r="F6" s="1">
        <f>IS!F13/IS!E13-1</f>
      </c>
      <c r="G6" s="1">
        <f>IS!G13/IS!F13-1</f>
      </c>
      <c r="H6" s="1">
        <f>IS!H13/IS!G13-1</f>
      </c>
      <c r="I6" s="1">
        <f>IS!I13/IS!H13-1</f>
      </c>
      <c r="J6" s="1">
        <f>IS!J13/IS!I13-1</f>
      </c>
    </row>
    <row r="7" spans="1:10" x14ac:dyDescent="0.25">
      <c r="B7" s="22" t="s">
        <v>155</v>
      </c>
      <c r="G7" s="1">
        <f ca="1">CFS!G11/CFS!F11-1</f>
      </c>
      <c r="H7" s="1">
        <f ca="1">CFS!H11/CFS!G11-1</f>
      </c>
      <c r="I7" s="1">
        <f ca="1">CFS!I11/CFS!H11-1</f>
      </c>
      <c r="J7" s="1">
        <f ca="1">CFS!J11/CFS!I11-1</f>
      </c>
    </row>
    <row r="8" spans="1:10" x14ac:dyDescent="0.25">
      <c r="B8" s="22" t="s">
        <v>74</v>
      </c>
      <c r="C8" s="1"/>
      <c r="D8" s="1">
        <f>IS!D24/IS!C24-1</f>
      </c>
      <c r="E8" s="1">
        <f>IS!E24/IS!D24-1</f>
      </c>
      <c r="F8" s="1">
        <f ca="1">IS!F24/IS!E24-1</f>
      </c>
      <c r="G8" s="1">
        <f ca="1">IS!G24/IS!F24-1</f>
      </c>
      <c r="H8" s="1">
        <f ca="1">IS!H24/IS!G24-1</f>
      </c>
      <c r="I8" s="1">
        <f ca="1">IS!I24/IS!H24-1</f>
      </c>
      <c r="J8" s="1">
        <f ca="1">IS!J24/IS!I24-1</f>
      </c>
    </row>
    <row r="10" spans="1:10" ht="13.8" x14ac:dyDescent="0.25">
      <c r="A10" s="23" t="s">
        <v>156</v>
      </c>
    </row>
    <row r="11" spans="1:10" x14ac:dyDescent="0.25">
      <c r="B11" s="22" t="s">
        <v>157</v>
      </c>
      <c r="C11" s="1">
        <f>IS!C9/IS!C4</f>
      </c>
      <c r="D11" s="1">
        <f>IS!D9/IS!D4</f>
      </c>
      <c r="E11" s="1">
        <f>IS!E9/IS!E4</f>
      </c>
      <c r="F11" s="1">
        <f>IS!F9/IS!F4</f>
      </c>
      <c r="G11" s="1">
        <f>IS!G9/IS!G4</f>
      </c>
      <c r="H11" s="1">
        <f>IS!H9/IS!H4</f>
      </c>
      <c r="I11" s="1">
        <f>IS!I9/IS!I4</f>
      </c>
      <c r="J11" s="1">
        <f>IS!J9/IS!J4</f>
      </c>
    </row>
    <row r="12" spans="1:10" x14ac:dyDescent="0.25">
      <c r="B12" s="22" t="s">
        <v>158</v>
      </c>
      <c r="C12" s="1">
        <f>IS!C13/IS!C4</f>
      </c>
      <c r="D12" s="1">
        <f>IS!D13/IS!D4</f>
      </c>
      <c r="E12" s="1">
        <f>IS!E13/IS!E4</f>
      </c>
      <c r="F12" s="1">
        <f>IS!F13/IS!F4</f>
      </c>
      <c r="G12" s="1">
        <f>IS!G13/IS!G4</f>
      </c>
      <c r="H12" s="1">
        <f>IS!H13/IS!H4</f>
      </c>
      <c r="I12" s="1">
        <f>IS!I13/IS!I4</f>
      </c>
      <c r="J12" s="1">
        <f>IS!J13/IS!J4</f>
      </c>
    </row>
    <row r="13" spans="1:10" x14ac:dyDescent="0.25">
      <c r="B13" s="22" t="s">
        <v>159</v>
      </c>
      <c r="C13" s="1">
        <f>IS!C24/IS!C4</f>
      </c>
      <c r="D13" s="1">
        <f>IS!D24/IS!D4</f>
      </c>
      <c r="E13" s="1">
        <f>IS!E24/IS!E4</f>
      </c>
      <c r="F13" s="1">
        <f ca="1">IS!F24/IS!F4</f>
      </c>
      <c r="G13" s="1">
        <f ca="1">IS!G24/IS!G4</f>
      </c>
      <c r="H13" s="1">
        <f ca="1">IS!H24/IS!H4</f>
      </c>
      <c r="I13" s="1">
        <f ca="1">IS!I24/IS!I4</f>
      </c>
      <c r="J13" s="1">
        <f ca="1">IS!J24/IS!J4</f>
      </c>
    </row>
    <row r="15" spans="1:10" ht="13.8" x14ac:dyDescent="0.25">
      <c r="A15" s="23" t="s">
        <v>160</v>
      </c>
    </row>
    <row r="16" spans="1:10" x14ac:dyDescent="0.25">
      <c r="B16" s="22" t="s">
        <v>161</v>
      </c>
      <c r="D16" s="22">
        <f>BS!D26+BS!D19</f>
      </c>
      <c r="E16" s="22">
        <f>BS!E26+BS!E19</f>
      </c>
      <c r="F16" s="22">
        <f ca="1">BS!F26+BS!F19</f>
      </c>
      <c r="G16" s="22">
        <f ca="1">BS!G26+BS!G19</f>
      </c>
      <c r="H16" s="22">
        <f ca="1">BS!H26+BS!H19</f>
      </c>
      <c r="I16" s="22">
        <f ca="1">BS!I26+BS!I19</f>
      </c>
      <c r="J16" s="22">
        <f ca="1">BS!J26+BS!J19</f>
      </c>
    </row>
    <row r="17" spans="1:10" x14ac:dyDescent="0.25">
      <c r="B17" s="22" t="s">
        <v>162</v>
      </c>
      <c r="D17" s="22">
        <f>BS!D26+BS!D19-BS!D4</f>
      </c>
      <c r="E17" s="22">
        <f>BS!E26+BS!E19-BS!E4</f>
      </c>
      <c r="F17" s="22">
        <f ca="1">BS!F26+BS!F19-BS!F4</f>
      </c>
      <c r="G17" s="22">
        <f ca="1">BS!G26+BS!G19-BS!G4</f>
      </c>
      <c r="H17" s="22">
        <f ca="1">BS!H26+BS!H19-BS!H4</f>
      </c>
      <c r="I17" s="22">
        <f ca="1">BS!I26+BS!I19-BS!I4</f>
      </c>
      <c r="J17" s="22">
        <f ca="1">BS!J26+BS!J19-BS!J4</f>
      </c>
    </row>
    <row r="18" spans="1:10" x14ac:dyDescent="0.25">
      <c r="B18" s="22" t="s">
        <v>49</v>
      </c>
      <c r="D18" s="22">
        <f>BS!D31</f>
      </c>
      <c r="E18" s="22">
        <f>BS!E31</f>
      </c>
      <c r="F18" s="22">
        <f ca="1">BS!F31</f>
      </c>
      <c r="G18" s="22">
        <f ca="1">BS!G31</f>
      </c>
      <c r="H18" s="22">
        <f ca="1">BS!H31</f>
      </c>
      <c r="I18" s="22">
        <f ca="1">BS!I31</f>
      </c>
      <c r="J18" s="22">
        <f ca="1">BS!J31</f>
      </c>
    </row>
    <row r="19" spans="1:10" x14ac:dyDescent="0.25">
      <c r="B19" s="22" t="s">
        <v>163</v>
      </c>
      <c r="D19" s="1">
        <f t="shared" ref="D19:J19" si="0">D17/D18</f>
      </c>
      <c r="E19" s="1">
        <f t="shared" si="0"/>
      </c>
      <c r="F19" s="1">
        <f t="shared" ca="1" si="0"/>
      </c>
      <c r="G19" s="1">
        <f t="shared" ca="1" si="0"/>
      </c>
      <c r="H19" s="1">
        <f t="shared" ca="1" si="0"/>
      </c>
      <c r="I19" s="1">
        <f t="shared" ca="1" si="0"/>
      </c>
      <c r="J19" s="1">
        <f t="shared" ca="1" si="0"/>
      </c>
    </row>
    <row r="20" spans="1:10" x14ac:dyDescent="0.25">
      <c r="B20" s="22" t="s">
        <v>164</v>
      </c>
      <c r="D20" s="44">
        <f>D17/IS!D13</f>
      </c>
      <c r="E20" s="44">
        <f>E17/IS!E13</f>
      </c>
      <c r="F20" s="44">
        <f ca="1">F17/IS!F13</f>
      </c>
      <c r="G20" s="44">
        <f ca="1">G17/IS!G13</f>
      </c>
      <c r="H20" s="44">
        <f ca="1">H17/IS!H13</f>
      </c>
      <c r="I20" s="44">
        <f ca="1">I17/IS!I13</f>
      </c>
      <c r="J20" s="44">
        <f ca="1">J17/IS!J13</f>
      </c>
    </row>
    <row r="21" spans="1:10" x14ac:dyDescent="0.25">
      <c r="B21" s="22" t="s">
        <v>165</v>
      </c>
      <c r="C21" s="44">
        <f>IS!C13/IS!C16</f>
      </c>
      <c r="D21" s="44">
        <f>IS!D13/IS!D16</f>
      </c>
      <c r="E21" s="44">
        <f>IS!E13/IS!E16</f>
      </c>
      <c r="F21" s="44">
        <f ca="1">IS!F13/IS!F16</f>
      </c>
      <c r="G21" s="44">
        <f ca="1">IS!G13/IS!G16</f>
      </c>
      <c r="H21" s="44">
        <f ca="1">IS!H13/IS!H16</f>
      </c>
      <c r="I21" s="44">
        <f ca="1">IS!I13/IS!I16</f>
      </c>
      <c r="J21" s="44">
        <f ca="1">IS!J13/IS!J16</f>
      </c>
    </row>
    <row r="22" spans="1:10" x14ac:dyDescent="0.25">
      <c r="B22" s="22" t="s">
        <v>166</v>
      </c>
      <c r="C22" s="1">
        <f>IS!C26/IS!C24</f>
      </c>
      <c r="D22" s="1">
        <f>IS!D26/IS!D24</f>
      </c>
      <c r="E22" s="1">
        <f>IS!E26/IS!E24</f>
      </c>
      <c r="F22" s="1">
        <f ca="1">IS!F26/IS!F24</f>
      </c>
      <c r="G22" s="1">
        <f ca="1">IS!G26/IS!G24</f>
      </c>
      <c r="H22" s="1">
        <f ca="1">IS!H26/IS!H24</f>
      </c>
      <c r="I22" s="1">
        <f ca="1">IS!I26/IS!I24</f>
      </c>
      <c r="J22" s="1">
        <f ca="1">IS!J26/IS!J24</f>
      </c>
    </row>
    <row r="24" spans="1:10" ht="13.8" x14ac:dyDescent="0.25">
      <c r="A24" s="23" t="s">
        <v>167</v>
      </c>
    </row>
    <row r="25" spans="1:10" x14ac:dyDescent="0.25">
      <c r="B25" s="22" t="s">
        <v>168</v>
      </c>
      <c r="D25" s="1">
        <f>Calcs!D27/IS!D4</f>
      </c>
      <c r="E25" s="1">
        <f>Calcs!E27/IS!E4</f>
      </c>
      <c r="F25" s="1">
        <f>Calcs!F27/IS!F4</f>
      </c>
      <c r="G25" s="1">
        <f>Calcs!G27/IS!G4</f>
      </c>
      <c r="H25" s="1">
        <f>Calcs!H27/IS!H4</f>
      </c>
      <c r="I25" s="1">
        <f>Calcs!I27/IS!I4</f>
      </c>
      <c r="J25" s="1">
        <f>Calcs!J27/IS!J4</f>
      </c>
    </row>
    <row r="26" spans="1:10" x14ac:dyDescent="0.25">
      <c r="B26" s="22" t="s">
        <v>169</v>
      </c>
      <c r="D26" s="1">
        <f>BS!D10/IS!D4</f>
      </c>
      <c r="E26" s="1">
        <f>BS!E10/IS!E4</f>
      </c>
      <c r="F26" s="1">
        <f>BS!F10/IS!F4</f>
      </c>
      <c r="G26" s="1">
        <f>BS!G10/IS!G4</f>
      </c>
      <c r="H26" s="1">
        <f>BS!H10/IS!H4</f>
      </c>
      <c r="I26" s="1">
        <f>BS!I10/IS!I4</f>
      </c>
      <c r="J26" s="1">
        <f>BS!J10/IS!J4</f>
      </c>
    </row>
    <row r="27" spans="1:10" x14ac:dyDescent="0.25">
      <c r="B27" s="22" t="s">
        <v>170</v>
      </c>
      <c r="D27" s="22">
        <f t="shared" ref="D27:J27" si="1">SUM(D17:D18)</f>
      </c>
      <c r="E27" s="22">
        <f t="shared" si="1"/>
      </c>
      <c r="F27" s="22">
        <f t="shared" ca="1" si="1"/>
      </c>
      <c r="G27" s="22">
        <f t="shared" ca="1" si="1"/>
      </c>
      <c r="H27" s="22">
        <f t="shared" ca="1" si="1"/>
      </c>
      <c r="I27" s="22">
        <f t="shared" ca="1" si="1"/>
      </c>
      <c r="J27" s="22">
        <f t="shared" ca="1" si="1"/>
      </c>
    </row>
    <row r="28" spans="1:10" x14ac:dyDescent="0.25">
      <c r="B28" s="22" t="s">
        <v>171</v>
      </c>
      <c r="D28" s="1">
        <f>D27/IS!D4</f>
      </c>
      <c r="E28" s="1">
        <f>E27/IS!E4</f>
      </c>
      <c r="F28" s="1">
        <f ca="1">F27/IS!F4</f>
      </c>
      <c r="G28" s="1">
        <f ca="1">G27/IS!G4</f>
      </c>
      <c r="H28" s="1">
        <f ca="1">H27/IS!H4</f>
      </c>
      <c r="I28" s="1">
        <f ca="1">I27/IS!I4</f>
      </c>
      <c r="J28" s="1">
        <f ca="1">J27/IS!J4</f>
      </c>
    </row>
    <row r="30" spans="1:10" ht="13.8" x14ac:dyDescent="0.25">
      <c r="A30" s="23" t="s">
        <v>172</v>
      </c>
    </row>
    <row r="31" spans="1:10" x14ac:dyDescent="0.25">
      <c r="B31" s="22" t="s">
        <v>173</v>
      </c>
      <c r="D31" s="22">
        <f>IS!D9*(1-Assumptions!D9)</f>
      </c>
      <c r="E31" s="22">
        <f>IS!E9*(1-Assumptions!E9)</f>
      </c>
      <c r="F31" s="22">
        <f>IS!F9*(1-Assumptions!F9)</f>
      </c>
      <c r="G31" s="22">
        <f>IS!G9*(1-Assumptions!G9)</f>
      </c>
      <c r="H31" s="22">
        <f>IS!H9*(1-Assumptions!H9)</f>
      </c>
      <c r="I31" s="22">
        <f>IS!I9*(1-Assumptions!I9)</f>
      </c>
      <c r="J31" s="22">
        <f>IS!J9*(1-Assumptions!J9)</f>
      </c>
    </row>
    <row r="32" spans="1:10" x14ac:dyDescent="0.25">
      <c r="B32" s="22" t="s">
        <v>174</v>
      </c>
      <c r="D32" s="1"/>
      <c r="E32" s="1">
        <f t="shared" ref="E32" si="2">E31/D27</f>
      </c>
      <c r="F32" s="1">
        <f t="shared" ref="F32" si="3">F31/E27</f>
      </c>
      <c r="G32" s="1">
        <f t="shared" ref="G32" ca="1" si="4">G31/F27</f>
      </c>
      <c r="H32" s="1">
        <f t="shared" ref="H32" ca="1" si="5">H31/G27</f>
      </c>
      <c r="I32" s="1">
        <f t="shared" ref="I32" ca="1" si="6">I31/H27</f>
      </c>
      <c r="J32" s="1">
        <f t="shared" ref="J32" ca="1" si="7">J31/I27</f>
      </c>
    </row>
    <row r="33" spans="2:10" x14ac:dyDescent="0.25">
      <c r="B33" s="22" t="s">
        <v>175</v>
      </c>
      <c r="D33" s="1"/>
      <c r="E33" s="1">
        <f>IS!E24/Ratios!D18</f>
      </c>
      <c r="F33" s="1">
        <f ca="1">IS!F24/Ratios!E18</f>
      </c>
      <c r="G33" s="1">
        <f ca="1">IS!G24/Ratios!F18</f>
      </c>
      <c r="H33" s="1">
        <f ca="1">IS!H24/Ratios!G18</f>
      </c>
      <c r="I33" s="1">
        <f ca="1">IS!I24/Ratios!H18</f>
      </c>
      <c r="J33" s="1">
        <f ca="1">IS!J24/Ratios!I18</f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Inputs</vt:lpstr>
      <vt:lpstr>Assumptions</vt:lpstr>
      <vt:lpstr>Revenues</vt:lpstr>
      <vt:lpstr>Calcs</vt:lpstr>
      <vt:lpstr>Debt</vt:lpstr>
      <vt:lpstr>IS</vt:lpstr>
      <vt:lpstr>BS</vt:lpstr>
      <vt:lpstr>CFS</vt:lpstr>
      <vt:lpstr>Ratios</vt:lpstr>
      <vt:lpstr>Ccy</vt:lpstr>
      <vt:lpstr>circ</vt:lpstr>
      <vt:lpstr>CoName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>1</cp:revision>
  <dcterms:created xsi:type="dcterms:W3CDTF">2026-01-01T00:00:00Z</dcterms:created>
  <dcterms:modified xsi:type="dcterms:W3CDTF">2026-01-01T00:00:00Z</dcterms:modified>
</cp:coreProperties>
</file>