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bookViews>
    <workbookView xWindow="7448" yWindow="-16695" windowWidth="28994" windowHeight="15675" tabRatio="808" xr2:uid="{00000000-000D-0000-FFFF-FFFF00000000}"/>
  </bookViews>
  <sheets>
    <sheet name="Inputs" sheetId="3" r:id="rId1"/>
    <sheet name="Summary" sheetId="4" r:id="rId2"/>
    <sheet name="Company0650" sheetId="19" r:id="rId3"/>
    <sheet name="Company0777_2" sheetId="5" r:id="rId4"/>
    <sheet name="Heinz" sheetId="6" r:id="rId5"/>
    <sheet name="Company0382" sheetId="7" r:id="rId6"/>
    <sheet name="ConAgra" sheetId="8" r:id="rId7"/>
    <sheet name="Company1507" sheetId="9" r:id="rId8"/>
    <sheet name="Company1930_2" sheetId="10" r:id="rId9"/>
    <sheet name="Company1930_1" sheetId="11" r:id="rId10"/>
    <sheet name="Company1522_2" sheetId="12" r:id="rId11"/>
    <sheet name="Mars" sheetId="13" r:id="rId12"/>
    <sheet name="Company0777_1" sheetId="14" r:id="rId13"/>
    <sheet name="Company1522_1" sheetId="15" r:id="rId14"/>
    <sheet name="Company0676" sheetId="16" r:id="rId15"/>
    <sheet name="CVC" sheetId="17" r:id="rId16"/>
    <sheet name="Company3003" sheetId="18" r:id="rId17"/>
  </sheets>
  <definedNames>
    <definedName name="Announce" localSheetId="5">Company0382!$D$25</definedName>
    <definedName name="Announce" localSheetId="2">Company0650!$D$25</definedName>
    <definedName name="Announce" localSheetId="14">Company0676!$D$25</definedName>
    <definedName name="Announce" localSheetId="6">ConAgra!$D$25</definedName>
    <definedName name="Announce" localSheetId="15">CVC!$D$25</definedName>
    <definedName name="Announce" localSheetId="12">Company0777_1!$D$25</definedName>
    <definedName name="Announce" localSheetId="3">Company0777_2!$D$25</definedName>
    <definedName name="Announce" localSheetId="4">Heinz!$D$25</definedName>
    <definedName name="Announce" localSheetId="7">Company1507!$D$25</definedName>
    <definedName name="Announce" localSheetId="13">Company1522_1!$D$25</definedName>
    <definedName name="Announce" localSheetId="10">Company1522_2!$D$25</definedName>
    <definedName name="Announce" localSheetId="11">Mars!$D$25</definedName>
    <definedName name="Announce" localSheetId="9">Company1930_1!$D$25</definedName>
    <definedName name="Announce" localSheetId="8">Company1930_2!$D$25</definedName>
    <definedName name="Announce" localSheetId="16">Company3003!$D$25</definedName>
    <definedName name="calendar" localSheetId="2">#REF!</definedName>
    <definedName name="calendar">#REF!</definedName>
    <definedName name="Cash" localSheetId="5">Company0382!$D$34</definedName>
    <definedName name="Cash" localSheetId="2">Company0650!$D$34</definedName>
    <definedName name="Cash" localSheetId="14">Company0676!$D$34</definedName>
    <definedName name="Cash" localSheetId="6">ConAgra!$D$34</definedName>
    <definedName name="Cash" localSheetId="15">CVC!$D$34</definedName>
    <definedName name="Cash" localSheetId="12">Company0777_1!$D$34</definedName>
    <definedName name="Cash" localSheetId="3">Company0777_2!$D$34</definedName>
    <definedName name="Cash" localSheetId="4">Heinz!$D$34</definedName>
    <definedName name="Cash" localSheetId="7">Company1507!$D$34</definedName>
    <definedName name="Cash" localSheetId="13">Company1522_1!$D$34</definedName>
    <definedName name="Cash" localSheetId="10">Company1522_2!$D$34</definedName>
    <definedName name="Cash" localSheetId="11">Mars!$D$34</definedName>
    <definedName name="Cash" localSheetId="9">Company1930_1!$D$34</definedName>
    <definedName name="Cash" localSheetId="8">Company1930_2!$D$34</definedName>
    <definedName name="Cash" localSheetId="16">Company3003!$D$34</definedName>
    <definedName name="Ccy">Inputs!$C$19</definedName>
    <definedName name="circ">Inputs!#REF!</definedName>
    <definedName name="Complete" localSheetId="5">Company0382!$D$26</definedName>
    <definedName name="Complete" localSheetId="2">Company0650!$D$26</definedName>
    <definedName name="Complete" localSheetId="14">Company0676!$D$26</definedName>
    <definedName name="Complete" localSheetId="6">ConAgra!$D$26</definedName>
    <definedName name="Complete" localSheetId="15">CVC!$D$26</definedName>
    <definedName name="Complete" localSheetId="12">Company0777_1!$D$26</definedName>
    <definedName name="Complete" localSheetId="3">Company0777_2!$D$26</definedName>
    <definedName name="Complete" localSheetId="4">Heinz!$D$26</definedName>
    <definedName name="Complete" localSheetId="7">Company1507!$D$26</definedName>
    <definedName name="Complete" localSheetId="13">Company1522_1!$D$26</definedName>
    <definedName name="Complete" localSheetId="10">Company1522_2!$D$26</definedName>
    <definedName name="Complete" localSheetId="11">Mars!$D$26</definedName>
    <definedName name="Complete" localSheetId="9">Company1930_1!$D$26</definedName>
    <definedName name="Complete" localSheetId="8">Company1930_2!$D$26</definedName>
    <definedName name="Complete" localSheetId="16">Company3003!$D$26</definedName>
    <definedName name="CoName">Inputs!#REF!</definedName>
    <definedName name="Ticker0005_Share_Price" localSheetId="2">#REF!</definedName>
    <definedName name="Ticker0005_Share_Price">#REF!</definedName>
    <definedName name="Currency" localSheetId="5">Company0382!$D$27</definedName>
    <definedName name="Currency" localSheetId="2">Company0650!$D$27</definedName>
    <definedName name="Currency" localSheetId="14">Company0676!$D$27</definedName>
    <definedName name="Currency" localSheetId="6">ConAgra!$D$27</definedName>
    <definedName name="Currency" localSheetId="15">CVC!$D$27</definedName>
    <definedName name="Currency" localSheetId="12">Company0777_1!$D$27</definedName>
    <definedName name="Currency" localSheetId="3">Company0777_2!$D$27</definedName>
    <definedName name="Currency" localSheetId="4">Heinz!$D$27</definedName>
    <definedName name="Currency" localSheetId="7">Company1507!$D$27</definedName>
    <definedName name="Currency" localSheetId="13">Company1522_1!$D$27</definedName>
    <definedName name="Currency" localSheetId="10">Company1522_2!$D$27</definedName>
    <definedName name="Currency" localSheetId="11">Mars!$D$27</definedName>
    <definedName name="Currency" localSheetId="9">Company1930_1!$D$27</definedName>
    <definedName name="Currency" localSheetId="8">Company1930_2!$D$27</definedName>
    <definedName name="Currency" localSheetId="16">Company3003!$D$27</definedName>
    <definedName name="Driver" localSheetId="5">Company0382!$I$23</definedName>
    <definedName name="Driver" localSheetId="2">Company0650!$I$23</definedName>
    <definedName name="Driver" localSheetId="14">Company0676!$I$23</definedName>
    <definedName name="Driver" localSheetId="6">ConAgra!$I$23</definedName>
    <definedName name="Driver" localSheetId="15">CVC!$I$23</definedName>
    <definedName name="Driver" localSheetId="12">Company0777_1!$I$23</definedName>
    <definedName name="Driver" localSheetId="3">Company0777_2!$I$23</definedName>
    <definedName name="Driver" localSheetId="4">Heinz!$I$23</definedName>
    <definedName name="Driver" localSheetId="7">Company1507!$I$23</definedName>
    <definedName name="Driver" localSheetId="13">Company1522_1!$I$23</definedName>
    <definedName name="Driver" localSheetId="10">Company1522_2!$I$23</definedName>
    <definedName name="Driver" localSheetId="11">Mars!$I$23</definedName>
    <definedName name="Driver" localSheetId="9">Company1930_1!$I$23</definedName>
    <definedName name="Driver" localSheetId="8">Company1930_2!$I$23</definedName>
    <definedName name="Driver" localSheetId="16">Company3003!$I$23</definedName>
    <definedName name="EBITDAMargin" localSheetId="5">Company0382!$E$14</definedName>
    <definedName name="EBITDAMargin" localSheetId="2">Company0650!$E$14</definedName>
    <definedName name="EBITDAMargin" localSheetId="14">Company0676!$E$14</definedName>
    <definedName name="EBITDAMargin" localSheetId="6">ConAgra!$E$14</definedName>
    <definedName name="EBITDAMargin" localSheetId="15">CVC!$E$14</definedName>
    <definedName name="EBITDAMargin" localSheetId="12">Company0777_1!$E$14</definedName>
    <definedName name="EBITDAMargin" localSheetId="3">Company0777_2!$E$14</definedName>
    <definedName name="EBITDAMargin" localSheetId="4">Heinz!$E$14</definedName>
    <definedName name="EBITDAMargin" localSheetId="7">Company1507!$E$14</definedName>
    <definedName name="EBITDAMargin" localSheetId="13">Company1522_1!$E$14</definedName>
    <definedName name="EBITDAMargin" localSheetId="10">Company1522_2!$E$14</definedName>
    <definedName name="EBITDAMargin" localSheetId="11">Mars!$E$14</definedName>
    <definedName name="EBITDAMargin" localSheetId="9">Company1930_1!$E$14</definedName>
    <definedName name="EBITDAMargin" localSheetId="8">Company1930_2!$E$14</definedName>
    <definedName name="EBITDAMargin" localSheetId="16">Company3003!$E$14</definedName>
    <definedName name="EBITDAMultiple" localSheetId="5">Company0382!$D$19</definedName>
    <definedName name="EBITDAMultiple" localSheetId="2">Company0650!$D$19</definedName>
    <definedName name="EBITDAMultiple" localSheetId="14">Company0676!$D$19</definedName>
    <definedName name="EBITDAMultiple" localSheetId="6">ConAgra!$D$19</definedName>
    <definedName name="EBITDAMultiple" localSheetId="15">CVC!$D$19</definedName>
    <definedName name="EBITDAMultiple" localSheetId="12">Company0777_1!$D$19</definedName>
    <definedName name="EBITDAMultiple" localSheetId="3">Company0777_2!$D$19</definedName>
    <definedName name="EBITDAMultiple" localSheetId="4">Heinz!$D$19</definedName>
    <definedName name="EBITDAMultiple" localSheetId="7">Company1507!$D$19</definedName>
    <definedName name="EBITDAMultiple" localSheetId="13">Company1522_1!$D$19</definedName>
    <definedName name="EBITDAMultiple" localSheetId="10">Company1522_2!$D$19</definedName>
    <definedName name="EBITDAMultiple" localSheetId="11">Mars!$D$19</definedName>
    <definedName name="EBITDAMultiple" localSheetId="9">Company1930_1!$D$19</definedName>
    <definedName name="EBITDAMultiple" localSheetId="8">Company1930_2!$D$19</definedName>
    <definedName name="EBITDAMultiple" localSheetId="16">Company3003!$D$19</definedName>
    <definedName name="Equity" localSheetId="5">Company0382!$D$8</definedName>
    <definedName name="Equity" localSheetId="2">Company0650!$D$8</definedName>
    <definedName name="Equity" localSheetId="14">Company0676!$D$8</definedName>
    <definedName name="Equity" localSheetId="6">ConAgra!$D$8</definedName>
    <definedName name="Equity" localSheetId="15">CVC!$D$8</definedName>
    <definedName name="Equity" localSheetId="12">Company0777_1!$D$8</definedName>
    <definedName name="Equity" localSheetId="3">Company0777_2!$D$8</definedName>
    <definedName name="Equity" localSheetId="4">Heinz!$D$8</definedName>
    <definedName name="Equity" localSheetId="7">Company1507!$D$8</definedName>
    <definedName name="Equity" localSheetId="13">Company1522_1!$D$8</definedName>
    <definedName name="Equity" localSheetId="10">Company1522_2!$D$8</definedName>
    <definedName name="Equity" localSheetId="11">Mars!$D$8</definedName>
    <definedName name="Equity" localSheetId="9">Company1930_1!$D$8</definedName>
    <definedName name="Equity" localSheetId="8">Company1930_2!$D$8</definedName>
    <definedName name="Equity" localSheetId="16">Company3003!$D$8</definedName>
    <definedName name="EV" localSheetId="5">Company0382!$D$9</definedName>
    <definedName name="EV" localSheetId="2">Company0650!$D$9</definedName>
    <definedName name="EV" localSheetId="14">Company0676!$D$9</definedName>
    <definedName name="EV" localSheetId="6">ConAgra!$D$9</definedName>
    <definedName name="EV" localSheetId="15">CVC!$D$9</definedName>
    <definedName name="EV" localSheetId="12">Company0777_1!$D$9</definedName>
    <definedName name="EV" localSheetId="3">Company0777_2!$D$9</definedName>
    <definedName name="EV" localSheetId="4">Heinz!$D$9</definedName>
    <definedName name="EV" localSheetId="7">Company1507!$D$9</definedName>
    <definedName name="EV" localSheetId="13">Company1522_1!$D$9</definedName>
    <definedName name="EV" localSheetId="10">Company1522_2!$D$9</definedName>
    <definedName name="EV" localSheetId="11">Mars!$D$9</definedName>
    <definedName name="EV" localSheetId="9">Company1930_1!$D$9</definedName>
    <definedName name="EV" localSheetId="8">Company1930_2!$D$9</definedName>
    <definedName name="EV" localSheetId="16">Company3003!$D$9</definedName>
    <definedName name="FX" localSheetId="5">Company0382!$D$28</definedName>
    <definedName name="FX" localSheetId="2">Company0650!$D$28</definedName>
    <definedName name="FX" localSheetId="14">Company0676!$D$28</definedName>
    <definedName name="FX" localSheetId="6">ConAgra!$D$28</definedName>
    <definedName name="FX" localSheetId="15">CVC!$D$28</definedName>
    <definedName name="FX" localSheetId="12">Company0777_1!$D$28</definedName>
    <definedName name="FX" localSheetId="3">Company0777_2!$D$28</definedName>
    <definedName name="FX" localSheetId="4">Heinz!$D$28</definedName>
    <definedName name="FX" localSheetId="7">Company1507!$D$28</definedName>
    <definedName name="FX" localSheetId="13">Company1522_1!$D$28</definedName>
    <definedName name="FX" localSheetId="10">Company1522_2!$D$28</definedName>
    <definedName name="FX" localSheetId="11">Mars!$D$28</definedName>
    <definedName name="FX" localSheetId="9">Company1930_1!$D$28</definedName>
    <definedName name="FX" localSheetId="8">Company1930_2!$D$28</definedName>
    <definedName name="FX" localSheetId="16">Company3003!$D$28</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OfferPrice" localSheetId="5">Company0382!$D$6</definedName>
    <definedName name="OfferPrice" localSheetId="2">Company0650!$D$6</definedName>
    <definedName name="OfferPrice" localSheetId="14">Company0676!$D$6</definedName>
    <definedName name="OfferPrice" localSheetId="6">ConAgra!$D$6</definedName>
    <definedName name="OfferPrice" localSheetId="15">CVC!$D$6</definedName>
    <definedName name="OfferPrice" localSheetId="12">Company0777_1!$D$6</definedName>
    <definedName name="OfferPrice" localSheetId="3">Company0777_2!$D$6</definedName>
    <definedName name="OfferPrice" localSheetId="4">Heinz!$D$6</definedName>
    <definedName name="OfferPrice" localSheetId="7">Company1507!$D$6</definedName>
    <definedName name="OfferPrice" localSheetId="13">Company1522_1!$D$6</definedName>
    <definedName name="OfferPrice" localSheetId="10">Company1522_2!$D$6</definedName>
    <definedName name="OfferPrice" localSheetId="11">Mars!$D$6</definedName>
    <definedName name="OfferPrice" localSheetId="9">Company1930_1!$D$6</definedName>
    <definedName name="OfferPrice" localSheetId="8">Company1930_2!$D$6</definedName>
    <definedName name="OfferPrice" localSheetId="16">Company3003!$D$6</definedName>
    <definedName name="Premium" localSheetId="5">Company0382!$D$7</definedName>
    <definedName name="Premium" localSheetId="2">Company0650!$D$7</definedName>
    <definedName name="Premium" localSheetId="14">Company0676!$D$7</definedName>
    <definedName name="Premium" localSheetId="6">ConAgra!$D$7</definedName>
    <definedName name="Premium" localSheetId="15">CVC!$D$7</definedName>
    <definedName name="Premium" localSheetId="12">Company0777_1!$D$7</definedName>
    <definedName name="Premium" localSheetId="3">Company0777_2!$D$7</definedName>
    <definedName name="Premium" localSheetId="4">Heinz!$D$7</definedName>
    <definedName name="Premium" localSheetId="7">Company1507!$D$7</definedName>
    <definedName name="Premium" localSheetId="13">Company1522_1!$D$7</definedName>
    <definedName name="Premium" localSheetId="10">Company1522_2!$D$7</definedName>
    <definedName name="Premium" localSheetId="11">Mars!$D$7</definedName>
    <definedName name="Premium" localSheetId="9">Company1930_1!$D$7</definedName>
    <definedName name="Premium" localSheetId="8">Company1930_2!$D$7</definedName>
    <definedName name="Premium" localSheetId="16">Company3003!$D$7</definedName>
    <definedName name="_xlnm.Print_Area" localSheetId="5">Company0382!$A$1:$K$79</definedName>
    <definedName name="_xlnm.Print_Area" localSheetId="2">Company0650!$A$1:$K$79</definedName>
    <definedName name="_xlnm.Print_Area" localSheetId="14">Company0676!$A$1:$K$79</definedName>
    <definedName name="_xlnm.Print_Area" localSheetId="6">ConAgra!$A$1:$K$79</definedName>
    <definedName name="_xlnm.Print_Area" localSheetId="15">CVC!$A$1:$K$79</definedName>
    <definedName name="_xlnm.Print_Area" localSheetId="12">Company0777_1!$A$1:$K$79</definedName>
    <definedName name="_xlnm.Print_Area" localSheetId="3">Company0777_2!$A$1:$K$79</definedName>
    <definedName name="_xlnm.Print_Area" localSheetId="4">Heinz!$A$1:$K$79</definedName>
    <definedName name="_xlnm.Print_Area" localSheetId="7">Company1507!$A$1:$K$79</definedName>
    <definedName name="_xlnm.Print_Area" localSheetId="13">Company1522_1!$A$1:$K$79</definedName>
    <definedName name="_xlnm.Print_Area" localSheetId="10">Company1522_2!$A$1:$K$79</definedName>
    <definedName name="_xlnm.Print_Area" localSheetId="11">Mars!$A$1:$K$79</definedName>
    <definedName name="_xlnm.Print_Area" localSheetId="9">Company1930_1!$A$1:$K$79</definedName>
    <definedName name="_xlnm.Print_Area" localSheetId="8">Company1930_2!$A$1:$K$79</definedName>
    <definedName name="_xlnm.Print_Area" localSheetId="16">Company3003!$A$1:$K$79</definedName>
    <definedName name="refin" localSheetId="2">#REF!</definedName>
    <definedName name="refin">#REF!</definedName>
    <definedName name="roll" localSheetId="2">#REF!</definedName>
    <definedName name="roll">#REF!</definedName>
    <definedName name="SalesMultiple" localSheetId="5">Company0382!$D$17</definedName>
    <definedName name="SalesMultiple" localSheetId="2">Company0650!$D$17</definedName>
    <definedName name="SalesMultiple" localSheetId="14">Company0676!$D$17</definedName>
    <definedName name="SalesMultiple" localSheetId="6">ConAgra!$D$17</definedName>
    <definedName name="SalesMultiple" localSheetId="15">CVC!$D$17</definedName>
    <definedName name="SalesMultiple" localSheetId="12">Company0777_1!$D$17</definedName>
    <definedName name="SalesMultiple" localSheetId="3">Company0777_2!$D$17</definedName>
    <definedName name="SalesMultiple" localSheetId="4">Heinz!$D$17</definedName>
    <definedName name="SalesMultiple" localSheetId="7">Company1507!$D$17</definedName>
    <definedName name="SalesMultiple" localSheetId="13">Company1522_1!$D$17</definedName>
    <definedName name="SalesMultiple" localSheetId="10">Company1522_2!$D$17</definedName>
    <definedName name="SalesMultiple" localSheetId="11">Mars!$D$17</definedName>
    <definedName name="SalesMultiple" localSheetId="9">Company1930_1!$D$17</definedName>
    <definedName name="SalesMultiple" localSheetId="8">Company1930_2!$D$17</definedName>
    <definedName name="SalesMultiple" localSheetId="16">Company3003!$D$17</definedName>
    <definedName name="Share" localSheetId="5">Company0382!$D$35</definedName>
    <definedName name="Share" localSheetId="2">Company0650!$D$35</definedName>
    <definedName name="Share" localSheetId="14">Company0676!$D$35</definedName>
    <definedName name="Share" localSheetId="6">ConAgra!$D$35</definedName>
    <definedName name="Share" localSheetId="15">CVC!$D$35</definedName>
    <definedName name="Share" localSheetId="12">Company0777_1!$D$35</definedName>
    <definedName name="Share" localSheetId="3">Company0777_2!$D$35</definedName>
    <definedName name="Share" localSheetId="4">Heinz!$D$35</definedName>
    <definedName name="Share" localSheetId="7">Company1507!$D$35</definedName>
    <definedName name="Share" localSheetId="13">Company1522_1!$D$35</definedName>
    <definedName name="Share" localSheetId="10">Company1522_2!$D$35</definedName>
    <definedName name="Share" localSheetId="11">Mars!$D$35</definedName>
    <definedName name="Share" localSheetId="9">Company1930_1!$D$35</definedName>
    <definedName name="Share" localSheetId="8">Company1930_2!$D$35</definedName>
    <definedName name="Share" localSheetId="16">Company3003!$D$35</definedName>
    <definedName name="TargetName" localSheetId="5">Company0382!$D$24</definedName>
    <definedName name="TargetName" localSheetId="2">Company0650!$D$24</definedName>
    <definedName name="TargetName" localSheetId="14">Company0676!$D$24</definedName>
    <definedName name="TargetName" localSheetId="6">ConAgra!$D$24</definedName>
    <definedName name="TargetName" localSheetId="15">CVC!$D$24</definedName>
    <definedName name="TargetName" localSheetId="12">Company0777_1!$D$24</definedName>
    <definedName name="TargetName" localSheetId="3">Company0777_2!$D$24</definedName>
    <definedName name="TargetName" localSheetId="4">Heinz!$D$24</definedName>
    <definedName name="TargetName" localSheetId="7">Company1507!$D$24</definedName>
    <definedName name="TargetName" localSheetId="13">Company1522_1!$D$24</definedName>
    <definedName name="TargetName" localSheetId="10">Company1522_2!$D$24</definedName>
    <definedName name="TargetName" localSheetId="11">Mars!$D$24</definedName>
    <definedName name="TargetName" localSheetId="9">Company1930_1!$D$24</definedName>
    <definedName name="TargetName" localSheetId="8">Company1930_2!$D$24</definedName>
    <definedName name="TargetName" localSheetId="16">Company3003!$D$24</definedName>
    <definedName name="Units">Inputs!$C$20</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0" i="19" l="1"/>
  <c r="D58" i="19"/>
  <c r="D7" i="19"/>
  <c r="I57" i="19" l="1"/>
  <c r="I61" i="19" s="1"/>
  <c r="I55" i="19"/>
  <c r="D59" i="19"/>
  <c r="I43" i="19"/>
  <c r="K43" i="19" s="1"/>
  <c r="I29" i="19"/>
  <c r="G78" i="19"/>
  <c r="E76" i="19"/>
  <c r="E79" i="19" s="1"/>
  <c r="F76" i="19"/>
  <c r="F79" i="19" s="1"/>
  <c r="D76" i="19"/>
  <c r="G65" i="19"/>
  <c r="D12" i="19" s="1"/>
  <c r="F64" i="19"/>
  <c r="E64" i="19"/>
  <c r="D64" i="19"/>
  <c r="D48" i="19"/>
  <c r="D54" i="19"/>
  <c r="I54" i="19" s="1"/>
  <c r="K51" i="19"/>
  <c r="K50" i="19"/>
  <c r="K49" i="19"/>
  <c r="D49" i="19"/>
  <c r="C49" i="19"/>
  <c r="K48" i="19"/>
  <c r="C48" i="19"/>
  <c r="K47" i="19"/>
  <c r="D47" i="19"/>
  <c r="C47" i="19"/>
  <c r="K46" i="19"/>
  <c r="D46" i="19"/>
  <c r="C46" i="19"/>
  <c r="K45" i="19"/>
  <c r="D45" i="19"/>
  <c r="C45" i="19"/>
  <c r="K44" i="19"/>
  <c r="D43" i="19"/>
  <c r="C43" i="19"/>
  <c r="K42" i="19"/>
  <c r="D42" i="19"/>
  <c r="C42" i="19"/>
  <c r="J40" i="19"/>
  <c r="I40" i="19"/>
  <c r="I38" i="19"/>
  <c r="D35" i="19"/>
  <c r="C9" i="19"/>
  <c r="C8" i="19"/>
  <c r="D6" i="19"/>
  <c r="C6" i="19"/>
  <c r="A2" i="19"/>
  <c r="A1" i="19"/>
  <c r="H21" i="4"/>
  <c r="D21" i="4"/>
  <c r="E21" i="4"/>
  <c r="J21" i="4"/>
  <c r="G21" i="4"/>
  <c r="I21" i="4"/>
  <c r="C21" i="4"/>
  <c r="F21" i="4"/>
  <c r="D44" i="19" l="1"/>
  <c r="K52" i="19"/>
  <c r="I30" i="19" s="1"/>
  <c r="I31" i="19" s="1"/>
  <c r="I33" i="19" s="1"/>
  <c r="D41" i="19" s="1"/>
  <c r="G76" i="19"/>
  <c r="D13" i="19" s="1"/>
  <c r="E13" i="19" s="1"/>
  <c r="D79" i="19"/>
  <c r="G79" i="19" s="1"/>
  <c r="D14" i="19" s="1"/>
  <c r="E14" i="19" s="1"/>
  <c r="D61" i="19"/>
  <c r="D62" i="19" s="1"/>
  <c r="G78" i="18"/>
  <c r="F76" i="18"/>
  <c r="F79" i="18" s="1"/>
  <c r="E76" i="18"/>
  <c r="E79" i="18" s="1"/>
  <c r="D76" i="18"/>
  <c r="D65" i="18"/>
  <c r="G65" i="18" s="1"/>
  <c r="D12" i="18" s="1"/>
  <c r="F64" i="18"/>
  <c r="E64" i="18"/>
  <c r="D64" i="18"/>
  <c r="I61" i="18"/>
  <c r="D61" i="18"/>
  <c r="D62" i="18" s="1"/>
  <c r="D54" i="18"/>
  <c r="I54" i="18" s="1"/>
  <c r="D49" i="18"/>
  <c r="C49" i="18"/>
  <c r="D48" i="18"/>
  <c r="C48" i="18"/>
  <c r="D47" i="18"/>
  <c r="C47" i="18"/>
  <c r="K46" i="18"/>
  <c r="D46" i="18"/>
  <c r="C46" i="18"/>
  <c r="K45" i="18"/>
  <c r="D45" i="18"/>
  <c r="C45" i="18"/>
  <c r="K44" i="18"/>
  <c r="K43" i="18"/>
  <c r="D43" i="18"/>
  <c r="C43" i="18"/>
  <c r="K42" i="18"/>
  <c r="K47" i="18" s="1"/>
  <c r="I30" i="18" s="1"/>
  <c r="I31" i="18" s="1"/>
  <c r="D42" i="18"/>
  <c r="C42" i="18"/>
  <c r="J40" i="18"/>
  <c r="I40" i="18"/>
  <c r="I38" i="18"/>
  <c r="D50" i="18" s="1"/>
  <c r="D9" i="18" s="1"/>
  <c r="D35" i="18"/>
  <c r="I32" i="18"/>
  <c r="C9" i="18"/>
  <c r="D8" i="18"/>
  <c r="C8" i="18"/>
  <c r="D7" i="18"/>
  <c r="D6" i="18"/>
  <c r="C6" i="18"/>
  <c r="A2" i="18"/>
  <c r="A1" i="18"/>
  <c r="G78" i="17"/>
  <c r="F76" i="17"/>
  <c r="F79" i="17" s="1"/>
  <c r="E76" i="17"/>
  <c r="E79" i="17" s="1"/>
  <c r="D76" i="17"/>
  <c r="G65" i="17"/>
  <c r="D12" i="17" s="1"/>
  <c r="F64" i="17"/>
  <c r="E64" i="17"/>
  <c r="D64" i="17"/>
  <c r="I61" i="17"/>
  <c r="D61" i="17"/>
  <c r="D54" i="17"/>
  <c r="I54" i="17" s="1"/>
  <c r="D50" i="17"/>
  <c r="D49" i="17"/>
  <c r="C49" i="17"/>
  <c r="D48" i="17"/>
  <c r="C48" i="17"/>
  <c r="D47" i="17"/>
  <c r="C47" i="17"/>
  <c r="K46" i="17"/>
  <c r="D46" i="17"/>
  <c r="C46" i="17"/>
  <c r="K45" i="17"/>
  <c r="D45" i="17"/>
  <c r="C45" i="17"/>
  <c r="K44" i="17"/>
  <c r="K43" i="17"/>
  <c r="D43" i="17"/>
  <c r="C43" i="17"/>
  <c r="K42" i="17"/>
  <c r="K47" i="17" s="1"/>
  <c r="I30" i="17" s="1"/>
  <c r="I31" i="17" s="1"/>
  <c r="D42" i="17"/>
  <c r="C42" i="17"/>
  <c r="J40" i="17"/>
  <c r="I40" i="17"/>
  <c r="I38" i="17"/>
  <c r="D9" i="17" s="1"/>
  <c r="D35" i="17"/>
  <c r="I32" i="17"/>
  <c r="C9" i="17"/>
  <c r="D8" i="17"/>
  <c r="C8" i="17"/>
  <c r="D7" i="17"/>
  <c r="D6" i="17"/>
  <c r="C6" i="17"/>
  <c r="A2" i="17"/>
  <c r="A1" i="17"/>
  <c r="D78" i="16"/>
  <c r="G78" i="16" s="1"/>
  <c r="F76" i="16"/>
  <c r="F79" i="16" s="1"/>
  <c r="E76" i="16"/>
  <c r="E79" i="16" s="1"/>
  <c r="D76" i="16"/>
  <c r="G65" i="16"/>
  <c r="F64" i="16"/>
  <c r="E64" i="16"/>
  <c r="D64" i="16"/>
  <c r="I61" i="16"/>
  <c r="D61" i="16"/>
  <c r="D54" i="16"/>
  <c r="I54" i="16" s="1"/>
  <c r="D49" i="16"/>
  <c r="C49" i="16"/>
  <c r="D48" i="16"/>
  <c r="C48" i="16"/>
  <c r="D47" i="16"/>
  <c r="C47" i="16"/>
  <c r="K46" i="16"/>
  <c r="D46" i="16"/>
  <c r="C46" i="16"/>
  <c r="K45" i="16"/>
  <c r="D45" i="16"/>
  <c r="C45" i="16"/>
  <c r="K44" i="16"/>
  <c r="K43" i="16"/>
  <c r="D43" i="16"/>
  <c r="C43" i="16"/>
  <c r="K42" i="16"/>
  <c r="K47" i="16" s="1"/>
  <c r="I30" i="16" s="1"/>
  <c r="I31" i="16" s="1"/>
  <c r="D42" i="16"/>
  <c r="C42" i="16"/>
  <c r="J40" i="16"/>
  <c r="I40" i="16"/>
  <c r="I38" i="16"/>
  <c r="D50" i="16" s="1"/>
  <c r="D35" i="16"/>
  <c r="I32" i="16"/>
  <c r="D12" i="16"/>
  <c r="C9" i="16"/>
  <c r="D8" i="16"/>
  <c r="C8" i="16"/>
  <c r="D7" i="16"/>
  <c r="D6" i="16"/>
  <c r="C6" i="16"/>
  <c r="A2" i="16"/>
  <c r="A1" i="16"/>
  <c r="G78" i="15"/>
  <c r="F76" i="15"/>
  <c r="F79" i="15" s="1"/>
  <c r="E76" i="15"/>
  <c r="E79" i="15" s="1"/>
  <c r="D76" i="15"/>
  <c r="G65" i="15"/>
  <c r="D12" i="15" s="1"/>
  <c r="F64" i="15"/>
  <c r="E64" i="15"/>
  <c r="D64" i="15"/>
  <c r="I61" i="15"/>
  <c r="D61" i="15"/>
  <c r="D54" i="15"/>
  <c r="I54" i="15" s="1"/>
  <c r="K51" i="15"/>
  <c r="K50" i="15"/>
  <c r="K49" i="15"/>
  <c r="D49" i="15"/>
  <c r="C49" i="15"/>
  <c r="K48" i="15"/>
  <c r="D48" i="15"/>
  <c r="C48" i="15"/>
  <c r="K47" i="15"/>
  <c r="D47" i="15"/>
  <c r="C47" i="15"/>
  <c r="K46" i="15"/>
  <c r="D46" i="15"/>
  <c r="C46" i="15"/>
  <c r="K45" i="15"/>
  <c r="D45" i="15"/>
  <c r="C45" i="15"/>
  <c r="K44" i="15"/>
  <c r="K43" i="15"/>
  <c r="D43" i="15"/>
  <c r="C43" i="15"/>
  <c r="K42" i="15"/>
  <c r="K52" i="15" s="1"/>
  <c r="I30" i="15" s="1"/>
  <c r="I31" i="15" s="1"/>
  <c r="I33" i="15" s="1"/>
  <c r="D41" i="15" s="1"/>
  <c r="D42" i="15"/>
  <c r="C42" i="15"/>
  <c r="J40" i="15"/>
  <c r="I40" i="15"/>
  <c r="I38" i="15"/>
  <c r="D50" i="15" s="1"/>
  <c r="D9" i="15" s="1"/>
  <c r="D35" i="15"/>
  <c r="C9" i="15"/>
  <c r="D8" i="15"/>
  <c r="C8" i="15"/>
  <c r="D7" i="15"/>
  <c r="D6" i="15"/>
  <c r="C6" i="15"/>
  <c r="A2" i="15"/>
  <c r="A1" i="15"/>
  <c r="F78" i="14"/>
  <c r="E78" i="14"/>
  <c r="D78" i="14"/>
  <c r="F76" i="14"/>
  <c r="F79" i="14" s="1"/>
  <c r="E76" i="14"/>
  <c r="E79" i="14" s="1"/>
  <c r="D68" i="14"/>
  <c r="D76" i="14" s="1"/>
  <c r="G65" i="14"/>
  <c r="D12" i="14" s="1"/>
  <c r="F64" i="14"/>
  <c r="E64" i="14"/>
  <c r="D64" i="14"/>
  <c r="D59" i="14"/>
  <c r="D61" i="14" s="1"/>
  <c r="I55" i="14"/>
  <c r="I57" i="14" s="1"/>
  <c r="D54" i="14"/>
  <c r="I54" i="14" s="1"/>
  <c r="K51" i="14"/>
  <c r="K50" i="14"/>
  <c r="K49" i="14"/>
  <c r="D49" i="14"/>
  <c r="C49" i="14"/>
  <c r="K48" i="14"/>
  <c r="D48" i="14"/>
  <c r="C48" i="14"/>
  <c r="K47" i="14"/>
  <c r="D47" i="14"/>
  <c r="C47" i="14"/>
  <c r="K46" i="14"/>
  <c r="D46" i="14"/>
  <c r="C46" i="14"/>
  <c r="K45" i="14"/>
  <c r="D45" i="14"/>
  <c r="C45" i="14"/>
  <c r="K44" i="14"/>
  <c r="K43" i="14"/>
  <c r="D43" i="14"/>
  <c r="C43" i="14"/>
  <c r="K42" i="14"/>
  <c r="C42" i="14"/>
  <c r="J40" i="14"/>
  <c r="I40" i="14"/>
  <c r="I38" i="14"/>
  <c r="D35" i="14"/>
  <c r="C9" i="14"/>
  <c r="C8" i="14"/>
  <c r="D7" i="14"/>
  <c r="D6" i="14"/>
  <c r="C6" i="14"/>
  <c r="A2" i="14"/>
  <c r="A1" i="14"/>
  <c r="G78" i="13"/>
  <c r="F76" i="13"/>
  <c r="F79" i="13" s="1"/>
  <c r="E76" i="13"/>
  <c r="E79" i="13" s="1"/>
  <c r="D76" i="13"/>
  <c r="D79" i="13" s="1"/>
  <c r="G65" i="13"/>
  <c r="D12" i="13" s="1"/>
  <c r="F64" i="13"/>
  <c r="E64" i="13"/>
  <c r="D64" i="13"/>
  <c r="I55" i="13"/>
  <c r="D42" i="13" s="1"/>
  <c r="D55" i="13"/>
  <c r="D43" i="13" s="1"/>
  <c r="D54" i="13"/>
  <c r="I54" i="13" s="1"/>
  <c r="K51" i="13"/>
  <c r="K50" i="13"/>
  <c r="K49" i="13"/>
  <c r="D49" i="13"/>
  <c r="C49" i="13"/>
  <c r="K48" i="13"/>
  <c r="D48" i="13"/>
  <c r="C48" i="13"/>
  <c r="K47" i="13"/>
  <c r="D47" i="13"/>
  <c r="C47" i="13"/>
  <c r="K46" i="13"/>
  <c r="D46" i="13"/>
  <c r="C46" i="13"/>
  <c r="K45" i="13"/>
  <c r="D45" i="13"/>
  <c r="C45" i="13"/>
  <c r="K44" i="13"/>
  <c r="K43" i="13"/>
  <c r="C43" i="13"/>
  <c r="K42" i="13"/>
  <c r="C42" i="13"/>
  <c r="J40" i="13"/>
  <c r="I40" i="13"/>
  <c r="I38" i="13"/>
  <c r="D35" i="13"/>
  <c r="I29" i="13"/>
  <c r="I26" i="13"/>
  <c r="D7" i="13" s="1"/>
  <c r="C9" i="13"/>
  <c r="C8" i="13"/>
  <c r="D6" i="13"/>
  <c r="C6" i="13"/>
  <c r="A2" i="13"/>
  <c r="A1" i="13"/>
  <c r="E78" i="12"/>
  <c r="D78" i="12"/>
  <c r="G78" i="12" s="1"/>
  <c r="F76" i="12"/>
  <c r="F79" i="12" s="1"/>
  <c r="E76" i="12"/>
  <c r="D76" i="12"/>
  <c r="G65" i="12"/>
  <c r="D12" i="12" s="1"/>
  <c r="F64" i="12"/>
  <c r="E64" i="12"/>
  <c r="D64" i="12"/>
  <c r="I55" i="12"/>
  <c r="I57" i="12" s="1"/>
  <c r="D55" i="12"/>
  <c r="D43" i="12" s="1"/>
  <c r="D54" i="12"/>
  <c r="I54" i="12" s="1"/>
  <c r="D49" i="12"/>
  <c r="C49" i="12"/>
  <c r="D48" i="12"/>
  <c r="C48" i="12"/>
  <c r="D47" i="12"/>
  <c r="C47" i="12"/>
  <c r="D46" i="12"/>
  <c r="C46" i="12"/>
  <c r="D45" i="12"/>
  <c r="C45" i="12"/>
  <c r="C43" i="12"/>
  <c r="C42" i="12"/>
  <c r="J40" i="12"/>
  <c r="I40" i="12"/>
  <c r="I38" i="12"/>
  <c r="I25" i="12"/>
  <c r="K48" i="12" s="1"/>
  <c r="C9" i="12"/>
  <c r="C8" i="12"/>
  <c r="D6" i="12"/>
  <c r="C6" i="12"/>
  <c r="A2" i="12"/>
  <c r="A1" i="12"/>
  <c r="G78" i="11"/>
  <c r="F76" i="11"/>
  <c r="F79" i="11" s="1"/>
  <c r="E76" i="11"/>
  <c r="E79" i="11" s="1"/>
  <c r="G65" i="11"/>
  <c r="F64" i="11"/>
  <c r="E64" i="11"/>
  <c r="D64" i="11"/>
  <c r="I61" i="11"/>
  <c r="D61" i="11"/>
  <c r="D54" i="11"/>
  <c r="I54" i="11" s="1"/>
  <c r="K51" i="11"/>
  <c r="K50" i="11"/>
  <c r="K49" i="11"/>
  <c r="D49" i="11"/>
  <c r="C49" i="11"/>
  <c r="K48" i="11"/>
  <c r="D48" i="11"/>
  <c r="C48" i="11"/>
  <c r="K47" i="11"/>
  <c r="D47" i="11"/>
  <c r="C47" i="11"/>
  <c r="K46" i="11"/>
  <c r="D46" i="11"/>
  <c r="C46" i="11"/>
  <c r="K45" i="11"/>
  <c r="C45" i="11"/>
  <c r="K44" i="11"/>
  <c r="K43" i="11"/>
  <c r="D43" i="11"/>
  <c r="C43" i="11"/>
  <c r="K42" i="11"/>
  <c r="K52" i="11" s="1"/>
  <c r="I30" i="11" s="1"/>
  <c r="I31" i="11" s="1"/>
  <c r="I33" i="11" s="1"/>
  <c r="D41" i="11" s="1"/>
  <c r="D42" i="11"/>
  <c r="C42" i="11"/>
  <c r="J40" i="11"/>
  <c r="I40" i="11"/>
  <c r="I38" i="11"/>
  <c r="D50" i="11" s="1"/>
  <c r="D9" i="11" s="1"/>
  <c r="D35" i="11"/>
  <c r="D12" i="11"/>
  <c r="C9" i="11"/>
  <c r="D8" i="11"/>
  <c r="C8" i="11"/>
  <c r="D7" i="11"/>
  <c r="D6" i="11"/>
  <c r="C6" i="11"/>
  <c r="A2" i="11"/>
  <c r="A1" i="11"/>
  <c r="D79" i="10"/>
  <c r="G78" i="10"/>
  <c r="F76" i="10"/>
  <c r="F79" i="10" s="1"/>
  <c r="E76" i="10"/>
  <c r="D76" i="10"/>
  <c r="G65" i="10"/>
  <c r="D12" i="10" s="1"/>
  <c r="F64" i="10"/>
  <c r="E64" i="10"/>
  <c r="D64" i="10"/>
  <c r="I61" i="10"/>
  <c r="D61" i="10"/>
  <c r="D62" i="10" s="1"/>
  <c r="D54" i="10"/>
  <c r="I54" i="10" s="1"/>
  <c r="K51" i="10"/>
  <c r="K50" i="10"/>
  <c r="K49" i="10"/>
  <c r="D49" i="10"/>
  <c r="C49" i="10"/>
  <c r="K48" i="10"/>
  <c r="D48" i="10"/>
  <c r="C48" i="10"/>
  <c r="K47" i="10"/>
  <c r="D47" i="10"/>
  <c r="C47" i="10"/>
  <c r="K46" i="10"/>
  <c r="D46" i="10"/>
  <c r="C46" i="10"/>
  <c r="K45" i="10"/>
  <c r="D45" i="10"/>
  <c r="C45" i="10"/>
  <c r="K44" i="10"/>
  <c r="K43" i="10"/>
  <c r="D43" i="10"/>
  <c r="C43" i="10"/>
  <c r="K42" i="10"/>
  <c r="K52" i="10" s="1"/>
  <c r="I30" i="10" s="1"/>
  <c r="I31" i="10" s="1"/>
  <c r="I33" i="10" s="1"/>
  <c r="D41" i="10" s="1"/>
  <c r="D42" i="10"/>
  <c r="C42" i="10"/>
  <c r="J40" i="10"/>
  <c r="I40" i="10"/>
  <c r="I38" i="10"/>
  <c r="D50" i="10" s="1"/>
  <c r="D9" i="10" s="1"/>
  <c r="D35" i="10"/>
  <c r="C9" i="10"/>
  <c r="D8" i="10"/>
  <c r="C8" i="10"/>
  <c r="D7" i="10"/>
  <c r="D6" i="10"/>
  <c r="C6" i="10"/>
  <c r="A2" i="10"/>
  <c r="A1" i="10"/>
  <c r="F76" i="9"/>
  <c r="F79" i="9" s="1"/>
  <c r="E76" i="9"/>
  <c r="E79" i="9" s="1"/>
  <c r="D76" i="9"/>
  <c r="D78" i="9" s="1"/>
  <c r="G78" i="9" s="1"/>
  <c r="G65" i="9"/>
  <c r="D12" i="9" s="1"/>
  <c r="F64" i="9"/>
  <c r="E64" i="9"/>
  <c r="D64" i="9"/>
  <c r="I61" i="9"/>
  <c r="D61" i="9"/>
  <c r="D54" i="9"/>
  <c r="I54" i="9" s="1"/>
  <c r="K51" i="9"/>
  <c r="K50" i="9"/>
  <c r="K49" i="9"/>
  <c r="D49" i="9"/>
  <c r="C49" i="9"/>
  <c r="K48" i="9"/>
  <c r="D48" i="9"/>
  <c r="C48" i="9"/>
  <c r="K47" i="9"/>
  <c r="D47" i="9"/>
  <c r="C47" i="9"/>
  <c r="K46" i="9"/>
  <c r="D46" i="9"/>
  <c r="C46" i="9"/>
  <c r="K45" i="9"/>
  <c r="D45" i="9"/>
  <c r="C45" i="9"/>
  <c r="K44" i="9"/>
  <c r="K43" i="9"/>
  <c r="D43" i="9"/>
  <c r="C43" i="9"/>
  <c r="K42" i="9"/>
  <c r="K52" i="9" s="1"/>
  <c r="I30" i="9" s="1"/>
  <c r="I31" i="9" s="1"/>
  <c r="I33" i="9" s="1"/>
  <c r="D41" i="9" s="1"/>
  <c r="D42" i="9"/>
  <c r="C42" i="9"/>
  <c r="J40" i="9"/>
  <c r="I40" i="9"/>
  <c r="I37" i="9"/>
  <c r="I38" i="9" s="1"/>
  <c r="D50" i="9" s="1"/>
  <c r="D9" i="9" s="1"/>
  <c r="D35" i="9"/>
  <c r="C9" i="9"/>
  <c r="D8" i="9"/>
  <c r="C8" i="9"/>
  <c r="D7" i="9"/>
  <c r="D6" i="9"/>
  <c r="C6" i="9"/>
  <c r="A2" i="9"/>
  <c r="A1" i="9"/>
  <c r="D78" i="8"/>
  <c r="G78" i="8" s="1"/>
  <c r="F76" i="8"/>
  <c r="F79" i="8" s="1"/>
  <c r="E76" i="8"/>
  <c r="E79" i="8" s="1"/>
  <c r="D67" i="8"/>
  <c r="D76" i="8" s="1"/>
  <c r="D65" i="8"/>
  <c r="G65" i="8" s="1"/>
  <c r="D12" i="8" s="1"/>
  <c r="F64" i="8"/>
  <c r="E64" i="8"/>
  <c r="D64" i="8"/>
  <c r="I58" i="8"/>
  <c r="D58" i="8"/>
  <c r="D49" i="8" s="1"/>
  <c r="D56" i="8"/>
  <c r="I55" i="8"/>
  <c r="D55" i="8"/>
  <c r="D54" i="8"/>
  <c r="I54" i="8" s="1"/>
  <c r="K51" i="8"/>
  <c r="K50" i="8"/>
  <c r="K49" i="8"/>
  <c r="C49" i="8"/>
  <c r="K48" i="8"/>
  <c r="D48" i="8"/>
  <c r="C48" i="8"/>
  <c r="I47" i="8"/>
  <c r="K47" i="8" s="1"/>
  <c r="D47" i="8"/>
  <c r="C47" i="8"/>
  <c r="K46" i="8"/>
  <c r="D46" i="8"/>
  <c r="C46" i="8"/>
  <c r="I45" i="8"/>
  <c r="K45" i="8" s="1"/>
  <c r="D45" i="8"/>
  <c r="C45" i="8"/>
  <c r="I44" i="8"/>
  <c r="K44" i="8" s="1"/>
  <c r="I43" i="8"/>
  <c r="K43" i="8" s="1"/>
  <c r="C43" i="8"/>
  <c r="I42" i="8"/>
  <c r="K42" i="8" s="1"/>
  <c r="C42" i="8"/>
  <c r="J40" i="8"/>
  <c r="I40" i="8"/>
  <c r="I38" i="8"/>
  <c r="D35" i="8"/>
  <c r="I29" i="8"/>
  <c r="I26" i="8"/>
  <c r="D7" i="8" s="1"/>
  <c r="C9" i="8"/>
  <c r="C8" i="8"/>
  <c r="D6" i="8"/>
  <c r="C6" i="8"/>
  <c r="A2" i="8"/>
  <c r="A1" i="8"/>
  <c r="F78" i="7"/>
  <c r="E78" i="7"/>
  <c r="D78" i="7"/>
  <c r="F76" i="7"/>
  <c r="E76" i="7"/>
  <c r="E79" i="7" s="1"/>
  <c r="D76" i="7"/>
  <c r="G65" i="7"/>
  <c r="D12" i="7" s="1"/>
  <c r="F64" i="7"/>
  <c r="E64" i="7"/>
  <c r="D64" i="7"/>
  <c r="I60" i="7"/>
  <c r="I57" i="7"/>
  <c r="I55" i="7"/>
  <c r="D55" i="7"/>
  <c r="D54" i="7"/>
  <c r="I54" i="7" s="1"/>
  <c r="K51" i="7"/>
  <c r="K50" i="7"/>
  <c r="K49" i="7"/>
  <c r="D49" i="7"/>
  <c r="C49" i="7"/>
  <c r="K48" i="7"/>
  <c r="D48" i="7"/>
  <c r="C48" i="7"/>
  <c r="K47" i="7"/>
  <c r="C47" i="7"/>
  <c r="K46" i="7"/>
  <c r="D46" i="7"/>
  <c r="C46" i="7"/>
  <c r="K45" i="7"/>
  <c r="D45" i="7"/>
  <c r="C45" i="7"/>
  <c r="K44" i="7"/>
  <c r="K43" i="7"/>
  <c r="C43" i="7"/>
  <c r="I42" i="7"/>
  <c r="K42" i="7" s="1"/>
  <c r="D42" i="7"/>
  <c r="C42" i="7"/>
  <c r="J40" i="7"/>
  <c r="I40" i="7"/>
  <c r="I38" i="7"/>
  <c r="D35" i="7"/>
  <c r="C9" i="7"/>
  <c r="C8" i="7"/>
  <c r="D7" i="7"/>
  <c r="D6" i="7"/>
  <c r="C6" i="7"/>
  <c r="A2" i="7"/>
  <c r="A1" i="7"/>
  <c r="G78" i="6"/>
  <c r="F76" i="6"/>
  <c r="F79" i="6" s="1"/>
  <c r="E76" i="6"/>
  <c r="E79" i="6" s="1"/>
  <c r="D76" i="6"/>
  <c r="D79" i="6" s="1"/>
  <c r="G65" i="6"/>
  <c r="D12" i="6" s="1"/>
  <c r="D64" i="6"/>
  <c r="D59" i="6"/>
  <c r="I58" i="6"/>
  <c r="I57" i="6"/>
  <c r="I55" i="6"/>
  <c r="D42" i="6" s="1"/>
  <c r="D55" i="6"/>
  <c r="D61" i="6" s="1"/>
  <c r="K51" i="6"/>
  <c r="K50" i="6"/>
  <c r="K49" i="6"/>
  <c r="D49" i="6"/>
  <c r="C49" i="6"/>
  <c r="K48" i="6"/>
  <c r="D48" i="6"/>
  <c r="C48" i="6"/>
  <c r="K47" i="6"/>
  <c r="D47" i="6"/>
  <c r="C47" i="6"/>
  <c r="K46" i="6"/>
  <c r="D46" i="6"/>
  <c r="C46" i="6"/>
  <c r="K45" i="6"/>
  <c r="D45" i="6"/>
  <c r="C45" i="6"/>
  <c r="K44" i="6"/>
  <c r="I43" i="6"/>
  <c r="K43" i="6" s="1"/>
  <c r="C43" i="6"/>
  <c r="I42" i="6"/>
  <c r="K42" i="6" s="1"/>
  <c r="C42" i="6"/>
  <c r="J40" i="6"/>
  <c r="I40" i="6"/>
  <c r="I38" i="6"/>
  <c r="D34" i="6"/>
  <c r="D35" i="6" s="1"/>
  <c r="D30" i="6"/>
  <c r="E64" i="6" s="1"/>
  <c r="I29" i="6"/>
  <c r="C9" i="6"/>
  <c r="C8" i="6"/>
  <c r="D7" i="6"/>
  <c r="D6" i="6"/>
  <c r="C6" i="6"/>
  <c r="A2" i="6"/>
  <c r="A1" i="6"/>
  <c r="D78" i="5"/>
  <c r="G78" i="5" s="1"/>
  <c r="F68" i="5"/>
  <c r="D68" i="5"/>
  <c r="F67" i="5"/>
  <c r="F76" i="5" s="1"/>
  <c r="F79" i="5" s="1"/>
  <c r="E67" i="5"/>
  <c r="E76" i="5" s="1"/>
  <c r="E79" i="5" s="1"/>
  <c r="D67" i="5"/>
  <c r="F65" i="5"/>
  <c r="E65" i="5"/>
  <c r="D65" i="5"/>
  <c r="F64" i="5"/>
  <c r="E64" i="5"/>
  <c r="D64" i="5"/>
  <c r="I58" i="5"/>
  <c r="D57" i="5"/>
  <c r="I55" i="5"/>
  <c r="D42" i="5" s="1"/>
  <c r="D55" i="5"/>
  <c r="D43" i="5" s="1"/>
  <c r="D54" i="5"/>
  <c r="I54" i="5" s="1"/>
  <c r="K51" i="5"/>
  <c r="K50" i="5"/>
  <c r="K49" i="5"/>
  <c r="D49" i="5"/>
  <c r="C49" i="5"/>
  <c r="K48" i="5"/>
  <c r="C48" i="5"/>
  <c r="K47" i="5"/>
  <c r="D47" i="5"/>
  <c r="C47" i="5"/>
  <c r="K46" i="5"/>
  <c r="D46" i="5"/>
  <c r="C46" i="5"/>
  <c r="K45" i="5"/>
  <c r="D45" i="5"/>
  <c r="C45" i="5"/>
  <c r="K44" i="5"/>
  <c r="K43" i="5"/>
  <c r="C43" i="5"/>
  <c r="I42" i="5"/>
  <c r="K42" i="5" s="1"/>
  <c r="C42" i="5"/>
  <c r="J40" i="5"/>
  <c r="I40" i="5"/>
  <c r="I38" i="5"/>
  <c r="D35" i="5"/>
  <c r="I29" i="5"/>
  <c r="C9" i="5"/>
  <c r="C8" i="5"/>
  <c r="D7" i="5"/>
  <c r="D6" i="5"/>
  <c r="C6" i="5"/>
  <c r="A2" i="5"/>
  <c r="A1" i="5"/>
  <c r="G20" i="4"/>
  <c r="I10" i="4"/>
  <c r="E10" i="4"/>
  <c r="E15" i="4"/>
  <c r="G12" i="4"/>
  <c r="D19" i="4"/>
  <c r="F12" i="4"/>
  <c r="E9" i="4"/>
  <c r="I17" i="4"/>
  <c r="I11" i="4"/>
  <c r="I7" i="4"/>
  <c r="G17" i="4"/>
  <c r="E7" i="4"/>
  <c r="I14" i="4"/>
  <c r="D9" i="4"/>
  <c r="F11" i="4"/>
  <c r="C16" i="4"/>
  <c r="I16" i="4"/>
  <c r="F15" i="4"/>
  <c r="H17" i="4"/>
  <c r="L14" i="4"/>
  <c r="E12" i="4"/>
  <c r="F19" i="4"/>
  <c r="G11" i="4"/>
  <c r="G18" i="4"/>
  <c r="G15" i="4"/>
  <c r="L7" i="4"/>
  <c r="G7" i="4"/>
  <c r="D10" i="4"/>
  <c r="I15" i="4"/>
  <c r="H16" i="4"/>
  <c r="I19" i="4"/>
  <c r="C14" i="4"/>
  <c r="C15" i="4"/>
  <c r="C11" i="4"/>
  <c r="G8" i="4"/>
  <c r="D14" i="4"/>
  <c r="K10" i="4"/>
  <c r="D20" i="4"/>
  <c r="H7" i="4"/>
  <c r="C12" i="4"/>
  <c r="F14" i="4"/>
  <c r="M21" i="4"/>
  <c r="D13" i="4"/>
  <c r="D17" i="4"/>
  <c r="J12" i="4"/>
  <c r="I9" i="4"/>
  <c r="E18" i="4"/>
  <c r="K7" i="4"/>
  <c r="H14" i="4"/>
  <c r="E17" i="4"/>
  <c r="D7" i="4"/>
  <c r="C10" i="4"/>
  <c r="F18" i="4"/>
  <c r="C13" i="4"/>
  <c r="G10" i="4"/>
  <c r="H18" i="4"/>
  <c r="D12" i="4"/>
  <c r="I20" i="4"/>
  <c r="E14" i="4"/>
  <c r="H19" i="4"/>
  <c r="G16" i="4"/>
  <c r="J20" i="4"/>
  <c r="J15" i="4"/>
  <c r="L8" i="4"/>
  <c r="E8" i="4"/>
  <c r="D8" i="4"/>
  <c r="H11" i="4"/>
  <c r="C18" i="4"/>
  <c r="C19" i="4"/>
  <c r="E11" i="4"/>
  <c r="E20" i="4"/>
  <c r="F16" i="4"/>
  <c r="K14" i="4"/>
  <c r="H8" i="4"/>
  <c r="G13" i="4"/>
  <c r="L10" i="4"/>
  <c r="F20" i="4"/>
  <c r="H9" i="4"/>
  <c r="D16" i="4"/>
  <c r="G19" i="4"/>
  <c r="J9" i="4"/>
  <c r="J16" i="4"/>
  <c r="C7" i="4"/>
  <c r="I8" i="4"/>
  <c r="H12" i="4"/>
  <c r="H10" i="4"/>
  <c r="H20" i="4"/>
  <c r="K16" i="4"/>
  <c r="J11" i="4"/>
  <c r="C17" i="4"/>
  <c r="F7" i="4"/>
  <c r="J8" i="4"/>
  <c r="G14" i="4"/>
  <c r="E16" i="4"/>
  <c r="C20" i="4"/>
  <c r="E13" i="4"/>
  <c r="C8" i="4"/>
  <c r="H15" i="4"/>
  <c r="J7" i="4"/>
  <c r="J10" i="4"/>
  <c r="L9" i="4"/>
  <c r="G9" i="4"/>
  <c r="C9" i="4"/>
  <c r="I12" i="4"/>
  <c r="E19" i="4"/>
  <c r="K8" i="4"/>
  <c r="J14" i="4"/>
  <c r="J19" i="4"/>
  <c r="J17" i="4"/>
  <c r="K15" i="4"/>
  <c r="F13" i="4"/>
  <c r="J18" i="4"/>
  <c r="D15" i="4"/>
  <c r="L15" i="4"/>
  <c r="F8" i="4"/>
  <c r="D11" i="4"/>
  <c r="F10" i="4"/>
  <c r="L16" i="4"/>
  <c r="F9" i="4"/>
  <c r="I18" i="4"/>
  <c r="F17" i="4"/>
  <c r="D18" i="4"/>
  <c r="D59" i="12" l="1"/>
  <c r="D62" i="16"/>
  <c r="G78" i="14"/>
  <c r="D9" i="16"/>
  <c r="D43" i="8"/>
  <c r="D44" i="10"/>
  <c r="E79" i="12"/>
  <c r="F79" i="7"/>
  <c r="D44" i="11"/>
  <c r="D59" i="13"/>
  <c r="D50" i="19"/>
  <c r="D9" i="19" s="1"/>
  <c r="D18" i="19" s="1"/>
  <c r="D8" i="19"/>
  <c r="D17" i="10"/>
  <c r="G79" i="15"/>
  <c r="D14" i="15" s="1"/>
  <c r="I33" i="16"/>
  <c r="D41" i="16" s="1"/>
  <c r="G76" i="16"/>
  <c r="D13" i="16" s="1"/>
  <c r="D18" i="16" s="1"/>
  <c r="I33" i="17"/>
  <c r="D41" i="17" s="1"/>
  <c r="I33" i="18"/>
  <c r="D41" i="18" s="1"/>
  <c r="G76" i="18"/>
  <c r="D13" i="18" s="1"/>
  <c r="E13" i="18" s="1"/>
  <c r="D76" i="5"/>
  <c r="D79" i="5" s="1"/>
  <c r="G79" i="5" s="1"/>
  <c r="D14" i="5" s="1"/>
  <c r="G78" i="7"/>
  <c r="D44" i="9"/>
  <c r="D62" i="9"/>
  <c r="G76" i="14"/>
  <c r="D13" i="14" s="1"/>
  <c r="K52" i="5"/>
  <c r="I30" i="5" s="1"/>
  <c r="I31" i="5" s="1"/>
  <c r="I33" i="5" s="1"/>
  <c r="D8" i="5" s="1"/>
  <c r="I57" i="5"/>
  <c r="I61" i="5" s="1"/>
  <c r="G65" i="5"/>
  <c r="D12" i="5" s="1"/>
  <c r="G79" i="6"/>
  <c r="D14" i="6" s="1"/>
  <c r="E14" i="6" s="1"/>
  <c r="D62" i="11"/>
  <c r="K52" i="14"/>
  <c r="I30" i="14" s="1"/>
  <c r="I31" i="14" s="1"/>
  <c r="I33" i="14" s="1"/>
  <c r="D17" i="16"/>
  <c r="E13" i="14"/>
  <c r="K52" i="6"/>
  <c r="I30" i="6" s="1"/>
  <c r="I31" i="6" s="1"/>
  <c r="I33" i="6" s="1"/>
  <c r="I61" i="7"/>
  <c r="D59" i="8"/>
  <c r="D61" i="8" s="1"/>
  <c r="G76" i="9"/>
  <c r="D13" i="9" s="1"/>
  <c r="D18" i="9" s="1"/>
  <c r="D44" i="16"/>
  <c r="G76" i="7"/>
  <c r="D13" i="7" s="1"/>
  <c r="E13" i="7" s="1"/>
  <c r="I57" i="8"/>
  <c r="I61" i="8" s="1"/>
  <c r="D62" i="8" s="1"/>
  <c r="D79" i="8"/>
  <c r="G79" i="8" s="1"/>
  <c r="D14" i="8" s="1"/>
  <c r="E14" i="8" s="1"/>
  <c r="G79" i="11"/>
  <c r="D14" i="11" s="1"/>
  <c r="E14" i="11" s="1"/>
  <c r="D79" i="12"/>
  <c r="K52" i="13"/>
  <c r="I30" i="13" s="1"/>
  <c r="I31" i="13" s="1"/>
  <c r="I33" i="13" s="1"/>
  <c r="D41" i="13" s="1"/>
  <c r="D61" i="13"/>
  <c r="D44" i="15"/>
  <c r="E14" i="15"/>
  <c r="G79" i="16"/>
  <c r="D14" i="16" s="1"/>
  <c r="E14" i="16" s="1"/>
  <c r="D54" i="6"/>
  <c r="I54" i="6" s="1"/>
  <c r="D17" i="15"/>
  <c r="K52" i="7"/>
  <c r="I30" i="7" s="1"/>
  <c r="I31" i="7" s="1"/>
  <c r="I33" i="7" s="1"/>
  <c r="D8" i="7" s="1"/>
  <c r="I61" i="14"/>
  <c r="D62" i="14" s="1"/>
  <c r="D44" i="18"/>
  <c r="D43" i="6"/>
  <c r="D44" i="6" s="1"/>
  <c r="I61" i="6"/>
  <c r="D62" i="6" s="1"/>
  <c r="F64" i="6"/>
  <c r="K52" i="8"/>
  <c r="I30" i="8" s="1"/>
  <c r="I31" i="8" s="1"/>
  <c r="I33" i="8" s="1"/>
  <c r="G79" i="9"/>
  <c r="D14" i="9" s="1"/>
  <c r="D19" i="9" s="1"/>
  <c r="D61" i="12"/>
  <c r="D44" i="13"/>
  <c r="D42" i="14"/>
  <c r="D44" i="14" s="1"/>
  <c r="D62" i="15"/>
  <c r="D44" i="17"/>
  <c r="G76" i="17"/>
  <c r="D13" i="17" s="1"/>
  <c r="E13" i="17" s="1"/>
  <c r="D62" i="17"/>
  <c r="D17" i="9"/>
  <c r="D41" i="5"/>
  <c r="D44" i="5"/>
  <c r="D79" i="7"/>
  <c r="G79" i="7" s="1"/>
  <c r="D14" i="7" s="1"/>
  <c r="E14" i="7" s="1"/>
  <c r="D42" i="8"/>
  <c r="D44" i="8" s="1"/>
  <c r="G76" i="8"/>
  <c r="D13" i="8" s="1"/>
  <c r="E13" i="8" s="1"/>
  <c r="E79" i="10"/>
  <c r="G79" i="10" s="1"/>
  <c r="D14" i="10" s="1"/>
  <c r="E14" i="10" s="1"/>
  <c r="G76" i="10"/>
  <c r="D13" i="10" s="1"/>
  <c r="E13" i="10" s="1"/>
  <c r="D41" i="14"/>
  <c r="D50" i="14" s="1"/>
  <c r="D9" i="14" s="1"/>
  <c r="D8" i="14"/>
  <c r="D48" i="5"/>
  <c r="D59" i="5"/>
  <c r="D61" i="5" s="1"/>
  <c r="D62" i="5" s="1"/>
  <c r="G76" i="6"/>
  <c r="D13" i="6" s="1"/>
  <c r="E13" i="6" s="1"/>
  <c r="D47" i="7"/>
  <c r="D59" i="7"/>
  <c r="D61" i="7" s="1"/>
  <c r="D62" i="7" s="1"/>
  <c r="D43" i="7"/>
  <c r="D44" i="7" s="1"/>
  <c r="G79" i="13"/>
  <c r="D14" i="13" s="1"/>
  <c r="E14" i="13" s="1"/>
  <c r="D17" i="17"/>
  <c r="D17" i="18"/>
  <c r="D18" i="18"/>
  <c r="D8" i="13"/>
  <c r="D17" i="11"/>
  <c r="G76" i="11"/>
  <c r="D13" i="11" s="1"/>
  <c r="E13" i="11" s="1"/>
  <c r="K47" i="12"/>
  <c r="K50" i="12"/>
  <c r="D79" i="14"/>
  <c r="G79" i="14" s="1"/>
  <c r="D14" i="14" s="1"/>
  <c r="E14" i="14" s="1"/>
  <c r="D19" i="15"/>
  <c r="G76" i="15"/>
  <c r="D13" i="15" s="1"/>
  <c r="E13" i="15" s="1"/>
  <c r="D79" i="18"/>
  <c r="G79" i="18" s="1"/>
  <c r="D14" i="18" s="1"/>
  <c r="E14" i="18" s="1"/>
  <c r="D7" i="12"/>
  <c r="D42" i="12"/>
  <c r="D44" i="12" s="1"/>
  <c r="K43" i="12"/>
  <c r="K46" i="12"/>
  <c r="K51" i="12"/>
  <c r="I57" i="13"/>
  <c r="I61" i="13" s="1"/>
  <c r="D62" i="13" s="1"/>
  <c r="G76" i="13"/>
  <c r="D13" i="13" s="1"/>
  <c r="E13" i="13" s="1"/>
  <c r="D79" i="17"/>
  <c r="G79" i="17" s="1"/>
  <c r="D14" i="17" s="1"/>
  <c r="E14" i="17" s="1"/>
  <c r="D34" i="12"/>
  <c r="K42" i="12"/>
  <c r="K45" i="12"/>
  <c r="K49" i="12"/>
  <c r="I61" i="12"/>
  <c r="K44" i="12"/>
  <c r="G76" i="12"/>
  <c r="D13" i="12" s="1"/>
  <c r="E13" i="12" s="1"/>
  <c r="M9" i="4"/>
  <c r="M7" i="4"/>
  <c r="M12" i="4"/>
  <c r="M15" i="4"/>
  <c r="I13" i="4"/>
  <c r="H13" i="4"/>
  <c r="K21" i="4"/>
  <c r="L18" i="4"/>
  <c r="N9" i="4"/>
  <c r="M10" i="4"/>
  <c r="M19" i="4"/>
  <c r="M8" i="4"/>
  <c r="L21" i="4"/>
  <c r="N15" i="4"/>
  <c r="O16" i="4"/>
  <c r="L20" i="4"/>
  <c r="M14" i="4"/>
  <c r="M18" i="4"/>
  <c r="L12" i="4"/>
  <c r="N7" i="4"/>
  <c r="M17" i="4"/>
  <c r="L11" i="4"/>
  <c r="K11" i="4"/>
  <c r="N14" i="4"/>
  <c r="M11" i="4"/>
  <c r="O10" i="4"/>
  <c r="K9" i="4"/>
  <c r="N10" i="4"/>
  <c r="N8" i="4"/>
  <c r="N16" i="4"/>
  <c r="E13" i="16" l="1"/>
  <c r="E13" i="9"/>
  <c r="D18" i="17"/>
  <c r="E14" i="5"/>
  <c r="G76" i="5"/>
  <c r="D13" i="5" s="1"/>
  <c r="E13" i="5" s="1"/>
  <c r="D62" i="12"/>
  <c r="D50" i="13"/>
  <c r="D9" i="13" s="1"/>
  <c r="D19" i="13" s="1"/>
  <c r="G79" i="12"/>
  <c r="D14" i="12" s="1"/>
  <c r="E14" i="12" s="1"/>
  <c r="D19" i="16"/>
  <c r="D17" i="19"/>
  <c r="D19" i="19"/>
  <c r="D18" i="11"/>
  <c r="D18" i="10"/>
  <c r="D8" i="8"/>
  <c r="D41" i="8"/>
  <c r="D50" i="8" s="1"/>
  <c r="D9" i="8" s="1"/>
  <c r="D41" i="7"/>
  <c r="D50" i="7" s="1"/>
  <c r="D9" i="7" s="1"/>
  <c r="K52" i="12"/>
  <c r="I30" i="12" s="1"/>
  <c r="I31" i="12" s="1"/>
  <c r="I33" i="12" s="1"/>
  <c r="D41" i="12" s="1"/>
  <c r="D50" i="12" s="1"/>
  <c r="D9" i="12" s="1"/>
  <c r="E14" i="9"/>
  <c r="D19" i="11"/>
  <c r="D18" i="15"/>
  <c r="D50" i="5"/>
  <c r="D9" i="5" s="1"/>
  <c r="D17" i="5" s="1"/>
  <c r="D19" i="18"/>
  <c r="D41" i="6"/>
  <c r="D50" i="6" s="1"/>
  <c r="D9" i="6" s="1"/>
  <c r="D8" i="6"/>
  <c r="D35" i="12"/>
  <c r="D19" i="10"/>
  <c r="D19" i="14"/>
  <c r="D18" i="14"/>
  <c r="D17" i="14"/>
  <c r="D19" i="17"/>
  <c r="O21" i="4"/>
  <c r="K19" i="4"/>
  <c r="J13" i="4"/>
  <c r="O12" i="4"/>
  <c r="O11" i="4"/>
  <c r="N11" i="4"/>
  <c r="K17" i="4"/>
  <c r="O7" i="4"/>
  <c r="L17" i="4"/>
  <c r="O15" i="4"/>
  <c r="M20" i="4"/>
  <c r="K12" i="4"/>
  <c r="O14" i="4"/>
  <c r="K18" i="4"/>
  <c r="N21" i="4"/>
  <c r="L19" i="4"/>
  <c r="K13" i="4"/>
  <c r="M16" i="4"/>
  <c r="N20" i="4"/>
  <c r="M13" i="4"/>
  <c r="O9" i="4"/>
  <c r="O8" i="4"/>
  <c r="K20" i="4"/>
  <c r="D17" i="13" l="1"/>
  <c r="D18" i="13"/>
  <c r="M26" i="4"/>
  <c r="M25" i="4"/>
  <c r="M24" i="4"/>
  <c r="M23" i="4"/>
  <c r="D19" i="5"/>
  <c r="D18" i="5"/>
  <c r="D8" i="12"/>
  <c r="D18" i="8"/>
  <c r="D19" i="8"/>
  <c r="D17" i="8"/>
  <c r="D17" i="12"/>
  <c r="D19" i="12"/>
  <c r="D18" i="12"/>
  <c r="D19" i="6"/>
  <c r="D18" i="6"/>
  <c r="D17" i="6"/>
  <c r="D19" i="7"/>
  <c r="D17" i="7"/>
  <c r="D18" i="7"/>
  <c r="N17" i="4"/>
  <c r="N13" i="4"/>
  <c r="N12" i="4"/>
  <c r="O13" i="4"/>
  <c r="N19" i="4"/>
  <c r="O19" i="4"/>
  <c r="O18" i="4"/>
  <c r="O20" i="4"/>
  <c r="N18" i="4"/>
  <c r="L13" i="4"/>
  <c r="O17" i="4"/>
  <c r="O26" i="4" l="1"/>
  <c r="N26" i="4"/>
  <c r="O25" i="4"/>
  <c r="N25" i="4"/>
  <c r="O24" i="4"/>
  <c r="N24" i="4"/>
  <c r="O23" i="4"/>
  <c r="N2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6" authorId="0" shapeId="0" xr:uid="{00000000-0006-0000-0100-000001000000}">
      <text>
        <r>
          <rPr>
            <b/>
            <sz val="8"/>
            <color indexed="81"/>
            <rFont val="Tahoma"/>
            <family val="2"/>
          </rPr>
          <t xml:space="preserve">Use </t>
        </r>
        <r>
          <rPr>
            <b/>
            <i/>
            <sz val="8"/>
            <color indexed="81"/>
            <rFont val="Tahoma"/>
            <family val="2"/>
          </rPr>
          <t>exactly</t>
        </r>
        <r>
          <rPr>
            <b/>
            <sz val="8"/>
            <color indexed="81"/>
            <rFont val="Tahoma"/>
            <family val="2"/>
          </rPr>
          <t xml:space="preserve"> the same name as the sheet tab with NO SPACES.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
    <author/>
  </authors>
  <commentList>
    <comment ref="D7" authorId="0" shapeId="0" xr:uid="{00000000-0006-0000-0200-000001000000}">
      <text>
        <r>
          <rPr>
            <sz val="9"/>
            <color indexed="81"/>
            <rFont val="Tahoma"/>
            <family val="2"/>
          </rPr>
          <t xml:space="preserve">
Computed on share price 1 week before deal announcement, since target share price on the day before the acquisition was substantially affected by rumours.</t>
        </r>
      </text>
    </comment>
    <comment ref="D25" authorId="0" shapeId="0" xr:uid="{00000000-0006-0000-0200-000002000000}">
      <text>
        <r>
          <rPr>
            <sz val="9"/>
            <color indexed="81"/>
            <rFont val="Tahoma"/>
            <family val="2"/>
          </rPr>
          <t xml:space="preserve">
Press release</t>
        </r>
      </text>
    </comment>
    <comment ref="I25" authorId="1" shapeId="0" xr:uid="{00000000-0006-0000-0200-000003000000}">
      <text>
        <r>
          <rPr>
            <sz val="9"/>
            <color indexed="81"/>
            <rFont val="Tahoma"/>
            <family val="2"/>
          </rPr>
          <t>Press release</t>
        </r>
      </text>
    </comment>
    <comment ref="D26" authorId="1" shapeId="0" xr:uid="{00000000-0006-0000-0200-000004000000}">
      <text>
        <r>
          <rPr>
            <sz val="9"/>
            <color indexed="81"/>
            <rFont val="Tahoma"/>
            <family val="2"/>
          </rPr>
          <t>Press release</t>
        </r>
      </text>
    </comment>
    <comment ref="I26" authorId="1" shapeId="0" xr:uid="{00000000-0006-0000-0200-000005000000}">
      <text>
        <r>
          <rPr>
            <sz val="9"/>
            <color indexed="81"/>
            <rFont val="Tahoma"/>
            <family val="2"/>
          </rPr>
          <t xml:space="preserve">Bloomberg
The stock price at this date was affected by news of a potential acquisition by Company0650 </t>
        </r>
      </text>
    </comment>
    <comment ref="I27" authorId="1" shapeId="0" xr:uid="{00000000-0006-0000-0200-000006000000}">
      <text>
        <r>
          <rPr>
            <sz val="9"/>
            <color indexed="81"/>
            <rFont val="Tahoma"/>
            <family val="2"/>
          </rPr>
          <t>Bloomberg</t>
        </r>
      </text>
    </comment>
    <comment ref="I28" authorId="1" shapeId="0" xr:uid="{00000000-0006-0000-0200-000007000000}">
      <text>
        <r>
          <rPr>
            <sz val="9"/>
            <color indexed="81"/>
            <rFont val="Tahoma"/>
            <family val="2"/>
          </rPr>
          <t>Bloomberg</t>
        </r>
      </text>
    </comment>
    <comment ref="I29" authorId="1" shapeId="0" xr:uid="{00000000-0006-0000-0200-000008000000}">
      <text>
        <r>
          <rPr>
            <b/>
            <sz val="9"/>
            <color indexed="81"/>
            <rFont val="Tahoma"/>
            <family val="2"/>
          </rPr>
          <t>F</t>
        </r>
        <r>
          <rPr>
            <sz val="9"/>
            <color indexed="81"/>
            <rFont val="Tahoma"/>
            <family val="2"/>
          </rPr>
          <t>ront page of Company2572 10-Ticker0019</t>
        </r>
      </text>
    </comment>
    <comment ref="D34" authorId="1" shapeId="0" xr:uid="{00000000-0006-0000-0200-000009000000}">
      <text>
        <r>
          <rPr>
            <sz val="9"/>
            <color indexed="81"/>
            <rFont val="Tahoma"/>
            <family val="2"/>
          </rPr>
          <t xml:space="preserve">
Press release</t>
        </r>
      </text>
    </comment>
    <comment ref="C40" authorId="0" shapeId="0" xr:uid="{00000000-0006-0000-0200-00000A000000}">
      <text>
        <r>
          <rPr>
            <sz val="9"/>
            <color indexed="81"/>
            <rFont val="Tahoma"/>
            <family val="2"/>
          </rPr>
          <t xml:space="preserve">
Use market values where possible (overwriting the formulae)
Check with your senior banker before including other obligations
Include other financial investments with equity affliates / associates if necessary</t>
        </r>
      </text>
    </comment>
    <comment ref="F42" authorId="1" shapeId="0" xr:uid="{00000000-0006-0000-0200-00000B000000}">
      <text>
        <r>
          <rPr>
            <sz val="9"/>
            <color indexed="81"/>
            <rFont val="Tahoma"/>
            <family val="2"/>
          </rPr>
          <t xml:space="preserve">
Note 8 on page 66 of the 2017 10-Ticker0019</t>
        </r>
      </text>
    </comment>
    <comment ref="F43" authorId="1" shapeId="0" xr:uid="{00000000-0006-0000-0200-00000C000000}">
      <text>
        <r>
          <rPr>
            <sz val="9"/>
            <color indexed="81"/>
            <rFont val="Tahoma"/>
            <family val="2"/>
          </rPr>
          <t xml:space="preserve">
Note 8 on page 67 of the 2017 10-Ticker0019.
It is possible that some, or all, of these shares were already included in the basic shares outstanding count, but this is unclear because of lack of specific disclosure.</t>
        </r>
      </text>
    </comment>
    <comment ref="F44" authorId="1" shapeId="0" xr:uid="{00000000-0006-0000-0200-00000D000000}">
      <text>
        <r>
          <rPr>
            <sz val="9"/>
            <color indexed="81"/>
            <rFont val="Tahoma"/>
            <family val="2"/>
          </rPr>
          <t xml:space="preserve">
Note 8 on page 68 of the 2017 10-Ticker0019</t>
        </r>
      </text>
    </comment>
    <comment ref="F45" authorId="0" shapeId="0" xr:uid="{00000000-0006-0000-0200-00000E000000}">
      <text>
        <r>
          <rPr>
            <sz val="9"/>
            <color indexed="81"/>
            <rFont val="Tahoma"/>
            <family val="2"/>
          </rPr>
          <t xml:space="preserve">
There may be an amount of restricted shares and restricted units outstanding at 31 Dec 2017 in relation to the 2014 Director Stock Plan (p68 10K). These instruments have not been included in our analysis as it is unclear how many were outstanding at year end (this information is not provided in the note). Their omission appears to be immaterial anyway (at the most they would amount to 40,000 shares/units).</t>
        </r>
      </text>
    </comment>
    <comment ref="B54" authorId="1" shapeId="0" xr:uid="{00000000-0006-0000-0200-00000F000000}">
      <text>
        <r>
          <rPr>
            <sz val="9"/>
            <color indexed="81"/>
            <rFont val="Tahoma"/>
            <family val="2"/>
          </rPr>
          <t xml:space="preserve">
From 2017 10-Ticker0019, page 44.</t>
        </r>
      </text>
    </comment>
    <comment ref="C55" authorId="0" shapeId="0" xr:uid="{00000000-0006-0000-0200-000010000000}">
      <text>
        <r>
          <rPr>
            <sz val="9"/>
            <color indexed="81"/>
            <rFont val="Tahoma"/>
            <family val="2"/>
          </rPr>
          <t xml:space="preserve">
Restricted cash has been excluded (nature of restriction provided on p49 of 10K)</t>
        </r>
      </text>
    </comment>
    <comment ref="C57" authorId="0" shapeId="0" xr:uid="{00000000-0006-0000-0200-000011000000}">
      <text>
        <r>
          <rPr>
            <sz val="9"/>
            <color indexed="81"/>
            <rFont val="Tahoma"/>
            <family val="2"/>
          </rPr>
          <t xml:space="preserve">
Reported in Other noncurrent assets (see p50 10K)</t>
        </r>
      </text>
    </comment>
    <comment ref="F57" authorId="0" shapeId="0" xr:uid="{00000000-0006-0000-0200-000012000000}">
      <text>
        <r>
          <rPr>
            <sz val="9"/>
            <color indexed="81"/>
            <rFont val="Tahoma"/>
            <family val="2"/>
          </rPr>
          <t xml:space="preserve">
Include all liabilities that are operating in nature e.g. accounts payable</t>
        </r>
      </text>
    </comment>
    <comment ref="C58" authorId="0" shapeId="0" xr:uid="{00000000-0006-0000-0200-000013000000}">
      <text>
        <r>
          <rPr>
            <sz val="9"/>
            <color indexed="81"/>
            <rFont val="Tahoma"/>
            <family val="2"/>
          </rPr>
          <t xml:space="preserve">
Assets held for sale and promissory note on sale of Diamond of California (note 4 p57 10K)</t>
        </r>
      </text>
    </comment>
    <comment ref="C65" authorId="1" shapeId="0" xr:uid="{00000000-0006-0000-0200-000014000000}">
      <text>
        <r>
          <rPr>
            <sz val="9"/>
            <color indexed="81"/>
            <rFont val="Tahoma"/>
            <family val="2"/>
          </rPr>
          <t xml:space="preserve">
Page 42 of 10-Ticker0019</t>
        </r>
      </text>
    </comment>
    <comment ref="C67" authorId="1" shapeId="0" xr:uid="{00000000-0006-0000-0200-000015000000}">
      <text>
        <r>
          <rPr>
            <sz val="9"/>
            <color indexed="81"/>
            <rFont val="Tahoma"/>
            <family val="2"/>
          </rPr>
          <t xml:space="preserve">
Page 42 of 10-Ticker0019</t>
        </r>
      </text>
    </comment>
    <comment ref="D68" authorId="2" shapeId="0" xr:uid="{00000000-0006-0000-0200-000016000000}">
      <text>
        <r>
          <rPr>
            <sz val="9"/>
            <color indexed="81"/>
            <rFont val="Tahoma"/>
            <family val="2"/>
          </rPr>
          <t xml:space="preserve">
From IS (p42 in 10-Ticker0019). Related to the acquisition of Diamond Foods and described on p61 10K.</t>
        </r>
      </text>
    </comment>
    <comment ref="D69" authorId="2" shapeId="0" xr:uid="{00000000-0006-0000-0200-000017000000}">
      <text>
        <r>
          <rPr>
            <sz val="9"/>
            <color indexed="81"/>
            <rFont val="Tahoma"/>
            <family val="2"/>
          </rPr>
          <t xml:space="preserve">
From IS (p42 10-Ticker0019). Consists mostly of impairments of UK goodwill and tradenames (see page 25 of 10-Ticker0019) and impairments related to the Transformation Plan 2017 (see p63 10-Ticker0019).</t>
        </r>
      </text>
    </comment>
    <comment ref="D70" authorId="2" shapeId="0" xr:uid="{00000000-0006-0000-0200-000018000000}">
      <text>
        <r>
          <rPr>
            <sz val="9"/>
            <color indexed="81"/>
            <rFont val="Tahoma"/>
            <family val="2"/>
          </rPr>
          <t xml:space="preserve">
Note 6, p63 10-Ticker0019 (also described on p25) </t>
        </r>
      </text>
    </comment>
    <comment ref="D71" authorId="2" shapeId="0" xr:uid="{00000000-0006-0000-0200-000019000000}">
      <text>
        <r>
          <rPr>
            <sz val="9"/>
            <color indexed="81"/>
            <rFont val="Tahoma"/>
            <family val="2"/>
          </rPr>
          <t xml:space="preserve">
Page 25 in 10-Ticker0019.</t>
        </r>
      </text>
    </comment>
    <comment ref="D72" authorId="2" shapeId="0" xr:uid="{00000000-0006-0000-0200-00001A000000}">
      <text>
        <r>
          <rPr>
            <sz val="9"/>
            <color indexed="81"/>
            <rFont val="Tahoma"/>
            <family val="2"/>
          </rPr>
          <t xml:space="preserve">
Page 25 in 10-Ticker0019.</t>
        </r>
      </text>
    </comment>
    <comment ref="C78" authorId="0" shapeId="0" xr:uid="{00000000-0006-0000-0200-00001B000000}">
      <text>
        <r>
          <rPr>
            <sz val="9"/>
            <color indexed="81"/>
            <rFont val="Tahoma"/>
            <family val="2"/>
          </rPr>
          <t xml:space="preserve">
From CFS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
  </authors>
  <commentList>
    <comment ref="D25" authorId="0" shapeId="0" xr:uid="{00000000-0006-0000-0300-000001000000}">
      <text>
        <r>
          <rPr>
            <sz val="9"/>
            <color indexed="81"/>
            <rFont val="Tahoma"/>
            <family val="2"/>
          </rPr>
          <t xml:space="preserve">
Press release</t>
        </r>
      </text>
    </comment>
    <comment ref="I25" authorId="1" shapeId="0" xr:uid="{00000000-0006-0000-0300-000002000000}">
      <text>
        <r>
          <rPr>
            <sz val="9"/>
            <color indexed="81"/>
            <rFont val="Tahoma"/>
            <family val="2"/>
          </rPr>
          <t>Press release</t>
        </r>
      </text>
    </comment>
    <comment ref="D26" authorId="1" shapeId="0" xr:uid="{00000000-0006-0000-0300-000003000000}">
      <text>
        <r>
          <rPr>
            <sz val="9"/>
            <color indexed="81"/>
            <rFont val="Tahoma"/>
            <family val="2"/>
          </rPr>
          <t>Press release</t>
        </r>
      </text>
    </comment>
    <comment ref="I26" authorId="1" shapeId="0" xr:uid="{00000000-0006-0000-0300-000004000000}">
      <text>
        <r>
          <rPr>
            <sz val="9"/>
            <color indexed="81"/>
            <rFont val="Tahoma"/>
            <family val="2"/>
          </rPr>
          <t>Bloomberg</t>
        </r>
      </text>
    </comment>
    <comment ref="I27" authorId="1" shapeId="0" xr:uid="{00000000-0006-0000-0300-000005000000}">
      <text>
        <r>
          <rPr>
            <sz val="9"/>
            <color indexed="81"/>
            <rFont val="Tahoma"/>
            <family val="2"/>
          </rPr>
          <t>Bloomberg</t>
        </r>
      </text>
    </comment>
    <comment ref="I28" authorId="1" shapeId="0" xr:uid="{00000000-0006-0000-0300-000006000000}">
      <text>
        <r>
          <rPr>
            <sz val="9"/>
            <color indexed="81"/>
            <rFont val="Tahoma"/>
            <family val="2"/>
          </rPr>
          <t>Bloomberg</t>
        </r>
      </text>
    </comment>
    <comment ref="I29" authorId="1" shapeId="0" xr:uid="{00000000-0006-0000-0300-000007000000}">
      <text>
        <r>
          <rPr>
            <sz val="9"/>
            <color indexed="81"/>
            <rFont val="Tahoma"/>
            <family val="2"/>
          </rPr>
          <t>As of April 30, 2016 (front page of 10-Q)</t>
        </r>
      </text>
    </comment>
    <comment ref="D34" authorId="1" shapeId="0" xr:uid="{00000000-0006-0000-0300-000008000000}">
      <text>
        <r>
          <rPr>
            <sz val="9"/>
            <color indexed="81"/>
            <rFont val="Tahoma"/>
            <family val="2"/>
          </rPr>
          <t xml:space="preserve">
Press release</t>
        </r>
      </text>
    </comment>
    <comment ref="C40" authorId="0" shapeId="0" xr:uid="{00000000-0006-0000-0300-000009000000}">
      <text>
        <r>
          <rPr>
            <sz val="9"/>
            <color indexed="81"/>
            <rFont val="Tahoma"/>
            <family val="2"/>
          </rPr>
          <t xml:space="preserve">
Use market values where possible (overwriting the formulae)
Check with your senior banker before including other obligations
Include other financial investments with equity affliates / associates if necessary</t>
        </r>
      </text>
    </comment>
    <comment ref="F42" authorId="1" shapeId="0" xr:uid="{00000000-0006-0000-0300-00000A000000}">
      <text>
        <r>
          <rPr>
            <sz val="9"/>
            <color indexed="81"/>
            <rFont val="Tahoma"/>
            <family val="2"/>
          </rPr>
          <t xml:space="preserve">
Page 19 of the 2016 Q1 10-Q</t>
        </r>
      </text>
    </comment>
    <comment ref="F43" authorId="1" shapeId="0" xr:uid="{00000000-0006-0000-0300-00000B000000}">
      <text>
        <r>
          <rPr>
            <sz val="9"/>
            <color indexed="81"/>
            <rFont val="Tahoma"/>
            <family val="2"/>
          </rPr>
          <t xml:space="preserve">
Page 19 of the 2016 Q1 10-Q</t>
        </r>
      </text>
    </comment>
    <comment ref="F44" authorId="1" shapeId="0" xr:uid="{00000000-0006-0000-0300-00000C000000}">
      <text>
        <r>
          <rPr>
            <sz val="9"/>
            <color indexed="81"/>
            <rFont val="Tahoma"/>
            <family val="2"/>
          </rPr>
          <t xml:space="preserve">
Page 20 of the 2016 Q1 10-Q</t>
        </r>
      </text>
    </comment>
    <comment ref="B54" authorId="1" shapeId="0" xr:uid="{00000000-0006-0000-0300-00000D000000}">
      <text>
        <r>
          <rPr>
            <sz val="9"/>
            <color indexed="81"/>
            <rFont val="Tahoma"/>
            <family val="2"/>
          </rPr>
          <t xml:space="preserve">
From Q1 2016 10-Q, page 1.</t>
        </r>
      </text>
    </comment>
    <comment ref="F57" authorId="0" shapeId="0" xr:uid="{00000000-0006-0000-0300-00000E000000}">
      <text>
        <r>
          <rPr>
            <sz val="9"/>
            <color indexed="81"/>
            <rFont val="Tahoma"/>
            <family val="2"/>
          </rPr>
          <t xml:space="preserve">
Include all liabilities that are operating in nature e.g. accounts payable</t>
        </r>
      </text>
    </comment>
    <comment ref="C65" authorId="1" shapeId="0" xr:uid="{00000000-0006-0000-0300-00000F000000}">
      <text>
        <r>
          <rPr>
            <sz val="9"/>
            <color indexed="81"/>
            <rFont val="Tahoma"/>
            <family val="2"/>
          </rPr>
          <t xml:space="preserve">
Page F-3 of 10-Ticker0019 (pdf page 46)</t>
        </r>
      </text>
    </comment>
    <comment ref="C67" authorId="1" shapeId="0" xr:uid="{00000000-0006-0000-0300-000010000000}">
      <text>
        <r>
          <rPr>
            <sz val="9"/>
            <color indexed="81"/>
            <rFont val="Tahoma"/>
            <family val="2"/>
          </rPr>
          <t xml:space="preserve">
Page F-3 of 10-Ticker0019 (pdf page 46)</t>
        </r>
      </text>
    </comment>
    <comment ref="D68" authorId="1" shapeId="0" xr:uid="{00000000-0006-0000-0300-000011000000}">
      <text>
        <r>
          <rPr>
            <sz val="9"/>
            <color indexed="81"/>
            <rFont val="Tahoma"/>
            <family val="2"/>
          </rPr>
          <t>Page 27 of 10-Ticker0019</t>
        </r>
      </text>
    </comment>
    <comment ref="F68" authorId="0" shapeId="0" xr:uid="{00000000-0006-0000-0300-000012000000}">
      <text>
        <r>
          <rPr>
            <sz val="9"/>
            <color indexed="81"/>
            <rFont val="Tahoma"/>
            <family val="2"/>
          </rPr>
          <t xml:space="preserve">
Page 35 of 10Q. Two items in COGS:
$2.2 million write-off of a warehouse and
$6.0 million of transition costs related to the Company2320 implementation at Fresh Foods</t>
        </r>
      </text>
    </comment>
    <comment ref="C78" authorId="0" shapeId="0" xr:uid="{00000000-0006-0000-0300-000013000000}">
      <text>
        <r>
          <rPr>
            <sz val="9"/>
            <color indexed="81"/>
            <rFont val="Tahoma"/>
            <family val="2"/>
          </rPr>
          <t xml:space="preserve">
From CFS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
  </authors>
  <commentList>
    <comment ref="D25" authorId="0" shapeId="0" xr:uid="{00000000-0006-0000-0400-000001000000}">
      <text>
        <r>
          <rPr>
            <sz val="9"/>
            <color indexed="81"/>
            <rFont val="Tahoma"/>
            <family val="2"/>
          </rPr>
          <t xml:space="preserve">
Press release (pdf page 3)</t>
        </r>
      </text>
    </comment>
    <comment ref="I25" authorId="0" shapeId="0" xr:uid="{00000000-0006-0000-0400-000002000000}">
      <text>
        <r>
          <rPr>
            <sz val="9"/>
            <color indexed="81"/>
            <rFont val="Tahoma"/>
            <family val="2"/>
          </rPr>
          <t xml:space="preserve">
Company1522 share price on annoucement date</t>
        </r>
      </text>
    </comment>
    <comment ref="D26" authorId="0" shapeId="0" xr:uid="{00000000-0006-0000-0400-000003000000}">
      <text>
        <r>
          <rPr>
            <sz val="9"/>
            <color indexed="81"/>
            <rFont val="Tahoma"/>
            <family val="2"/>
          </rPr>
          <t>News article</t>
        </r>
      </text>
    </comment>
    <comment ref="I26" authorId="0" shapeId="0" xr:uid="{00000000-0006-0000-0400-000004000000}">
      <text>
        <r>
          <rPr>
            <sz val="9"/>
            <color indexed="81"/>
            <rFont val="Tahoma"/>
            <family val="2"/>
          </rPr>
          <t xml:space="preserve">
Bloomberg: 24th March 2015</t>
        </r>
      </text>
    </comment>
    <comment ref="I27" authorId="0" shapeId="0" xr:uid="{00000000-0006-0000-0400-000005000000}">
      <text>
        <r>
          <rPr>
            <sz val="9"/>
            <color indexed="81"/>
            <rFont val="Tahoma"/>
            <family val="2"/>
          </rPr>
          <t>Author: 17th March 2015</t>
        </r>
      </text>
    </comment>
    <comment ref="I28" authorId="0" shapeId="0" xr:uid="{00000000-0006-0000-0400-000006000000}">
      <text>
        <r>
          <rPr>
            <sz val="9"/>
            <color indexed="81"/>
            <rFont val="Tahoma"/>
            <family val="2"/>
          </rPr>
          <t>Author: 24th February 2015</t>
        </r>
      </text>
    </comment>
    <comment ref="D29" authorId="0" shapeId="0" xr:uid="{00000000-0006-0000-0400-000007000000}">
      <text>
        <r>
          <rPr>
            <sz val="9"/>
            <color indexed="81"/>
            <rFont val="Tahoma"/>
            <family val="2"/>
          </rPr>
          <t xml:space="preserve">
10-Ticker0019</t>
        </r>
      </text>
    </comment>
    <comment ref="I29" authorId="0" shapeId="0" xr:uid="{00000000-0006-0000-0400-000008000000}">
      <text>
        <r>
          <rPr>
            <sz val="9"/>
            <color indexed="81"/>
            <rFont val="Tahoma"/>
            <family val="2"/>
          </rPr>
          <t xml:space="preserve">
Front page of 10-Ticker0019</t>
        </r>
      </text>
    </comment>
    <comment ref="D30" authorId="0" shapeId="0" xr:uid="{00000000-0006-0000-0400-000009000000}">
      <text>
        <r>
          <rPr>
            <sz val="9"/>
            <color indexed="81"/>
            <rFont val="Tahoma"/>
            <family val="2"/>
          </rPr>
          <t xml:space="preserve">
10-Ticker0019</t>
        </r>
      </text>
    </comment>
    <comment ref="D34" authorId="0" shapeId="0" xr:uid="{00000000-0006-0000-0400-00000A000000}">
      <text>
        <r>
          <rPr>
            <sz val="9"/>
            <color indexed="81"/>
            <rFont val="Tahoma"/>
            <family val="2"/>
          </rPr>
          <t xml:space="preserve">
For each Company1522 share, Company1522 shareholders receive a special cash dividend of $16.50 per share and one heinz share. See investor presentation (pdf page 562) press release (pdf pg 3) or merger proxy (pdf pg 25) </t>
        </r>
      </text>
    </comment>
    <comment ref="C40" authorId="1" shapeId="0" xr:uid="{00000000-0006-0000-0400-00000B000000}">
      <text>
        <r>
          <rPr>
            <sz val="9"/>
            <color indexed="81"/>
            <rFont val="Tahoma"/>
            <family val="2"/>
          </rPr>
          <t xml:space="preserve">
Use market values where possible (overwriting the formulae)
Check with your senior banker before including other obligations
Include other financial investments with equity affliates / associates if necessary</t>
        </r>
      </text>
    </comment>
    <comment ref="F42" authorId="0" shapeId="0" xr:uid="{00000000-0006-0000-0400-00000C000000}">
      <text>
        <r>
          <rPr>
            <sz val="9"/>
            <color indexed="81"/>
            <rFont val="Tahoma"/>
            <family val="2"/>
          </rPr>
          <t xml:space="preserve">
Page 48 of 10-Ticker0019 (pdf page 640)</t>
        </r>
      </text>
    </comment>
    <comment ref="F43" authorId="0" shapeId="0" xr:uid="{00000000-0006-0000-0400-00000D000000}">
      <text>
        <r>
          <rPr>
            <sz val="9"/>
            <color indexed="81"/>
            <rFont val="Tahoma"/>
            <family val="2"/>
          </rPr>
          <t xml:space="preserve">
Page 49 of 10-Ticker0019 (pdf page 641)</t>
        </r>
      </text>
    </comment>
    <comment ref="B54" authorId="0" shapeId="0" xr:uid="{00000000-0006-0000-0400-00000E000000}">
      <text>
        <r>
          <rPr>
            <sz val="9"/>
            <color indexed="81"/>
            <rFont val="Tahoma"/>
            <family val="2"/>
          </rPr>
          <t xml:space="preserve">
Page 36 of 10-Ticker0019 (pdf page 628)</t>
        </r>
      </text>
    </comment>
    <comment ref="F57" authorId="1" shapeId="0" xr:uid="{00000000-0006-0000-0400-00000F000000}">
      <text>
        <r>
          <rPr>
            <sz val="9"/>
            <color indexed="81"/>
            <rFont val="Tahoma"/>
            <family val="2"/>
          </rPr>
          <t xml:space="preserve">
Include all liabilities that are operating in nature e.g. accounts payable</t>
        </r>
      </text>
    </comment>
    <comment ref="C65" authorId="0" shapeId="0" xr:uid="{00000000-0006-0000-0400-000010000000}">
      <text>
        <r>
          <rPr>
            <sz val="9"/>
            <color indexed="81"/>
            <rFont val="Tahoma"/>
            <family val="2"/>
          </rPr>
          <t xml:space="preserve">
Page 34 (pdf page 626)</t>
        </r>
      </text>
    </comment>
    <comment ref="C67" authorId="0" shapeId="0" xr:uid="{00000000-0006-0000-0400-000011000000}">
      <text>
        <r>
          <rPr>
            <sz val="9"/>
            <color indexed="81"/>
            <rFont val="Tahoma"/>
            <family val="2"/>
          </rPr>
          <t xml:space="preserve">
Page 34 (pdf page 626)</t>
        </r>
      </text>
    </comment>
    <comment ref="C68" authorId="0" shapeId="0" xr:uid="{00000000-0006-0000-0400-000012000000}">
      <text>
        <r>
          <rPr>
            <sz val="9"/>
            <color indexed="81"/>
            <rFont val="Tahoma"/>
            <family val="2"/>
          </rPr>
          <t xml:space="preserve">
Page 18 of 10-Ticker0019 (pdf page 610). This includes the impairment of 1 shown on the face of the IS. See footnote 5 pg 44 pdf pg 636</t>
        </r>
      </text>
    </comment>
    <comment ref="C69" authorId="0" shapeId="0" xr:uid="{00000000-0006-0000-0400-000013000000}">
      <text>
        <r>
          <rPr>
            <sz val="9"/>
            <color indexed="81"/>
            <rFont val="Tahoma"/>
            <family val="2"/>
          </rPr>
          <t xml:space="preserve">
Page 18 of 10-Ticker0019 (pdf page 610)</t>
        </r>
      </text>
    </comment>
    <comment ref="C78" authorId="0" shapeId="0" xr:uid="{00000000-0006-0000-0400-000014000000}">
      <text>
        <r>
          <rPr>
            <sz val="9"/>
            <color indexed="81"/>
            <rFont val="Tahoma"/>
            <family val="2"/>
          </rPr>
          <t xml:space="preserve">
CFS (page 38, pdf page 630)</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
    <author/>
  </authors>
  <commentList>
    <comment ref="D25" authorId="0" shapeId="0" xr:uid="{00000000-0006-0000-0500-000001000000}">
      <text>
        <r>
          <rPr>
            <sz val="9"/>
            <color indexed="81"/>
            <rFont val="Tahoma"/>
            <family val="2"/>
          </rPr>
          <t xml:space="preserve">
Press release, PIB pg no 4</t>
        </r>
      </text>
    </comment>
    <comment ref="I25" authorId="1" shapeId="0" xr:uid="{00000000-0006-0000-0500-000002000000}">
      <text>
        <r>
          <rPr>
            <sz val="9"/>
            <color indexed="81"/>
            <rFont val="Tahoma"/>
            <family val="2"/>
          </rPr>
          <t>Press release, PIB pg no 4</t>
        </r>
      </text>
    </comment>
    <comment ref="D26" authorId="0" shapeId="0" xr:uid="{00000000-0006-0000-0500-000003000000}">
      <text>
        <r>
          <rPr>
            <sz val="9"/>
            <color indexed="81"/>
            <rFont val="Tahoma"/>
            <family val="2"/>
          </rPr>
          <t xml:space="preserve">
PIB pg no 10</t>
        </r>
      </text>
    </comment>
    <comment ref="I26" authorId="1" shapeId="0" xr:uid="{00000000-0006-0000-0500-000004000000}">
      <text>
        <r>
          <rPr>
            <sz val="9"/>
            <color indexed="81"/>
            <rFont val="Tahoma"/>
            <family val="2"/>
          </rPr>
          <t>Press release, PIB pg no 4</t>
        </r>
      </text>
    </comment>
    <comment ref="I27" authorId="1" shapeId="0" xr:uid="{00000000-0006-0000-0500-000005000000}">
      <text>
        <r>
          <rPr>
            <sz val="9"/>
            <color indexed="81"/>
            <rFont val="Tahoma"/>
            <family val="2"/>
          </rPr>
          <t xml:space="preserve">
Bloomberg - 7th feb 2013, PIB pg no 16</t>
        </r>
      </text>
    </comment>
    <comment ref="I28" authorId="1" shapeId="0" xr:uid="{00000000-0006-0000-0500-000006000000}">
      <text>
        <r>
          <rPr>
            <sz val="9"/>
            <color indexed="81"/>
            <rFont val="Tahoma"/>
            <family val="2"/>
          </rPr>
          <t>Bloomberg - 14th Jan 2013, PIB pg no 15</t>
        </r>
      </text>
    </comment>
    <comment ref="I29" authorId="0" shapeId="0" xr:uid="{00000000-0006-0000-0500-000007000000}">
      <text>
        <r>
          <rPr>
            <sz val="9"/>
            <color indexed="81"/>
            <rFont val="Tahoma"/>
            <family val="2"/>
          </rPr>
          <t xml:space="preserve">
Front page of 10Q
PIB pg no 142 </t>
        </r>
      </text>
    </comment>
    <comment ref="D34" authorId="0" shapeId="0" xr:uid="{00000000-0006-0000-0500-000008000000}">
      <text>
        <r>
          <rPr>
            <sz val="9"/>
            <color indexed="81"/>
            <rFont val="Tahoma"/>
            <family val="2"/>
          </rPr>
          <t xml:space="preserve">
PIB pg no 4</t>
        </r>
      </text>
    </comment>
    <comment ref="C40" authorId="0" shapeId="0" xr:uid="{00000000-0006-0000-0500-000009000000}">
      <text>
        <r>
          <rPr>
            <sz val="9"/>
            <color indexed="81"/>
            <rFont val="Tahoma"/>
            <family val="2"/>
          </rPr>
          <t xml:space="preserve">
Use market values where possible (overwriting the formulae)
Check with your senior banker before including other obligations
Include other financial investments with equity affliates / associates if necessary</t>
        </r>
      </text>
    </comment>
    <comment ref="F42" authorId="2" shapeId="0" xr:uid="{00000000-0006-0000-0500-00000A000000}">
      <text>
        <r>
          <rPr>
            <sz val="9"/>
            <color indexed="81"/>
            <rFont val="Tahoma"/>
            <family val="2"/>
          </rPr>
          <t xml:space="preserve">
PIB p 122</t>
        </r>
      </text>
    </comment>
    <comment ref="C54" authorId="0" shapeId="0" xr:uid="{00000000-0006-0000-0500-00000B000000}">
      <text>
        <r>
          <rPr>
            <sz val="9"/>
            <color indexed="81"/>
            <rFont val="Tahoma"/>
            <family val="2"/>
          </rPr>
          <t xml:space="preserve">
PIB pg no 23 - 10Q
(nine month ended data)</t>
        </r>
      </text>
    </comment>
    <comment ref="F57" authorId="0" shapeId="0" xr:uid="{00000000-0006-0000-0500-00000C000000}">
      <text>
        <r>
          <rPr>
            <sz val="9"/>
            <color indexed="81"/>
            <rFont val="Tahoma"/>
            <family val="2"/>
          </rPr>
          <t xml:space="preserve">
Include all liabilities that are operating in nature e.g. accounts payable</t>
        </r>
      </text>
    </comment>
    <comment ref="C59" authorId="0" shapeId="0" xr:uid="{00000000-0006-0000-0500-00000D000000}">
      <text>
        <r>
          <rPr>
            <sz val="9"/>
            <color indexed="81"/>
            <rFont val="Tahoma"/>
            <family val="2"/>
          </rPr>
          <t xml:space="preserve">
Include all assets that are operating in nature e.g. inventories, accounts receivable, PP&amp;E etc</t>
        </r>
      </text>
    </comment>
    <comment ref="C64" authorId="0" shapeId="0" xr:uid="{00000000-0006-0000-0500-00000E000000}">
      <text>
        <r>
          <rPr>
            <sz val="9"/>
            <color indexed="81"/>
            <rFont val="Tahoma"/>
            <family val="2"/>
          </rPr>
          <t xml:space="preserve">
PIB pg no 101 - 10k pg no 33
PIB pg no 20 - 10Q pg no 3 (nine month ended data)</t>
        </r>
      </text>
    </comment>
    <comment ref="D68" authorId="2" shapeId="0" xr:uid="{00000000-0006-0000-0500-00000F000000}">
      <text>
        <r>
          <rPr>
            <sz val="9"/>
            <color indexed="81"/>
            <rFont val="Tahoma"/>
            <family val="2"/>
          </rPr>
          <t xml:space="preserve">
$58.7 of asset writeoffs
$89.8 severance costs
$75.8 other implementation costs
10K pg no 43
PIB pg no 111</t>
        </r>
      </text>
    </comment>
    <comment ref="E68" authorId="2" shapeId="0" xr:uid="{00000000-0006-0000-0500-000010000000}">
      <text>
        <r>
          <rPr>
            <sz val="9"/>
            <color indexed="81"/>
            <rFont val="Tahoma"/>
            <family val="2"/>
          </rPr>
          <t xml:space="preserve">
10Q - 9 month ended results excluding charges for productivity initiatives
10Q pg no 36
PIB pg no 53
$39.6 of asset writeoffs
$38.0 severance costs
$33.6 other implementation costs
10Q pg no 10
PIB pg no 27</t>
        </r>
      </text>
    </comment>
    <comment ref="F69" authorId="0" shapeId="0" xr:uid="{00000000-0006-0000-0500-000011000000}">
      <text>
        <r>
          <rPr>
            <sz val="9"/>
            <color indexed="81"/>
            <rFont val="Tahoma"/>
            <family val="2"/>
          </rPr>
          <t xml:space="preserve">
10Q - 9 month ended results excluding charges for Company1026 earnout
10Q pg no 35
PIB pg no 52</t>
        </r>
      </text>
    </comment>
    <comment ref="D78" authorId="0" shapeId="0" xr:uid="{00000000-0006-0000-0500-000012000000}">
      <text>
        <r>
          <rPr>
            <sz val="9"/>
            <color indexed="81"/>
            <rFont val="Tahoma"/>
            <family val="2"/>
          </rPr>
          <t xml:space="preserve">
From CFS
PIB pg no 106</t>
        </r>
      </text>
    </comment>
    <comment ref="F78" authorId="2" shapeId="0" xr:uid="{00000000-0006-0000-0500-000013000000}">
      <text>
        <r>
          <rPr>
            <sz val="9"/>
            <color indexed="81"/>
            <rFont val="Tahoma"/>
            <family val="2"/>
          </rPr>
          <t xml:space="preserve">
CFS, pg 8 of the 10Q
149 of PIB</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D25" authorId="0" shapeId="0" xr:uid="{00000000-0006-0000-0600-000001000000}">
      <text>
        <r>
          <rPr>
            <sz val="9"/>
            <color indexed="81"/>
            <rFont val="Tahoma"/>
            <family val="2"/>
          </rPr>
          <t xml:space="preserve">
Company0691 8K</t>
        </r>
      </text>
    </comment>
    <comment ref="I25" authorId="0" shapeId="0" xr:uid="{00000000-0006-0000-0600-000002000000}">
      <text>
        <r>
          <rPr>
            <sz val="9"/>
            <color indexed="81"/>
            <rFont val="Tahoma"/>
            <family val="2"/>
          </rPr>
          <t xml:space="preserve">
Company0691 press release</t>
        </r>
      </text>
    </comment>
    <comment ref="D26" authorId="0" shapeId="0" xr:uid="{00000000-0006-0000-0600-000003000000}">
      <text>
        <r>
          <rPr>
            <sz val="9"/>
            <color indexed="81"/>
            <rFont val="Tahoma"/>
            <family val="2"/>
          </rPr>
          <t xml:space="preserve">
From ConAgra completion press release</t>
        </r>
      </text>
    </comment>
    <comment ref="I26" authorId="0" shapeId="0" xr:uid="{00000000-0006-0000-0600-000004000000}">
      <text>
        <r>
          <rPr>
            <sz val="9"/>
            <color indexed="81"/>
            <rFont val="Tahoma"/>
            <family val="2"/>
          </rPr>
          <t xml:space="preserve">
28.2% premium to previous day share price - see page 1 of conagra press release</t>
        </r>
      </text>
    </comment>
    <comment ref="I27" authorId="0" shapeId="0" xr:uid="{00000000-0006-0000-0600-000005000000}">
      <text>
        <r>
          <rPr>
            <sz val="9"/>
            <color indexed="81"/>
            <rFont val="Tahoma"/>
            <family val="2"/>
          </rPr>
          <t xml:space="preserve">
Bloomberg</t>
        </r>
      </text>
    </comment>
    <comment ref="I28" authorId="0" shapeId="0" xr:uid="{00000000-0006-0000-0600-000006000000}">
      <text>
        <r>
          <rPr>
            <sz val="9"/>
            <color indexed="81"/>
            <rFont val="Tahoma"/>
            <family val="2"/>
          </rPr>
          <t xml:space="preserve">
Closing price on 26th October, 2012
Bloomberg
</t>
        </r>
      </text>
    </comment>
    <comment ref="I29" authorId="0" shapeId="0" xr:uid="{00000000-0006-0000-0600-000007000000}">
      <text>
        <r>
          <rPr>
            <sz val="9"/>
            <color indexed="81"/>
            <rFont val="Tahoma"/>
            <family val="2"/>
          </rPr>
          <t xml:space="preserve">
Company2277 8-Ticker0019, page 17</t>
        </r>
      </text>
    </comment>
    <comment ref="C40" authorId="0" shapeId="0" xr:uid="{00000000-0006-0000-0600-000008000000}">
      <text>
        <r>
          <rPr>
            <sz val="9"/>
            <color indexed="81"/>
            <rFont val="Tahoma"/>
            <family val="2"/>
          </rPr>
          <t xml:space="preserve">
Use market values where possible (overwriting the formulae)
Check with your senior banker before including other obligations
Include other financial investments with equity affliates / associates if necessary</t>
        </r>
      </text>
    </comment>
    <comment ref="F42" authorId="0" shapeId="0" xr:uid="{00000000-0006-0000-0600-000009000000}">
      <text>
        <r>
          <rPr>
            <sz val="9"/>
            <color indexed="81"/>
            <rFont val="Tahoma"/>
            <family val="2"/>
          </rPr>
          <t xml:space="preserve">
Company2277 8K, page 17</t>
        </r>
      </text>
    </comment>
    <comment ref="F43" authorId="0" shapeId="0" xr:uid="{00000000-0006-0000-0600-00000A000000}">
      <text>
        <r>
          <rPr>
            <sz val="9"/>
            <color indexed="81"/>
            <rFont val="Tahoma"/>
            <family val="2"/>
          </rPr>
          <t xml:space="preserve">
Company2277 8K, page 17</t>
        </r>
      </text>
    </comment>
    <comment ref="F44" authorId="0" shapeId="0" xr:uid="{00000000-0006-0000-0600-00000B000000}">
      <text>
        <r>
          <rPr>
            <sz val="9"/>
            <color indexed="81"/>
            <rFont val="Tahoma"/>
            <family val="2"/>
          </rPr>
          <t xml:space="preserve">
Company2277 8K, page 17</t>
        </r>
      </text>
    </comment>
    <comment ref="F45" authorId="0" shapeId="0" xr:uid="{00000000-0006-0000-0600-00000C000000}">
      <text>
        <r>
          <rPr>
            <sz val="9"/>
            <color indexed="81"/>
            <rFont val="Tahoma"/>
            <family val="2"/>
          </rPr>
          <t xml:space="preserve">
Company2277 8K, page 17</t>
        </r>
      </text>
    </comment>
    <comment ref="F46" authorId="0" shapeId="0" xr:uid="{00000000-0006-0000-0600-00000D000000}">
      <text>
        <r>
          <rPr>
            <sz val="9"/>
            <color indexed="81"/>
            <rFont val="Tahoma"/>
            <family val="2"/>
          </rPr>
          <t xml:space="preserve">
Company2277 8K, page 17</t>
        </r>
      </text>
    </comment>
    <comment ref="F47" authorId="0" shapeId="0" xr:uid="{00000000-0006-0000-0600-00000E000000}">
      <text>
        <r>
          <rPr>
            <sz val="9"/>
            <color indexed="81"/>
            <rFont val="Tahoma"/>
            <family val="2"/>
          </rPr>
          <t xml:space="preserve">
Company2277 8K, page 17</t>
        </r>
      </text>
    </comment>
    <comment ref="B54" authorId="0" shapeId="0" xr:uid="{00000000-0006-0000-0600-00000F000000}">
      <text>
        <r>
          <rPr>
            <sz val="9"/>
            <color indexed="81"/>
            <rFont val="Tahoma"/>
            <family val="2"/>
          </rPr>
          <t xml:space="preserve">
Balance sheet data from Company2277 10-Ticker0019, page 46</t>
        </r>
      </text>
    </comment>
    <comment ref="F57" authorId="0" shapeId="0" xr:uid="{00000000-0006-0000-0600-000010000000}">
      <text>
        <r>
          <rPr>
            <sz val="9"/>
            <color indexed="81"/>
            <rFont val="Tahoma"/>
            <family val="2"/>
          </rPr>
          <t xml:space="preserve">
Include all liabilities that are operating in nature e.g. accounts payable</t>
        </r>
      </text>
    </comment>
    <comment ref="C59" authorId="0" shapeId="0" xr:uid="{00000000-0006-0000-0600-000011000000}">
      <text>
        <r>
          <rPr>
            <sz val="9"/>
            <color indexed="81"/>
            <rFont val="Tahoma"/>
            <family val="2"/>
          </rPr>
          <t xml:space="preserve">
Include all assets that are operating in nature e.g. inventories, accounts receivable, PP&amp;E etc</t>
        </r>
      </text>
    </comment>
    <comment ref="D65" authorId="0" shapeId="0" xr:uid="{00000000-0006-0000-0600-000012000000}">
      <text>
        <r>
          <rPr>
            <sz val="9"/>
            <color indexed="81"/>
            <rFont val="Tahoma"/>
            <family val="2"/>
          </rPr>
          <t xml:space="preserve">
Page 42 of Company2277, 10K</t>
        </r>
      </text>
    </comment>
    <comment ref="D67" authorId="0" shapeId="0" xr:uid="{00000000-0006-0000-0600-000013000000}">
      <text>
        <r>
          <rPr>
            <sz val="9"/>
            <color indexed="81"/>
            <rFont val="Tahoma"/>
            <family val="2"/>
          </rPr>
          <t xml:space="preserve">
Page 42 of Company2277, 10K</t>
        </r>
      </text>
    </comment>
    <comment ref="D68" authorId="0" shapeId="0" xr:uid="{00000000-0006-0000-0600-000014000000}">
      <text>
        <r>
          <rPr>
            <sz val="9"/>
            <color indexed="81"/>
            <rFont val="Tahoma"/>
            <family val="2"/>
          </rPr>
          <t xml:space="preserve">
Page 54 of Company2277 10K</t>
        </r>
      </text>
    </comment>
    <comment ref="D69" authorId="0" shapeId="0" xr:uid="{00000000-0006-0000-0600-000015000000}">
      <text>
        <r>
          <rPr>
            <sz val="9"/>
            <color indexed="81"/>
            <rFont val="Tahoma"/>
            <family val="2"/>
          </rPr>
          <t xml:space="preserve">
Company2277 10-Ticker0019, page 59</t>
        </r>
      </text>
    </comment>
    <comment ref="D70" authorId="0" shapeId="0" xr:uid="{00000000-0006-0000-0600-000016000000}">
      <text>
        <r>
          <rPr>
            <sz val="9"/>
            <color indexed="81"/>
            <rFont val="Tahoma"/>
            <family val="2"/>
          </rPr>
          <t xml:space="preserve">
Company2277 10-Ticker0019, page 60</t>
        </r>
      </text>
    </comment>
    <comment ref="D71" authorId="0" shapeId="0" xr:uid="{00000000-0006-0000-0600-000017000000}">
      <text>
        <r>
          <rPr>
            <sz val="9"/>
            <color indexed="81"/>
            <rFont val="Tahoma"/>
            <family val="2"/>
          </rPr>
          <t xml:space="preserve">
Page 42 of Company2277, 10K</t>
        </r>
      </text>
    </comment>
    <comment ref="D78" authorId="0" shapeId="0" xr:uid="{00000000-0006-0000-0600-000018000000}">
      <text>
        <r>
          <rPr>
            <sz val="9"/>
            <color indexed="81"/>
            <rFont val="Tahoma"/>
            <family val="2"/>
          </rPr>
          <t xml:space="preserve">
Page 44 of Company2277 10-Ticker0019</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
    <author/>
  </authors>
  <commentList>
    <comment ref="D24" authorId="0" shapeId="0" xr:uid="{00000000-0006-0000-0700-000001000000}">
      <text>
        <r>
          <rPr>
            <sz val="8"/>
            <color indexed="81"/>
            <rFont val="Tahoma"/>
            <family val="2"/>
          </rPr>
          <t>Company2177 sold the Snacks division, of which Product0312 is the primary brand.</t>
        </r>
      </text>
    </comment>
    <comment ref="D25" authorId="1" shapeId="0" xr:uid="{00000000-0006-0000-0700-000002000000}">
      <text>
        <r>
          <rPr>
            <sz val="9"/>
            <color indexed="81"/>
            <rFont val="Tahoma"/>
            <family val="2"/>
          </rPr>
          <t xml:space="preserve">
From Company1508 press release 15 Feb 2012. PIB pg no 3</t>
        </r>
      </text>
    </comment>
    <comment ref="D26" authorId="1" shapeId="0" xr:uid="{00000000-0006-0000-0700-000003000000}">
      <text>
        <r>
          <rPr>
            <sz val="9"/>
            <color indexed="81"/>
            <rFont val="Tahoma"/>
            <family val="2"/>
          </rPr>
          <t xml:space="preserve">
P&amp;G press release
PIB pg no 75</t>
        </r>
      </text>
    </comment>
    <comment ref="D34" authorId="1" shapeId="0" xr:uid="{00000000-0006-0000-0700-000004000000}">
      <text>
        <r>
          <rPr>
            <sz val="9"/>
            <color indexed="81"/>
            <rFont val="Tahoma"/>
            <family val="2"/>
          </rPr>
          <t>PIB pg no 4</t>
        </r>
      </text>
    </comment>
    <comment ref="I36" authorId="1" shapeId="0" xr:uid="{00000000-0006-0000-0700-000005000000}">
      <text>
        <r>
          <rPr>
            <sz val="9"/>
            <color indexed="81"/>
            <rFont val="Tahoma"/>
            <family val="2"/>
          </rPr>
          <t xml:space="preserve">
From Company1508 press release 15 Feb 2012.  PIB pg no 4</t>
        </r>
      </text>
    </comment>
    <comment ref="I37" authorId="2" shapeId="0" xr:uid="{00000000-0006-0000-0700-000006000000}">
      <text>
        <r>
          <rPr>
            <sz val="9"/>
            <color indexed="81"/>
            <rFont val="Tahoma"/>
            <family val="2"/>
          </rPr>
          <t xml:space="preserve">
Estimated tax and working capital benefits at the time of the transaction, using the 9x EBITDA multiple provided on sl.10 of Company1508 investors presentation 15 Feb 2012..
PIB pg no 8</t>
        </r>
      </text>
    </comment>
    <comment ref="C40" authorId="1" shapeId="0" xr:uid="{00000000-0006-0000-0700-000007000000}">
      <text>
        <r>
          <rPr>
            <sz val="9"/>
            <color indexed="81"/>
            <rFont val="Tahoma"/>
            <family val="2"/>
          </rPr>
          <t xml:space="preserve">
Use market values where possible (overwriting the formulae)
Check with your senior banker before including other obligations
Include other financial investments with equity affliates / associates if necessary</t>
        </r>
      </text>
    </comment>
    <comment ref="F57" authorId="1" shapeId="0" xr:uid="{00000000-0006-0000-0700-000008000000}">
      <text>
        <r>
          <rPr>
            <sz val="9"/>
            <color indexed="81"/>
            <rFont val="Tahoma"/>
            <family val="2"/>
          </rPr>
          <t xml:space="preserve">
Include all liabilities that are operating in nature e.g. accounts payable</t>
        </r>
      </text>
    </comment>
    <comment ref="C59" authorId="1" shapeId="0" xr:uid="{00000000-0006-0000-0700-000009000000}">
      <text>
        <r>
          <rPr>
            <sz val="9"/>
            <color indexed="81"/>
            <rFont val="Tahoma"/>
            <family val="2"/>
          </rPr>
          <t xml:space="preserve">
Include all assets that are operating in nature e.g. inventories, accounts receivable, PP&amp;E etc</t>
        </r>
      </text>
    </comment>
    <comment ref="D65" authorId="1" shapeId="0" xr:uid="{00000000-0006-0000-0700-00000A000000}">
      <text>
        <r>
          <rPr>
            <sz val="9"/>
            <color indexed="81"/>
            <rFont val="Tahoma"/>
            <family val="2"/>
          </rPr>
          <t xml:space="preserve">
Company1508 investors presentation 15 Feb 2012, sl 5. PIB pg no 9
Also in p.43 P&amp;G's 2011 Annual report (period ended 30 June 2011). PIB pg no 37</t>
        </r>
      </text>
    </comment>
    <comment ref="D67" authorId="1" shapeId="0" xr:uid="{00000000-0006-0000-0700-00000B000000}">
      <text>
        <r>
          <rPr>
            <sz val="9"/>
            <color indexed="81"/>
            <rFont val="Tahoma"/>
            <family val="2"/>
          </rPr>
          <t xml:space="preserve">
p.43 P&amp;G's 2011 Annual report (period ended 30 June 2011)
PIB pg no 37</t>
        </r>
      </text>
    </comment>
    <comment ref="D79" authorId="1" shapeId="0" xr:uid="{00000000-0006-0000-0700-00000C000000}">
      <text>
        <r>
          <rPr>
            <sz val="9"/>
            <color indexed="81"/>
            <rFont val="Tahoma"/>
            <family val="2"/>
          </rPr>
          <t xml:space="preserve">
Company1508 investor presentation 15 Feb 2012, slide 5
PIB pg no 9</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
  </authors>
  <commentList>
    <comment ref="D24" authorId="0" shapeId="0" xr:uid="{00000000-0006-0000-0800-000001000000}">
      <text>
        <r>
          <rPr>
            <sz val="8"/>
            <color indexed="81"/>
            <rFont val="Tahoma"/>
            <family val="2"/>
          </rPr>
          <t>Company2162 press release April 23, 2012</t>
        </r>
      </text>
    </comment>
    <comment ref="D25" authorId="0" shapeId="0" xr:uid="{00000000-0006-0000-0800-000002000000}">
      <text>
        <r>
          <rPr>
            <sz val="8"/>
            <color indexed="81"/>
            <rFont val="Tahoma"/>
            <family val="2"/>
          </rPr>
          <t xml:space="preserve"> Company1930 press release, 23rd April 2012</t>
        </r>
      </text>
    </comment>
    <comment ref="D26" authorId="0" shapeId="0" xr:uid="{00000000-0006-0000-0800-000003000000}">
      <text>
        <r>
          <rPr>
            <sz val="8"/>
            <color indexed="81"/>
            <rFont val="Tahoma"/>
            <family val="2"/>
          </rPr>
          <t>Company1930 press release</t>
        </r>
      </text>
    </comment>
    <comment ref="I36" authorId="0" shapeId="0" xr:uid="{00000000-0006-0000-0800-000004000000}">
      <text>
        <r>
          <rPr>
            <sz val="8"/>
            <color indexed="81"/>
            <rFont val="Tahoma"/>
            <family val="2"/>
          </rPr>
          <t>Company2162 press release April 23, 2012</t>
        </r>
      </text>
    </comment>
    <comment ref="C40" authorId="1" shapeId="0" xr:uid="{00000000-0006-0000-0800-000005000000}">
      <text>
        <r>
          <rPr>
            <sz val="9"/>
            <color indexed="81"/>
            <rFont val="Tahoma"/>
            <family val="2"/>
          </rPr>
          <t xml:space="preserve">
Use market values where possible (overwriting the formulae)
Check with your senior banker before including other obligations
Include other financial investments with equity affliates / associates if necessary</t>
        </r>
      </text>
    </comment>
    <comment ref="F57" authorId="1" shapeId="0" xr:uid="{00000000-0006-0000-0800-000006000000}">
      <text>
        <r>
          <rPr>
            <sz val="9"/>
            <color indexed="81"/>
            <rFont val="Tahoma"/>
            <family val="2"/>
          </rPr>
          <t xml:space="preserve">
Include all liabilities that are operating in nature e.g. accounts payable</t>
        </r>
      </text>
    </comment>
    <comment ref="C59" authorId="1" shapeId="0" xr:uid="{00000000-0006-0000-0800-000007000000}">
      <text>
        <r>
          <rPr>
            <sz val="9"/>
            <color indexed="81"/>
            <rFont val="Tahoma"/>
            <family val="2"/>
          </rPr>
          <t xml:space="preserve">
Include all assets that are operating in nature e.g. inventories, accounts receivable, PP&amp;E etc</t>
        </r>
      </text>
    </comment>
    <comment ref="D65" authorId="0" shapeId="0" xr:uid="{00000000-0006-0000-0800-000008000000}">
      <text>
        <r>
          <rPr>
            <sz val="8"/>
            <color indexed="81"/>
            <rFont val="Tahoma"/>
            <family val="2"/>
          </rPr>
          <t>Company2162 press release April 23, 2012</t>
        </r>
      </text>
    </comment>
    <comment ref="D79" authorId="0" shapeId="0" xr:uid="{00000000-0006-0000-0800-000009000000}">
      <text>
        <r>
          <rPr>
            <sz val="8"/>
            <color indexed="81"/>
            <rFont val="Tahoma"/>
            <family val="2"/>
          </rPr>
          <t>From page 14 of investor call to discuss transaction April 23, 2012.</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
  </authors>
  <commentList>
    <comment ref="D24" authorId="0" shapeId="0" xr:uid="{00000000-0006-0000-0900-000001000000}">
      <text>
        <r>
          <rPr>
            <sz val="8"/>
            <color indexed="81"/>
            <rFont val="Tahoma"/>
            <family val="2"/>
          </rPr>
          <t>Confectionary brands division only not the whole business</t>
        </r>
      </text>
    </comment>
    <comment ref="D25" authorId="0" shapeId="0" xr:uid="{00000000-0006-0000-0900-000002000000}">
      <text>
        <r>
          <rPr>
            <b/>
            <sz val="8"/>
            <color indexed="81"/>
            <rFont val="Tahoma"/>
            <family val="2"/>
          </rPr>
          <t>From 8K April 7th 2005 page 2</t>
        </r>
      </text>
    </comment>
    <comment ref="I36" authorId="0" shapeId="0" xr:uid="{00000000-0006-0000-0900-000003000000}">
      <text>
        <r>
          <rPr>
            <b/>
            <sz val="8"/>
            <color indexed="81"/>
            <rFont val="Tahoma"/>
            <family val="2"/>
          </rPr>
          <t>From 8K p. 2</t>
        </r>
      </text>
    </comment>
    <comment ref="C40" authorId="1" shapeId="0" xr:uid="{00000000-0006-0000-0900-000004000000}">
      <text>
        <r>
          <rPr>
            <sz val="9"/>
            <color indexed="81"/>
            <rFont val="Tahoma"/>
            <family val="2"/>
          </rPr>
          <t xml:space="preserve">
Use market values where possible (overwriting the formulae)
Check with your senior banker before including other obligations
Include other financial investments with equity affliates / associates if necessary</t>
        </r>
      </text>
    </comment>
    <comment ref="F57" authorId="1" shapeId="0" xr:uid="{00000000-0006-0000-0900-000005000000}">
      <text>
        <r>
          <rPr>
            <sz val="9"/>
            <color indexed="81"/>
            <rFont val="Tahoma"/>
            <family val="2"/>
          </rPr>
          <t xml:space="preserve">
Include all liabilities that are operating in nature e.g. accounts payable</t>
        </r>
      </text>
    </comment>
    <comment ref="C59" authorId="1" shapeId="0" xr:uid="{00000000-0006-0000-0900-000006000000}">
      <text>
        <r>
          <rPr>
            <sz val="9"/>
            <color indexed="81"/>
            <rFont val="Tahoma"/>
            <family val="2"/>
          </rPr>
          <t xml:space="preserve">
Include all assets that are operating in nature e.g. inventories, accounts receivable, PP&amp;E etc</t>
        </r>
      </text>
    </comment>
    <comment ref="D65" authorId="1" shapeId="0" xr:uid="{00000000-0006-0000-0900-000007000000}">
      <text>
        <r>
          <rPr>
            <sz val="9"/>
            <color indexed="81"/>
            <rFont val="Tahoma"/>
            <family val="2"/>
          </rPr>
          <t xml:space="preserve">
p.  20 of Company1522 2009 10K </t>
        </r>
      </text>
    </comment>
    <comment ref="D67" authorId="1" shapeId="0" xr:uid="{00000000-0006-0000-0900-000008000000}">
      <text>
        <r>
          <rPr>
            <sz val="9"/>
            <color indexed="81"/>
            <rFont val="Tahoma"/>
            <family val="2"/>
          </rPr>
          <t xml:space="preserve">
p.43 P&amp;G's 2011 Annual report (period ended 30 June 2011)</t>
        </r>
      </text>
    </comment>
    <comment ref="D76" authorId="1" shapeId="0" xr:uid="{00000000-0006-0000-0900-000009000000}">
      <text>
        <r>
          <rPr>
            <sz val="9"/>
            <color indexed="81"/>
            <rFont val="Tahoma"/>
            <family val="2"/>
          </rPr>
          <t xml:space="preserve">
From Company1930 press release</t>
        </r>
      </text>
    </comment>
    <comment ref="D79" authorId="1" shapeId="0" xr:uid="{00000000-0006-0000-0900-00000A000000}">
      <text>
        <r>
          <rPr>
            <sz val="9"/>
            <color indexed="81"/>
            <rFont val="Tahoma"/>
            <family val="2"/>
          </rPr>
          <t xml:space="preserve">
From Company1930 press release</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
  </authors>
  <commentList>
    <comment ref="D25" authorId="0" shapeId="0" xr:uid="{00000000-0006-0000-0A00-000001000000}">
      <text>
        <r>
          <rPr>
            <sz val="9"/>
            <color indexed="81"/>
            <rFont val="Tahoma"/>
            <family val="2"/>
          </rPr>
          <t>First announcement, front page
PIB pg no 3</t>
        </r>
      </text>
    </comment>
    <comment ref="I25" authorId="0" shapeId="0" xr:uid="{00000000-0006-0000-0A00-000002000000}">
      <text>
        <r>
          <rPr>
            <sz val="9"/>
            <color indexed="81"/>
            <rFont val="Tahoma"/>
            <family val="2"/>
          </rPr>
          <t>Final offer, 0.1 pence refers to special dividend (p. vii of form S-4/A)
PIB pg no 79
PIB pg no 86 &amp; 87</t>
        </r>
      </text>
    </comment>
    <comment ref="D26" authorId="1" shapeId="0" xr:uid="{00000000-0006-0000-0A00-000003000000}">
      <text>
        <r>
          <rPr>
            <sz val="9"/>
            <color indexed="81"/>
            <rFont val="Tahoma"/>
            <family val="2"/>
          </rPr>
          <t xml:space="preserve">
Date when Company1522 acquired control of Company0648 (as per Company1524 press release issued on the same date).
PIB pg no 82</t>
        </r>
      </text>
    </comment>
    <comment ref="I26" authorId="0" shapeId="0" xr:uid="{00000000-0006-0000-0A00-000004000000}">
      <text>
        <r>
          <rPr>
            <sz val="9"/>
            <color indexed="81"/>
            <rFont val="Tahoma"/>
            <family val="2"/>
          </rPr>
          <t xml:space="preserve">
First announcement doc, p. 1, reflects the price as of 4 Sept 2009
PIB pg no 3
Also, PIB pg no 525</t>
        </r>
      </text>
    </comment>
    <comment ref="I27" authorId="1" shapeId="0" xr:uid="{00000000-0006-0000-0A00-000005000000}">
      <text>
        <r>
          <rPr>
            <sz val="9"/>
            <color indexed="81"/>
            <rFont val="Tahoma"/>
            <family val="2"/>
          </rPr>
          <t xml:space="preserve">
From Bloomberg
PIB pg no 524</t>
        </r>
      </text>
    </comment>
    <comment ref="D28" authorId="1" shapeId="0" xr:uid="{00000000-0006-0000-0A00-000006000000}">
      <text>
        <r>
          <rPr>
            <sz val="9"/>
            <color indexed="81"/>
            <rFont val="Tahoma"/>
            <family val="2"/>
          </rPr>
          <t xml:space="preserve">
The exchange rate is as of Jan 28. 2010, p. vii of form S-4/A
PIB pg no 117</t>
        </r>
      </text>
    </comment>
    <comment ref="I28" authorId="1" shapeId="0" xr:uid="{00000000-0006-0000-0A00-000007000000}">
      <text>
        <r>
          <rPr>
            <sz val="9"/>
            <color indexed="81"/>
            <rFont val="Tahoma"/>
            <family val="2"/>
          </rPr>
          <t xml:space="preserve">
From Bloomberg
PIB pg no 524</t>
        </r>
      </text>
    </comment>
    <comment ref="I29" authorId="1" shapeId="0" xr:uid="{00000000-0006-0000-0A00-000008000000}">
      <text>
        <r>
          <rPr>
            <sz val="9"/>
            <color indexed="81"/>
            <rFont val="Tahoma"/>
            <family val="2"/>
          </rPr>
          <t xml:space="preserve">
From p. 23 of final recommended offer doc, PIB pg no 101
</t>
        </r>
      </text>
    </comment>
    <comment ref="D34" authorId="1" shapeId="0" xr:uid="{00000000-0006-0000-0A00-000009000000}">
      <text>
        <r>
          <rPr>
            <sz val="9"/>
            <color indexed="81"/>
            <rFont val="Tahoma"/>
            <family val="2"/>
          </rPr>
          <t xml:space="preserve">
Front page of revised offor doc or p. vii of form  S-4/A
PIB pg no 117</t>
        </r>
      </text>
    </comment>
    <comment ref="C40" authorId="1" shapeId="0" xr:uid="{00000000-0006-0000-0A00-00000A000000}">
      <text>
        <r>
          <rPr>
            <sz val="9"/>
            <color indexed="81"/>
            <rFont val="Tahoma"/>
            <family val="2"/>
          </rPr>
          <t xml:space="preserve">
Use market values where possible (overwriting the formulae)
Check with your senior banker before including other obligations
Include other financial investments with equity affliates / associates if necessary</t>
        </r>
      </text>
    </comment>
    <comment ref="I42" authorId="1" shapeId="0" xr:uid="{00000000-0006-0000-0A00-00000B000000}">
      <text>
        <r>
          <rPr>
            <sz val="8"/>
            <color indexed="81"/>
            <rFont val="Tahoma"/>
            <family val="2"/>
          </rPr>
          <t xml:space="preserve">
From p. 23 of recommended final offer doc, 
PIB pg no 101 
</t>
        </r>
      </text>
    </comment>
    <comment ref="D45" authorId="1" shapeId="0" xr:uid="{00000000-0006-0000-0A00-00000C000000}">
      <text>
        <r>
          <rPr>
            <sz val="9"/>
            <color indexed="81"/>
            <rFont val="Tahoma"/>
            <family val="2"/>
          </rPr>
          <t xml:space="preserve">
Pension defiict adjustment from BS of interim, adjusted for MTR
PIB pg no 493</t>
        </r>
      </text>
    </comment>
    <comment ref="D54" authorId="1" shapeId="0" xr:uid="{00000000-0006-0000-0A00-00000D000000}">
      <text>
        <r>
          <rPr>
            <sz val="9"/>
            <color indexed="81"/>
            <rFont val="Tahoma"/>
            <family val="2"/>
          </rPr>
          <t xml:space="preserve">
PIB pg no 493</t>
        </r>
      </text>
    </comment>
    <comment ref="I54" authorId="1" shapeId="0" xr:uid="{00000000-0006-0000-0A00-00000E000000}">
      <text>
        <r>
          <rPr>
            <sz val="9"/>
            <color indexed="81"/>
            <rFont val="Tahoma"/>
            <family val="2"/>
          </rPr>
          <t xml:space="preserve">
PIB pg no 493</t>
        </r>
      </text>
    </comment>
    <comment ref="D55" authorId="1" shapeId="0" xr:uid="{00000000-0006-0000-0A00-00000F000000}">
      <text>
        <r>
          <rPr>
            <sz val="9"/>
            <color indexed="81"/>
            <rFont val="Tahoma"/>
            <family val="2"/>
          </rPr>
          <t xml:space="preserve">
Includes, cash &amp; equivalents, current derivative instruments, and short term investments, and assets held for sale
PIB pg no 493</t>
        </r>
      </text>
    </comment>
    <comment ref="I55" authorId="1" shapeId="0" xr:uid="{00000000-0006-0000-0A00-000010000000}">
      <text>
        <r>
          <rPr>
            <sz val="9"/>
            <color indexed="81"/>
            <rFont val="Tahoma"/>
            <family val="2"/>
          </rPr>
          <t xml:space="preserve">
Includes short term borrowings, short term finance leases, derivative financial instruments, long term finance leases, and long term borrowings 
PIB pg no 493</t>
        </r>
      </text>
    </comment>
    <comment ref="F57" authorId="1" shapeId="0" xr:uid="{00000000-0006-0000-0A00-000011000000}">
      <text>
        <r>
          <rPr>
            <sz val="9"/>
            <color indexed="81"/>
            <rFont val="Tahoma"/>
            <family val="2"/>
          </rPr>
          <t xml:space="preserve">
Include all liabilities that are operating in nature e.g. accounts payable</t>
        </r>
      </text>
    </comment>
    <comment ref="C59" authorId="1" shapeId="0" xr:uid="{00000000-0006-0000-0A00-000012000000}">
      <text>
        <r>
          <rPr>
            <sz val="9"/>
            <color indexed="81"/>
            <rFont val="Tahoma"/>
            <family val="2"/>
          </rPr>
          <t xml:space="preserve">
Include all assets that are operating in nature e.g. inventories, accounts receivable, PP&amp;E etc</t>
        </r>
      </text>
    </comment>
    <comment ref="D65" authorId="1" shapeId="0" xr:uid="{00000000-0006-0000-0A00-000013000000}">
      <text>
        <r>
          <rPr>
            <sz val="9"/>
            <color indexed="81"/>
            <rFont val="Tahoma"/>
            <family val="2"/>
          </rPr>
          <t xml:space="preserve">
PIB pg no 411</t>
        </r>
      </text>
    </comment>
    <comment ref="E65" authorId="1" shapeId="0" xr:uid="{00000000-0006-0000-0A00-000014000000}">
      <text>
        <r>
          <rPr>
            <sz val="9"/>
            <color indexed="81"/>
            <rFont val="Tahoma"/>
            <family val="2"/>
          </rPr>
          <t xml:space="preserve">
From interim earnings 
PIB pg no 491</t>
        </r>
      </text>
    </comment>
    <comment ref="F65" authorId="1" shapeId="0" xr:uid="{00000000-0006-0000-0A00-000015000000}">
      <text>
        <r>
          <rPr>
            <sz val="9"/>
            <color indexed="81"/>
            <rFont val="Tahoma"/>
            <family val="2"/>
          </rPr>
          <t xml:space="preserve">
From interim earnings 
PIB pg no 491</t>
        </r>
      </text>
    </comment>
    <comment ref="D67" authorId="1" shapeId="0" xr:uid="{00000000-0006-0000-0A00-000016000000}">
      <text>
        <r>
          <rPr>
            <sz val="9"/>
            <color indexed="81"/>
            <rFont val="Tahoma"/>
            <family val="2"/>
          </rPr>
          <t xml:space="preserve">
Underlying Profit from operations
PIB pg no 411</t>
        </r>
      </text>
    </comment>
    <comment ref="E67" authorId="1" shapeId="0" xr:uid="{00000000-0006-0000-0A00-000017000000}">
      <text>
        <r>
          <rPr>
            <sz val="9"/>
            <color indexed="81"/>
            <rFont val="Tahoma"/>
            <family val="2"/>
          </rPr>
          <t xml:space="preserve">
From interim earnings 
PIB pg no 491</t>
        </r>
      </text>
    </comment>
    <comment ref="F67" authorId="1" shapeId="0" xr:uid="{00000000-0006-0000-0A00-000018000000}">
      <text>
        <r>
          <rPr>
            <sz val="9"/>
            <color indexed="81"/>
            <rFont val="Tahoma"/>
            <family val="2"/>
          </rPr>
          <t xml:space="preserve">
From interim earnings 
PIB pg no 491</t>
        </r>
      </text>
    </comment>
    <comment ref="D78" authorId="1" shapeId="0" xr:uid="{00000000-0006-0000-0A00-000019000000}">
      <text>
        <r>
          <rPr>
            <sz val="8"/>
            <color indexed="81"/>
            <rFont val="Tahoma"/>
            <family val="2"/>
          </rPr>
          <t xml:space="preserve">
note 6 p100 AR 08
Do not use the CFS amount (it includes D&amp;A for discontinued operations)
PIB pg no 429</t>
        </r>
      </text>
    </comment>
    <comment ref="E78" authorId="1" shapeId="0" xr:uid="{00000000-0006-0000-0A00-00001A000000}">
      <text>
        <r>
          <rPr>
            <sz val="9"/>
            <color indexed="81"/>
            <rFont val="Tahoma"/>
            <family val="2"/>
          </rPr>
          <t xml:space="preserve">
Note 14, p. 34 of interim report, 
PIB pg no 509
excluding impairment of  2, p. 12 of Interim
PIB pg no 488
</t>
        </r>
      </text>
    </comment>
    <comment ref="F78" authorId="1" shapeId="0" xr:uid="{00000000-0006-0000-0A00-00001B000000}">
      <text>
        <r>
          <rPr>
            <sz val="9"/>
            <color indexed="81"/>
            <rFont val="Tahoma"/>
            <family val="2"/>
          </rPr>
          <t xml:space="preserve">
Note 14, p. 34 of interim report, 
PIB pg no 509</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
    <author/>
    <author/>
    <author/>
  </authors>
  <commentList>
    <comment ref="D25" authorId="0" shapeId="0" xr:uid="{00000000-0006-0000-0B00-000001000000}">
      <text>
        <r>
          <rPr>
            <b/>
            <sz val="9"/>
            <color indexed="81"/>
            <rFont val="Tahoma"/>
            <family val="2"/>
          </rPr>
          <t>8-Ticker0019 28 April 2008</t>
        </r>
      </text>
    </comment>
    <comment ref="I25" authorId="0" shapeId="0" xr:uid="{00000000-0006-0000-0B00-000002000000}">
      <text>
        <r>
          <rPr>
            <b/>
            <sz val="9"/>
            <color indexed="81"/>
            <rFont val="Tahoma"/>
            <family val="2"/>
          </rPr>
          <t>8-Ticker0019 28 April 2008</t>
        </r>
      </text>
    </comment>
    <comment ref="D26" authorId="1" shapeId="0" xr:uid="{00000000-0006-0000-0B00-000003000000}">
      <text>
        <r>
          <rPr>
            <sz val="8"/>
            <color indexed="81"/>
            <rFont val="Tahoma"/>
            <family val="2"/>
          </rPr>
          <t>Press release on company website</t>
        </r>
      </text>
    </comment>
    <comment ref="I26" authorId="0" shapeId="0" xr:uid="{00000000-0006-0000-0B00-000004000000}">
      <text>
        <r>
          <rPr>
            <sz val="9"/>
            <color indexed="81"/>
            <rFont val="Tahoma"/>
            <family val="2"/>
          </rPr>
          <t xml:space="preserve">
FT article 29/04/08 (page 231 of PIB)</t>
        </r>
      </text>
    </comment>
    <comment ref="I29" authorId="2" shapeId="0" xr:uid="{00000000-0006-0000-0B00-000005000000}">
      <text>
        <r>
          <rPr>
            <sz val="8"/>
            <color indexed="81"/>
            <rFont val="Tahoma"/>
            <family val="2"/>
          </rPr>
          <t>8-Ticker0019 20 April 2008 p9</t>
        </r>
      </text>
    </comment>
    <comment ref="C40" authorId="3" shapeId="0" xr:uid="{00000000-0006-0000-0B00-000006000000}">
      <text>
        <r>
          <rPr>
            <sz val="9"/>
            <color indexed="81"/>
            <rFont val="Tahoma"/>
            <family val="2"/>
          </rPr>
          <t xml:space="preserve">
Use market values where possible (overwriting the formulae)
Check with your senior banker before including other obligations
Include other financial investments with equity affliates / associates if necessary</t>
        </r>
      </text>
    </comment>
    <comment ref="I42" authorId="2" shapeId="0" xr:uid="{00000000-0006-0000-0B00-000007000000}">
      <text>
        <r>
          <rPr>
            <sz val="8"/>
            <color indexed="81"/>
            <rFont val="Tahoma"/>
            <family val="2"/>
          </rPr>
          <t>8-Ticker0019 20 April 2008 p9</t>
        </r>
      </text>
    </comment>
    <comment ref="I43" authorId="2" shapeId="0" xr:uid="{00000000-0006-0000-0B00-000008000000}">
      <text>
        <r>
          <rPr>
            <sz val="8"/>
            <color indexed="81"/>
            <rFont val="Tahoma"/>
            <family val="2"/>
          </rPr>
          <t>8-Ticker0019 20 April 2008 p9</t>
        </r>
      </text>
    </comment>
    <comment ref="J43" authorId="2" shapeId="0" xr:uid="{00000000-0006-0000-0B00-000009000000}">
      <text>
        <r>
          <rPr>
            <sz val="8"/>
            <color indexed="81"/>
            <rFont val="Tahoma"/>
            <family val="2"/>
          </rPr>
          <t>8-Ticker0019 20 April 2008 p9</t>
        </r>
      </text>
    </comment>
    <comment ref="D55" authorId="4" shapeId="0" xr:uid="{00000000-0006-0000-0B00-00000A000000}">
      <text>
        <r>
          <rPr>
            <sz val="8"/>
            <color indexed="81"/>
            <rFont val="Tahoma"/>
            <family val="2"/>
          </rPr>
          <t xml:space="preserve">
Plus short term investments, from p. 10-Q, BS
</t>
        </r>
      </text>
    </comment>
    <comment ref="F57" authorId="3" shapeId="0" xr:uid="{00000000-0006-0000-0B00-00000B000000}">
      <text>
        <r>
          <rPr>
            <sz val="9"/>
            <color indexed="81"/>
            <rFont val="Tahoma"/>
            <family val="2"/>
          </rPr>
          <t xml:space="preserve">
Include all liabilities that are operating in nature e.g. accounts payable</t>
        </r>
      </text>
    </comment>
    <comment ref="C59" authorId="3" shapeId="0" xr:uid="{00000000-0006-0000-0B00-00000C000000}">
      <text>
        <r>
          <rPr>
            <sz val="9"/>
            <color indexed="81"/>
            <rFont val="Tahoma"/>
            <family val="2"/>
          </rPr>
          <t xml:space="preserve">
Include all assets that are operating in nature e.g. inventories, accounts receivable, PP&amp;E etc</t>
        </r>
      </text>
    </comment>
    <comment ref="D65" authorId="4" shapeId="0" xr:uid="{00000000-0006-0000-0B00-00000D000000}">
      <text>
        <r>
          <rPr>
            <sz val="8"/>
            <color indexed="81"/>
            <rFont val="Tahoma"/>
            <family val="2"/>
          </rPr>
          <t xml:space="preserve">
Page 49 of 2007 annual report</t>
        </r>
      </text>
    </comment>
    <comment ref="D68" authorId="4" shapeId="0" xr:uid="{00000000-0006-0000-0B00-00000E000000}">
      <text>
        <r>
          <rPr>
            <sz val="8"/>
            <color indexed="81"/>
            <rFont val="Tahoma"/>
            <family val="2"/>
          </rPr>
          <t xml:space="preserve">
Page 49 of 2007 annual report</t>
        </r>
      </text>
    </comment>
    <comment ref="E68" authorId="3" shapeId="0" xr:uid="{00000000-0006-0000-0B00-00000F000000}">
      <text>
        <r>
          <rPr>
            <sz val="9"/>
            <color indexed="81"/>
            <rFont val="Tahoma"/>
            <family val="2"/>
          </rPr>
          <t xml:space="preserve">
from face of income statement in 10Q
</t>
        </r>
      </text>
    </comment>
    <comment ref="F68" authorId="3" shapeId="0" xr:uid="{00000000-0006-0000-0B00-000010000000}">
      <text>
        <r>
          <rPr>
            <sz val="9"/>
            <color indexed="81"/>
            <rFont val="Tahoma"/>
            <family val="2"/>
          </rPr>
          <t xml:space="preserve">
from face of income statement in 10Q
</t>
        </r>
      </text>
    </comment>
    <comment ref="D78" authorId="3" shapeId="0" xr:uid="{00000000-0006-0000-0B00-000011000000}">
      <text>
        <r>
          <rPr>
            <sz val="9"/>
            <color indexed="81"/>
            <rFont val="Tahoma"/>
            <family val="2"/>
          </rPr>
          <t xml:space="preserve">
from face of CFS page 52 in annual report</t>
        </r>
      </text>
    </comment>
    <comment ref="E78" authorId="3" shapeId="0" xr:uid="{00000000-0006-0000-0B00-000012000000}">
      <text>
        <r>
          <rPr>
            <sz val="9"/>
            <color indexed="81"/>
            <rFont val="Tahoma"/>
            <family val="2"/>
          </rPr>
          <t xml:space="preserve">
from face of CFS page 3 in 10Q
</t>
        </r>
      </text>
    </comment>
    <comment ref="F78" authorId="3" shapeId="0" xr:uid="{00000000-0006-0000-0B00-000013000000}">
      <text>
        <r>
          <rPr>
            <sz val="9"/>
            <color indexed="81"/>
            <rFont val="Tahoma"/>
            <family val="2"/>
          </rPr>
          <t xml:space="preserve">
from face of CFS page 3 in 10Q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
    <author/>
    <author/>
    <author/>
    <author/>
  </authors>
  <commentList>
    <comment ref="D25" authorId="0" shapeId="0" xr:uid="{00000000-0006-0000-0C00-000001000000}">
      <text>
        <r>
          <rPr>
            <b/>
            <sz val="8"/>
            <color indexed="81"/>
            <rFont val="Tahoma"/>
            <family val="2"/>
          </rPr>
          <t>From page 25 of offer document</t>
        </r>
      </text>
    </comment>
    <comment ref="I25" authorId="1" shapeId="0" xr:uid="{00000000-0006-0000-0C00-000002000000}">
      <text>
        <r>
          <rPr>
            <b/>
            <sz val="8"/>
            <color indexed="81"/>
            <rFont val="Tahoma"/>
            <family val="2"/>
          </rPr>
          <t>p 25 of offer document</t>
        </r>
      </text>
    </comment>
    <comment ref="I26" authorId="1" shapeId="0" xr:uid="{00000000-0006-0000-0C00-000003000000}">
      <text>
        <r>
          <rPr>
            <b/>
            <sz val="8"/>
            <color indexed="81"/>
            <rFont val="Tahoma"/>
            <family val="2"/>
          </rPr>
          <t>p 29 of offer document</t>
        </r>
      </text>
    </comment>
    <comment ref="I28" authorId="2" shapeId="0" xr:uid="{00000000-0006-0000-0C00-000004000000}">
      <text>
        <r>
          <rPr>
            <sz val="9"/>
            <color indexed="81"/>
            <rFont val="Tahoma"/>
            <family val="2"/>
          </rPr>
          <t xml:space="preserve">
</t>
        </r>
      </text>
    </comment>
    <comment ref="I29" authorId="3" shapeId="0" xr:uid="{00000000-0006-0000-0C00-000005000000}">
      <text>
        <r>
          <rPr>
            <sz val="8"/>
            <color indexed="81"/>
            <rFont val="Tahoma"/>
            <family val="2"/>
          </rPr>
          <t>from page 26 of offer document</t>
        </r>
      </text>
    </comment>
    <comment ref="C40" authorId="2" shapeId="0" xr:uid="{00000000-0006-0000-0C00-000006000000}">
      <text>
        <r>
          <rPr>
            <sz val="9"/>
            <color indexed="81"/>
            <rFont val="Tahoma"/>
            <family val="2"/>
          </rPr>
          <t xml:space="preserve">
Use market values where possible (overwriting the formulae)
Check with your senior banker before including other obligations
Include other financial investments with equity affliates / associates if necessary</t>
        </r>
      </text>
    </comment>
    <comment ref="D42" authorId="2" shapeId="0" xr:uid="{00000000-0006-0000-0C00-000007000000}">
      <text>
        <r>
          <rPr>
            <sz val="8"/>
            <color indexed="81"/>
            <rFont val="Tahoma"/>
            <family val="2"/>
          </rPr>
          <t xml:space="preserve">
Less convertibles since included in equity - page 122 of offer document</t>
        </r>
      </text>
    </comment>
    <comment ref="D45" authorId="2" shapeId="0" xr:uid="{00000000-0006-0000-0C00-000008000000}">
      <text>
        <r>
          <rPr>
            <sz val="9"/>
            <color indexed="81"/>
            <rFont val="Tahoma"/>
            <family val="2"/>
          </rPr>
          <t xml:space="preserve">
Overwrite value if BS adjustments are necessary(eg., pensions or contingencies)</t>
        </r>
      </text>
    </comment>
    <comment ref="J46" authorId="4" shapeId="0" xr:uid="{00000000-0006-0000-0C00-000009000000}">
      <text>
        <r>
          <rPr>
            <sz val="8"/>
            <color indexed="81"/>
            <rFont val="Tahoma"/>
            <family val="2"/>
          </rPr>
          <t xml:space="preserve">
Page 99 of offer document</t>
        </r>
      </text>
    </comment>
    <comment ref="J47" authorId="4" shapeId="0" xr:uid="{00000000-0006-0000-0C00-00000A000000}">
      <text>
        <r>
          <rPr>
            <sz val="8"/>
            <color indexed="81"/>
            <rFont val="Tahoma"/>
            <family val="2"/>
          </rPr>
          <t xml:space="preserve">
Page 103 of offer document</t>
        </r>
      </text>
    </comment>
    <comment ref="D48" authorId="2" shapeId="0" xr:uid="{00000000-0006-0000-0C00-00000B000000}">
      <text>
        <r>
          <rPr>
            <sz val="9"/>
            <color indexed="81"/>
            <rFont val="Tahoma"/>
            <family val="2"/>
          </rPr>
          <t xml:space="preserve">
This is an overwrite : Includes assets held for sale of 22 and financial assets of 8, p. 117 of offer doc</t>
        </r>
      </text>
    </comment>
    <comment ref="J48" authorId="4" shapeId="0" xr:uid="{00000000-0006-0000-0C00-00000C000000}">
      <text>
        <r>
          <rPr>
            <sz val="8"/>
            <color indexed="81"/>
            <rFont val="Tahoma"/>
            <family val="2"/>
          </rPr>
          <t xml:space="preserve">
Page 98 of offer document</t>
        </r>
      </text>
    </comment>
    <comment ref="J49" authorId="4" shapeId="0" xr:uid="{00000000-0006-0000-0C00-00000D000000}">
      <text>
        <r>
          <rPr>
            <sz val="8"/>
            <color indexed="81"/>
            <rFont val="Tahoma"/>
            <family val="2"/>
          </rPr>
          <t xml:space="preserve">
Page 102 of offer document</t>
        </r>
      </text>
    </comment>
    <comment ref="D55" authorId="4" shapeId="0" xr:uid="{00000000-0006-0000-0C00-00000E000000}">
      <text>
        <r>
          <rPr>
            <sz val="8"/>
            <color indexed="81"/>
            <rFont val="Tahoma"/>
            <family val="2"/>
          </rPr>
          <t xml:space="preserve">
Page 117
of offer document</t>
        </r>
      </text>
    </comment>
    <comment ref="I55" authorId="4" shapeId="0" xr:uid="{00000000-0006-0000-0C00-00000F000000}">
      <text>
        <r>
          <rPr>
            <sz val="8"/>
            <color indexed="81"/>
            <rFont val="Tahoma"/>
            <family val="2"/>
          </rPr>
          <t xml:space="preserve">
Page 117
of offer document</t>
        </r>
      </text>
    </comment>
    <comment ref="F57" authorId="2" shapeId="0" xr:uid="{00000000-0006-0000-0C00-000010000000}">
      <text>
        <r>
          <rPr>
            <sz val="9"/>
            <color indexed="81"/>
            <rFont val="Tahoma"/>
            <family val="2"/>
          </rPr>
          <t xml:space="preserve">
Include all liabilities that are operating in nature e.g. accounts payable</t>
        </r>
      </text>
    </comment>
    <comment ref="I57" authorId="4" shapeId="0" xr:uid="{00000000-0006-0000-0C00-000011000000}">
      <text>
        <r>
          <rPr>
            <sz val="8"/>
            <color indexed="81"/>
            <rFont val="Tahoma"/>
            <family val="2"/>
          </rPr>
          <t xml:space="preserve">
Page 117
of offer document</t>
        </r>
      </text>
    </comment>
    <comment ref="I58" authorId="4" shapeId="0" xr:uid="{00000000-0006-0000-0C00-000012000000}">
      <text>
        <r>
          <rPr>
            <sz val="8"/>
            <color indexed="81"/>
            <rFont val="Tahoma"/>
            <family val="2"/>
          </rPr>
          <t xml:space="preserve">
Page 117
of offer document</t>
        </r>
      </text>
    </comment>
    <comment ref="C59" authorId="2" shapeId="0" xr:uid="{00000000-0006-0000-0C00-000013000000}">
      <text>
        <r>
          <rPr>
            <sz val="9"/>
            <color indexed="81"/>
            <rFont val="Tahoma"/>
            <family val="2"/>
          </rPr>
          <t xml:space="preserve">
Include all assets that are operating in nature e.g. inventories, accounts receivable, PP&amp;E etc</t>
        </r>
      </text>
    </comment>
    <comment ref="D59" authorId="4" shapeId="0" xr:uid="{00000000-0006-0000-0C00-000014000000}">
      <text>
        <r>
          <rPr>
            <sz val="8"/>
            <color indexed="81"/>
            <rFont val="Tahoma"/>
            <family val="2"/>
          </rPr>
          <t xml:space="preserve">
Page 117
of offer document</t>
        </r>
      </text>
    </comment>
    <comment ref="I59" authorId="4" shapeId="0" xr:uid="{00000000-0006-0000-0C00-000015000000}">
      <text>
        <r>
          <rPr>
            <sz val="8"/>
            <color indexed="81"/>
            <rFont val="Tahoma"/>
            <family val="2"/>
          </rPr>
          <t xml:space="preserve">
Page 117
of offer document</t>
        </r>
      </text>
    </comment>
    <comment ref="I60" authorId="4" shapeId="0" xr:uid="{00000000-0006-0000-0C00-000016000000}">
      <text>
        <r>
          <rPr>
            <sz val="8"/>
            <color indexed="81"/>
            <rFont val="Tahoma"/>
            <family val="2"/>
          </rPr>
          <t xml:space="preserve">
Page 117
of offer document</t>
        </r>
      </text>
    </comment>
    <comment ref="D65" authorId="4" shapeId="0" xr:uid="{00000000-0006-0000-0C00-000017000000}">
      <text>
        <r>
          <rPr>
            <sz val="8"/>
            <color indexed="81"/>
            <rFont val="Tahoma"/>
            <family val="2"/>
          </rPr>
          <t xml:space="preserve">
Page 51 of offer document</t>
        </r>
      </text>
    </comment>
    <comment ref="E65" authorId="4" shapeId="0" xr:uid="{00000000-0006-0000-0C00-000018000000}">
      <text>
        <r>
          <rPr>
            <sz val="8"/>
            <color indexed="81"/>
            <rFont val="Tahoma"/>
            <family val="2"/>
          </rPr>
          <t xml:space="preserve">
Page 116 of offer document</t>
        </r>
      </text>
    </comment>
    <comment ref="F65" authorId="4" shapeId="0" xr:uid="{00000000-0006-0000-0C00-000019000000}">
      <text>
        <r>
          <rPr>
            <sz val="8"/>
            <color indexed="81"/>
            <rFont val="Tahoma"/>
            <family val="2"/>
          </rPr>
          <t xml:space="preserve">
Page 116 of offer document</t>
        </r>
      </text>
    </comment>
    <comment ref="E67" authorId="4" shapeId="0" xr:uid="{00000000-0006-0000-0C00-00001A000000}">
      <text>
        <r>
          <rPr>
            <sz val="8"/>
            <color indexed="81"/>
            <rFont val="Tahoma"/>
            <family val="2"/>
          </rPr>
          <t xml:space="preserve">
Page 116 of offer document</t>
        </r>
      </text>
    </comment>
    <comment ref="F67" authorId="4" shapeId="0" xr:uid="{00000000-0006-0000-0C00-00001B000000}">
      <text>
        <r>
          <rPr>
            <sz val="8"/>
            <color indexed="81"/>
            <rFont val="Tahoma"/>
            <family val="2"/>
          </rPr>
          <t xml:space="preserve">
Page 116 of offer document</t>
        </r>
      </text>
    </comment>
    <comment ref="D68" authorId="4" shapeId="0" xr:uid="{00000000-0006-0000-0C00-00001C000000}">
      <text>
        <r>
          <rPr>
            <sz val="8"/>
            <color indexed="81"/>
            <rFont val="Tahoma"/>
            <family val="2"/>
          </rPr>
          <t xml:space="preserve">
Page 51 of offer document</t>
        </r>
      </text>
    </comment>
    <comment ref="E68" authorId="2" shapeId="0" xr:uid="{00000000-0006-0000-0C00-00001D000000}">
      <text>
        <r>
          <rPr>
            <sz val="9"/>
            <color indexed="81"/>
            <rFont val="Tahoma"/>
            <family val="2"/>
          </rPr>
          <t xml:space="preserve">
impairment charge, offer document page 116</t>
        </r>
      </text>
    </comment>
    <comment ref="D69" authorId="4" shapeId="0" xr:uid="{00000000-0006-0000-0C00-00001E000000}">
      <text>
        <r>
          <rPr>
            <sz val="8"/>
            <color indexed="81"/>
            <rFont val="Tahoma"/>
            <family val="2"/>
          </rPr>
          <t xml:space="preserve">
Details disclosed on page 69 of the 2006 financials</t>
        </r>
      </text>
    </comment>
    <comment ref="E69" authorId="2" shapeId="0" xr:uid="{00000000-0006-0000-0C00-00001F000000}">
      <text>
        <r>
          <rPr>
            <sz val="9"/>
            <color indexed="81"/>
            <rFont val="Tahoma"/>
            <family val="2"/>
          </rPr>
          <t xml:space="preserve">
impairment charge, offer document page 116</t>
        </r>
      </text>
    </comment>
    <comment ref="F69" authorId="2" shapeId="0" xr:uid="{00000000-0006-0000-0C00-000020000000}">
      <text>
        <r>
          <rPr>
            <sz val="9"/>
            <color indexed="81"/>
            <rFont val="Tahoma"/>
            <family val="2"/>
          </rPr>
          <t xml:space="preserve">
impairment charge, offer document page 116</t>
        </r>
      </text>
    </comment>
    <comment ref="D78" authorId="4" shapeId="0" xr:uid="{00000000-0006-0000-0C00-000021000000}">
      <text>
        <r>
          <rPr>
            <sz val="8"/>
            <color indexed="81"/>
            <rFont val="Tahoma"/>
            <family val="2"/>
          </rPr>
          <t xml:space="preserve">
Page 51 or 68 of offer document </t>
        </r>
      </text>
    </comment>
    <comment ref="E78" authorId="2" shapeId="0" xr:uid="{00000000-0006-0000-0C00-000022000000}">
      <text>
        <r>
          <rPr>
            <sz val="9"/>
            <color indexed="81"/>
            <rFont val="Tahoma"/>
            <family val="2"/>
          </rPr>
          <t xml:space="preserve">
p. 118 of offer doc</t>
        </r>
      </text>
    </comment>
    <comment ref="F78" authorId="2" shapeId="0" xr:uid="{00000000-0006-0000-0C00-000023000000}">
      <text>
        <r>
          <rPr>
            <sz val="9"/>
            <color indexed="81"/>
            <rFont val="Tahoma"/>
            <family val="2"/>
          </rPr>
          <t xml:space="preserve">
impairment charge, offer document page 116</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
    <author/>
    <author/>
  </authors>
  <commentList>
    <comment ref="D24" authorId="0" shapeId="0" xr:uid="{00000000-0006-0000-0D00-000001000000}">
      <text>
        <r>
          <rPr>
            <sz val="9"/>
            <color indexed="81"/>
            <rFont val="Tahoma"/>
            <family val="2"/>
          </rPr>
          <t xml:space="preserve">
Biscuits business</t>
        </r>
      </text>
    </comment>
    <comment ref="D25" authorId="0" shapeId="0" xr:uid="{00000000-0006-0000-0D00-000002000000}">
      <text>
        <r>
          <rPr>
            <sz val="9"/>
            <color indexed="81"/>
            <rFont val="Tahoma"/>
            <family val="2"/>
          </rPr>
          <t xml:space="preserve">
Front page of 8K as of 3 Jul 07</t>
        </r>
      </text>
    </comment>
    <comment ref="D26" authorId="1" shapeId="0" xr:uid="{00000000-0006-0000-0D00-000003000000}">
      <text>
        <r>
          <rPr>
            <sz val="8"/>
            <color indexed="81"/>
            <rFont val="Tahoma"/>
            <family val="2"/>
          </rPr>
          <t>as per company website</t>
        </r>
      </text>
    </comment>
    <comment ref="I36" authorId="1" shapeId="0" xr:uid="{00000000-0006-0000-0D00-000004000000}">
      <text>
        <r>
          <rPr>
            <b/>
            <sz val="8"/>
            <color indexed="81"/>
            <rFont val="Tahoma"/>
            <family val="2"/>
          </rPr>
          <t>p 6 of press release</t>
        </r>
      </text>
    </comment>
    <comment ref="C40" authorId="0" shapeId="0" xr:uid="{00000000-0006-0000-0D00-000005000000}">
      <text>
        <r>
          <rPr>
            <sz val="9"/>
            <color indexed="81"/>
            <rFont val="Tahoma"/>
            <family val="2"/>
          </rPr>
          <t xml:space="preserve">
Use market values where possible (overwriting the formulae)
Check with your senior banker before including other obligations
Include other financial investments with equity affliates / associates if necessary</t>
        </r>
      </text>
    </comment>
    <comment ref="F57" authorId="0" shapeId="0" xr:uid="{00000000-0006-0000-0D00-000006000000}">
      <text>
        <r>
          <rPr>
            <sz val="9"/>
            <color indexed="81"/>
            <rFont val="Tahoma"/>
            <family val="2"/>
          </rPr>
          <t xml:space="preserve">
Include all liabilities that are operating in nature e.g. accounts payable</t>
        </r>
      </text>
    </comment>
    <comment ref="C59" authorId="0" shapeId="0" xr:uid="{00000000-0006-0000-0D00-000007000000}">
      <text>
        <r>
          <rPr>
            <sz val="9"/>
            <color indexed="81"/>
            <rFont val="Tahoma"/>
            <family val="2"/>
          </rPr>
          <t xml:space="preserve">
Include all assets that are operating in nature e.g. inventories, accounts receivable, PP&amp;E etc</t>
        </r>
      </text>
    </comment>
    <comment ref="D65" authorId="2" shapeId="0" xr:uid="{00000000-0006-0000-0D00-000008000000}">
      <text>
        <r>
          <rPr>
            <sz val="8"/>
            <color indexed="81"/>
            <rFont val="Tahoma"/>
            <family val="2"/>
          </rPr>
          <t xml:space="preserve">
Page 6 of press release</t>
        </r>
      </text>
    </comment>
    <comment ref="D79" authorId="2" shapeId="0" xr:uid="{00000000-0006-0000-0D00-000009000000}">
      <text>
        <r>
          <rPr>
            <sz val="8"/>
            <color indexed="81"/>
            <rFont val="Tahoma"/>
            <family val="2"/>
          </rPr>
          <t xml:space="preserve">
Page 6 of press release</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
    <author/>
    <author/>
  </authors>
  <commentList>
    <comment ref="D25" authorId="0" shapeId="0" xr:uid="{00000000-0006-0000-0E00-000001000000}">
      <text>
        <r>
          <rPr>
            <sz val="9"/>
            <color indexed="81"/>
            <rFont val="Tahoma"/>
            <family val="2"/>
          </rPr>
          <t xml:space="preserve">
From front page of 8K, p. 2 of PIB or p. 4 of 8K, p. 3 of PIB</t>
        </r>
      </text>
    </comment>
    <comment ref="I36" authorId="1" shapeId="0" xr:uid="{00000000-0006-0000-0E00-000002000000}">
      <text>
        <r>
          <rPr>
            <sz val="8"/>
            <color indexed="81"/>
            <rFont val="Tahoma"/>
            <family val="2"/>
          </rPr>
          <t xml:space="preserve">
Press release</t>
        </r>
      </text>
    </comment>
    <comment ref="C40" authorId="0" shapeId="0" xr:uid="{00000000-0006-0000-0E00-000003000000}">
      <text>
        <r>
          <rPr>
            <sz val="9"/>
            <color indexed="81"/>
            <rFont val="Tahoma"/>
            <family val="2"/>
          </rPr>
          <t xml:space="preserve">
Use market values where possible (overwriting the formulae)
Check with your senior banker before including other obligations
Include other financial investments with equity affliates / associates if necessary</t>
        </r>
      </text>
    </comment>
    <comment ref="D45" authorId="0" shapeId="0" xr:uid="{00000000-0006-0000-0E00-000004000000}">
      <text>
        <r>
          <rPr>
            <sz val="9"/>
            <color indexed="81"/>
            <rFont val="Tahoma"/>
            <family val="2"/>
          </rPr>
          <t xml:space="preserve">
Overwrite value if BS adjustments are necessary(eg., pensions or contingencies)</t>
        </r>
      </text>
    </comment>
    <comment ref="F57" authorId="0" shapeId="0" xr:uid="{00000000-0006-0000-0E00-000005000000}">
      <text>
        <r>
          <rPr>
            <sz val="9"/>
            <color indexed="81"/>
            <rFont val="Tahoma"/>
            <family val="2"/>
          </rPr>
          <t xml:space="preserve">
Include all liabilities that are operating in nature e.g. accounts payable</t>
        </r>
      </text>
    </comment>
    <comment ref="C59" authorId="0" shapeId="0" xr:uid="{00000000-0006-0000-0E00-000006000000}">
      <text>
        <r>
          <rPr>
            <sz val="9"/>
            <color indexed="81"/>
            <rFont val="Tahoma"/>
            <family val="2"/>
          </rPr>
          <t xml:space="preserve">
Include all assets that are operating in nature e.g. inventories, accounts receivable, PP&amp;E etc</t>
        </r>
      </text>
    </comment>
    <comment ref="D65" authorId="2" shapeId="0" xr:uid="{00000000-0006-0000-0E00-000007000000}">
      <text>
        <r>
          <rPr>
            <b/>
            <sz val="8"/>
            <color indexed="81"/>
            <rFont val="Tahoma"/>
            <family val="2"/>
          </rPr>
          <t>From Performance Food Group Annual report 2004 fresh cut division.</t>
        </r>
      </text>
    </comment>
    <comment ref="D76" authorId="0" shapeId="0" xr:uid="{00000000-0006-0000-0E00-000008000000}">
      <text>
        <r>
          <rPr>
            <sz val="9"/>
            <color indexed="81"/>
            <rFont val="Tahoma"/>
            <family val="2"/>
          </rPr>
          <t xml:space="preserve">
</t>
        </r>
      </text>
    </comment>
    <comment ref="D79" authorId="0" shapeId="0" xr:uid="{00000000-0006-0000-0E00-000009000000}">
      <text>
        <r>
          <rPr>
            <sz val="9"/>
            <color indexed="81"/>
            <rFont val="Tahoma"/>
            <family val="2"/>
          </rPr>
          <t xml:space="preserve">
p. 11 of 8K</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
    <author/>
    <author/>
  </authors>
  <commentList>
    <comment ref="D24" authorId="0" shapeId="0" xr:uid="{00000000-0006-0000-0F00-000001000000}">
      <text>
        <r>
          <rPr>
            <b/>
            <sz val="8"/>
            <color indexed="81"/>
            <rFont val="Tahoma"/>
            <family val="2"/>
          </rPr>
          <t>Confectionary brands division only not the whole business</t>
        </r>
      </text>
    </comment>
    <comment ref="D25" authorId="0" shapeId="0" xr:uid="{00000000-0006-0000-0F00-000002000000}">
      <text>
        <r>
          <rPr>
            <b/>
            <sz val="8"/>
            <color indexed="81"/>
            <rFont val="Tahoma"/>
            <family val="2"/>
          </rPr>
          <t>From 8K April 7th 2005 page 2</t>
        </r>
      </text>
    </comment>
    <comment ref="D26" authorId="0" shapeId="0" xr:uid="{00000000-0006-0000-0F00-000003000000}">
      <text>
        <r>
          <rPr>
            <b/>
            <sz val="8"/>
            <color indexed="81"/>
            <rFont val="Tahoma"/>
            <family val="2"/>
          </rPr>
          <t>From 2005 annual report page 57.</t>
        </r>
      </text>
    </comment>
    <comment ref="I36" authorId="0" shapeId="0" xr:uid="{00000000-0006-0000-0F00-000004000000}">
      <text>
        <r>
          <rPr>
            <b/>
            <sz val="8"/>
            <color indexed="81"/>
            <rFont val="Tahoma"/>
            <family val="2"/>
          </rPr>
          <t>From 2005 annual report page 57.</t>
        </r>
      </text>
    </comment>
    <comment ref="C40" authorId="1" shapeId="0" xr:uid="{00000000-0006-0000-0F00-000005000000}">
      <text>
        <r>
          <rPr>
            <sz val="9"/>
            <color indexed="81"/>
            <rFont val="Tahoma"/>
            <family val="2"/>
          </rPr>
          <t xml:space="preserve">
Use market values where possible (overwriting the formulae)
Check with your senior banker before including other obligations
Include other financial investments with equity affliates / associates if necessary</t>
        </r>
      </text>
    </comment>
    <comment ref="D45" authorId="1" shapeId="0" xr:uid="{00000000-0006-0000-0F00-000006000000}">
      <text>
        <r>
          <rPr>
            <sz val="9"/>
            <color indexed="81"/>
            <rFont val="Tahoma"/>
            <family val="2"/>
          </rPr>
          <t xml:space="preserve">
Overwrite value if BS adjustments are necessary(eg., pensions or contingencies)</t>
        </r>
      </text>
    </comment>
    <comment ref="F57" authorId="1" shapeId="0" xr:uid="{00000000-0006-0000-0F00-000007000000}">
      <text>
        <r>
          <rPr>
            <sz val="9"/>
            <color indexed="81"/>
            <rFont val="Tahoma"/>
            <family val="2"/>
          </rPr>
          <t xml:space="preserve">
Include all liabilities that are operating in nature e.g. accounts payable</t>
        </r>
      </text>
    </comment>
    <comment ref="C59" authorId="1" shapeId="0" xr:uid="{00000000-0006-0000-0F00-000008000000}">
      <text>
        <r>
          <rPr>
            <sz val="9"/>
            <color indexed="81"/>
            <rFont val="Tahoma"/>
            <family val="2"/>
          </rPr>
          <t xml:space="preserve">
Include all assets that are operating in nature e.g. inventories, accounts receivable, PP&amp;E etc</t>
        </r>
      </text>
    </comment>
    <comment ref="D65" authorId="0" shapeId="0" xr:uid="{00000000-0006-0000-0F00-000009000000}">
      <text>
        <r>
          <rPr>
            <b/>
            <sz val="8"/>
            <color indexed="81"/>
            <rFont val="Tahoma"/>
            <family val="2"/>
          </rPr>
          <t>From 2004 annual report page 70</t>
        </r>
      </text>
    </comment>
    <comment ref="D67" authorId="2" shapeId="0" xr:uid="{00000000-0006-0000-0F00-00000A000000}">
      <text>
        <r>
          <rPr>
            <sz val="8"/>
            <color indexed="81"/>
            <rFont val="Tahoma"/>
            <family val="2"/>
          </rPr>
          <t xml:space="preserve">
Before goodwill amortization</t>
        </r>
      </text>
    </comment>
    <comment ref="D78" authorId="0" shapeId="0" xr:uid="{00000000-0006-0000-0F00-00000B000000}">
      <text>
        <r>
          <rPr>
            <b/>
            <sz val="8"/>
            <color indexed="81"/>
            <rFont val="Tahoma"/>
            <family val="2"/>
          </rPr>
          <t>From 2004 annual report page 70</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
    <author/>
  </authors>
  <commentList>
    <comment ref="D25" authorId="0" shapeId="0" xr:uid="{00000000-0006-0000-1000-000001000000}">
      <text>
        <r>
          <rPr>
            <b/>
            <sz val="8"/>
            <color indexed="81"/>
            <rFont val="Tahoma"/>
            <family val="2"/>
          </rPr>
          <t>From 8K April 7th 2005 page 2</t>
        </r>
      </text>
    </comment>
    <comment ref="D26" authorId="0" shapeId="0" xr:uid="{00000000-0006-0000-1000-000002000000}">
      <text>
        <r>
          <rPr>
            <b/>
            <sz val="8"/>
            <color indexed="81"/>
            <rFont val="Tahoma"/>
            <family val="2"/>
          </rPr>
          <t>From 8K page 2 dated September 13th 2005</t>
        </r>
      </text>
    </comment>
    <comment ref="C40" authorId="1" shapeId="0" xr:uid="{00000000-0006-0000-1000-000003000000}">
      <text>
        <r>
          <rPr>
            <sz val="9"/>
            <color indexed="81"/>
            <rFont val="Tahoma"/>
            <family val="2"/>
          </rPr>
          <t xml:space="preserve">
Use market values where possible (overwriting the formulae)
Check with your senior banker before including other obligations
Include other financial investments with equity affliates / associates if necessary</t>
        </r>
      </text>
    </comment>
    <comment ref="D45" authorId="1" shapeId="0" xr:uid="{00000000-0006-0000-1000-000004000000}">
      <text>
        <r>
          <rPr>
            <sz val="9"/>
            <color indexed="81"/>
            <rFont val="Tahoma"/>
            <family val="2"/>
          </rPr>
          <t xml:space="preserve">
Overwrite value if BS adjustments are necessary(eg., pensions or contingencies)</t>
        </r>
      </text>
    </comment>
    <comment ref="F57" authorId="1" shapeId="0" xr:uid="{00000000-0006-0000-1000-000005000000}">
      <text>
        <r>
          <rPr>
            <sz val="9"/>
            <color indexed="81"/>
            <rFont val="Tahoma"/>
            <family val="2"/>
          </rPr>
          <t xml:space="preserve">
Include all liabilities that are operating in nature e.g. accounts payable</t>
        </r>
      </text>
    </comment>
    <comment ref="C59" authorId="1" shapeId="0" xr:uid="{00000000-0006-0000-1000-000006000000}">
      <text>
        <r>
          <rPr>
            <sz val="9"/>
            <color indexed="81"/>
            <rFont val="Tahoma"/>
            <family val="2"/>
          </rPr>
          <t xml:space="preserve">
Include all assets that are operating in nature e.g. inventories, accounts receivable, PP&amp;E etc</t>
        </r>
      </text>
    </comment>
    <comment ref="D65" authorId="1" shapeId="0" xr:uid="{00000000-0006-0000-1000-000007000000}">
      <text>
        <r>
          <rPr>
            <sz val="9"/>
            <color indexed="81"/>
            <rFont val="Tahoma"/>
            <family val="2"/>
          </rPr>
          <t xml:space="preserve">
2 refers to reduction in revenues due to restructuring, p. 11</t>
        </r>
      </text>
    </comment>
    <comment ref="D69" authorId="1" shapeId="0" xr:uid="{00000000-0006-0000-1000-000008000000}">
      <text>
        <r>
          <rPr>
            <sz val="9"/>
            <color indexed="81"/>
            <rFont val="Tahoma"/>
            <family val="2"/>
          </rPr>
          <t xml:space="preserve">
p. 11 of 8K as of 13 Sept 2005</t>
        </r>
      </text>
    </comment>
  </commentList>
</comments>
</file>

<file path=xl/sharedStrings.xml><?xml version="1.0" encoding="utf-8"?>
<sst xmlns="http://schemas.openxmlformats.org/spreadsheetml/2006/main" count="1553" uniqueCount="217">
  <si>
    <t>Valuation Training</t>
  </si>
  <si>
    <t>Transaction comparables analysis</t>
  </si>
  <si>
    <t>Special features</t>
  </si>
  <si>
    <t>Calculating multiples</t>
  </si>
  <si>
    <t>Cleaning earnings</t>
  </si>
  <si>
    <t>Dealing with options</t>
  </si>
  <si>
    <t>Calculating offer premiums</t>
  </si>
  <si>
    <t>Target valuation</t>
  </si>
  <si>
    <t>Last twelve months</t>
  </si>
  <si>
    <t>Model information</t>
  </si>
  <si>
    <t>Currency</t>
  </si>
  <si>
    <t>USD</t>
  </si>
  <si>
    <t>Units</t>
  </si>
  <si>
    <t>m</t>
  </si>
  <si>
    <t>Analyst name</t>
  </si>
  <si>
    <t>Summary statistics</t>
  </si>
  <si>
    <t>LTM</t>
  </si>
  <si>
    <t>Enterprise</t>
  </si>
  <si>
    <t>Equity</t>
  </si>
  <si>
    <t>EBITDA</t>
  </si>
  <si>
    <t>EV / sales</t>
  </si>
  <si>
    <t>EV / EBITDA</t>
  </si>
  <si>
    <t>Acquiror</t>
  </si>
  <si>
    <t>Target</t>
  </si>
  <si>
    <t>Announced</t>
  </si>
  <si>
    <t>Completed</t>
  </si>
  <si>
    <t>Offer price</t>
  </si>
  <si>
    <t>Premium</t>
  </si>
  <si>
    <t>Cash</t>
  </si>
  <si>
    <t>Shares</t>
  </si>
  <si>
    <t>value ($m)</t>
  </si>
  <si>
    <t>margins</t>
  </si>
  <si>
    <t>Company3003</t>
  </si>
  <si>
    <t>CVC</t>
  </si>
  <si>
    <t>Company0676</t>
  </si>
  <si>
    <t>Company1522_1</t>
  </si>
  <si>
    <t>Company0777_1</t>
  </si>
  <si>
    <t>Mars</t>
  </si>
  <si>
    <t>Company1522_2</t>
  </si>
  <si>
    <t>Company1930_1</t>
  </si>
  <si>
    <t>Company1930_2</t>
  </si>
  <si>
    <t>Company1507</t>
  </si>
  <si>
    <t>Company0691</t>
  </si>
  <si>
    <t>Company0382</t>
  </si>
  <si>
    <t>Heinz</t>
  </si>
  <si>
    <t>Company0777_2</t>
  </si>
  <si>
    <t>Company0650</t>
  </si>
  <si>
    <t>High</t>
  </si>
  <si>
    <t>Mean</t>
  </si>
  <si>
    <t>Median</t>
  </si>
  <si>
    <t>Low</t>
  </si>
  <si>
    <t>C27</t>
  </si>
  <si>
    <t>C5</t>
  </si>
  <si>
    <t>M54</t>
  </si>
  <si>
    <t>L66</t>
  </si>
  <si>
    <t>M66</t>
  </si>
  <si>
    <t>C11</t>
  </si>
  <si>
    <t>G64</t>
  </si>
  <si>
    <t>DO NOT TOUCH THESE FORMULAS</t>
  </si>
  <si>
    <t>D19</t>
  </si>
  <si>
    <t>D20</t>
  </si>
  <si>
    <t>D21</t>
  </si>
  <si>
    <t>D22</t>
  </si>
  <si>
    <t>I17</t>
  </si>
  <si>
    <t>I18</t>
  </si>
  <si>
    <t>i24</t>
  </si>
  <si>
    <t>i25</t>
  </si>
  <si>
    <t>D8</t>
  </si>
  <si>
    <t>D7</t>
  </si>
  <si>
    <t>G56</t>
  </si>
  <si>
    <t>D23</t>
  </si>
  <si>
    <t>D42</t>
  </si>
  <si>
    <t>Summary Data</t>
  </si>
  <si>
    <t>Value numbers ($)</t>
  </si>
  <si>
    <t>Value driver numbers $</t>
  </si>
  <si>
    <t>Margins</t>
  </si>
  <si>
    <t>Sales</t>
  </si>
  <si>
    <t>n/a</t>
  </si>
  <si>
    <t>EBIT</t>
  </si>
  <si>
    <t>Valuation multiples</t>
  </si>
  <si>
    <t>EV / Sales</t>
  </si>
  <si>
    <t>EV / EBIT</t>
  </si>
  <si>
    <t>Inputs</t>
  </si>
  <si>
    <t>Key company data</t>
  </si>
  <si>
    <t>Purchase price</t>
  </si>
  <si>
    <t>Acquiror name</t>
  </si>
  <si>
    <t>Purchase price driver</t>
  </si>
  <si>
    <t>Share price</t>
  </si>
  <si>
    <t>Target name</t>
  </si>
  <si>
    <t>Company2571</t>
  </si>
  <si>
    <t>Share price purchase price driver</t>
  </si>
  <si>
    <t>Date of announcement</t>
  </si>
  <si>
    <t>Offer price per share</t>
  </si>
  <si>
    <t>Date of completion</t>
  </si>
  <si>
    <t>Target share price 1 day before</t>
  </si>
  <si>
    <t>Target share price 1 week before</t>
  </si>
  <si>
    <t>FX rate to standard currency</t>
  </si>
  <si>
    <t>Target share price 4 weeks before</t>
  </si>
  <si>
    <t>Historical year end</t>
  </si>
  <si>
    <t>Shares outstanding basic (m)</t>
  </si>
  <si>
    <t>Latest financials</t>
  </si>
  <si>
    <t>Net new shares from options (m)</t>
  </si>
  <si>
    <t>Type of filing</t>
  </si>
  <si>
    <t>10K</t>
  </si>
  <si>
    <t>Fully diluted shares outstanding (m)</t>
  </si>
  <si>
    <t>Which quarter</t>
  </si>
  <si>
    <t>Adjustment</t>
  </si>
  <si>
    <t>Equity purchase price</t>
  </si>
  <si>
    <t>Cash consideration %</t>
  </si>
  <si>
    <t>Share consideration %</t>
  </si>
  <si>
    <t>Enterprise offer value</t>
  </si>
  <si>
    <t>Adjustments</t>
  </si>
  <si>
    <t>Adjusted enterprise value offer price</t>
  </si>
  <si>
    <t>Enterprise value</t>
  </si>
  <si>
    <t>Stock compensation</t>
  </si>
  <si>
    <t># of options</t>
  </si>
  <si>
    <t>Strike price</t>
  </si>
  <si>
    <t>Net shares</t>
  </si>
  <si>
    <t>Stock options</t>
  </si>
  <si>
    <t>Employee restricted shares</t>
  </si>
  <si>
    <t>Net debt</t>
  </si>
  <si>
    <t>Employee restricted units</t>
  </si>
  <si>
    <t>Non-Employee Director Awards</t>
  </si>
  <si>
    <t>Item 5</t>
  </si>
  <si>
    <t>Item 6</t>
  </si>
  <si>
    <t>Item 7</t>
  </si>
  <si>
    <t>Item 8</t>
  </si>
  <si>
    <t>Item 9</t>
  </si>
  <si>
    <t>Item 10</t>
  </si>
  <si>
    <t>Published financial data</t>
  </si>
  <si>
    <t>Net new shares from stock compensation</t>
  </si>
  <si>
    <t>Balance sheet data</t>
  </si>
  <si>
    <t>Total debt</t>
  </si>
  <si>
    <t>Cash equivalents</t>
  </si>
  <si>
    <t>Debt equivalents</t>
  </si>
  <si>
    <t>Equity affiliates / associates</t>
  </si>
  <si>
    <t>Operating liabilities</t>
  </si>
  <si>
    <t>Non-core assets</t>
  </si>
  <si>
    <t>Shareholder equity (excl. pref. stock)</t>
  </si>
  <si>
    <t>Operating assets</t>
  </si>
  <si>
    <t>Preferred stock</t>
  </si>
  <si>
    <t>Noncontrolling interest</t>
  </si>
  <si>
    <t>Total assets</t>
  </si>
  <si>
    <t>Total liabilities and shareholders' equity</t>
  </si>
  <si>
    <t>BS check</t>
  </si>
  <si>
    <t>Income statement data</t>
  </si>
  <si>
    <t>Reported operating profit</t>
  </si>
  <si>
    <t>Transaction and integration related expenses</t>
  </si>
  <si>
    <t>Impairments</t>
  </si>
  <si>
    <t>Transformation Plan 2017 (excluding impairments)</t>
  </si>
  <si>
    <t>Emerald move</t>
  </si>
  <si>
    <t>Company0650 merger expenses</t>
  </si>
  <si>
    <t>Non-recurring item 6</t>
  </si>
  <si>
    <t>Non-recurring item 7</t>
  </si>
  <si>
    <t>Non-recurring item 8</t>
  </si>
  <si>
    <t>Depreciation and amortization</t>
  </si>
  <si>
    <t>Company0777</t>
  </si>
  <si>
    <t>Company2995</t>
  </si>
  <si>
    <t>10Q</t>
  </si>
  <si>
    <t>RSUs</t>
  </si>
  <si>
    <t>PSUs</t>
  </si>
  <si>
    <t>Item 4</t>
  </si>
  <si>
    <t>Non-recurring items</t>
  </si>
  <si>
    <t>Non-recurring item 2</t>
  </si>
  <si>
    <t>Non-recurring item 3</t>
  </si>
  <si>
    <t>Non-recurring item 4</t>
  </si>
  <si>
    <t>Non-recurring item 5</t>
  </si>
  <si>
    <t>Company1522</t>
  </si>
  <si>
    <t>Item 3</t>
  </si>
  <si>
    <t>Cost savings initiatives expenses</t>
  </si>
  <si>
    <t>Mark-to-market loss relating to pensions</t>
  </si>
  <si>
    <t>Company0381 Company1233</t>
  </si>
  <si>
    <t>Productivity initiatives</t>
  </si>
  <si>
    <t>Settlement of Company1026 earnout</t>
  </si>
  <si>
    <t>Company2277</t>
  </si>
  <si>
    <t>Options</t>
  </si>
  <si>
    <t>Stock SARs</t>
  </si>
  <si>
    <t>Cash SARs</t>
  </si>
  <si>
    <t>Restricted shares</t>
  </si>
  <si>
    <t>Stock RSUs</t>
  </si>
  <si>
    <t>Cash RSUs</t>
  </si>
  <si>
    <t>Merger and integration costs</t>
  </si>
  <si>
    <t>Plant closure costs</t>
  </si>
  <si>
    <t>Restructuring charges</t>
  </si>
  <si>
    <t>Impairment of intangible assets</t>
  </si>
  <si>
    <t>Product0312 (div)</t>
  </si>
  <si>
    <t>Annual</t>
  </si>
  <si>
    <t>Item 1</t>
  </si>
  <si>
    <t>Item 2</t>
  </si>
  <si>
    <t>Non-recurring item 1</t>
  </si>
  <si>
    <t>Company1930</t>
  </si>
  <si>
    <t>Company2162 Nutrition</t>
  </si>
  <si>
    <t>Company1522 (div)</t>
  </si>
  <si>
    <t>Company0648</t>
  </si>
  <si>
    <t>GBP</t>
  </si>
  <si>
    <t>Restricted stock units</t>
  </si>
  <si>
    <t>Company1950</t>
  </si>
  <si>
    <t>EUR</t>
  </si>
  <si>
    <t>8K</t>
  </si>
  <si>
    <t>Convertible bond</t>
  </si>
  <si>
    <t>Share save plan</t>
  </si>
  <si>
    <t>Convertible debenture loan</t>
  </si>
  <si>
    <t>Convertible milk obligation</t>
  </si>
  <si>
    <t>Executive performance shares</t>
  </si>
  <si>
    <t>Senior management performance shares</t>
  </si>
  <si>
    <t>Executive board stock options</t>
  </si>
  <si>
    <t>Senior management options</t>
  </si>
  <si>
    <t>Impairment charges</t>
  </si>
  <si>
    <t>Other income - business sale proceeds</t>
  </si>
  <si>
    <t>Company0777 (div)</t>
  </si>
  <si>
    <t>Value numbers</t>
  </si>
  <si>
    <t>Company2069</t>
  </si>
  <si>
    <t>Company0613 (div)</t>
  </si>
  <si>
    <t>Reported "underlying" operating profit</t>
  </si>
  <si>
    <t>Value driver numbers</t>
  </si>
  <si>
    <t>Trademark impairment</t>
  </si>
  <si>
    <t>Restructuring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</si>
</sst>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1" formatCode="_(* #,##0_);_(* \(#,##0\);_(* &quot;-&quot;_);_(@_)"/>
    <numFmt numFmtId="43" formatCode="_(* #,##0.00_);_(* \(#,##0.00\);_(* &quot;-&quot;??_);_(@_)"/>
    <numFmt numFmtId="164" formatCode="_(&quot;£&quot;* #,##0_);_(&quot;£&quot;* \(#,##0\);_(&quot;£&quot;* &quot;-&quot;_);_(@_)"/>
    <numFmt numFmtId="165" formatCode="_(&quot;£&quot;* #,##0.00_);_(&quot;£&quot;* \(#,##0.00\);_(&quot;£&quot;* &quot;-&quot;??_);_(@_)"/>
    <numFmt numFmtId="166" formatCode="#,##0.0_);\(#,##0.0\);0.0_);@_)"/>
    <numFmt numFmtId="167" formatCode="#,##0.0_);\(#,##0.0\)"/>
    <numFmt numFmtId="168" formatCode="dd\-mmm\-yy_)"/>
    <numFmt numFmtId="169" formatCode="0.0%_);\(0.0%\)"/>
    <numFmt numFmtId="170" formatCode="#,##0.00_)\x;\(#,##0.00\)\x"/>
    <numFmt numFmtId="171" formatCode="&quot;Yes&quot;;;&quot;No&quot;"/>
    <numFmt numFmtId="172" formatCode="#,##0.00_);\(#,##0.00\);0.00_);@_)"/>
    <numFmt numFmtId="173" formatCode="0.0%_);\(0.0%\);0.0%_);@_)"/>
    <numFmt numFmtId="174" formatCode="#,##0.0&quot; x&quot;_);\(#,##0.0\)&quot; x&quot;"/>
    <numFmt numFmtId="175" formatCode="0.0%"/>
    <numFmt numFmtId="176" formatCode="#,##0.0_)\x;\(#,##0.0\)\x"/>
    <numFmt numFmtId="177" formatCode="#,##0.0000_);\(#,##0.0000\)"/>
    <numFmt numFmtId="178" formatCode="#,##0.000_);\(#,##0.000\)"/>
    <numFmt numFmtId="179" formatCode="#,##0.0_);\(#,##0.0\);_(* &quot;-&quot;??_);_(@_)"/>
  </numFmts>
  <fonts count="57" x14ac:knownFonts="1">
    <font>
      <sz val="10"/>
      <name val="Arial"/>
      <family val="2"/>
    </font>
    <font>
      <sz val="10"/>
      <name val="Arial"/>
      <family val="2"/>
    </font>
    <font>
      <sz val="8"/>
      <name val="Arial"/>
      <family val="2"/>
    </font>
    <font>
      <sz val="10"/>
      <color indexed="12"/>
      <name val="Arial"/>
      <family val="2"/>
    </font>
    <font>
      <sz val="8"/>
      <color indexed="81"/>
      <name val="Tahoma"/>
      <family val="2"/>
    </font>
    <font>
      <u/>
      <sz val="10"/>
      <color theme="10"/>
      <name val="Arial"/>
      <family val="2"/>
    </font>
    <font>
      <b/>
      <sz val="18"/>
      <color theme="3"/>
      <name val="Cambria"/>
      <family val="2"/>
      <scheme val="major"/>
    </font>
    <font>
      <b/>
      <sz val="15"/>
      <color theme="3"/>
      <name val="Arial"/>
      <family val="2"/>
    </font>
    <font>
      <b/>
      <sz val="13"/>
      <color theme="3"/>
      <name val="Arial"/>
      <family val="2"/>
    </font>
    <font>
      <b/>
      <sz val="11"/>
      <color theme="3"/>
      <name val="Arial"/>
      <family val="2"/>
    </font>
    <font>
      <sz val="24"/>
      <color rgb="FF006100"/>
      <name val="Arial"/>
      <family val="2"/>
    </font>
    <font>
      <sz val="24"/>
      <color rgb="FF9C0006"/>
      <name val="Arial"/>
      <family val="2"/>
    </font>
    <font>
      <sz val="24"/>
      <color rgb="FF9C6500"/>
      <name val="Arial"/>
      <family val="2"/>
    </font>
    <font>
      <b/>
      <sz val="24"/>
      <color rgb="FF3F3F3F"/>
      <name val="Arial"/>
      <family val="2"/>
    </font>
    <font>
      <b/>
      <sz val="24"/>
      <color rgb="FFFA7D00"/>
      <name val="Arial"/>
      <family val="2"/>
    </font>
    <font>
      <sz val="24"/>
      <color rgb="FFFA7D00"/>
      <name val="Arial"/>
      <family val="2"/>
    </font>
    <font>
      <b/>
      <sz val="24"/>
      <color theme="0"/>
      <name val="Arial"/>
      <family val="2"/>
    </font>
    <font>
      <sz val="24"/>
      <color rgb="FFFF0000"/>
      <name val="Arial"/>
      <family val="2"/>
    </font>
    <font>
      <i/>
      <sz val="24"/>
      <color rgb="FF7F7F7F"/>
      <name val="Arial"/>
      <family val="2"/>
    </font>
    <font>
      <b/>
      <sz val="24"/>
      <color theme="1"/>
      <name val="Arial"/>
      <family val="2"/>
    </font>
    <font>
      <sz val="24"/>
      <color theme="0"/>
      <name val="Arial"/>
      <family val="2"/>
    </font>
    <font>
      <sz val="24"/>
      <color theme="1"/>
      <name val="Arial"/>
      <family val="2"/>
    </font>
    <font>
      <u/>
      <sz val="10"/>
      <color theme="11"/>
      <name val="Arial"/>
      <family val="2"/>
    </font>
    <font>
      <b/>
      <sz val="14"/>
      <color theme="0"/>
      <name val="Calibri"/>
      <family val="2"/>
    </font>
    <font>
      <b/>
      <sz val="11"/>
      <color theme="2"/>
      <name val="Calibri"/>
      <family val="2"/>
      <scheme val="minor"/>
    </font>
    <font>
      <sz val="10"/>
      <color rgb="FF0000FF"/>
      <name val="Arial"/>
      <family val="2"/>
    </font>
    <font>
      <b/>
      <sz val="14"/>
      <color rgb="FF0000FF"/>
      <name val="Calibri"/>
      <family val="2"/>
    </font>
    <font>
      <sz val="10"/>
      <name val="Arial"/>
      <family val="2"/>
    </font>
    <font>
      <b/>
      <sz val="18"/>
      <color indexed="9"/>
      <name val="Arial"/>
      <family val="2"/>
    </font>
    <font>
      <b/>
      <sz val="18"/>
      <color indexed="17"/>
      <name val="Arial"/>
      <family val="2"/>
    </font>
    <font>
      <b/>
      <sz val="10"/>
      <color indexed="17"/>
      <name val="Arial"/>
      <family val="2"/>
    </font>
    <font>
      <b/>
      <sz val="10"/>
      <color indexed="9"/>
      <name val="Arial"/>
      <family val="2"/>
    </font>
    <font>
      <b/>
      <i/>
      <sz val="10"/>
      <name val="Arial"/>
      <family val="2"/>
    </font>
    <font>
      <b/>
      <sz val="8"/>
      <name val="Arial"/>
      <family val="2"/>
    </font>
    <font>
      <b/>
      <sz val="8"/>
      <color indexed="81"/>
      <name val="Tahoma"/>
      <family val="2"/>
    </font>
    <font>
      <b/>
      <i/>
      <sz val="8"/>
      <color indexed="81"/>
      <name val="Tahoma"/>
      <family val="2"/>
    </font>
    <font>
      <b/>
      <sz val="10"/>
      <color indexed="56"/>
      <name val="Arial"/>
      <family val="2"/>
    </font>
    <font>
      <b/>
      <i/>
      <sz val="12"/>
      <color indexed="56"/>
      <name val="Arial"/>
      <family val="2"/>
    </font>
    <font>
      <b/>
      <i/>
      <sz val="10"/>
      <color indexed="56"/>
      <name val="Arial"/>
      <family val="2"/>
    </font>
    <font>
      <b/>
      <i/>
      <sz val="10"/>
      <color indexed="9"/>
      <name val="Arial"/>
      <family val="2"/>
    </font>
    <font>
      <b/>
      <sz val="10"/>
      <name val="Arial"/>
      <family val="2"/>
    </font>
    <font>
      <i/>
      <sz val="10"/>
      <name val="Arial"/>
      <family val="2"/>
    </font>
    <font>
      <i/>
      <sz val="8"/>
      <name val="Arial"/>
      <family val="2"/>
    </font>
    <font>
      <b/>
      <sz val="9"/>
      <color indexed="81"/>
      <name val="Tahoma"/>
      <family val="2"/>
    </font>
    <font>
      <sz val="9"/>
      <color indexed="81"/>
      <name val="Tahoma"/>
      <family val="2"/>
    </font>
    <font>
      <b/>
      <sz val="10"/>
      <color indexed="12"/>
      <name val="Arial"/>
      <family val="2"/>
    </font>
    <font>
      <sz val="11"/>
      <name val="Arial"/>
      <family val="2"/>
    </font>
    <font>
      <b/>
      <sz val="14"/>
      <color theme="0"/>
      <name val="Arial"/>
      <family val="2"/>
    </font>
    <font>
      <b/>
      <sz val="14"/>
      <color rgb="FF027D07"/>
      <name val="Arial"/>
      <family val="2"/>
    </font>
    <font>
      <b/>
      <sz val="12"/>
      <color rgb="FF027D07"/>
      <name val="Arial"/>
      <family val="2"/>
    </font>
    <font>
      <sz val="11"/>
      <color rgb="FF027D07"/>
      <name val="Arial"/>
      <family val="2"/>
    </font>
    <font>
      <b/>
      <sz val="10"/>
      <color rgb="FF027D07"/>
      <name val="Arial"/>
      <family val="2"/>
    </font>
    <font>
      <b/>
      <sz val="11"/>
      <color theme="0"/>
      <name val="Arial"/>
      <family val="2"/>
    </font>
    <font>
      <b/>
      <sz val="18"/>
      <color rgb="FF027D07"/>
      <name val="Arial"/>
      <family val="2"/>
    </font>
    <font>
      <sz val="10"/>
      <color rgb="FF027D07"/>
      <name val="Arial"/>
      <family val="2"/>
    </font>
    <font>
      <b/>
      <sz val="11"/>
      <color theme="2"/>
      <name val="Arial"/>
      <family val="2"/>
    </font>
    <font>
      <sz val="7"/>
      <color indexed="10"/>
      <name val="Arial"/>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bgColor indexed="64"/>
      </patternFill>
    </fill>
    <fill>
      <patternFill patternType="solid">
        <fgColor rgb="FFE1E1E1"/>
        <bgColor indexed="64"/>
      </patternFill>
    </fill>
    <fill>
      <patternFill patternType="solid">
        <fgColor indexed="62"/>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ck">
        <color theme="2"/>
      </bottom>
      <diagonal/>
    </border>
    <border>
      <left/>
      <right/>
      <top/>
      <bottom style="thin">
        <color indexed="64"/>
      </bottom>
      <diagonal/>
    </border>
    <border>
      <left style="thin">
        <color indexed="64"/>
      </left>
      <right/>
      <top/>
      <bottom/>
      <diagonal/>
    </border>
    <border>
      <left style="dashDot">
        <color indexed="64"/>
      </left>
      <right/>
      <top/>
      <bottom/>
      <diagonal/>
    </border>
    <border>
      <left style="dashDot">
        <color indexed="64"/>
      </left>
      <right style="thin">
        <color indexed="64"/>
      </right>
      <top/>
      <bottom/>
      <diagonal/>
    </border>
    <border>
      <left/>
      <right/>
      <top style="thin">
        <color indexed="64"/>
      </top>
      <bottom/>
      <diagonal/>
    </border>
    <border>
      <left style="thin">
        <color indexed="64"/>
      </left>
      <right/>
      <top style="thin">
        <color indexed="64"/>
      </top>
      <bottom/>
      <diagonal/>
    </border>
    <border>
      <left style="dashDot">
        <color indexed="64"/>
      </left>
      <right/>
      <top style="thin">
        <color indexed="64"/>
      </top>
      <bottom/>
      <diagonal/>
    </border>
    <border>
      <left style="dashDot">
        <color indexed="64"/>
      </left>
      <right style="thin">
        <color indexed="64"/>
      </right>
      <top style="thin">
        <color indexed="64"/>
      </top>
      <bottom/>
      <diagonal/>
    </border>
    <border>
      <left style="thin">
        <color indexed="64"/>
      </left>
      <right/>
      <top/>
      <bottom style="thin">
        <color indexed="64"/>
      </bottom>
      <diagonal/>
    </border>
    <border>
      <left style="dashDot">
        <color indexed="64"/>
      </left>
      <right/>
      <top/>
      <bottom style="thin">
        <color indexed="64"/>
      </bottom>
      <diagonal/>
    </border>
    <border>
      <left style="dashDot">
        <color indexed="64"/>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65">
    <xf numFmtId="167" fontId="0" fillId="0" borderId="0"/>
    <xf numFmtId="15" fontId="1" fillId="0" borderId="0" applyFont="0" applyFill="0" applyBorder="0" applyAlignment="0" applyProtection="0"/>
    <xf numFmtId="0" fontId="5" fillId="0" borderId="0" applyNumberFormat="0" applyFill="0" applyBorder="0" applyAlignment="0" applyProtection="0">
      <alignment vertical="top"/>
      <protection locked="0"/>
    </xf>
    <xf numFmtId="167" fontId="25" fillId="33" borderId="1" applyNumberFormat="0" applyAlignment="0" applyProtection="0"/>
    <xf numFmtId="169" fontId="1" fillId="0" borderId="0" applyFont="0" applyFill="0" applyBorder="0" applyAlignment="0" applyProtection="0"/>
    <xf numFmtId="167" fontId="25" fillId="0" borderId="0" applyFill="0" applyBorder="0" applyAlignment="0" applyProtection="0"/>
    <xf numFmtId="0" fontId="6" fillId="0" borderId="0" applyNumberFormat="0" applyFill="0" applyBorder="0" applyAlignment="0" applyProtection="0"/>
    <xf numFmtId="0" fontId="7" fillId="0" borderId="2" applyNumberFormat="0" applyFill="0" applyAlignment="0" applyProtection="0"/>
    <xf numFmtId="0" fontId="8" fillId="0" borderId="3" applyNumberFormat="0" applyFill="0" applyAlignment="0" applyProtection="0"/>
    <xf numFmtId="0" fontId="9" fillId="0" borderId="4" applyNumberFormat="0" applyFill="0" applyAlignment="0" applyProtection="0"/>
    <xf numFmtId="0" fontId="9" fillId="0" borderId="0" applyNumberFormat="0" applyFill="0" applyBorder="0" applyAlignment="0" applyProtection="0"/>
    <xf numFmtId="0" fontId="10" fillId="2" borderId="0" applyNumberFormat="0" applyBorder="0" applyAlignment="0" applyProtection="0"/>
    <xf numFmtId="0" fontId="11" fillId="3" borderId="0" applyNumberFormat="0" applyBorder="0" applyAlignment="0" applyProtection="0"/>
    <xf numFmtId="0" fontId="12" fillId="4" borderId="0" applyNumberFormat="0" applyBorder="0" applyAlignment="0" applyProtection="0"/>
    <xf numFmtId="0" fontId="13" fillId="5" borderId="5" applyNumberFormat="0" applyAlignment="0" applyProtection="0"/>
    <xf numFmtId="0" fontId="14" fillId="5" borderId="6" applyNumberFormat="0" applyAlignment="0" applyProtection="0"/>
    <xf numFmtId="0" fontId="15" fillId="0" borderId="7" applyNumberFormat="0" applyFill="0" applyAlignment="0" applyProtection="0"/>
    <xf numFmtId="0" fontId="16" fillId="6" borderId="8" applyNumberFormat="0" applyAlignment="0" applyProtection="0"/>
    <xf numFmtId="0" fontId="17" fillId="0" borderId="0" applyNumberFormat="0" applyFill="0" applyBorder="0" applyAlignment="0" applyProtection="0"/>
    <xf numFmtId="0" fontId="1" fillId="7" borderId="9" applyNumberFormat="0" applyFont="0" applyAlignment="0" applyProtection="0"/>
    <xf numFmtId="0" fontId="18" fillId="0" borderId="0" applyNumberFormat="0" applyFill="0" applyBorder="0" applyAlignment="0" applyProtection="0"/>
    <xf numFmtId="0" fontId="19" fillId="0" borderId="10" applyNumberFormat="0" applyFill="0" applyAlignment="0" applyProtection="0"/>
    <xf numFmtId="0" fontId="20" fillId="8" borderId="0" applyNumberFormat="0" applyBorder="0" applyAlignment="0" applyProtection="0"/>
    <xf numFmtId="0" fontId="21" fillId="9" borderId="0" applyNumberFormat="0" applyBorder="0" applyAlignment="0" applyProtection="0"/>
    <xf numFmtId="0" fontId="21" fillId="10" borderId="0" applyNumberFormat="0" applyBorder="0" applyAlignment="0" applyProtection="0"/>
    <xf numFmtId="0" fontId="20" fillId="11" borderId="0" applyNumberFormat="0" applyBorder="0" applyAlignment="0" applyProtection="0"/>
    <xf numFmtId="0" fontId="20" fillId="12" borderId="0" applyNumberFormat="0" applyBorder="0" applyAlignment="0" applyProtection="0"/>
    <xf numFmtId="0" fontId="21" fillId="13" borderId="0" applyNumberFormat="0" applyBorder="0" applyAlignment="0" applyProtection="0"/>
    <xf numFmtId="0" fontId="21"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1" fillId="17" borderId="0" applyNumberFormat="0" applyBorder="0" applyAlignment="0" applyProtection="0"/>
    <xf numFmtId="0" fontId="21"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1" fillId="21" borderId="0" applyNumberFormat="0" applyBorder="0" applyAlignment="0" applyProtection="0"/>
    <xf numFmtId="0" fontId="21"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1" fillId="25" borderId="0" applyNumberFormat="0" applyBorder="0" applyAlignment="0" applyProtection="0"/>
    <xf numFmtId="0" fontId="21" fillId="26" borderId="0" applyNumberFormat="0" applyBorder="0" applyAlignment="0" applyProtection="0"/>
    <xf numFmtId="0" fontId="20" fillId="27" borderId="0" applyNumberFormat="0" applyBorder="0" applyAlignment="0" applyProtection="0"/>
    <xf numFmtId="0" fontId="20" fillId="28"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20" fillId="31" borderId="0" applyNumberFormat="0" applyBorder="0" applyAlignment="0" applyProtection="0"/>
    <xf numFmtId="166" fontId="22" fillId="0" borderId="0" applyNumberForma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70" fontId="1" fillId="0" borderId="0" applyFont="0" applyFill="0" applyBorder="0" applyAlignment="0" applyProtection="0"/>
    <xf numFmtId="167" fontId="26" fillId="0" borderId="11" applyNumberFormat="0" applyAlignment="0" applyProtection="0"/>
    <xf numFmtId="167" fontId="23" fillId="32" borderId="0" applyNumberFormat="0" applyBorder="0" applyProtection="0">
      <alignment horizontal="left" vertical="center"/>
    </xf>
    <xf numFmtId="167" fontId="24" fillId="0" borderId="0" applyNumberFormat="0" applyFill="0" applyBorder="0" applyAlignment="0" applyProtection="0"/>
    <xf numFmtId="171" fontId="3" fillId="0" borderId="0" applyFont="0" applyFill="0" applyBorder="0" applyAlignment="0" applyProtection="0"/>
    <xf numFmtId="169" fontId="25" fillId="33" borderId="1" applyAlignment="0" applyProtection="0"/>
    <xf numFmtId="166" fontId="27" fillId="0" borderId="0" applyFont="0" applyFill="0" applyBorder="0" applyAlignment="0" applyProtection="0"/>
    <xf numFmtId="168" fontId="1" fillId="0" borderId="0" applyFont="0" applyFill="0" applyBorder="0" applyAlignment="0" applyProtection="0"/>
    <xf numFmtId="173" fontId="3" fillId="0" borderId="1" applyFont="0" applyFill="0" applyBorder="0" applyAlignment="0" applyProtection="0">
      <alignment horizontal="right"/>
    </xf>
    <xf numFmtId="176" fontId="1" fillId="0" borderId="1" applyFont="0" applyFill="0" applyBorder="0" applyAlignment="0" applyProtection="0"/>
    <xf numFmtId="37" fontId="3" fillId="0" borderId="1" applyNumberFormat="0" applyFill="0" applyBorder="0" applyAlignment="0" applyProtection="0">
      <alignment horizontal="right"/>
    </xf>
    <xf numFmtId="167" fontId="3" fillId="0" borderId="0" applyFill="0" applyBorder="0" applyAlignment="0" applyProtection="0"/>
    <xf numFmtId="166" fontId="1" fillId="0" borderId="0">
      <protection locked="0"/>
    </xf>
    <xf numFmtId="166" fontId="56" fillId="0" borderId="0" applyNumberFormat="0" applyFill="0" applyBorder="0" applyProtection="0">
      <alignment vertical="center"/>
      <protection hidden="1"/>
    </xf>
  </cellStyleXfs>
  <cellXfs count="158">
    <xf numFmtId="167" fontId="0" fillId="0" borderId="0" xfId="0"/>
    <xf numFmtId="166" fontId="29" fillId="0" borderId="0" xfId="57" applyFont="1" applyFill="1" applyBorder="1" applyAlignment="1" applyProtection="1">
      <alignment vertical="center"/>
      <protection locked="0"/>
    </xf>
    <xf numFmtId="166" fontId="32" fillId="0" borderId="0" xfId="57" applyFont="1" applyFill="1" applyBorder="1" applyAlignment="1" applyProtection="1">
      <alignment vertical="center"/>
      <protection hidden="1"/>
    </xf>
    <xf numFmtId="166" fontId="31" fillId="0" borderId="0" xfId="57" applyFont="1" applyFill="1" applyBorder="1" applyAlignment="1" applyProtection="1">
      <alignment vertical="center"/>
      <protection hidden="1"/>
    </xf>
    <xf numFmtId="166" fontId="28" fillId="0" borderId="0" xfId="57" applyFont="1" applyFill="1" applyBorder="1" applyAlignment="1" applyProtection="1">
      <alignment vertical="center"/>
      <protection locked="0"/>
    </xf>
    <xf numFmtId="166" fontId="30" fillId="0" borderId="0" xfId="57" applyFont="1" applyFill="1" applyBorder="1" applyProtection="1">
      <protection locked="0"/>
    </xf>
    <xf numFmtId="166" fontId="2" fillId="0" borderId="0" xfId="57" applyFont="1" applyAlignment="1">
      <alignment horizontal="centerContinuous"/>
    </xf>
    <xf numFmtId="166" fontId="2" fillId="0" borderId="0" xfId="57" applyFont="1"/>
    <xf numFmtId="166" fontId="2" fillId="0" borderId="0" xfId="57" applyFont="1" applyBorder="1"/>
    <xf numFmtId="168" fontId="2" fillId="0" borderId="0" xfId="58" applyFont="1" applyBorder="1"/>
    <xf numFmtId="166" fontId="2" fillId="0" borderId="0" xfId="57" applyFont="1" applyBorder="1" applyAlignment="1">
      <alignment horizontal="right"/>
    </xf>
    <xf numFmtId="172" fontId="2" fillId="0" borderId="0" xfId="57" applyNumberFormat="1" applyFont="1" applyBorder="1" applyAlignment="1">
      <alignment horizontal="right"/>
    </xf>
    <xf numFmtId="173" fontId="2" fillId="0" borderId="0" xfId="59" applyFont="1" applyBorder="1" applyAlignment="1">
      <alignment horizontal="right"/>
    </xf>
    <xf numFmtId="173" fontId="2" fillId="0" borderId="14" xfId="59" applyFont="1" applyBorder="1" applyAlignment="1"/>
    <xf numFmtId="174" fontId="2" fillId="0" borderId="14" xfId="57" applyNumberFormat="1" applyFont="1" applyFill="1" applyBorder="1"/>
    <xf numFmtId="174" fontId="2" fillId="0" borderId="15" xfId="57" applyNumberFormat="1" applyFont="1" applyFill="1" applyBorder="1"/>
    <xf numFmtId="168" fontId="2" fillId="0" borderId="0" xfId="58" applyFont="1" applyFill="1" applyBorder="1"/>
    <xf numFmtId="166" fontId="2" fillId="0" borderId="16" xfId="57" applyFont="1" applyBorder="1"/>
    <xf numFmtId="174" fontId="2" fillId="0" borderId="16" xfId="57" applyNumberFormat="1" applyFont="1" applyBorder="1"/>
    <xf numFmtId="166" fontId="33" fillId="0" borderId="17" xfId="57" applyFont="1" applyBorder="1"/>
    <xf numFmtId="166" fontId="33" fillId="0" borderId="16" xfId="57" applyFont="1" applyBorder="1"/>
    <xf numFmtId="9" fontId="33" fillId="0" borderId="18" xfId="57" applyNumberFormat="1" applyFont="1" applyBorder="1"/>
    <xf numFmtId="174" fontId="33" fillId="0" borderId="18" xfId="57" applyNumberFormat="1" applyFont="1" applyBorder="1"/>
    <xf numFmtId="174" fontId="33" fillId="0" borderId="19" xfId="57" applyNumberFormat="1" applyFont="1" applyBorder="1"/>
    <xf numFmtId="166" fontId="33" fillId="0" borderId="13" xfId="57" applyFont="1" applyBorder="1"/>
    <xf numFmtId="166" fontId="33" fillId="0" borderId="0" xfId="57" applyFont="1" applyBorder="1"/>
    <xf numFmtId="9" fontId="33" fillId="0" borderId="14" xfId="57" applyNumberFormat="1" applyFont="1" applyBorder="1"/>
    <xf numFmtId="174" fontId="33" fillId="0" borderId="14" xfId="57" applyNumberFormat="1" applyFont="1" applyBorder="1"/>
    <xf numFmtId="174" fontId="33" fillId="0" borderId="15" xfId="57" applyNumberFormat="1" applyFont="1" applyBorder="1"/>
    <xf numFmtId="166" fontId="33" fillId="0" borderId="20" xfId="57" applyFont="1" applyBorder="1"/>
    <xf numFmtId="166" fontId="33" fillId="0" borderId="12" xfId="57" applyFont="1" applyBorder="1"/>
    <xf numFmtId="9" fontId="33" fillId="0" borderId="21" xfId="57" applyNumberFormat="1" applyFont="1" applyBorder="1"/>
    <xf numFmtId="174" fontId="33" fillId="0" borderId="21" xfId="57" applyNumberFormat="1" applyFont="1" applyBorder="1"/>
    <xf numFmtId="174" fontId="33" fillId="0" borderId="22" xfId="57" applyNumberFormat="1" applyFont="1" applyBorder="1"/>
    <xf numFmtId="166" fontId="2" fillId="0" borderId="0" xfId="57" applyFont="1" applyAlignment="1">
      <alignment horizontal="right"/>
    </xf>
    <xf numFmtId="166" fontId="37" fillId="0" borderId="0" xfId="57" applyFont="1" applyFill="1" applyBorder="1" applyAlignment="1"/>
    <xf numFmtId="166" fontId="38" fillId="0" borderId="0" xfId="57" applyFont="1" applyFill="1" applyBorder="1" applyAlignment="1"/>
    <xf numFmtId="172" fontId="1" fillId="0" borderId="1" xfId="57" applyNumberFormat="1" applyFont="1" applyFill="1" applyBorder="1" applyAlignment="1">
      <alignment horizontal="right"/>
    </xf>
    <xf numFmtId="173" fontId="1" fillId="0" borderId="1" xfId="59" applyFont="1" applyFill="1" applyBorder="1" applyAlignment="1">
      <alignment horizontal="right"/>
    </xf>
    <xf numFmtId="166" fontId="1" fillId="0" borderId="1" xfId="57" applyFont="1" applyFill="1" applyBorder="1" applyAlignment="1">
      <alignment horizontal="right"/>
    </xf>
    <xf numFmtId="166" fontId="1" fillId="0" borderId="0" xfId="57" applyFont="1"/>
    <xf numFmtId="166" fontId="1" fillId="0" borderId="0" xfId="57" applyFont="1" applyBorder="1"/>
    <xf numFmtId="166" fontId="1" fillId="0" borderId="1" xfId="57" applyFont="1" applyBorder="1"/>
    <xf numFmtId="166" fontId="1" fillId="0" borderId="0" xfId="57" applyFont="1" applyFill="1" applyBorder="1" applyAlignment="1">
      <alignment horizontal="left"/>
    </xf>
    <xf numFmtId="176" fontId="1" fillId="0" borderId="1" xfId="60" applyFont="1" applyBorder="1"/>
    <xf numFmtId="166" fontId="3" fillId="0" borderId="1" xfId="57" applyFont="1" applyBorder="1" applyAlignment="1">
      <alignment horizontal="right"/>
    </xf>
    <xf numFmtId="168" fontId="3" fillId="0" borderId="1" xfId="58" applyFont="1" applyFill="1" applyBorder="1"/>
    <xf numFmtId="39" fontId="3" fillId="0" borderId="1" xfId="57" applyNumberFormat="1" applyFont="1" applyBorder="1" applyAlignment="1">
      <alignment horizontal="right"/>
    </xf>
    <xf numFmtId="168" fontId="3" fillId="0" borderId="1" xfId="58" applyFont="1" applyFill="1" applyBorder="1" applyAlignment="1">
      <alignment horizontal="right"/>
    </xf>
    <xf numFmtId="166" fontId="40" fillId="0" borderId="0" xfId="57" applyFont="1"/>
    <xf numFmtId="166" fontId="3" fillId="0" borderId="1" xfId="57" applyFont="1" applyFill="1" applyBorder="1" applyAlignment="1">
      <alignment horizontal="right"/>
    </xf>
    <xf numFmtId="177" fontId="3" fillId="0" borderId="1" xfId="57" applyNumberFormat="1" applyFont="1" applyFill="1" applyBorder="1" applyAlignment="1">
      <alignment horizontal="right"/>
    </xf>
    <xf numFmtId="39" fontId="3" fillId="0" borderId="1" xfId="57" applyNumberFormat="1" applyFont="1" applyFill="1" applyBorder="1" applyAlignment="1">
      <alignment horizontal="right"/>
    </xf>
    <xf numFmtId="168" fontId="3" fillId="0" borderId="23" xfId="58" applyFont="1" applyFill="1" applyBorder="1" applyAlignment="1">
      <alignment horizontal="right"/>
    </xf>
    <xf numFmtId="167" fontId="3" fillId="0" borderId="1" xfId="57" applyNumberFormat="1" applyFont="1" applyFill="1" applyBorder="1" applyAlignment="1">
      <alignment horizontal="right"/>
    </xf>
    <xf numFmtId="37" fontId="3" fillId="0" borderId="1" xfId="57" applyNumberFormat="1" applyFont="1" applyFill="1" applyBorder="1" applyAlignment="1">
      <alignment horizontal="right"/>
    </xf>
    <xf numFmtId="166" fontId="40" fillId="0" borderId="0" xfId="57" applyFont="1" applyBorder="1"/>
    <xf numFmtId="166" fontId="40" fillId="0" borderId="1" xfId="57" applyFont="1" applyBorder="1"/>
    <xf numFmtId="167" fontId="1" fillId="0" borderId="0" xfId="57" applyNumberFormat="1" applyFont="1" applyBorder="1" applyAlignment="1"/>
    <xf numFmtId="166" fontId="40" fillId="0" borderId="0" xfId="57" applyFont="1" applyFill="1" applyBorder="1"/>
    <xf numFmtId="167" fontId="3" fillId="0" borderId="1" xfId="57" applyNumberFormat="1" applyFont="1" applyBorder="1" applyAlignment="1">
      <alignment horizontal="right"/>
    </xf>
    <xf numFmtId="167" fontId="40" fillId="0" borderId="0" xfId="57" applyNumberFormat="1" applyFont="1" applyBorder="1" applyAlignment="1"/>
    <xf numFmtId="166" fontId="40" fillId="0" borderId="1" xfId="57" applyFont="1" applyBorder="1" applyAlignment="1">
      <alignment horizontal="right"/>
    </xf>
    <xf numFmtId="0" fontId="39" fillId="34" borderId="0" xfId="57" applyNumberFormat="1" applyFont="1" applyFill="1" applyAlignment="1" applyProtection="1">
      <alignment horizontal="center" vertical="center"/>
      <protection hidden="1"/>
    </xf>
    <xf numFmtId="166" fontId="40" fillId="0" borderId="0" xfId="57" applyFont="1" applyBorder="1" applyAlignment="1">
      <alignment horizontal="left"/>
    </xf>
    <xf numFmtId="166" fontId="40" fillId="0" borderId="0" xfId="57" applyFont="1" applyBorder="1" applyAlignment="1">
      <alignment horizontal="right"/>
    </xf>
    <xf numFmtId="166" fontId="3" fillId="0" borderId="0" xfId="57" applyFont="1"/>
    <xf numFmtId="178" fontId="3" fillId="0" borderId="1" xfId="57" applyNumberFormat="1" applyFont="1" applyFill="1" applyBorder="1" applyAlignment="1">
      <alignment horizontal="right"/>
    </xf>
    <xf numFmtId="172" fontId="3" fillId="0" borderId="1" xfId="57" applyNumberFormat="1" applyFont="1" applyFill="1" applyBorder="1" applyAlignment="1">
      <alignment horizontal="right"/>
    </xf>
    <xf numFmtId="166" fontId="40" fillId="0" borderId="0" xfId="57" applyFont="1" applyFill="1" applyBorder="1" applyAlignment="1">
      <alignment horizontal="left"/>
    </xf>
    <xf numFmtId="166" fontId="36" fillId="0" borderId="0" xfId="57" applyFont="1" applyFill="1" applyBorder="1" applyAlignment="1">
      <alignment horizontal="left" indent="1"/>
    </xf>
    <xf numFmtId="178" fontId="40" fillId="0" borderId="0" xfId="57" applyNumberFormat="1" applyFont="1"/>
    <xf numFmtId="166" fontId="40" fillId="0" borderId="0" xfId="57" applyFont="1" applyFill="1" applyBorder="1" applyAlignment="1">
      <alignment horizontal="left" indent="1"/>
    </xf>
    <xf numFmtId="39" fontId="40" fillId="0" borderId="0" xfId="57" applyNumberFormat="1" applyFont="1" applyBorder="1" applyAlignment="1">
      <alignment horizontal="right"/>
    </xf>
    <xf numFmtId="39" fontId="3" fillId="0" borderId="0" xfId="57" applyNumberFormat="1" applyFont="1" applyFill="1" applyBorder="1" applyAlignment="1">
      <alignment horizontal="right"/>
    </xf>
    <xf numFmtId="166" fontId="3" fillId="0" borderId="1" xfId="57" applyFont="1" applyFill="1" applyBorder="1"/>
    <xf numFmtId="166" fontId="41" fillId="0" borderId="0" xfId="57" applyFont="1" applyBorder="1" applyAlignment="1">
      <alignment horizontal="left"/>
    </xf>
    <xf numFmtId="166" fontId="41" fillId="0" borderId="0" xfId="57" applyFont="1" applyAlignment="1">
      <alignment horizontal="centerContinuous"/>
    </xf>
    <xf numFmtId="166" fontId="40" fillId="0" borderId="0" xfId="57" applyFont="1" applyAlignment="1">
      <alignment horizontal="left"/>
    </xf>
    <xf numFmtId="166" fontId="42" fillId="0" borderId="0" xfId="57" applyFont="1"/>
    <xf numFmtId="166" fontId="42" fillId="0" borderId="0" xfId="57" applyFont="1" applyAlignment="1">
      <alignment horizontal="right"/>
    </xf>
    <xf numFmtId="175" fontId="41" fillId="0" borderId="0" xfId="57" applyNumberFormat="1" applyFont="1" applyAlignment="1">
      <alignment horizontal="centerContinuous"/>
    </xf>
    <xf numFmtId="166" fontId="32" fillId="0" borderId="0" xfId="57" applyFont="1" applyBorder="1"/>
    <xf numFmtId="167" fontId="3" fillId="0" borderId="1" xfId="57" applyNumberFormat="1" applyFont="1" applyBorder="1"/>
    <xf numFmtId="167" fontId="3" fillId="0" borderId="1" xfId="57" applyNumberFormat="1" applyFont="1" applyFill="1" applyBorder="1"/>
    <xf numFmtId="166" fontId="3" fillId="0" borderId="0" xfId="57" applyFont="1" applyBorder="1"/>
    <xf numFmtId="179" fontId="40" fillId="0" borderId="0" xfId="57" applyNumberFormat="1" applyFont="1" applyBorder="1" applyAlignment="1">
      <alignment horizontal="left" indent="1"/>
    </xf>
    <xf numFmtId="166" fontId="40" fillId="0" borderId="0" xfId="57" applyFont="1" applyFill="1"/>
    <xf numFmtId="167" fontId="3" fillId="0" borderId="1" xfId="57" applyNumberFormat="1" applyFont="1" applyFill="1" applyBorder="1" applyAlignment="1"/>
    <xf numFmtId="166" fontId="3" fillId="0" borderId="0" xfId="57" applyFont="1" applyFill="1" applyBorder="1" applyAlignment="1">
      <alignment horizontal="right"/>
    </xf>
    <xf numFmtId="178" fontId="40" fillId="0" borderId="0" xfId="57" applyNumberFormat="1" applyFont="1" applyFill="1"/>
    <xf numFmtId="167" fontId="3" fillId="0" borderId="24" xfId="57" applyNumberFormat="1" applyFont="1" applyBorder="1"/>
    <xf numFmtId="166" fontId="3" fillId="0" borderId="1" xfId="57" applyFont="1" applyBorder="1"/>
    <xf numFmtId="166" fontId="45" fillId="0" borderId="0" xfId="57" applyFont="1" applyFill="1" applyBorder="1" applyAlignment="1">
      <alignment horizontal="right"/>
    </xf>
    <xf numFmtId="167" fontId="45" fillId="0" borderId="0" xfId="57" applyNumberFormat="1" applyFont="1" applyBorder="1"/>
    <xf numFmtId="167" fontId="3" fillId="0" borderId="0" xfId="57" applyNumberFormat="1" applyFont="1" applyBorder="1"/>
    <xf numFmtId="166" fontId="3" fillId="0" borderId="24" xfId="57" applyFont="1" applyBorder="1"/>
    <xf numFmtId="166" fontId="3" fillId="0" borderId="1" xfId="57" applyFont="1" applyFill="1" applyBorder="1" applyAlignment="1">
      <alignment horizontal="right" wrapText="1"/>
    </xf>
    <xf numFmtId="166" fontId="3" fillId="0" borderId="1" xfId="57" applyFont="1" applyBorder="1" applyAlignment="1">
      <alignment horizontal="left"/>
    </xf>
    <xf numFmtId="39" fontId="1" fillId="0" borderId="1" xfId="57" applyNumberFormat="1" applyFont="1" applyFill="1" applyBorder="1" applyAlignment="1">
      <alignment horizontal="right"/>
    </xf>
    <xf numFmtId="166" fontId="46" fillId="0" borderId="0" xfId="57" applyFont="1" applyAlignment="1">
      <alignment horizontal="center"/>
    </xf>
    <xf numFmtId="167" fontId="46" fillId="0" borderId="0" xfId="0" applyFont="1"/>
    <xf numFmtId="167" fontId="47" fillId="32" borderId="0" xfId="53" applyFont="1">
      <alignment horizontal="left" vertical="center"/>
    </xf>
    <xf numFmtId="167" fontId="25" fillId="33" borderId="1" xfId="3" applyAlignment="1">
      <alignment horizontal="center"/>
    </xf>
    <xf numFmtId="167" fontId="48" fillId="0" borderId="0" xfId="0" applyFont="1"/>
    <xf numFmtId="37" fontId="49" fillId="0" borderId="0" xfId="0" applyNumberFormat="1" applyFont="1" applyAlignment="1">
      <alignment horizontal="center"/>
    </xf>
    <xf numFmtId="167" fontId="50" fillId="0" borderId="0" xfId="0" applyFont="1"/>
    <xf numFmtId="167" fontId="48" fillId="0" borderId="11" xfId="52" applyFont="1"/>
    <xf numFmtId="15" fontId="48" fillId="0" borderId="11" xfId="52" applyNumberFormat="1" applyFont="1" applyAlignment="1">
      <alignment horizontal="center"/>
    </xf>
    <xf numFmtId="37" fontId="51" fillId="0" borderId="11" xfId="52" applyNumberFormat="1" applyFont="1"/>
    <xf numFmtId="166" fontId="1" fillId="0" borderId="0" xfId="57" applyFont="1" applyFill="1"/>
    <xf numFmtId="166" fontId="52" fillId="32" borderId="0" xfId="53" applyNumberFormat="1" applyFont="1">
      <alignment horizontal="left" vertical="center"/>
    </xf>
    <xf numFmtId="166" fontId="52" fillId="32" borderId="0" xfId="53" applyNumberFormat="1" applyFont="1" applyAlignment="1">
      <alignment horizontal="center" vertical="center"/>
    </xf>
    <xf numFmtId="166" fontId="52" fillId="32" borderId="0" xfId="53" applyNumberFormat="1" applyFont="1" applyBorder="1" applyAlignment="1">
      <alignment horizontal="center" vertical="center"/>
    </xf>
    <xf numFmtId="166" fontId="52" fillId="32" borderId="12" xfId="53" applyNumberFormat="1" applyFont="1" applyBorder="1" applyAlignment="1">
      <alignment horizontal="center" vertical="center"/>
    </xf>
    <xf numFmtId="0" fontId="52" fillId="32" borderId="0" xfId="53" applyNumberFormat="1" applyFont="1" applyBorder="1" applyAlignment="1">
      <alignment horizontal="center" vertical="center"/>
    </xf>
    <xf numFmtId="0" fontId="52" fillId="32" borderId="12" xfId="53" applyNumberFormat="1" applyFont="1" applyBorder="1" applyAlignment="1">
      <alignment horizontal="center" vertical="center"/>
    </xf>
    <xf numFmtId="166" fontId="1" fillId="0" borderId="13" xfId="57" applyFont="1" applyBorder="1"/>
    <xf numFmtId="166" fontId="1" fillId="0" borderId="16" xfId="57" applyFont="1" applyBorder="1"/>
    <xf numFmtId="166" fontId="1" fillId="0" borderId="0" xfId="57" applyFont="1" applyAlignment="1">
      <alignment horizontal="right"/>
    </xf>
    <xf numFmtId="166" fontId="48" fillId="0" borderId="0" xfId="52" applyNumberFormat="1" applyFont="1" applyBorder="1" applyAlignment="1" applyProtection="1">
      <alignment vertical="center"/>
      <protection hidden="1"/>
    </xf>
    <xf numFmtId="166" fontId="48" fillId="0" borderId="0" xfId="52" applyNumberFormat="1" applyFont="1" applyBorder="1" applyAlignment="1" applyProtection="1">
      <alignment vertical="center"/>
      <protection locked="0"/>
    </xf>
    <xf numFmtId="166" fontId="48" fillId="0" borderId="0" xfId="52" applyNumberFormat="1" applyFont="1" applyBorder="1" applyProtection="1">
      <protection locked="0"/>
    </xf>
    <xf numFmtId="166" fontId="53" fillId="0" borderId="0" xfId="57" applyFont="1" applyFill="1" applyBorder="1" applyAlignment="1" applyProtection="1">
      <alignment vertical="center"/>
      <protection locked="0"/>
    </xf>
    <xf numFmtId="166" fontId="54" fillId="0" borderId="0" xfId="57" applyFont="1" applyFill="1"/>
    <xf numFmtId="166" fontId="48" fillId="0" borderId="11" xfId="52" applyNumberFormat="1" applyFont="1" applyAlignment="1" applyProtection="1">
      <alignment vertical="center"/>
      <protection hidden="1"/>
    </xf>
    <xf numFmtId="166" fontId="48" fillId="0" borderId="11" xfId="52" applyNumberFormat="1" applyFont="1" applyAlignment="1" applyProtection="1">
      <alignment vertical="center"/>
      <protection locked="0"/>
    </xf>
    <xf numFmtId="166" fontId="48" fillId="0" borderId="11" xfId="52" applyNumberFormat="1" applyFont="1" applyProtection="1">
      <protection locked="0"/>
    </xf>
    <xf numFmtId="166" fontId="51" fillId="0" borderId="11" xfId="52" applyNumberFormat="1" applyFont="1" applyAlignment="1" applyProtection="1">
      <alignment vertical="center"/>
      <protection hidden="1"/>
    </xf>
    <xf numFmtId="166" fontId="47" fillId="32" borderId="0" xfId="53" applyNumberFormat="1" applyFont="1" applyBorder="1">
      <alignment horizontal="left" vertical="center"/>
    </xf>
    <xf numFmtId="166" fontId="47" fillId="32" borderId="0" xfId="53" applyNumberFormat="1" applyFont="1">
      <alignment horizontal="left" vertical="center"/>
    </xf>
    <xf numFmtId="166" fontId="55" fillId="0" borderId="0" xfId="54" applyNumberFormat="1" applyFont="1" applyFill="1" applyBorder="1" applyAlignment="1"/>
    <xf numFmtId="166" fontId="55" fillId="0" borderId="0" xfId="54" applyNumberFormat="1" applyFont="1" applyBorder="1"/>
    <xf numFmtId="166" fontId="1" fillId="0" borderId="0" xfId="57" applyFont="1" applyFill="1" applyBorder="1"/>
    <xf numFmtId="175" fontId="1" fillId="0" borderId="0" xfId="57" applyNumberFormat="1" applyFont="1"/>
    <xf numFmtId="166" fontId="1" fillId="0" borderId="1" xfId="57" applyFont="1" applyFill="1" applyBorder="1"/>
    <xf numFmtId="166" fontId="52" fillId="32" borderId="0" xfId="53" applyNumberFormat="1" applyFont="1" applyAlignment="1" applyProtection="1">
      <alignment horizontal="center" vertical="center"/>
      <protection hidden="1"/>
    </xf>
    <xf numFmtId="166" fontId="1" fillId="0" borderId="1" xfId="57" applyFont="1" applyBorder="1" applyAlignment="1">
      <alignment horizontal="right"/>
    </xf>
    <xf numFmtId="173" fontId="1" fillId="0" borderId="1" xfId="59" applyFont="1" applyBorder="1" applyAlignment="1"/>
    <xf numFmtId="166" fontId="55" fillId="0" borderId="0" xfId="54" applyNumberFormat="1" applyFont="1"/>
    <xf numFmtId="175" fontId="1" fillId="0" borderId="0" xfId="57" applyNumberFormat="1" applyFont="1" applyAlignment="1"/>
    <xf numFmtId="10" fontId="1" fillId="0" borderId="0" xfId="57" applyNumberFormat="1" applyFont="1"/>
    <xf numFmtId="172" fontId="1" fillId="0" borderId="0" xfId="57" applyNumberFormat="1" applyFont="1"/>
    <xf numFmtId="166" fontId="3" fillId="0" borderId="1" xfId="61" applyNumberFormat="1" applyBorder="1" applyAlignment="1"/>
    <xf numFmtId="173" fontId="1" fillId="0" borderId="0" xfId="59" applyFont="1" applyBorder="1" applyAlignment="1"/>
    <xf numFmtId="173" fontId="3" fillId="0" borderId="1" xfId="59" applyFont="1" applyBorder="1" applyAlignment="1"/>
    <xf numFmtId="0" fontId="52" fillId="32" borderId="0" xfId="53" applyNumberFormat="1" applyFont="1" applyAlignment="1" applyProtection="1">
      <alignment horizontal="center" vertical="center"/>
      <protection hidden="1"/>
    </xf>
    <xf numFmtId="178" fontId="1" fillId="0" borderId="0" xfId="57" applyNumberFormat="1" applyFont="1" applyBorder="1"/>
    <xf numFmtId="168" fontId="52" fillId="32" borderId="0" xfId="53" applyNumberFormat="1" applyFont="1" applyBorder="1" applyAlignment="1" applyProtection="1">
      <alignment horizontal="center" vertical="center"/>
      <protection hidden="1"/>
    </xf>
    <xf numFmtId="1" fontId="52" fillId="32" borderId="0" xfId="53" applyNumberFormat="1" applyFont="1" applyBorder="1" applyAlignment="1" applyProtection="1">
      <alignment horizontal="center" vertical="center"/>
      <protection hidden="1"/>
    </xf>
    <xf numFmtId="167" fontId="3" fillId="0" borderId="1" xfId="62" applyFill="1" applyBorder="1" applyAlignment="1">
      <alignment horizontal="right"/>
    </xf>
    <xf numFmtId="166" fontId="54" fillId="0" borderId="0" xfId="57" applyFont="1"/>
    <xf numFmtId="166" fontId="48" fillId="0" borderId="11" xfId="52" applyNumberFormat="1" applyFont="1" applyProtection="1">
      <protection hidden="1"/>
    </xf>
    <xf numFmtId="166" fontId="3" fillId="0" borderId="1" xfId="61" applyNumberFormat="1" applyFill="1" applyBorder="1" applyAlignment="1">
      <alignment horizontal="right"/>
    </xf>
    <xf numFmtId="167" fontId="1" fillId="0" borderId="0" xfId="57" applyNumberFormat="1" applyFont="1" applyBorder="1"/>
    <xf numFmtId="166" fontId="3" fillId="0" borderId="0" xfId="61" applyNumberFormat="1" applyBorder="1" applyAlignment="1"/>
    <xf numFmtId="166" fontId="55" fillId="0" borderId="0" xfId="54" applyNumberFormat="1" applyFont="1" applyFill="1" applyBorder="1"/>
    <xf numFmtId="166" fontId="47" fillId="0" borderId="0" xfId="53" applyNumberFormat="1" applyFont="1" applyFill="1" applyBorder="1">
      <alignment horizontal="left" vertical="center"/>
    </xf>
  </cellXfs>
  <cellStyles count="65">
    <cellStyle name="20% - Accent1" xfId="23" builtinId="30" hidden="1"/>
    <cellStyle name="20% - Accent2" xfId="27" builtinId="34" hidden="1"/>
    <cellStyle name="20% - Accent3" xfId="31" builtinId="38" hidden="1"/>
    <cellStyle name="20% - Accent4" xfId="35" builtinId="42" hidden="1"/>
    <cellStyle name="20% - Accent5" xfId="39" builtinId="46" hidden="1"/>
    <cellStyle name="20% - Accent6" xfId="43" builtinId="50" hidden="1"/>
    <cellStyle name="40% - Accent1" xfId="24" builtinId="31" hidden="1"/>
    <cellStyle name="40% - Accent2" xfId="28" builtinId="35" hidden="1"/>
    <cellStyle name="40% - Accent3" xfId="32" builtinId="39" hidden="1"/>
    <cellStyle name="40% - Accent4" xfId="36" builtinId="43" hidden="1"/>
    <cellStyle name="40% - Accent5" xfId="40" builtinId="47" hidden="1"/>
    <cellStyle name="40% - Accent6" xfId="44" builtinId="51" hidden="1"/>
    <cellStyle name="60% - Accent1" xfId="25" builtinId="32" hidden="1"/>
    <cellStyle name="60% - Accent2" xfId="29" builtinId="36" hidden="1"/>
    <cellStyle name="60% - Accent3" xfId="33" builtinId="40" hidden="1"/>
    <cellStyle name="60% - Accent4" xfId="37" builtinId="44" hidden="1"/>
    <cellStyle name="60% - Accent5" xfId="41" builtinId="48" hidden="1"/>
    <cellStyle name="60% - Accent6" xfId="45" builtinId="52" hidden="1"/>
    <cellStyle name="Accent1" xfId="22" builtinId="29" hidden="1"/>
    <cellStyle name="Accent2" xfId="26" builtinId="33" hidden="1"/>
    <cellStyle name="Accent3" xfId="30" builtinId="37" hidden="1"/>
    <cellStyle name="Accent4" xfId="34" builtinId="41" hidden="1"/>
    <cellStyle name="Accent5" xfId="38" builtinId="45" hidden="1"/>
    <cellStyle name="Accent6" xfId="42" builtinId="49" hidden="1"/>
    <cellStyle name="b" xfId="62" xr:uid="{00000000-0005-0000-0000-000018000000}"/>
    <cellStyle name="Bad" xfId="12" builtinId="27" hidden="1"/>
    <cellStyle name="Blue" xfId="61" xr:uid="{00000000-0005-0000-0000-00001A000000}"/>
    <cellStyle name="Calculation" xfId="15" builtinId="22" hidden="1"/>
    <cellStyle name="Check Cell" xfId="17" builtinId="23" hidden="1"/>
    <cellStyle name="Comma" xfId="47" builtinId="3" hidden="1"/>
    <cellStyle name="Comma [0]" xfId="48" builtinId="6" hidden="1"/>
    <cellStyle name="Currency" xfId="49" builtinId="4" hidden="1"/>
    <cellStyle name="Currency [0]" xfId="50" builtinId="7" hidden="1"/>
    <cellStyle name="Date" xfId="1" xr:uid="{00000000-0005-0000-0000-000021000000}"/>
    <cellStyle name="Date 2" xfId="58" xr:uid="{00000000-0005-0000-0000-000022000000}"/>
    <cellStyle name="Explanatory Text" xfId="20" builtinId="53" hidden="1"/>
    <cellStyle name="Followed Hyperlink" xfId="46" builtinId="9" hidden="1"/>
    <cellStyle name="Good" xfId="11" builtinId="26" hidden="1"/>
    <cellStyle name="Header" xfId="52" xr:uid="{00000000-0005-0000-0000-000026000000}"/>
    <cellStyle name="Heading 1" xfId="7" builtinId="16" hidden="1"/>
    <cellStyle name="Heading 2" xfId="8" builtinId="17" hidden="1"/>
    <cellStyle name="Heading 3" xfId="9" builtinId="18" hidden="1"/>
    <cellStyle name="Heading 4" xfId="10" builtinId="19" hidden="1"/>
    <cellStyle name="Historics" xfId="5" xr:uid="{00000000-0005-0000-0000-00002B000000}"/>
    <cellStyle name="Hyperlink" xfId="2" builtinId="8" hidden="1"/>
    <cellStyle name="Input" xfId="3" builtinId="20" customBuiltin="1"/>
    <cellStyle name="Input %" xfId="56" xr:uid="{00000000-0005-0000-0000-00002E000000}"/>
    <cellStyle name="Linked Cell" xfId="16" builtinId="24" hidden="1"/>
    <cellStyle name="Multiple" xfId="51" xr:uid="{00000000-0005-0000-0000-000030000000}"/>
    <cellStyle name="Multiple 2" xfId="60" xr:uid="{00000000-0005-0000-0000-000031000000}"/>
    <cellStyle name="Neutral" xfId="13" builtinId="28" hidden="1"/>
    <cellStyle name="Normal" xfId="0" builtinId="0" customBuiltin="1"/>
    <cellStyle name="Normal 2" xfId="57" xr:uid="{00000000-0005-0000-0000-000034000000}"/>
    <cellStyle name="Normal 3" xfId="63" xr:uid="{CB500C6D-23AB-4FCE-90EB-F5B56254003E}"/>
    <cellStyle name="Note" xfId="19" builtinId="10" hidden="1"/>
    <cellStyle name="Output" xfId="14" builtinId="21" hidden="1"/>
    <cellStyle name="Percent" xfId="4" builtinId="5" customBuiltin="1"/>
    <cellStyle name="Percent 2" xfId="59" xr:uid="{00000000-0005-0000-0000-000038000000}"/>
    <cellStyle name="SubHeader" xfId="53" xr:uid="{00000000-0005-0000-0000-000039000000}"/>
    <cellStyle name="SubHeader2" xfId="54" xr:uid="{00000000-0005-0000-0000-00003A000000}"/>
    <cellStyle name="Title" xfId="6" builtinId="15" hidden="1"/>
    <cellStyle name="Total" xfId="21" builtinId="25" hidden="1"/>
    <cellStyle name="Warning Text" xfId="18" builtinId="11" hidden="1"/>
    <cellStyle name="xGuides" xfId="64" xr:uid="{568C362A-7179-4451-A8B3-B1AF9A65D894}"/>
    <cellStyle name="YesNo" xfId="55" xr:uid="{00000000-0005-0000-0000-00003E000000}"/>
  </cellStyles>
  <dxfs count="112">
    <dxf>
      <font>
        <condense val="0"/>
        <extend val="0"/>
        <color indexed="22"/>
      </font>
      <fill>
        <patternFill>
          <bgColor indexed="9"/>
        </patternFill>
      </fill>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fill>
        <patternFill patternType="none">
          <bgColor indexed="65"/>
        </patternFill>
      </fill>
      <border>
        <left style="thin">
          <color indexed="22"/>
        </left>
        <right style="thin">
          <color indexed="22"/>
        </right>
        <top style="thin">
          <color indexed="22"/>
        </top>
        <bottom style="thin">
          <color indexed="22"/>
        </bottom>
      </border>
    </dxf>
    <dxf>
      <font>
        <condense val="0"/>
        <extend val="0"/>
        <color indexed="22"/>
      </font>
    </dxf>
    <dxf>
      <font>
        <condense val="0"/>
        <extend val="0"/>
        <color indexed="22"/>
      </font>
    </dxf>
    <dxf>
      <font>
        <condense val="0"/>
        <extend val="0"/>
        <color indexed="22"/>
      </font>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dxf>
    <dxf>
      <font>
        <condense val="0"/>
        <extend val="0"/>
        <color indexed="22"/>
      </font>
      <fill>
        <patternFill>
          <bgColor indexed="9"/>
        </patternFill>
      </fill>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fill>
        <patternFill patternType="none">
          <bgColor indexed="65"/>
        </patternFill>
      </fill>
      <border>
        <left style="thin">
          <color indexed="22"/>
        </left>
        <right style="thin">
          <color indexed="22"/>
        </right>
        <top style="thin">
          <color indexed="22"/>
        </top>
        <bottom style="thin">
          <color indexed="22"/>
        </bottom>
      </border>
    </dxf>
    <dxf>
      <font>
        <condense val="0"/>
        <extend val="0"/>
        <color indexed="22"/>
      </font>
    </dxf>
    <dxf>
      <font>
        <condense val="0"/>
        <extend val="0"/>
        <color indexed="22"/>
      </font>
    </dxf>
    <dxf>
      <font>
        <condense val="0"/>
        <extend val="0"/>
        <color indexed="22"/>
      </font>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fill>
        <patternFill>
          <bgColor indexed="9"/>
        </patternFill>
      </fill>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fill>
        <patternFill patternType="none">
          <bgColor indexed="65"/>
        </patternFill>
      </fill>
      <border>
        <left style="thin">
          <color indexed="22"/>
        </left>
        <right style="thin">
          <color indexed="22"/>
        </right>
        <top style="thin">
          <color indexed="22"/>
        </top>
        <bottom style="thin">
          <color indexed="22"/>
        </bottom>
      </border>
    </dxf>
    <dxf>
      <font>
        <condense val="0"/>
        <extend val="0"/>
        <color indexed="22"/>
      </font>
    </dxf>
    <dxf>
      <font>
        <condense val="0"/>
        <extend val="0"/>
        <color indexed="22"/>
      </font>
    </dxf>
    <dxf>
      <font>
        <condense val="0"/>
        <extend val="0"/>
        <color indexed="22"/>
      </font>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fill>
        <patternFill>
          <bgColor indexed="9"/>
        </patternFill>
      </fill>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fill>
        <patternFill patternType="none">
          <bgColor indexed="65"/>
        </patternFill>
      </fill>
      <border>
        <left style="thin">
          <color indexed="22"/>
        </left>
        <right style="thin">
          <color indexed="22"/>
        </right>
        <top style="thin">
          <color indexed="22"/>
        </top>
        <bottom style="thin">
          <color indexed="22"/>
        </bottom>
      </border>
    </dxf>
    <dxf>
      <font>
        <condense val="0"/>
        <extend val="0"/>
        <color indexed="22"/>
      </font>
    </dxf>
    <dxf>
      <font>
        <condense val="0"/>
        <extend val="0"/>
        <color indexed="22"/>
      </font>
    </dxf>
    <dxf>
      <font>
        <condense val="0"/>
        <extend val="0"/>
        <color indexed="22"/>
      </font>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fill>
        <patternFill>
          <bgColor indexed="9"/>
        </patternFill>
      </fill>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fill>
        <patternFill patternType="none">
          <bgColor indexed="65"/>
        </patternFill>
      </fill>
      <border>
        <left style="thin">
          <color indexed="22"/>
        </left>
        <right style="thin">
          <color indexed="22"/>
        </right>
        <top style="thin">
          <color indexed="22"/>
        </top>
        <bottom style="thin">
          <color indexed="22"/>
        </bottom>
      </border>
    </dxf>
    <dxf>
      <font>
        <condense val="0"/>
        <extend val="0"/>
        <color indexed="22"/>
      </font>
    </dxf>
    <dxf>
      <font>
        <condense val="0"/>
        <extend val="0"/>
        <color indexed="22"/>
      </font>
    </dxf>
    <dxf>
      <font>
        <condense val="0"/>
        <extend val="0"/>
        <color indexed="22"/>
      </font>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fill>
        <patternFill>
          <bgColor indexed="9"/>
        </patternFill>
      </fill>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fill>
        <patternFill patternType="none">
          <bgColor indexed="65"/>
        </patternFill>
      </fill>
      <border>
        <left style="thin">
          <color indexed="22"/>
        </left>
        <right style="thin">
          <color indexed="22"/>
        </right>
        <top style="thin">
          <color indexed="22"/>
        </top>
        <bottom style="thin">
          <color indexed="22"/>
        </bottom>
      </border>
    </dxf>
    <dxf>
      <font>
        <condense val="0"/>
        <extend val="0"/>
        <color indexed="22"/>
      </font>
    </dxf>
    <dxf>
      <font>
        <condense val="0"/>
        <extend val="0"/>
        <color indexed="22"/>
      </font>
    </dxf>
    <dxf>
      <font>
        <condense val="0"/>
        <extend val="0"/>
        <color indexed="22"/>
      </font>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fill>
        <patternFill>
          <bgColor indexed="9"/>
        </patternFill>
      </fill>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fill>
        <patternFill patternType="none">
          <bgColor indexed="65"/>
        </patternFill>
      </fill>
      <border>
        <left style="thin">
          <color indexed="22"/>
        </left>
        <right style="thin">
          <color indexed="22"/>
        </right>
        <top style="thin">
          <color indexed="22"/>
        </top>
        <bottom style="thin">
          <color indexed="22"/>
        </bottom>
      </border>
    </dxf>
    <dxf>
      <font>
        <condense val="0"/>
        <extend val="0"/>
        <color indexed="22"/>
      </font>
    </dxf>
    <dxf>
      <font>
        <condense val="0"/>
        <extend val="0"/>
        <color indexed="22"/>
      </font>
    </dxf>
    <dxf>
      <font>
        <condense val="0"/>
        <extend val="0"/>
        <color indexed="22"/>
      </font>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fill>
        <patternFill>
          <bgColor indexed="9"/>
        </patternFill>
      </fill>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fill>
        <patternFill patternType="none">
          <bgColor indexed="65"/>
        </patternFill>
      </fill>
      <border>
        <left style="thin">
          <color indexed="22"/>
        </left>
        <right style="thin">
          <color indexed="22"/>
        </right>
        <top style="thin">
          <color indexed="22"/>
        </top>
        <bottom style="thin">
          <color indexed="22"/>
        </bottom>
      </border>
    </dxf>
    <dxf>
      <font>
        <condense val="0"/>
        <extend val="0"/>
        <color indexed="22"/>
      </font>
    </dxf>
    <dxf>
      <font>
        <condense val="0"/>
        <extend val="0"/>
        <color indexed="22"/>
      </font>
    </dxf>
    <dxf>
      <font>
        <condense val="0"/>
        <extend val="0"/>
        <color indexed="22"/>
      </font>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fill>
        <patternFill>
          <bgColor indexed="9"/>
        </patternFill>
      </fill>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fill>
        <patternFill patternType="none">
          <bgColor indexed="65"/>
        </patternFill>
      </fill>
      <border>
        <left style="thin">
          <color indexed="22"/>
        </left>
        <right style="thin">
          <color indexed="22"/>
        </right>
        <top style="thin">
          <color indexed="22"/>
        </top>
        <bottom style="thin">
          <color indexed="22"/>
        </bottom>
      </border>
    </dxf>
    <dxf>
      <font>
        <condense val="0"/>
        <extend val="0"/>
        <color indexed="22"/>
      </font>
    </dxf>
    <dxf>
      <font>
        <condense val="0"/>
        <extend val="0"/>
        <color indexed="22"/>
      </font>
    </dxf>
    <dxf>
      <font>
        <condense val="0"/>
        <extend val="0"/>
        <color indexed="22"/>
      </font>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fill>
        <patternFill>
          <bgColor indexed="9"/>
        </patternFill>
      </fill>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fill>
        <patternFill patternType="none">
          <bgColor indexed="65"/>
        </patternFill>
      </fill>
      <border>
        <left style="thin">
          <color indexed="22"/>
        </left>
        <right style="thin">
          <color indexed="22"/>
        </right>
        <top style="thin">
          <color indexed="22"/>
        </top>
        <bottom style="thin">
          <color indexed="22"/>
        </bottom>
      </border>
    </dxf>
    <dxf>
      <font>
        <condense val="0"/>
        <extend val="0"/>
        <color indexed="22"/>
      </font>
    </dxf>
    <dxf>
      <font>
        <condense val="0"/>
        <extend val="0"/>
        <color indexed="22"/>
      </font>
    </dxf>
    <dxf>
      <font>
        <condense val="0"/>
        <extend val="0"/>
        <color indexed="22"/>
      </font>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dxf>
    <dxf>
      <font>
        <condense val="0"/>
        <extend val="0"/>
        <color indexed="22"/>
      </font>
      <fill>
        <patternFill>
          <bgColor indexed="9"/>
        </patternFill>
      </fill>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fill>
        <patternFill patternType="none">
          <bgColor indexed="65"/>
        </patternFill>
      </fill>
      <border>
        <left style="thin">
          <color indexed="22"/>
        </left>
        <right style="thin">
          <color indexed="22"/>
        </right>
        <top style="thin">
          <color indexed="22"/>
        </top>
        <bottom style="thin">
          <color indexed="22"/>
        </bottom>
      </border>
    </dxf>
    <dxf>
      <font>
        <condense val="0"/>
        <extend val="0"/>
        <color indexed="22"/>
      </font>
    </dxf>
    <dxf>
      <font>
        <condense val="0"/>
        <extend val="0"/>
        <color indexed="22"/>
      </font>
    </dxf>
    <dxf>
      <font>
        <condense val="0"/>
        <extend val="0"/>
        <color indexed="22"/>
      </font>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fill>
        <patternFill>
          <bgColor indexed="9"/>
        </patternFill>
      </fill>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fill>
        <patternFill patternType="none">
          <bgColor indexed="65"/>
        </patternFill>
      </fill>
      <border>
        <left style="thin">
          <color indexed="22"/>
        </left>
        <right style="thin">
          <color indexed="22"/>
        </right>
        <top style="thin">
          <color indexed="22"/>
        </top>
        <bottom style="thin">
          <color indexed="22"/>
        </bottom>
      </border>
    </dxf>
    <dxf>
      <font>
        <condense val="0"/>
        <extend val="0"/>
        <color indexed="22"/>
      </font>
    </dxf>
    <dxf>
      <font>
        <condense val="0"/>
        <extend val="0"/>
        <color indexed="22"/>
      </font>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fill>
        <patternFill>
          <bgColor indexed="9"/>
        </patternFill>
      </fill>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fill>
        <patternFill patternType="none">
          <bgColor indexed="65"/>
        </patternFill>
      </fill>
      <border>
        <left style="thin">
          <color indexed="22"/>
        </left>
        <right style="thin">
          <color indexed="22"/>
        </right>
        <top style="thin">
          <color indexed="22"/>
        </top>
        <bottom style="thin">
          <color indexed="22"/>
        </bottom>
      </border>
    </dxf>
    <dxf>
      <font>
        <condense val="0"/>
        <extend val="0"/>
        <color indexed="22"/>
      </font>
    </dxf>
    <dxf>
      <font>
        <condense val="0"/>
        <extend val="0"/>
        <color indexed="22"/>
      </font>
    </dxf>
    <dxf>
      <font>
        <condense val="0"/>
        <extend val="0"/>
        <color indexed="22"/>
      </font>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fill>
        <patternFill>
          <bgColor indexed="9"/>
        </patternFill>
      </fill>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fill>
        <patternFill patternType="none">
          <bgColor indexed="65"/>
        </patternFill>
      </fill>
      <border>
        <left style="thin">
          <color indexed="22"/>
        </left>
        <right style="thin">
          <color indexed="22"/>
        </right>
        <top style="thin">
          <color indexed="22"/>
        </top>
        <bottom style="thin">
          <color indexed="22"/>
        </bottom>
      </border>
    </dxf>
    <dxf>
      <font>
        <condense val="0"/>
        <extend val="0"/>
        <color indexed="22"/>
      </font>
    </dxf>
    <dxf>
      <font>
        <condense val="0"/>
        <extend val="0"/>
        <color indexed="22"/>
      </font>
    </dxf>
    <dxf>
      <font>
        <condense val="0"/>
        <extend val="0"/>
        <color indexed="22"/>
      </font>
    </dxf>
    <dxf>
      <font>
        <condense val="0"/>
        <extend val="0"/>
        <color indexed="22"/>
      </font>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fill>
        <patternFill>
          <bgColor indexed="9"/>
        </patternFill>
      </fill>
    </dxf>
    <dxf>
      <font>
        <condense val="0"/>
        <extend val="0"/>
        <color indexed="22"/>
      </font>
      <border>
        <left style="thin">
          <color indexed="22"/>
        </left>
        <right style="thin">
          <color indexed="22"/>
        </right>
        <top style="thin">
          <color indexed="22"/>
        </top>
        <bottom style="thin">
          <color indexed="22"/>
        </bottom>
      </border>
    </dxf>
    <dxf>
      <font>
        <condense val="0"/>
        <extend val="0"/>
        <color indexed="22"/>
      </font>
      <fill>
        <patternFill patternType="none">
          <bgColor indexed="65"/>
        </patternFill>
      </fill>
      <border>
        <left style="thin">
          <color indexed="22"/>
        </left>
        <right style="thin">
          <color indexed="22"/>
        </right>
        <top style="thin">
          <color indexed="22"/>
        </top>
        <bottom style="thin">
          <color indexed="22"/>
        </bottom>
      </border>
    </dxf>
    <dxf>
      <font>
        <condense val="0"/>
        <extend val="0"/>
        <color indexed="22"/>
      </font>
    </dxf>
    <dxf>
      <font>
        <condense val="0"/>
        <extend val="0"/>
        <color indexed="22"/>
      </font>
    </dxf>
    <dxf>
      <font>
        <condense val="0"/>
        <extend val="0"/>
        <color indexed="22"/>
      </font>
    </dxf>
    <dxf>
      <font>
        <condense val="0"/>
        <extend val="0"/>
        <color indexed="22"/>
      </font>
    </dxf>
    <dxf>
      <font>
        <condense val="0"/>
        <extend val="0"/>
        <color indexed="22"/>
      </font>
      <border>
        <left style="thin">
          <color indexed="22"/>
        </left>
        <right style="thin">
          <color indexed="22"/>
        </right>
        <top style="thin">
          <color indexed="22"/>
        </top>
        <bottom style="thin">
          <color indexed="22"/>
        </bottom>
      </border>
    </dxf>
    <dxf>
      <font>
        <b/>
        <i val="0"/>
        <color rgb="FF0500FF"/>
      </font>
    </dxf>
    <dxf>
      <font>
        <b/>
        <i val="0"/>
        <color rgb="FF0000FF"/>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6E00"/>
      <rgbColor rgb="00000080"/>
      <rgbColor rgb="00808000"/>
      <rgbColor rgb="00800080"/>
      <rgbColor rgb="00008080"/>
      <rgbColor rgb="00C0C0C0"/>
      <rgbColor rgb="00808080"/>
      <rgbColor rgb="00EAFFDF"/>
      <rgbColor rgb="00993366"/>
      <rgbColor rgb="00FFFFCB"/>
      <rgbColor rgb="00E3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3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E1E1E1"/>
      <color rgb="FF0500FF"/>
      <color rgb="FF0000FF"/>
      <color rgb="FF8000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ysClr val="window" lastClr="FFFFFF"/>
      </a:lt1>
      <a:dk2>
        <a:srgbClr val="46484C"/>
      </a:dk2>
      <a:lt2>
        <a:srgbClr val="65686D"/>
      </a:lt2>
      <a:accent1>
        <a:srgbClr val="AFD7FF"/>
      </a:accent1>
      <a:accent2>
        <a:srgbClr val="007BEA"/>
      </a:accent2>
      <a:accent3>
        <a:srgbClr val="64E8C8"/>
      </a:accent3>
      <a:accent4>
        <a:srgbClr val="6DB9FF"/>
      </a:accent4>
      <a:accent5>
        <a:srgbClr val="C5D2D5"/>
      </a:accent5>
      <a:accent6>
        <a:srgbClr val="FFFFA0"/>
      </a:accent6>
      <a:hlink>
        <a:srgbClr val="00B050"/>
      </a:hlink>
      <a:folHlink>
        <a:srgbClr val="D2001E"/>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4.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5.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6.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7.v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O21"/>
  <sheetViews>
    <sheetView showGridLines="0" tabSelected="1" zoomScaleNormal="100" workbookViewId="0"/>
  </sheetViews>
  <sheetFormatPr defaultColWidth="9.21875" defaultRowHeight="13.8" x14ac:dyDescent="0.25"/>
  <cols>
    <col min="1" max="1" width="2.44140625" style="101" customWidth="1"/>
    <col min="2" max="2" width="30.77734375" style="101" customWidth="1"/>
    <col min="3" max="3" width="13.44140625" style="101" customWidth="1"/>
    <col min="4" max="4" width="14.21875" style="101" customWidth="1"/>
    <col min="5" max="14" width="13.44140625" style="101" customWidth="1"/>
    <col min="15" max="15" width="13.21875" style="101" customWidth="1"/>
    <col min="16" max="16" width="12.77734375" style="101" customWidth="1"/>
    <col min="17" max="17" width="13.21875" style="101" customWidth="1"/>
    <col min="18" max="16384" width="9.21875" style="101"/>
  </cols>
  <sheetData>
    <row r="1" spans="1:15" s="106" customFormat="1" ht="17.399999999999999" x14ac:dyDescent="0.3">
      <c r="A1" s="104" t="s">
        <v>0</v>
      </c>
      <c r="B1" s="104"/>
      <c r="C1" s="104"/>
      <c r="D1" s="104"/>
      <c r="E1" s="105"/>
      <c r="F1" s="105"/>
      <c r="G1" s="105"/>
      <c r="H1" s="105"/>
      <c r="I1" s="105"/>
      <c r="J1" s="105"/>
      <c r="K1" s="105"/>
      <c r="L1" s="105"/>
      <c r="M1" s="105"/>
      <c r="N1" s="105"/>
      <c r="O1" s="105"/>
    </row>
    <row r="2" spans="1:15" s="106" customFormat="1" ht="18" thickBot="1" x14ac:dyDescent="0.35">
      <c r="A2" s="109" t="s">
        <v>1</v>
      </c>
      <c r="B2" s="107"/>
      <c r="C2" s="107"/>
      <c r="D2" s="107"/>
      <c r="E2" s="108"/>
      <c r="F2" s="108"/>
      <c r="G2" s="108"/>
      <c r="H2" s="108"/>
      <c r="I2" s="108"/>
      <c r="J2" s="108"/>
      <c r="K2" s="108"/>
      <c r="L2" s="108"/>
      <c r="M2" s="108"/>
      <c r="N2" s="108"/>
      <c r="O2" s="108"/>
    </row>
    <row r="3" spans="1:15" ht="14.4" thickTop="1" x14ac:dyDescent="0.25"/>
    <row r="4" spans="1:15" ht="17.399999999999999" x14ac:dyDescent="0.25">
      <c r="A4" s="102" t="s">
        <v>2</v>
      </c>
      <c r="B4" s="102"/>
      <c r="C4" s="102"/>
      <c r="D4" s="102"/>
      <c r="E4" s="102"/>
      <c r="F4" s="102"/>
      <c r="G4" s="102"/>
      <c r="H4" s="102"/>
      <c r="I4" s="102"/>
      <c r="J4" s="102"/>
      <c r="K4" s="102"/>
      <c r="L4" s="102"/>
      <c r="M4" s="102"/>
      <c r="N4" s="102"/>
      <c r="O4" s="102"/>
    </row>
    <row r="5" spans="1:15" customFormat="1" ht="13.2" x14ac:dyDescent="0.25"/>
    <row r="6" spans="1:15" customFormat="1" ht="13.2" x14ac:dyDescent="0.25">
      <c r="B6" t="s">
        <v>3</v>
      </c>
    </row>
    <row r="7" spans="1:15" customFormat="1" ht="13.2" x14ac:dyDescent="0.25">
      <c r="B7" t="s">
        <v>4</v>
      </c>
    </row>
    <row r="8" spans="1:15" customFormat="1" ht="13.2" x14ac:dyDescent="0.25">
      <c r="B8" t="s">
        <v>5</v>
      </c>
    </row>
    <row r="9" spans="1:15" customFormat="1" ht="13.2" x14ac:dyDescent="0.25">
      <c r="B9" t="s">
        <v>6</v>
      </c>
    </row>
    <row r="10" spans="1:15" customFormat="1" ht="13.2" x14ac:dyDescent="0.25">
      <c r="B10" t="s">
        <v>7</v>
      </c>
    </row>
    <row r="11" spans="1:15" customFormat="1" ht="13.2" x14ac:dyDescent="0.25">
      <c r="B11" t="s">
        <v>8</v>
      </c>
    </row>
    <row r="12" spans="1:15" customFormat="1" ht="13.2" x14ac:dyDescent="0.25"/>
    <row r="13" spans="1:15" customFormat="1" ht="13.2" x14ac:dyDescent="0.25"/>
    <row r="14" spans="1:15" customFormat="1" ht="13.2" x14ac:dyDescent="0.25"/>
    <row r="15" spans="1:15" customFormat="1" ht="13.2" x14ac:dyDescent="0.25"/>
    <row r="16" spans="1:15" customFormat="1" ht="13.2" x14ac:dyDescent="0.25"/>
    <row r="17" spans="1:15" ht="17.399999999999999" x14ac:dyDescent="0.25">
      <c r="A17" s="102" t="s">
        <v>9</v>
      </c>
      <c r="B17" s="102"/>
      <c r="C17" s="102"/>
      <c r="D17" s="102"/>
      <c r="E17" s="102"/>
      <c r="F17" s="102"/>
      <c r="G17" s="102"/>
      <c r="H17" s="102"/>
      <c r="I17" s="102"/>
      <c r="J17" s="102"/>
      <c r="K17" s="102"/>
      <c r="L17" s="102"/>
      <c r="M17" s="102"/>
      <c r="N17" s="102"/>
      <c r="O17" s="102"/>
    </row>
    <row r="19" spans="1:15" x14ac:dyDescent="0.25">
      <c r="B19" t="s">
        <v>10</v>
      </c>
      <c r="C19" s="103" t="s">
        <v>11</v>
      </c>
    </row>
    <row r="20" spans="1:15" x14ac:dyDescent="0.25">
      <c r="B20" t="s">
        <v>12</v>
      </c>
      <c r="C20" s="103" t="s">
        <v>13</v>
      </c>
    </row>
    <row r="21" spans="1:15" x14ac:dyDescent="0.25">
      <c r="B21" t="s">
        <v>14</v>
      </c>
      <c r="C21" s="103" t="s">
        <v>14</v>
      </c>
    </row>
  </sheetData>
  <conditionalFormatting sqref="B7:B9">
    <cfRule type="expression" dxfId="111" priority="4">
      <formula>$B7=#REF!</formula>
    </cfRule>
  </conditionalFormatting>
  <conditionalFormatting sqref="B12:B14">
    <cfRule type="expression" dxfId="110" priority="1">
      <formula>$B12=#REF!</formula>
    </cfRule>
  </conditionalFormatting>
  <pageMargins left="0.74803149606299213" right="0.74803149606299213" top="0.98425196850393704" bottom="0.98425196850393704" header="0.51181102362204722" footer="0.51181102362204722"/>
  <pageSetup paperSize="9" scale="63" fitToHeight="4" orientation="landscape" horizontalDpi="4294967292" r:id="rId1"/>
  <headerFooter alignWithMargins="0">
    <oddHeader>&amp;L&amp;F &amp;A</oddHeader>
    <oddFooter>&amp;R &amp;P of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AC143"/>
  <sheetViews>
    <sheetView showGridLines="0" zoomScaleNormal="100" workbookViewId="0"/>
  </sheetViews>
  <sheetFormatPr defaultColWidth="9" defaultRowHeight="13.2" x14ac:dyDescent="0.25"/>
  <cols>
    <col min="1" max="1" width="1.77734375" style="40" customWidth="1"/>
    <col min="2" max="2" width="10.44140625" style="40" customWidth="1"/>
    <col min="3" max="3" width="8.21875" style="40" customWidth="1"/>
    <col min="4" max="4" width="13.44140625" style="40" customWidth="1"/>
    <col min="5" max="5" width="13" style="40" customWidth="1"/>
    <col min="6" max="6" width="10.77734375" style="40" customWidth="1"/>
    <col min="7" max="7" width="12.77734375" style="40" customWidth="1"/>
    <col min="8" max="8" width="11" style="40" bestFit="1" customWidth="1" collapsed="1"/>
    <col min="9" max="9" width="6.5546875" style="40" customWidth="1"/>
    <col min="10" max="10" width="8.44140625" style="40" customWidth="1"/>
    <col min="11" max="12" width="12.77734375" style="40" bestFit="1" customWidth="1"/>
    <col min="13" max="13" width="9.21875" style="40" customWidth="1"/>
    <col min="14" max="14" width="11.5546875" style="40" customWidth="1"/>
    <col min="15" max="15" width="14" style="40" bestFit="1" customWidth="1"/>
    <col min="16" max="16" width="10.77734375" style="40" bestFit="1" customWidth="1"/>
    <col min="17" max="16384" width="9" style="40"/>
  </cols>
  <sheetData>
    <row r="1" spans="1:24" s="124" customFormat="1" ht="22.8" x14ac:dyDescent="0.3">
      <c r="A1" s="120" t="s">
        <v>1</v>
      </c>
      <c r="B1" s="120"/>
      <c r="C1" s="121"/>
      <c r="D1" s="121"/>
      <c r="E1" s="121"/>
      <c r="F1" s="121"/>
      <c r="G1" s="121"/>
      <c r="H1" s="121"/>
      <c r="I1" s="121"/>
      <c r="J1" s="121"/>
      <c r="K1" s="121"/>
      <c r="L1" s="121"/>
      <c r="M1" s="121"/>
      <c r="N1" s="121"/>
      <c r="O1" s="122"/>
      <c r="P1" s="123"/>
      <c r="Q1" s="123"/>
      <c r="R1" s="123"/>
      <c r="S1" s="123"/>
      <c r="T1" s="123"/>
      <c r="U1" s="123"/>
      <c r="V1" s="123"/>
      <c r="W1" s="123"/>
    </row>
    <row r="2" spans="1:24" s="124" customFormat="1" ht="12.75" customHeight="1" thickBot="1" x14ac:dyDescent="0.35">
      <c r="A2" s="128" t="s">
        <v>15</v>
      </c>
      <c r="B2" s="125"/>
      <c r="C2" s="126"/>
      <c r="D2" s="126"/>
      <c r="E2" s="126"/>
      <c r="F2" s="126"/>
      <c r="G2" s="126"/>
      <c r="H2" s="126"/>
      <c r="I2" s="126"/>
      <c r="J2" s="126"/>
      <c r="K2" s="126"/>
      <c r="L2" s="126"/>
      <c r="M2" s="126"/>
      <c r="N2" s="126"/>
      <c r="O2" s="127"/>
      <c r="P2" s="123"/>
      <c r="Q2" s="123"/>
      <c r="R2" s="123"/>
      <c r="S2" s="123"/>
      <c r="T2" s="123"/>
      <c r="U2" s="123"/>
      <c r="V2" s="123"/>
      <c r="W2" s="123"/>
    </row>
    <row r="3" spans="1:24" s="110" customFormat="1" ht="12.75" customHeight="1" thickTop="1" x14ac:dyDescent="0.25">
      <c r="A3" s="2"/>
      <c r="B3" s="3"/>
      <c r="C3" s="4"/>
      <c r="D3" s="4"/>
      <c r="E3" s="4"/>
      <c r="F3" s="4"/>
      <c r="G3" s="4"/>
      <c r="H3" s="1"/>
      <c r="I3" s="1"/>
      <c r="J3" s="1"/>
      <c r="K3" s="1"/>
      <c r="L3" s="1"/>
      <c r="M3" s="1"/>
      <c r="N3" s="1"/>
      <c r="O3" s="5"/>
      <c r="P3" s="1"/>
      <c r="Q3" s="1"/>
      <c r="R3" s="1"/>
      <c r="S3" s="1"/>
      <c r="T3" s="1"/>
      <c r="U3" s="1"/>
      <c r="V3" s="1"/>
      <c r="W3" s="1"/>
    </row>
    <row r="4" spans="1:24" ht="13.8" x14ac:dyDescent="0.25">
      <c r="A4" s="111"/>
      <c r="B4" s="112"/>
      <c r="C4" s="112"/>
      <c r="D4" s="112"/>
      <c r="E4" s="112"/>
      <c r="F4" s="112"/>
      <c r="G4" s="112"/>
      <c r="H4" s="112"/>
      <c r="I4" s="112"/>
      <c r="J4" s="112"/>
      <c r="K4" s="113"/>
      <c r="L4" s="113"/>
      <c r="M4" s="113" t="s">
        <v>16</v>
      </c>
      <c r="N4" s="113"/>
      <c r="O4" s="113"/>
      <c r="P4" s="6"/>
      <c r="Q4" s="6"/>
      <c r="R4" s="6"/>
      <c r="S4" s="7"/>
      <c r="T4" s="7"/>
      <c r="U4" s="7"/>
      <c r="V4" s="7"/>
      <c r="W4" s="7"/>
      <c r="X4" s="7"/>
    </row>
    <row r="5" spans="1:24" ht="13.8" x14ac:dyDescent="0.25">
      <c r="A5" s="111"/>
      <c r="B5" s="112"/>
      <c r="C5" s="112"/>
      <c r="D5" s="112"/>
      <c r="E5" s="112"/>
      <c r="F5" s="112"/>
      <c r="G5" s="112"/>
      <c r="H5" s="112"/>
      <c r="I5" s="112"/>
      <c r="J5" s="112"/>
      <c r="K5" s="112" t="s">
        <v>17</v>
      </c>
      <c r="L5" s="113" t="s">
        <v>18</v>
      </c>
      <c r="M5" s="113" t="s">
        <v>19</v>
      </c>
      <c r="N5" s="113" t="s">
        <v>20</v>
      </c>
      <c r="O5" s="113" t="s">
        <v>21</v>
      </c>
      <c r="P5" s="7"/>
      <c r="Q5" s="7"/>
      <c r="R5" s="7"/>
      <c r="S5" s="7"/>
      <c r="T5" s="7"/>
      <c r="U5" s="7"/>
      <c r="V5" s="7"/>
      <c r="W5" s="7"/>
      <c r="X5" s="7"/>
    </row>
    <row r="6" spans="1:24" ht="13.8" x14ac:dyDescent="0.25">
      <c r="A6" s="111"/>
      <c r="B6" s="114" t="s">
        <v>22</v>
      </c>
      <c r="C6" s="114" t="s">
        <v>23</v>
      </c>
      <c r="D6" s="114" t="s">
        <v>24</v>
      </c>
      <c r="E6" s="114" t="s">
        <v>25</v>
      </c>
      <c r="F6" s="114" t="s">
        <v>10</v>
      </c>
      <c r="G6" s="114" t="s">
        <v>26</v>
      </c>
      <c r="H6" s="114" t="s">
        <v>27</v>
      </c>
      <c r="I6" s="114" t="s">
        <v>28</v>
      </c>
      <c r="J6" s="114" t="s">
        <v>29</v>
      </c>
      <c r="K6" s="114" t="s">
        <v>30</v>
      </c>
      <c r="L6" s="113" t="s">
        <v>30</v>
      </c>
      <c r="M6" s="115" t="s">
        <v>31</v>
      </c>
      <c r="N6" s="115" t="s">
        <v>16</v>
      </c>
      <c r="O6" s="116" t="s">
        <v>16</v>
      </c>
      <c r="P6" s="7"/>
      <c r="Q6" s="7"/>
      <c r="R6" s="7"/>
      <c r="S6" s="7"/>
      <c r="T6" s="7"/>
      <c r="U6" s="7"/>
      <c r="V6" s="7"/>
      <c r="W6" s="7"/>
      <c r="X6" s="7"/>
    </row>
    <row r="7" spans="1:24" x14ac:dyDescent="0.25">
      <c r="A7" s="117"/>
      <c r="B7" s="8" t="s">
        <v>32</v>
      </c>
      <c r="C7" s="8" t="str">
        <f t="shared" ref="C7:C21" ca="1" si="0">INDIRECT($B7&amp;"!TargetName")</f>
      </c>
      <c r="D7" s="9">
        <f t="shared" ref="D7:D21" ca="1" si="1">INDIRECT($B7&amp;"!Announce")</f>
      </c>
      <c r="E7" s="9">
        <f t="shared" ref="E7:E21" ca="1" si="2">INDIRECT($B7&amp;"!Complete")</f>
      </c>
      <c r="F7" s="10" t="str">
        <f t="shared" ref="F7:F21" ca="1" si="3">INDIRECT($B7&amp;"!Currency")</f>
      </c>
      <c r="G7" s="11" t="str">
        <f t="shared" ref="G7:G21" ca="1" si="4">INDIRECT($B7&amp;"!OfferPrice")</f>
      </c>
      <c r="H7" s="12" t="str">
        <f t="shared" ref="H7:H21" ca="1" si="5">INDIRECT($B7&amp;"!premium")</f>
      </c>
      <c r="I7" s="12">
        <f t="shared" ref="I7:I21" ca="1" si="6">INDIRECT($B7&amp;"!Cash")</f>
      </c>
      <c r="J7" s="12">
        <f t="shared" ref="J7:J21" ca="1" si="7">INDIRECT($B7&amp;"!Share")</f>
      </c>
      <c r="K7" s="10">
        <f t="shared" ref="K7:K21" ca="1" si="8">INDIRECT($B7&amp;"!EV")</f>
      </c>
      <c r="L7" s="10" t="str">
        <f t="shared" ref="L7:L21" ca="1" si="9">INDIRECT($B7&amp;"!Equity")</f>
      </c>
      <c r="M7" s="13">
        <f t="shared" ref="M7:M21" ca="1" si="10">INDIRECT($B7&amp;"!EBITDAMargin")</f>
      </c>
      <c r="N7" s="14">
        <f t="shared" ref="N7:N21" ca="1" si="11">INDIRECT($B7&amp;"!SalesMultiple")</f>
      </c>
      <c r="O7" s="15">
        <f t="shared" ref="O7:O21" ca="1" si="12">INDIRECT($B7&amp;"!EBITDAMultiple")</f>
      </c>
    </row>
    <row r="8" spans="1:24" x14ac:dyDescent="0.25">
      <c r="A8" s="117"/>
      <c r="B8" s="8" t="s">
        <v>33</v>
      </c>
      <c r="C8" s="8" t="str">
        <f t="shared" ca="1" si="0"/>
      </c>
      <c r="D8" s="9">
        <f t="shared" ca="1" si="1"/>
      </c>
      <c r="E8" s="9">
        <f t="shared" ca="1" si="2"/>
      </c>
      <c r="F8" s="10" t="str">
        <f t="shared" ca="1" si="3"/>
      </c>
      <c r="G8" s="11" t="str">
        <f t="shared" ca="1" si="4"/>
      </c>
      <c r="H8" s="12" t="str">
        <f t="shared" ca="1" si="5"/>
      </c>
      <c r="I8" s="12">
        <f t="shared" ca="1" si="6"/>
      </c>
      <c r="J8" s="12">
        <f t="shared" ca="1" si="7"/>
      </c>
      <c r="K8" s="10">
        <f t="shared" ca="1" si="8"/>
      </c>
      <c r="L8" s="10" t="str">
        <f t="shared" ca="1" si="9"/>
      </c>
      <c r="M8" s="13">
        <f t="shared" ca="1" si="10"/>
      </c>
      <c r="N8" s="14">
        <f t="shared" ca="1" si="11"/>
      </c>
      <c r="O8" s="15">
        <f t="shared" ca="1" si="12"/>
      </c>
    </row>
    <row r="9" spans="1:24" x14ac:dyDescent="0.25">
      <c r="A9" s="117"/>
      <c r="B9" s="8" t="s">
        <v>34</v>
      </c>
      <c r="C9" s="8" t="str">
        <f t="shared" ca="1" si="0"/>
      </c>
      <c r="D9" s="9">
        <f t="shared" ca="1" si="1"/>
      </c>
      <c r="E9" s="9">
        <f t="shared" ca="1" si="2"/>
      </c>
      <c r="F9" s="10" t="str">
        <f t="shared" ca="1" si="3"/>
      </c>
      <c r="G9" s="11" t="str">
        <f t="shared" ca="1" si="4"/>
      </c>
      <c r="H9" s="12" t="str">
        <f t="shared" ca="1" si="5"/>
      </c>
      <c r="I9" s="12">
        <f t="shared" ca="1" si="6"/>
      </c>
      <c r="J9" s="12">
        <f t="shared" ca="1" si="7"/>
      </c>
      <c r="K9" s="10">
        <f t="shared" ca="1" si="8"/>
      </c>
      <c r="L9" s="10" t="str">
        <f t="shared" ca="1" si="9"/>
      </c>
      <c r="M9" s="13">
        <f t="shared" ca="1" si="10"/>
      </c>
      <c r="N9" s="14">
        <f t="shared" ca="1" si="11"/>
      </c>
      <c r="O9" s="15">
        <f t="shared" ca="1" si="12"/>
      </c>
    </row>
    <row r="10" spans="1:24" x14ac:dyDescent="0.25">
      <c r="A10" s="117"/>
      <c r="B10" s="8" t="s">
        <v>35</v>
      </c>
      <c r="C10" s="8" t="str">
        <f t="shared" ca="1" si="0"/>
      </c>
      <c r="D10" s="9">
        <f t="shared" ca="1" si="1"/>
      </c>
      <c r="E10" s="9">
        <f t="shared" ca="1" si="2"/>
      </c>
      <c r="F10" s="10" t="str">
        <f t="shared" ca="1" si="3"/>
      </c>
      <c r="G10" s="11" t="str">
        <f t="shared" ca="1" si="4"/>
      </c>
      <c r="H10" s="12" t="str">
        <f t="shared" ca="1" si="5"/>
      </c>
      <c r="I10" s="12">
        <f t="shared" ca="1" si="6"/>
      </c>
      <c r="J10" s="12">
        <f t="shared" ca="1" si="7"/>
      </c>
      <c r="K10" s="10">
        <f t="shared" ca="1" si="8"/>
      </c>
      <c r="L10" s="10" t="str">
        <f t="shared" ca="1" si="9"/>
      </c>
      <c r="M10" s="13">
        <f t="shared" ca="1" si="10"/>
      </c>
      <c r="N10" s="14">
        <f t="shared" ca="1" si="11"/>
      </c>
      <c r="O10" s="15">
        <f t="shared" ca="1" si="12"/>
      </c>
    </row>
    <row r="11" spans="1:24" x14ac:dyDescent="0.25">
      <c r="A11" s="117"/>
      <c r="B11" s="8" t="s">
        <v>36</v>
      </c>
      <c r="C11" s="8" t="str">
        <f t="shared" ca="1" si="0"/>
      </c>
      <c r="D11" s="9">
        <f t="shared" ca="1" si="1"/>
      </c>
      <c r="E11" s="9">
        <f t="shared" ca="1" si="2"/>
      </c>
      <c r="F11" s="10" t="str">
        <f t="shared" ca="1" si="3"/>
      </c>
      <c r="G11" s="11">
        <f t="shared" ca="1" si="4"/>
      </c>
      <c r="H11" s="12">
        <f t="shared" ca="1" si="5"/>
      </c>
      <c r="I11" s="12">
        <f t="shared" ca="1" si="6"/>
      </c>
      <c r="J11" s="12">
        <f t="shared" ca="1" si="7"/>
      </c>
      <c r="K11" s="10">
        <f t="shared" ca="1" si="8"/>
      </c>
      <c r="L11" s="10">
        <f t="shared" ca="1" si="9"/>
      </c>
      <c r="M11" s="13">
        <f t="shared" ca="1" si="10"/>
      </c>
      <c r="N11" s="14">
        <f t="shared" ca="1" si="11"/>
      </c>
      <c r="O11" s="15">
        <f t="shared" ca="1" si="12"/>
      </c>
    </row>
    <row r="12" spans="1:24" x14ac:dyDescent="0.25">
      <c r="A12" s="117"/>
      <c r="B12" s="8" t="s">
        <v>37</v>
      </c>
      <c r="C12" s="8" t="str">
        <f t="shared" ca="1" si="0"/>
      </c>
      <c r="D12" s="9">
        <f t="shared" ca="1" si="1"/>
      </c>
      <c r="E12" s="9">
        <f t="shared" ca="1" si="2"/>
      </c>
      <c r="F12" s="10" t="str">
        <f t="shared" ca="1" si="3"/>
      </c>
      <c r="G12" s="11">
        <f t="shared" ca="1" si="4"/>
      </c>
      <c r="H12" s="12">
        <f t="shared" ca="1" si="5"/>
      </c>
      <c r="I12" s="12">
        <f t="shared" ca="1" si="6"/>
      </c>
      <c r="J12" s="12">
        <f t="shared" ca="1" si="7"/>
      </c>
      <c r="K12" s="10">
        <f t="shared" ca="1" si="8"/>
      </c>
      <c r="L12" s="10">
        <f t="shared" ca="1" si="9"/>
      </c>
      <c r="M12" s="13">
        <f t="shared" ca="1" si="10"/>
      </c>
      <c r="N12" s="14">
        <f t="shared" ca="1" si="11"/>
      </c>
      <c r="O12" s="15">
        <f t="shared" ca="1" si="12"/>
      </c>
    </row>
    <row r="13" spans="1:24" x14ac:dyDescent="0.25">
      <c r="A13" s="117"/>
      <c r="B13" s="8" t="s">
        <v>38</v>
      </c>
      <c r="C13" s="8" t="str">
        <f t="shared" ca="1" si="0"/>
      </c>
      <c r="D13" s="9">
        <f t="shared" ca="1" si="1"/>
      </c>
      <c r="E13" s="9">
        <f t="shared" ca="1" si="2"/>
      </c>
      <c r="F13" s="10" t="str">
        <f t="shared" ca="1" si="3"/>
      </c>
      <c r="G13" s="11">
        <f t="shared" ca="1" si="4"/>
      </c>
      <c r="H13" s="12">
        <f t="shared" ca="1" si="5"/>
      </c>
      <c r="I13" s="12">
        <f t="shared" ca="1" si="6"/>
      </c>
      <c r="J13" s="12">
        <f t="shared" ca="1" si="7"/>
      </c>
      <c r="K13" s="10">
        <f t="shared" ca="1" si="8"/>
      </c>
      <c r="L13" s="10">
        <f t="shared" ca="1" si="9"/>
      </c>
      <c r="M13" s="13">
        <f t="shared" ca="1" si="10"/>
      </c>
      <c r="N13" s="14">
        <f t="shared" ca="1" si="11"/>
      </c>
      <c r="O13" s="15">
        <f t="shared" ca="1" si="12"/>
      </c>
    </row>
    <row r="14" spans="1:24" x14ac:dyDescent="0.25">
      <c r="A14" s="117"/>
      <c r="B14" s="8" t="s">
        <v>39</v>
      </c>
      <c r="C14" s="8" t="str">
        <f t="shared" ca="1" si="0"/>
      </c>
      <c r="D14" s="9">
        <f t="shared" ca="1" si="1"/>
      </c>
      <c r="E14" s="9">
        <f t="shared" ca="1" si="2"/>
      </c>
      <c r="F14" s="10" t="str">
        <f t="shared" ca="1" si="3"/>
      </c>
      <c r="G14" s="11" t="str">
        <f t="shared" ca="1" si="4"/>
      </c>
      <c r="H14" s="12" t="str">
        <f t="shared" ca="1" si="5"/>
      </c>
      <c r="I14" s="12">
        <f t="shared" ca="1" si="6"/>
      </c>
      <c r="J14" s="12">
        <f t="shared" ca="1" si="7"/>
      </c>
      <c r="K14" s="10">
        <f t="shared" ca="1" si="8"/>
      </c>
      <c r="L14" s="10" t="str">
        <f t="shared" ca="1" si="9"/>
      </c>
      <c r="M14" s="13">
        <f t="shared" ca="1" si="10"/>
      </c>
      <c r="N14" s="14">
        <f t="shared" ca="1" si="11"/>
      </c>
      <c r="O14" s="15">
        <f t="shared" ca="1" si="12"/>
      </c>
    </row>
    <row r="15" spans="1:24" x14ac:dyDescent="0.25">
      <c r="A15" s="117"/>
      <c r="B15" s="8" t="s">
        <v>40</v>
      </c>
      <c r="C15" s="8" t="str">
        <f t="shared" ca="1" si="0"/>
      </c>
      <c r="D15" s="9">
        <f t="shared" ca="1" si="1"/>
      </c>
      <c r="E15" s="9">
        <f t="shared" ca="1" si="2"/>
      </c>
      <c r="F15" s="10" t="str">
        <f t="shared" ca="1" si="3"/>
      </c>
      <c r="G15" s="11" t="str">
        <f t="shared" ca="1" si="4"/>
      </c>
      <c r="H15" s="12" t="str">
        <f t="shared" ca="1" si="5"/>
      </c>
      <c r="I15" s="12">
        <f t="shared" ca="1" si="6"/>
      </c>
      <c r="J15" s="12">
        <f t="shared" ca="1" si="7"/>
      </c>
      <c r="K15" s="10">
        <f t="shared" ca="1" si="8"/>
      </c>
      <c r="L15" s="10" t="str">
        <f t="shared" ca="1" si="9"/>
      </c>
      <c r="M15" s="13">
        <f t="shared" ca="1" si="10"/>
      </c>
      <c r="N15" s="14">
        <f t="shared" ca="1" si="11"/>
      </c>
      <c r="O15" s="15">
        <f t="shared" ca="1" si="12"/>
      </c>
    </row>
    <row r="16" spans="1:24" x14ac:dyDescent="0.25">
      <c r="A16" s="117"/>
      <c r="B16" s="8" t="s">
        <v>41</v>
      </c>
      <c r="C16" s="8" t="str">
        <f t="shared" ca="1" si="0"/>
      </c>
      <c r="D16" s="9">
        <f t="shared" ca="1" si="1"/>
      </c>
      <c r="E16" s="9">
        <f t="shared" ca="1" si="2"/>
      </c>
      <c r="F16" s="10" t="str">
        <f t="shared" ca="1" si="3"/>
      </c>
      <c r="G16" s="11" t="str">
        <f t="shared" ca="1" si="4"/>
      </c>
      <c r="H16" s="12" t="str">
        <f t="shared" ca="1" si="5"/>
      </c>
      <c r="I16" s="12">
        <f t="shared" ca="1" si="6"/>
      </c>
      <c r="J16" s="12">
        <f t="shared" ca="1" si="7"/>
      </c>
      <c r="K16" s="10">
        <f t="shared" ca="1" si="8"/>
      </c>
      <c r="L16" s="10" t="str">
        <f t="shared" ca="1" si="9"/>
      </c>
      <c r="M16" s="13">
        <f t="shared" ca="1" si="10"/>
      </c>
      <c r="N16" s="14">
        <f t="shared" ca="1" si="11"/>
      </c>
      <c r="O16" s="15">
        <f t="shared" ca="1" si="12"/>
      </c>
    </row>
    <row r="17" spans="1:17" x14ac:dyDescent="0.25">
      <c r="A17" s="41"/>
      <c r="B17" s="8" t="s">
        <v>42</v>
      </c>
      <c r="C17" s="8" t="str">
        <f t="shared" ca="1" si="0"/>
      </c>
      <c r="D17" s="16">
        <f t="shared" ca="1" si="1"/>
      </c>
      <c r="E17" s="9">
        <f t="shared" ca="1" si="2"/>
      </c>
      <c r="F17" s="10" t="str">
        <f t="shared" ca="1" si="3"/>
      </c>
      <c r="G17" s="11">
        <f t="shared" ca="1" si="4"/>
      </c>
      <c r="H17" s="12">
        <f t="shared" ca="1" si="5"/>
      </c>
      <c r="I17" s="12">
        <f t="shared" ca="1" si="6"/>
      </c>
      <c r="J17" s="12">
        <f t="shared" ca="1" si="7"/>
      </c>
      <c r="K17" s="10">
        <f t="shared" ca="1" si="8"/>
      </c>
      <c r="L17" s="10">
        <f t="shared" ca="1" si="9"/>
      </c>
      <c r="M17" s="13">
        <f t="shared" ca="1" si="10"/>
      </c>
      <c r="N17" s="14">
        <f t="shared" ca="1" si="11"/>
      </c>
      <c r="O17" s="15">
        <f t="shared" ca="1" si="12"/>
      </c>
    </row>
    <row r="18" spans="1:17" x14ac:dyDescent="0.25">
      <c r="A18" s="41"/>
      <c r="B18" s="8" t="s">
        <v>43</v>
      </c>
      <c r="C18" s="8" t="str">
        <f t="shared" ca="1" si="0"/>
      </c>
      <c r="D18" s="9">
        <f t="shared" ca="1" si="1"/>
      </c>
      <c r="E18" s="9">
        <f t="shared" ca="1" si="2"/>
      </c>
      <c r="F18" s="10" t="str">
        <f t="shared" ca="1" si="3"/>
      </c>
      <c r="G18" s="11">
        <f t="shared" ca="1" si="4"/>
      </c>
      <c r="H18" s="12">
        <f t="shared" ca="1" si="5"/>
      </c>
      <c r="I18" s="12">
        <f t="shared" ca="1" si="6"/>
      </c>
      <c r="J18" s="12">
        <f t="shared" ca="1" si="7"/>
      </c>
      <c r="K18" s="10">
        <f t="shared" ca="1" si="8"/>
      </c>
      <c r="L18" s="10">
        <f t="shared" ca="1" si="9"/>
      </c>
      <c r="M18" s="13">
        <f t="shared" ca="1" si="10"/>
      </c>
      <c r="N18" s="14">
        <f t="shared" ca="1" si="11"/>
      </c>
      <c r="O18" s="15">
        <f t="shared" ca="1" si="12"/>
      </c>
    </row>
    <row r="19" spans="1:17" x14ac:dyDescent="0.25">
      <c r="A19" s="41"/>
      <c r="B19" s="8" t="s">
        <v>44</v>
      </c>
      <c r="C19" s="8" t="str">
        <f t="shared" ca="1" si="0"/>
      </c>
      <c r="D19" s="9">
        <f t="shared" ca="1" si="1"/>
      </c>
      <c r="E19" s="9">
        <f t="shared" ca="1" si="2"/>
      </c>
      <c r="F19" s="10" t="str">
        <f t="shared" ca="1" si="3"/>
      </c>
      <c r="G19" s="11">
        <f t="shared" ca="1" si="4"/>
      </c>
      <c r="H19" s="12">
        <f t="shared" ca="1" si="5"/>
      </c>
      <c r="I19" s="12">
        <f t="shared" ca="1" si="6"/>
      </c>
      <c r="J19" s="12">
        <f t="shared" ca="1" si="7"/>
      </c>
      <c r="K19" s="10">
        <f t="shared" ca="1" si="8"/>
      </c>
      <c r="L19" s="10">
        <f t="shared" ca="1" si="9"/>
      </c>
      <c r="M19" s="13">
        <f t="shared" ca="1" si="10"/>
      </c>
      <c r="N19" s="14">
        <f t="shared" ca="1" si="11"/>
      </c>
      <c r="O19" s="15">
        <f t="shared" ca="1" si="12"/>
      </c>
    </row>
    <row r="20" spans="1:17" x14ac:dyDescent="0.25">
      <c r="A20" s="41"/>
      <c r="B20" s="8" t="s">
        <v>45</v>
      </c>
      <c r="C20" s="8" t="str">
        <f t="shared" ca="1" si="0"/>
      </c>
      <c r="D20" s="9">
        <f t="shared" ca="1" si="1"/>
      </c>
      <c r="E20" s="9">
        <f t="shared" ca="1" si="2"/>
      </c>
      <c r="F20" s="10" t="str">
        <f t="shared" ca="1" si="3"/>
      </c>
      <c r="G20" s="11">
        <f t="shared" ca="1" si="4"/>
      </c>
      <c r="H20" s="12">
        <f t="shared" ca="1" si="5"/>
      </c>
      <c r="I20" s="12">
        <f t="shared" ca="1" si="6"/>
      </c>
      <c r="J20" s="12">
        <f t="shared" ca="1" si="7"/>
      </c>
      <c r="K20" s="10">
        <f t="shared" ca="1" si="8"/>
      </c>
      <c r="L20" s="10">
        <f t="shared" ca="1" si="9"/>
      </c>
      <c r="M20" s="13">
        <f t="shared" ca="1" si="10"/>
      </c>
      <c r="N20" s="14">
        <f t="shared" ca="1" si="11"/>
      </c>
      <c r="O20" s="15">
        <f t="shared" ca="1" si="12"/>
      </c>
    </row>
    <row r="21" spans="1:17" x14ac:dyDescent="0.25">
      <c r="A21" s="41"/>
      <c r="B21" s="8" t="s">
        <v>46</v>
      </c>
      <c r="C21" s="8" t="str">
        <f t="shared" ca="1" si="0"/>
      </c>
      <c r="D21" s="9">
        <f t="shared" ca="1" si="1"/>
      </c>
      <c r="E21" s="9">
        <f t="shared" ca="1" si="2"/>
      </c>
      <c r="F21" s="10" t="str">
        <f t="shared" ca="1" si="3"/>
      </c>
      <c r="G21" s="11">
        <f t="shared" ca="1" si="4"/>
      </c>
      <c r="H21" s="12">
        <f t="shared" ca="1" si="5"/>
      </c>
      <c r="I21" s="12">
        <f t="shared" ca="1" si="6"/>
      </c>
      <c r="J21" s="12">
        <f t="shared" ca="1" si="7"/>
      </c>
      <c r="K21" s="10">
        <f t="shared" ca="1" si="8"/>
      </c>
      <c r="L21" s="10">
        <f t="shared" ca="1" si="9"/>
      </c>
      <c r="M21" s="13">
        <f t="shared" ca="1" si="10"/>
      </c>
      <c r="N21" s="14">
        <f t="shared" ca="1" si="11"/>
      </c>
      <c r="O21" s="15">
        <f t="shared" ca="1" si="12"/>
      </c>
    </row>
    <row r="22" spans="1:17" x14ac:dyDescent="0.25">
      <c r="A22" s="118"/>
      <c r="B22" s="17"/>
      <c r="C22" s="17"/>
      <c r="D22" s="17"/>
      <c r="E22" s="17"/>
      <c r="F22" s="17"/>
      <c r="G22" s="17"/>
      <c r="H22" s="17"/>
      <c r="I22" s="17"/>
      <c r="J22" s="17"/>
      <c r="K22" s="17"/>
      <c r="L22" s="17"/>
      <c r="M22" s="18"/>
      <c r="N22" s="18"/>
      <c r="O22" s="18"/>
      <c r="P22" s="119"/>
    </row>
    <row r="23" spans="1:17" x14ac:dyDescent="0.25">
      <c r="B23" s="7"/>
      <c r="C23" s="7"/>
      <c r="D23" s="7"/>
      <c r="E23" s="7"/>
      <c r="F23" s="7"/>
      <c r="G23" s="7"/>
      <c r="H23" s="7"/>
      <c r="I23" s="7"/>
      <c r="J23" s="7"/>
      <c r="K23" s="19" t="s">
        <v>47</v>
      </c>
      <c r="L23" s="20"/>
      <c r="M23" s="21">
        <f ca="1">MAX(M7:M21)</f>
      </c>
      <c r="N23" s="22">
        <f ca="1">MAX(N7:N21)</f>
      </c>
      <c r="O23" s="23">
        <f ca="1">MAX(O7:O21)</f>
      </c>
      <c r="P23" s="119"/>
      <c r="Q23" s="119"/>
    </row>
    <row r="24" spans="1:17" x14ac:dyDescent="0.25">
      <c r="B24" s="7"/>
      <c r="C24" s="7"/>
      <c r="D24" s="7"/>
      <c r="E24" s="7"/>
      <c r="F24" s="7"/>
      <c r="G24" s="7"/>
      <c r="H24" s="7"/>
      <c r="I24" s="7"/>
      <c r="J24" s="7"/>
      <c r="K24" s="24" t="s">
        <v>48</v>
      </c>
      <c r="L24" s="25"/>
      <c r="M24" s="26">
        <f ca="1">AVERAGE(M7:M21)</f>
      </c>
      <c r="N24" s="27">
        <f ca="1">AVERAGE(N7:N21)</f>
      </c>
      <c r="O24" s="28">
        <f ca="1">AVERAGE(O7:O21)</f>
      </c>
    </row>
    <row r="25" spans="1:17" x14ac:dyDescent="0.25">
      <c r="B25" s="7"/>
      <c r="C25" s="7"/>
      <c r="D25" s="7"/>
      <c r="E25" s="7"/>
      <c r="F25" s="7"/>
      <c r="G25" s="7"/>
      <c r="H25" s="7"/>
      <c r="I25" s="7"/>
      <c r="J25" s="7"/>
      <c r="K25" s="24" t="s">
        <v>49</v>
      </c>
      <c r="L25" s="25"/>
      <c r="M25" s="26">
        <f ca="1">MEDIAN(M7:M21)</f>
      </c>
      <c r="N25" s="27">
        <f ca="1">MEDIAN(N7:N21)</f>
      </c>
      <c r="O25" s="28">
        <f ca="1">MEDIAN(O7:O21)</f>
      </c>
    </row>
    <row r="26" spans="1:17" x14ac:dyDescent="0.25">
      <c r="B26" s="7"/>
      <c r="C26" s="7"/>
      <c r="D26" s="7"/>
      <c r="E26" s="7"/>
      <c r="F26" s="7"/>
      <c r="G26" s="7"/>
      <c r="H26" s="7"/>
      <c r="I26" s="7"/>
      <c r="J26" s="7"/>
      <c r="K26" s="29" t="s">
        <v>50</v>
      </c>
      <c r="L26" s="30"/>
      <c r="M26" s="31">
        <f ca="1">MIN(M7:M21)</f>
      </c>
      <c r="N26" s="32">
        <f ca="1">MIN(N7:N21)</f>
      </c>
      <c r="O26" s="33">
        <f ca="1">MIN(O7:O21)</f>
      </c>
    </row>
    <row r="33" spans="17:29" x14ac:dyDescent="0.25">
      <c r="Q33" s="119"/>
      <c r="Z33" s="119" t="s">
        <v>51</v>
      </c>
      <c r="AA33" s="119" t="s">
        <v>52</v>
      </c>
      <c r="AB33" s="119" t="s">
        <v>52</v>
      </c>
    </row>
    <row r="34" spans="17:29" s="7" customFormat="1" ht="10.199999999999999" x14ac:dyDescent="0.2">
      <c r="Q34" s="34"/>
      <c r="Z34" s="34" t="s">
        <v>53</v>
      </c>
      <c r="AA34" s="34" t="s">
        <v>54</v>
      </c>
      <c r="AB34" s="34" t="s">
        <v>55</v>
      </c>
      <c r="AC34" s="34" t="s">
        <v>56</v>
      </c>
    </row>
    <row r="141" spans="2:15" x14ac:dyDescent="0.25">
      <c r="L141" s="119"/>
      <c r="M141" s="119" t="s">
        <v>57</v>
      </c>
      <c r="N141" s="119"/>
      <c r="O141" s="119"/>
    </row>
    <row r="142" spans="2:15" x14ac:dyDescent="0.25">
      <c r="B142" s="7" t="s">
        <v>58</v>
      </c>
      <c r="C142" s="34" t="s">
        <v>59</v>
      </c>
      <c r="D142" s="34" t="s">
        <v>60</v>
      </c>
      <c r="E142" s="34" t="s">
        <v>61</v>
      </c>
      <c r="F142" s="34" t="s">
        <v>62</v>
      </c>
      <c r="G142" s="34" t="s">
        <v>63</v>
      </c>
      <c r="H142" s="34" t="s">
        <v>64</v>
      </c>
      <c r="I142" s="34" t="s">
        <v>65</v>
      </c>
      <c r="J142" s="34" t="s">
        <v>66</v>
      </c>
      <c r="K142" s="34" t="s">
        <v>67</v>
      </c>
      <c r="L142" s="34" t="s">
        <v>68</v>
      </c>
      <c r="M142" s="34" t="s">
        <v>69</v>
      </c>
      <c r="N142" s="34" t="s">
        <v>69</v>
      </c>
      <c r="O142" s="119" t="s">
        <v>57</v>
      </c>
    </row>
    <row r="143" spans="2:15" x14ac:dyDescent="0.25">
      <c r="C143" s="34" t="s">
        <v>70</v>
      </c>
      <c r="N143" s="40" t="s">
        <v>71</v>
      </c>
      <c r="O143" s="40" t="s">
        <v>71</v>
      </c>
    </row>
  </sheetData>
  <pageMargins left="0.74803149606299213" right="0.74803149606299213" top="0.98425196850393704" bottom="0.98425196850393704" header="0.51181102362204722" footer="0.51181102362204722"/>
  <pageSetup paperSize="9" scale="32" orientation="portrait" r:id="rId1"/>
  <headerFooter alignWithMargins="0">
    <oddFooter>&amp;R&amp;8&amp;P of &amp;N</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X80"/>
  <sheetViews>
    <sheetView showGridLines="0" zoomScaleNormal="100" workbookViewId="0"/>
  </sheetViews>
  <sheetFormatPr defaultColWidth="9" defaultRowHeight="13.2" x14ac:dyDescent="0.25"/>
  <cols>
    <col min="1" max="2" width="1.77734375" style="40" customWidth="1"/>
    <col min="3" max="3" width="40.77734375" style="40" customWidth="1"/>
    <col min="4" max="4" width="12.44140625" style="40" customWidth="1"/>
    <col min="5" max="7" width="11.21875" style="40" customWidth="1"/>
    <col min="8" max="8" width="19.21875" style="40" customWidth="1"/>
    <col min="9" max="9" width="15.77734375" style="40" bestFit="1" customWidth="1"/>
    <col min="10" max="11" width="11.5546875" style="40" bestFit="1" customWidth="1"/>
    <col min="12" max="13" width="9" style="40"/>
    <col min="14" max="14" width="19.44140625" style="40" customWidth="1"/>
    <col min="15" max="15" width="11.21875" style="40" bestFit="1" customWidth="1"/>
    <col min="16" max="16" width="9.5546875" style="40" bestFit="1" customWidth="1"/>
    <col min="17" max="19" width="9.21875" style="40" bestFit="1" customWidth="1"/>
    <col min="20" max="20" width="11.21875" style="40" bestFit="1" customWidth="1"/>
    <col min="21" max="21" width="9.5546875" style="40" bestFit="1" customWidth="1"/>
    <col min="22" max="22" width="14.44140625" style="40" bestFit="1" customWidth="1"/>
    <col min="23" max="24" width="14.77734375" style="40" bestFit="1" customWidth="1"/>
    <col min="25" max="16384" width="9" style="40"/>
  </cols>
  <sheetData>
    <row r="1" spans="1:14" s="151" customFormat="1" ht="17.399999999999999" x14ac:dyDescent="0.3">
      <c r="A1" s="120" t="str">
        <f>"Comparable transactions analysis - "&amp;D23&amp;" / "&amp;D24</f>
      </c>
      <c r="B1" s="120"/>
      <c r="C1" s="121"/>
      <c r="D1" s="121"/>
      <c r="E1" s="121"/>
      <c r="F1" s="121"/>
      <c r="G1" s="121"/>
      <c r="H1" s="121"/>
      <c r="I1" s="121"/>
      <c r="J1" s="121"/>
      <c r="K1" s="121"/>
      <c r="L1" s="121"/>
      <c r="M1" s="122"/>
      <c r="N1" s="122"/>
    </row>
    <row r="2" spans="1:14" s="151" customFormat="1" ht="18" thickBot="1" x14ac:dyDescent="0.35">
      <c r="A2" s="128" t="str">
        <f>"Input sheet (all numbers in millions "&amp;D27&amp;" unless otherwise stated)"</f>
      </c>
      <c r="B2" s="127"/>
      <c r="C2" s="127"/>
      <c r="D2" s="127"/>
      <c r="E2" s="127"/>
      <c r="F2" s="127"/>
      <c r="G2" s="127"/>
      <c r="H2" s="127"/>
      <c r="I2" s="127"/>
      <c r="J2" s="127"/>
      <c r="K2" s="127"/>
      <c r="L2" s="127"/>
      <c r="M2" s="127"/>
      <c r="N2" s="152"/>
    </row>
    <row r="3" spans="1:14" ht="13.8" thickTop="1" x14ac:dyDescent="0.25">
      <c r="B3" s="41"/>
    </row>
    <row r="4" spans="1:14" ht="17.399999999999999" x14ac:dyDescent="0.25">
      <c r="A4" s="129" t="s">
        <v>72</v>
      </c>
      <c r="B4" s="129"/>
      <c r="C4" s="130"/>
    </row>
    <row r="5" spans="1:14" ht="13.8" x14ac:dyDescent="0.25">
      <c r="B5" s="131" t="s">
        <v>73</v>
      </c>
      <c r="C5" s="41"/>
    </row>
    <row r="6" spans="1:14" ht="13.8" x14ac:dyDescent="0.25">
      <c r="B6" s="131"/>
      <c r="C6" s="41" t="str">
        <f>F25</f>
      </c>
      <c r="D6" s="37">
        <f>IF(Driver="Enterprise value","na",I25)</f>
      </c>
    </row>
    <row r="7" spans="1:14" ht="13.8" x14ac:dyDescent="0.25">
      <c r="B7" s="131"/>
      <c r="C7" s="41" t="s">
        <v>27</v>
      </c>
      <c r="D7" s="38">
        <f>IF(OR(Driver="Enterprise Value",I25=0),"na",I25/I27-1)</f>
      </c>
    </row>
    <row r="8" spans="1:14" ht="13.8" x14ac:dyDescent="0.25">
      <c r="B8" s="132"/>
      <c r="C8" s="133" t="str">
        <f>C41</f>
      </c>
      <c r="D8" s="39">
        <f>IF(Driver="Enterprise value","na",I33*FX)</f>
      </c>
      <c r="E8" s="41"/>
      <c r="F8" s="134"/>
    </row>
    <row r="9" spans="1:14" ht="13.8" x14ac:dyDescent="0.25">
      <c r="B9" s="132"/>
      <c r="C9" s="133" t="str">
        <f>C50</f>
      </c>
      <c r="D9" s="135">
        <f>D50*FX</f>
      </c>
    </row>
    <row r="10" spans="1:14" ht="13.8" x14ac:dyDescent="0.25">
      <c r="B10" s="132"/>
      <c r="C10" s="133"/>
    </row>
    <row r="11" spans="1:14" ht="13.8" x14ac:dyDescent="0.25">
      <c r="B11" s="131" t="s">
        <v>74</v>
      </c>
      <c r="C11" s="133"/>
      <c r="D11" s="136" t="s">
        <v>16</v>
      </c>
      <c r="E11" s="136" t="s">
        <v>75</v>
      </c>
    </row>
    <row r="12" spans="1:14" ht="13.8" x14ac:dyDescent="0.25">
      <c r="B12" s="132"/>
      <c r="C12" s="41" t="s">
        <v>76</v>
      </c>
      <c r="D12" s="42">
        <f>G65*FX</f>
      </c>
      <c r="E12" s="137" t="s">
        <v>77</v>
      </c>
    </row>
    <row r="13" spans="1:14" ht="13.8" x14ac:dyDescent="0.25">
      <c r="B13" s="132"/>
      <c r="C13" s="43" t="s">
        <v>78</v>
      </c>
      <c r="D13" s="42">
        <f>G76*FX</f>
      </c>
      <c r="E13" s="138">
        <f>D13/D12</f>
      </c>
    </row>
    <row r="14" spans="1:14" ht="13.8" x14ac:dyDescent="0.25">
      <c r="B14" s="132"/>
      <c r="C14" s="43" t="s">
        <v>19</v>
      </c>
      <c r="D14" s="42">
        <f>G79*FX</f>
      </c>
      <c r="E14" s="138">
        <f>D14/D12</f>
      </c>
    </row>
    <row r="15" spans="1:14" ht="13.8" x14ac:dyDescent="0.25">
      <c r="B15" s="139"/>
      <c r="D15" s="140"/>
    </row>
    <row r="16" spans="1:14" ht="13.8" x14ac:dyDescent="0.25">
      <c r="B16" s="131" t="s">
        <v>79</v>
      </c>
    </row>
    <row r="17" spans="1:24" x14ac:dyDescent="0.25">
      <c r="C17" s="40" t="s">
        <v>80</v>
      </c>
      <c r="D17" s="44">
        <f>$D$9/D12</f>
      </c>
    </row>
    <row r="18" spans="1:24" x14ac:dyDescent="0.25">
      <c r="C18" s="40" t="s">
        <v>81</v>
      </c>
      <c r="D18" s="44">
        <f>$D$9/D13</f>
      </c>
    </row>
    <row r="19" spans="1:24" x14ac:dyDescent="0.25">
      <c r="C19" s="40" t="s">
        <v>21</v>
      </c>
      <c r="D19" s="44">
        <f>$D$9/D14</f>
      </c>
    </row>
    <row r="20" spans="1:24" x14ac:dyDescent="0.25">
      <c r="D20" s="140"/>
    </row>
    <row r="21" spans="1:24" ht="17.399999999999999" x14ac:dyDescent="0.25">
      <c r="A21" s="129" t="s">
        <v>82</v>
      </c>
      <c r="B21" s="129"/>
      <c r="C21" s="130"/>
      <c r="I21" s="141"/>
    </row>
    <row r="22" spans="1:24" ht="13.8" x14ac:dyDescent="0.25">
      <c r="A22" s="36"/>
      <c r="B22" s="131" t="s">
        <v>83</v>
      </c>
      <c r="C22" s="41"/>
      <c r="D22" s="41"/>
      <c r="F22" s="131" t="s">
        <v>84</v>
      </c>
    </row>
    <row r="23" spans="1:24" ht="13.8" x14ac:dyDescent="0.25">
      <c r="B23" s="132"/>
      <c r="C23" s="41" t="s">
        <v>85</v>
      </c>
      <c r="D23" s="45" t="s">
        <v>46</v>
      </c>
      <c r="E23" s="41"/>
      <c r="F23" s="40" t="s">
        <v>86</v>
      </c>
      <c r="I23" s="45" t="s">
        <v>87</v>
      </c>
    </row>
    <row r="24" spans="1:24" ht="13.8" x14ac:dyDescent="0.25">
      <c r="B24" s="132"/>
      <c r="C24" s="41" t="s">
        <v>88</v>
      </c>
      <c r="D24" s="45" t="s">
        <v>89</v>
      </c>
      <c r="E24" s="41"/>
      <c r="F24" s="36" t="s">
        <v>90</v>
      </c>
    </row>
    <row r="25" spans="1:24" ht="13.8" x14ac:dyDescent="0.25">
      <c r="B25" s="132"/>
      <c r="C25" s="41" t="s">
        <v>91</v>
      </c>
      <c r="D25" s="46">
        <v>43087</v>
      </c>
      <c r="E25" s="41"/>
      <c r="F25" s="41" t="s">
        <v>92</v>
      </c>
      <c r="I25" s="47">
        <v>50</v>
      </c>
      <c r="K25" s="142"/>
    </row>
    <row r="26" spans="1:24" ht="13.8" x14ac:dyDescent="0.25">
      <c r="B26" s="132"/>
      <c r="C26" s="133" t="s">
        <v>93</v>
      </c>
      <c r="D26" s="48">
        <v>43185</v>
      </c>
      <c r="E26" s="41"/>
      <c r="F26" s="133" t="s">
        <v>94</v>
      </c>
      <c r="I26" s="47">
        <v>46.79</v>
      </c>
      <c r="W26" s="49"/>
      <c r="X26" s="49"/>
    </row>
    <row r="27" spans="1:24" ht="13.8" x14ac:dyDescent="0.25">
      <c r="B27" s="132"/>
      <c r="C27" s="133" t="s">
        <v>10</v>
      </c>
      <c r="D27" s="50" t="s">
        <v>11</v>
      </c>
      <c r="E27" s="41"/>
      <c r="F27" s="133" t="s">
        <v>95</v>
      </c>
      <c r="I27" s="47">
        <v>38.44</v>
      </c>
      <c r="W27" s="49"/>
      <c r="X27" s="49"/>
    </row>
    <row r="28" spans="1:24" ht="13.8" x14ac:dyDescent="0.25">
      <c r="B28" s="132"/>
      <c r="C28" s="133" t="s">
        <v>96</v>
      </c>
      <c r="D28" s="51">
        <v>1</v>
      </c>
      <c r="E28" s="41"/>
      <c r="F28" s="133" t="s">
        <v>97</v>
      </c>
      <c r="I28" s="52">
        <v>36.28</v>
      </c>
      <c r="J28" s="142"/>
      <c r="W28" s="49"/>
      <c r="X28" s="49"/>
    </row>
    <row r="29" spans="1:24" ht="13.8" x14ac:dyDescent="0.25">
      <c r="B29" s="132"/>
      <c r="C29" s="133" t="s">
        <v>98</v>
      </c>
      <c r="D29" s="53">
        <v>43099</v>
      </c>
      <c r="E29" s="41"/>
      <c r="F29" s="41" t="s">
        <v>99</v>
      </c>
      <c r="I29" s="54">
        <f>98.320444</f>
      </c>
      <c r="W29" s="49"/>
      <c r="X29" s="49"/>
    </row>
    <row r="30" spans="1:24" ht="13.8" x14ac:dyDescent="0.25">
      <c r="B30" s="132"/>
      <c r="C30" s="133" t="s">
        <v>100</v>
      </c>
      <c r="D30" s="53">
        <v>43099</v>
      </c>
      <c r="E30" s="41"/>
      <c r="F30" s="41" t="s">
        <v>101</v>
      </c>
      <c r="I30" s="42">
        <f>K52</f>
      </c>
      <c r="W30" s="49"/>
      <c r="X30" s="49"/>
    </row>
    <row r="31" spans="1:24" ht="13.8" x14ac:dyDescent="0.25">
      <c r="B31" s="132"/>
      <c r="C31" s="133" t="s">
        <v>102</v>
      </c>
      <c r="D31" s="50" t="s">
        <v>103</v>
      </c>
      <c r="E31" s="41"/>
      <c r="F31" s="41" t="s">
        <v>104</v>
      </c>
      <c r="I31" s="42">
        <f>I29+I30</f>
      </c>
      <c r="W31" s="49"/>
      <c r="X31" s="49"/>
    </row>
    <row r="32" spans="1:24" ht="13.8" x14ac:dyDescent="0.25">
      <c r="B32" s="132"/>
      <c r="C32" s="133" t="s">
        <v>105</v>
      </c>
      <c r="D32" s="55"/>
      <c r="E32" s="56"/>
      <c r="F32" s="40" t="s">
        <v>106</v>
      </c>
      <c r="I32" s="143">
        <v>0</v>
      </c>
      <c r="W32" s="49"/>
      <c r="X32" s="49"/>
    </row>
    <row r="33" spans="1:24" ht="13.8" x14ac:dyDescent="0.25">
      <c r="B33" s="132"/>
      <c r="E33" s="56"/>
      <c r="F33" s="49" t="s">
        <v>107</v>
      </c>
      <c r="I33" s="57">
        <f>I25*I31+I32</f>
      </c>
      <c r="L33" s="144"/>
      <c r="W33" s="49"/>
      <c r="X33" s="49"/>
    </row>
    <row r="34" spans="1:24" ht="13.8" x14ac:dyDescent="0.25">
      <c r="B34" s="132"/>
      <c r="C34" s="133" t="s">
        <v>108</v>
      </c>
      <c r="D34" s="145">
        <v>1</v>
      </c>
      <c r="E34" s="56"/>
      <c r="W34" s="49"/>
      <c r="X34" s="49"/>
    </row>
    <row r="35" spans="1:24" ht="13.8" x14ac:dyDescent="0.25">
      <c r="B35" s="132"/>
      <c r="C35" s="133" t="s">
        <v>109</v>
      </c>
      <c r="D35" s="138">
        <f>1-D34</f>
      </c>
      <c r="E35" s="56"/>
      <c r="F35" s="131" t="s">
        <v>90</v>
      </c>
      <c r="W35" s="49"/>
      <c r="X35" s="49"/>
    </row>
    <row r="36" spans="1:24" ht="13.8" x14ac:dyDescent="0.25">
      <c r="B36" s="132"/>
      <c r="E36" s="56"/>
      <c r="F36" s="58" t="s">
        <v>110</v>
      </c>
      <c r="G36" s="59"/>
      <c r="H36" s="49"/>
      <c r="I36" s="50">
        <v>0</v>
      </c>
      <c r="W36" s="49"/>
      <c r="X36" s="49"/>
    </row>
    <row r="37" spans="1:24" ht="13.8" x14ac:dyDescent="0.25">
      <c r="B37" s="132"/>
      <c r="E37" s="56"/>
      <c r="F37" s="58" t="s">
        <v>111</v>
      </c>
      <c r="G37" s="59"/>
      <c r="H37" s="49"/>
      <c r="I37" s="60">
        <v>0</v>
      </c>
      <c r="W37" s="49"/>
      <c r="X37" s="49"/>
    </row>
    <row r="38" spans="1:24" ht="13.8" x14ac:dyDescent="0.25">
      <c r="B38" s="132"/>
      <c r="E38" s="56"/>
      <c r="F38" s="61" t="s">
        <v>112</v>
      </c>
      <c r="G38" s="59"/>
      <c r="H38" s="49"/>
      <c r="I38" s="62">
        <f>SUM(I36:I37)</f>
      </c>
      <c r="W38" s="49"/>
      <c r="X38" s="49"/>
    </row>
    <row r="39" spans="1:24" ht="13.8" x14ac:dyDescent="0.25">
      <c r="B39" s="132"/>
      <c r="E39" s="56"/>
      <c r="F39" s="133"/>
      <c r="G39" s="133"/>
      <c r="I39" s="41"/>
      <c r="W39" s="49"/>
      <c r="X39" s="49"/>
    </row>
    <row r="40" spans="1:24" ht="13.8" x14ac:dyDescent="0.25">
      <c r="B40" s="131" t="s">
        <v>113</v>
      </c>
      <c r="F40" s="131" t="s">
        <v>114</v>
      </c>
      <c r="I40" s="146">
        <f>YEAR($D$29)</f>
      </c>
      <c r="J40" s="146">
        <f>YEAR($D$29)</f>
      </c>
    </row>
    <row r="41" spans="1:24" ht="13.8" x14ac:dyDescent="0.25">
      <c r="A41" s="49"/>
      <c r="B41" s="131"/>
      <c r="C41" s="64" t="s">
        <v>107</v>
      </c>
      <c r="D41" s="57">
        <f>I33</f>
      </c>
      <c r="E41" s="49"/>
      <c r="I41" s="65" t="s">
        <v>115</v>
      </c>
      <c r="J41" s="65" t="s">
        <v>116</v>
      </c>
      <c r="K41" s="65" t="s">
        <v>117</v>
      </c>
    </row>
    <row r="42" spans="1:24" ht="13.8" x14ac:dyDescent="0.25">
      <c r="B42" s="132"/>
      <c r="C42" s="40" t="str">
        <f>F55</f>
      </c>
      <c r="D42" s="42">
        <f>I55</f>
      </c>
      <c r="F42" s="66" t="s">
        <v>118</v>
      </c>
      <c r="I42" s="67">
        <v>4.0716380000000001</v>
      </c>
      <c r="J42" s="68">
        <v>28.65</v>
      </c>
      <c r="K42" s="147">
        <f t="shared" ref="K42:K51" si="0">MAX(($I$25-J42)/$I$25*I42,0)</f>
      </c>
    </row>
    <row r="43" spans="1:24" ht="13.8" x14ac:dyDescent="0.25">
      <c r="B43" s="132"/>
      <c r="C43" s="41" t="str">
        <f>C55&amp;" and "&amp;LOWER(C56)</f>
      </c>
      <c r="D43" s="42">
        <f>D55</f>
      </c>
      <c r="F43" s="66" t="s">
        <v>119</v>
      </c>
      <c r="I43" s="67">
        <f>0.342724</f>
      </c>
      <c r="J43" s="68">
        <v>0</v>
      </c>
      <c r="K43" s="147">
        <f t="shared" si="0"/>
      </c>
    </row>
    <row r="44" spans="1:24" ht="13.8" x14ac:dyDescent="0.25">
      <c r="B44" s="132"/>
      <c r="C44" s="69" t="s">
        <v>120</v>
      </c>
      <c r="D44" s="57">
        <f>D42-D43</f>
      </c>
      <c r="F44" s="66" t="s">
        <v>121</v>
      </c>
      <c r="I44" s="67">
        <v>0.105633</v>
      </c>
      <c r="J44" s="68">
        <v>0</v>
      </c>
      <c r="K44" s="147">
        <f t="shared" si="0"/>
      </c>
    </row>
    <row r="45" spans="1:24" ht="13.8" x14ac:dyDescent="0.25">
      <c r="B45" s="132"/>
      <c r="C45" s="41" t="str">
        <f>F56</f>
      </c>
      <c r="D45" s="42">
        <f>I56</f>
      </c>
      <c r="F45" s="66" t="s">
        <v>122</v>
      </c>
      <c r="G45" s="49"/>
      <c r="H45" s="49"/>
      <c r="I45" s="67">
        <v>0</v>
      </c>
      <c r="J45" s="68">
        <v>0</v>
      </c>
      <c r="K45" s="147">
        <f t="shared" si="0"/>
      </c>
    </row>
    <row r="46" spans="1:24" ht="13.8" x14ac:dyDescent="0.25">
      <c r="B46" s="132"/>
      <c r="C46" s="41" t="str">
        <f>F59</f>
      </c>
      <c r="D46" s="42">
        <f>I59</f>
      </c>
      <c r="F46" s="66" t="s">
        <v>123</v>
      </c>
      <c r="G46" s="49"/>
      <c r="H46" s="49"/>
      <c r="I46" s="67">
        <v>0</v>
      </c>
      <c r="J46" s="68">
        <v>0</v>
      </c>
      <c r="K46" s="147">
        <f t="shared" si="0"/>
      </c>
    </row>
    <row r="47" spans="1:24" ht="13.8" x14ac:dyDescent="0.25">
      <c r="B47" s="132"/>
      <c r="C47" s="41" t="str">
        <f>F60</f>
      </c>
      <c r="D47" s="42">
        <f>I60</f>
      </c>
      <c r="F47" s="66" t="s">
        <v>124</v>
      </c>
      <c r="I47" s="67">
        <v>0</v>
      </c>
      <c r="J47" s="68">
        <v>0</v>
      </c>
      <c r="K47" s="147">
        <f t="shared" si="0"/>
      </c>
    </row>
    <row r="48" spans="1:24" ht="12.75" customHeight="1" x14ac:dyDescent="0.3">
      <c r="A48" s="35"/>
      <c r="B48" s="132"/>
      <c r="C48" s="41" t="str">
        <f>C57</f>
      </c>
      <c r="D48" s="42">
        <f>D57</f>
      </c>
      <c r="F48" s="66" t="s">
        <v>125</v>
      </c>
      <c r="G48" s="41"/>
      <c r="H48" s="41"/>
      <c r="I48" s="67">
        <v>0</v>
      </c>
      <c r="J48" s="68">
        <v>0</v>
      </c>
      <c r="K48" s="147">
        <f t="shared" si="0"/>
      </c>
    </row>
    <row r="49" spans="1:22" ht="15.6" x14ac:dyDescent="0.3">
      <c r="A49" s="35"/>
      <c r="B49" s="132"/>
      <c r="C49" s="41" t="str">
        <f>C58</f>
      </c>
      <c r="D49" s="42">
        <f>D58</f>
      </c>
      <c r="F49" s="66" t="s">
        <v>126</v>
      </c>
      <c r="G49" s="41"/>
      <c r="H49" s="41"/>
      <c r="I49" s="67">
        <v>0</v>
      </c>
      <c r="J49" s="68">
        <v>0</v>
      </c>
      <c r="K49" s="147">
        <f t="shared" si="0"/>
      </c>
    </row>
    <row r="50" spans="1:22" ht="15.6" x14ac:dyDescent="0.3">
      <c r="A50" s="35"/>
      <c r="B50" s="132"/>
      <c r="C50" s="59" t="s">
        <v>110</v>
      </c>
      <c r="D50" s="57">
        <f>IF(I23="Enterprise value",I38,SUM(D41,D44:D47)-SUM(D48:D49))</f>
      </c>
      <c r="F50" s="66" t="s">
        <v>127</v>
      </c>
      <c r="G50" s="41"/>
      <c r="H50" s="41"/>
      <c r="I50" s="67">
        <v>0</v>
      </c>
      <c r="J50" s="68">
        <v>0</v>
      </c>
      <c r="K50" s="147">
        <f t="shared" si="0"/>
      </c>
    </row>
    <row r="51" spans="1:22" ht="15.6" x14ac:dyDescent="0.3">
      <c r="A51" s="35"/>
      <c r="B51" s="132"/>
      <c r="C51" s="70"/>
      <c r="D51" s="56"/>
      <c r="F51" s="66" t="s">
        <v>128</v>
      </c>
      <c r="G51" s="41"/>
      <c r="H51" s="41"/>
      <c r="I51" s="67">
        <v>0</v>
      </c>
      <c r="J51" s="68">
        <v>0</v>
      </c>
      <c r="K51" s="147">
        <f t="shared" si="0"/>
      </c>
    </row>
    <row r="52" spans="1:22" ht="17.399999999999999" x14ac:dyDescent="0.25">
      <c r="A52" s="129" t="s">
        <v>129</v>
      </c>
      <c r="B52" s="129"/>
      <c r="C52" s="130"/>
      <c r="F52" s="56" t="s">
        <v>130</v>
      </c>
      <c r="I52" s="49"/>
      <c r="J52" s="49"/>
      <c r="K52" s="71">
        <f>SUM(K42:K51)</f>
      </c>
    </row>
    <row r="53" spans="1:22" ht="13.8" x14ac:dyDescent="0.25">
      <c r="B53" s="132"/>
    </row>
    <row r="54" spans="1:22" ht="13.8" x14ac:dyDescent="0.25">
      <c r="B54" s="131" t="s">
        <v>131</v>
      </c>
      <c r="D54" s="148">
        <f>D30</f>
      </c>
      <c r="E54" s="100"/>
      <c r="F54" s="100"/>
      <c r="G54" s="100"/>
      <c r="H54" s="100"/>
      <c r="I54" s="148">
        <f>D54</f>
      </c>
    </row>
    <row r="55" spans="1:22" ht="13.8" x14ac:dyDescent="0.25">
      <c r="B55" s="132"/>
      <c r="C55" s="40" t="s">
        <v>28</v>
      </c>
      <c r="D55" s="50">
        <v>18.702999999999999</v>
      </c>
      <c r="F55" s="40" t="s">
        <v>132</v>
      </c>
      <c r="I55" s="50">
        <f>49+1025.533</f>
      </c>
      <c r="M55" s="41"/>
      <c r="N55" s="72"/>
      <c r="O55" s="73"/>
      <c r="P55" s="73"/>
      <c r="Q55" s="73"/>
      <c r="R55" s="73"/>
      <c r="S55" s="41"/>
      <c r="T55" s="74"/>
      <c r="U55" s="74"/>
      <c r="V55" s="74"/>
    </row>
    <row r="56" spans="1:22" ht="13.8" x14ac:dyDescent="0.25">
      <c r="B56" s="132"/>
      <c r="C56" s="40" t="s">
        <v>133</v>
      </c>
      <c r="D56" s="50">
        <v>0</v>
      </c>
      <c r="F56" s="40" t="s">
        <v>134</v>
      </c>
      <c r="I56" s="45">
        <v>0</v>
      </c>
      <c r="M56" s="41"/>
      <c r="N56" s="72"/>
      <c r="O56" s="73"/>
      <c r="P56" s="73"/>
      <c r="Q56" s="73"/>
      <c r="R56" s="73"/>
      <c r="S56" s="41"/>
      <c r="T56" s="74"/>
      <c r="U56" s="74"/>
      <c r="V56" s="74"/>
    </row>
    <row r="57" spans="1:22" ht="13.8" x14ac:dyDescent="0.25">
      <c r="B57" s="132"/>
      <c r="C57" s="40" t="s">
        <v>135</v>
      </c>
      <c r="D57" s="75">
        <v>11.7</v>
      </c>
      <c r="F57" s="40" t="s">
        <v>136</v>
      </c>
      <c r="I57" s="54">
        <f>3618.337-SUM(I55:I56,I58:I60)</f>
      </c>
      <c r="M57" s="41"/>
      <c r="N57" s="41"/>
      <c r="O57" s="41"/>
      <c r="P57" s="41"/>
      <c r="Q57" s="41"/>
      <c r="R57" s="41"/>
      <c r="S57" s="36"/>
    </row>
    <row r="58" spans="1:22" ht="13.8" x14ac:dyDescent="0.25">
      <c r="B58" s="132"/>
      <c r="C58" s="40" t="s">
        <v>137</v>
      </c>
      <c r="D58" s="75">
        <f>18.945+10</f>
      </c>
      <c r="F58" s="40" t="s">
        <v>138</v>
      </c>
      <c r="I58" s="45">
        <v>2002.4010000000001</v>
      </c>
      <c r="J58" s="110"/>
      <c r="M58" s="41"/>
      <c r="N58" s="41"/>
      <c r="O58" s="41"/>
      <c r="P58" s="41"/>
      <c r="Q58" s="41"/>
      <c r="R58" s="41"/>
      <c r="S58" s="76"/>
    </row>
    <row r="59" spans="1:22" ht="13.8" x14ac:dyDescent="0.25">
      <c r="B59" s="132"/>
      <c r="C59" s="40" t="s">
        <v>139</v>
      </c>
      <c r="D59" s="75">
        <f>3618.337-SUM(D55:D58)</f>
      </c>
      <c r="F59" s="40" t="s">
        <v>140</v>
      </c>
      <c r="I59" s="45">
        <v>0</v>
      </c>
      <c r="J59" s="77"/>
    </row>
    <row r="60" spans="1:22" ht="13.8" x14ac:dyDescent="0.25">
      <c r="B60" s="132"/>
      <c r="F60" s="40" t="s">
        <v>141</v>
      </c>
      <c r="I60" s="45">
        <v>19.888000000000002</v>
      </c>
      <c r="J60" s="77"/>
    </row>
    <row r="61" spans="1:22" ht="13.8" x14ac:dyDescent="0.25">
      <c r="B61" s="132"/>
      <c r="C61" s="78" t="s">
        <v>142</v>
      </c>
      <c r="D61" s="49">
        <f>SUM(D55:D59)</f>
      </c>
      <c r="F61" s="78" t="s">
        <v>143</v>
      </c>
      <c r="I61" s="49">
        <f>SUM(I55:I60)</f>
      </c>
      <c r="J61" s="77"/>
    </row>
    <row r="62" spans="1:22" ht="13.8" x14ac:dyDescent="0.25">
      <c r="B62" s="132"/>
      <c r="C62" s="79" t="s">
        <v>144</v>
      </c>
      <c r="D62" s="80" t="str">
        <f>IF(D61=I61,"OK",D61-I61)</f>
      </c>
      <c r="J62" s="77"/>
    </row>
    <row r="63" spans="1:22" ht="13.8" x14ac:dyDescent="0.25">
      <c r="B63" s="132"/>
      <c r="J63" s="81"/>
    </row>
    <row r="64" spans="1:22" ht="13.8" x14ac:dyDescent="0.25">
      <c r="B64" s="132" t="s">
        <v>145</v>
      </c>
      <c r="D64" s="149">
        <f>YEAR($D$29)</f>
      </c>
      <c r="E64" s="148" t="str">
        <f>YEAR($D$30)-1&amp;" "&amp;$D$32&amp;"Q"</f>
      </c>
      <c r="F64" s="148" t="str">
        <f>YEAR($D$30)&amp;" "&amp;$D$32&amp;"Q"</f>
      </c>
      <c r="G64" s="148" t="s">
        <v>16</v>
      </c>
      <c r="H64" s="110"/>
    </row>
    <row r="65" spans="2:8" x14ac:dyDescent="0.25">
      <c r="B65" s="41"/>
      <c r="C65" s="41" t="s">
        <v>76</v>
      </c>
      <c r="D65" s="150">
        <v>2226.837</v>
      </c>
      <c r="E65" s="50">
        <v>0</v>
      </c>
      <c r="F65" s="50">
        <v>0</v>
      </c>
      <c r="G65" s="110">
        <f>D65-E65+F65</f>
      </c>
    </row>
    <row r="67" spans="2:8" x14ac:dyDescent="0.25">
      <c r="B67" s="41"/>
      <c r="C67" s="41" t="s">
        <v>146</v>
      </c>
      <c r="D67" s="83">
        <v>38.514000000000003</v>
      </c>
      <c r="E67" s="84">
        <v>0</v>
      </c>
      <c r="F67" s="84">
        <v>0</v>
      </c>
    </row>
    <row r="68" spans="2:8" x14ac:dyDescent="0.25">
      <c r="B68" s="41"/>
      <c r="C68" s="85" t="s">
        <v>147</v>
      </c>
      <c r="D68" s="50">
        <v>3.0019999999999998</v>
      </c>
      <c r="E68" s="50">
        <v>0</v>
      </c>
      <c r="F68" s="50">
        <v>0</v>
      </c>
    </row>
    <row r="69" spans="2:8" x14ac:dyDescent="0.25">
      <c r="B69" s="41"/>
      <c r="C69" s="85" t="s">
        <v>148</v>
      </c>
      <c r="D69" s="50">
        <v>114.783</v>
      </c>
      <c r="E69" s="50">
        <v>0</v>
      </c>
      <c r="F69" s="50">
        <v>0</v>
      </c>
    </row>
    <row r="70" spans="2:8" x14ac:dyDescent="0.25">
      <c r="B70" s="41"/>
      <c r="C70" s="85" t="s">
        <v>149</v>
      </c>
      <c r="D70" s="50">
        <f>7.223+13.52</f>
      </c>
      <c r="E70" s="50">
        <v>0</v>
      </c>
      <c r="F70" s="50">
        <v>0</v>
      </c>
    </row>
    <row r="71" spans="2:8" x14ac:dyDescent="0.25">
      <c r="B71" s="41"/>
      <c r="C71" s="85" t="s">
        <v>150</v>
      </c>
      <c r="D71" s="50">
        <v>9.1</v>
      </c>
      <c r="E71" s="50">
        <v>0</v>
      </c>
      <c r="F71" s="50">
        <v>0</v>
      </c>
    </row>
    <row r="72" spans="2:8" x14ac:dyDescent="0.25">
      <c r="B72" s="41"/>
      <c r="C72" s="85" t="s">
        <v>151</v>
      </c>
      <c r="D72" s="50">
        <v>2.1</v>
      </c>
      <c r="E72" s="50">
        <v>0</v>
      </c>
      <c r="F72" s="50">
        <v>0</v>
      </c>
    </row>
    <row r="73" spans="2:8" x14ac:dyDescent="0.25">
      <c r="B73" s="41"/>
      <c r="C73" s="85" t="s">
        <v>152</v>
      </c>
      <c r="D73" s="50">
        <v>0</v>
      </c>
      <c r="E73" s="50">
        <v>0</v>
      </c>
      <c r="F73" s="50">
        <v>0</v>
      </c>
    </row>
    <row r="74" spans="2:8" x14ac:dyDescent="0.25">
      <c r="B74" s="41"/>
      <c r="C74" s="85" t="s">
        <v>153</v>
      </c>
      <c r="D74" s="50">
        <v>0</v>
      </c>
      <c r="E74" s="50">
        <v>0</v>
      </c>
      <c r="F74" s="50">
        <v>0</v>
      </c>
    </row>
    <row r="75" spans="2:8" x14ac:dyDescent="0.25">
      <c r="B75" s="41"/>
      <c r="C75" s="85" t="s">
        <v>154</v>
      </c>
      <c r="D75" s="50">
        <v>0</v>
      </c>
      <c r="E75" s="50">
        <v>0</v>
      </c>
      <c r="F75" s="50">
        <v>0</v>
      </c>
    </row>
    <row r="76" spans="2:8" s="49" customFormat="1" x14ac:dyDescent="0.25">
      <c r="B76" s="56"/>
      <c r="C76" s="86" t="s">
        <v>78</v>
      </c>
      <c r="D76" s="56">
        <f>SUM(D67:D75)</f>
      </c>
      <c r="E76" s="56">
        <f>SUM(E67:E75)</f>
      </c>
      <c r="F76" s="56">
        <f>SUM(F67:F75)</f>
      </c>
      <c r="G76" s="87">
        <f>D76-E76+F76</f>
      </c>
      <c r="H76" s="40"/>
    </row>
    <row r="77" spans="2:8" x14ac:dyDescent="0.25">
      <c r="B77" s="41"/>
    </row>
    <row r="78" spans="2:8" x14ac:dyDescent="0.25">
      <c r="B78" s="41"/>
      <c r="C78" s="41" t="s">
        <v>155</v>
      </c>
      <c r="D78" s="50">
        <v>96.911000000000001</v>
      </c>
      <c r="E78" s="50">
        <v>0</v>
      </c>
      <c r="F78" s="50">
        <v>0</v>
      </c>
      <c r="G78" s="110">
        <f>D78-E78+F78</f>
      </c>
    </row>
    <row r="79" spans="2:8" s="49" customFormat="1" x14ac:dyDescent="0.25">
      <c r="B79" s="56"/>
      <c r="C79" s="86" t="s">
        <v>19</v>
      </c>
      <c r="D79" s="56">
        <f>D76+D78</f>
      </c>
      <c r="E79" s="56">
        <f>E76+E78</f>
      </c>
      <c r="F79" s="56">
        <f>F76+F78</f>
      </c>
      <c r="G79" s="87">
        <f>D79-E79+F79</f>
      </c>
    </row>
    <row r="80" spans="2:8" x14ac:dyDescent="0.25">
      <c r="B80" s="41"/>
    </row>
  </sheetData>
  <conditionalFormatting sqref="D41:D49">
    <cfRule type="expression" dxfId="109" priority="14" stopIfTrue="1">
      <formula>$I$23="Enterprise value"</formula>
    </cfRule>
  </conditionalFormatting>
  <conditionalFormatting sqref="F24:F31 F33 K40:K51 I41:J41 C41:C49 F46:H46 F52:K52">
    <cfRule type="expression" dxfId="108" priority="15" stopIfTrue="1">
      <formula>$I$23="Enterprise value"</formula>
    </cfRule>
  </conditionalFormatting>
  <conditionalFormatting sqref="F35:F38">
    <cfRule type="expression" dxfId="107" priority="16" stopIfTrue="1">
      <formula>$I$23="Share price"</formula>
    </cfRule>
  </conditionalFormatting>
  <conditionalFormatting sqref="F42:F51">
    <cfRule type="expression" dxfId="106" priority="2" stopIfTrue="1">
      <formula>$I$23="Enterprise value"</formula>
    </cfRule>
  </conditionalFormatting>
  <conditionalFormatting sqref="F40:H44 G45:H45">
    <cfRule type="expression" dxfId="105" priority="6" stopIfTrue="1">
      <formula>$I$23="Enterprise value"</formula>
    </cfRule>
  </conditionalFormatting>
  <conditionalFormatting sqref="I25:I33">
    <cfRule type="expression" dxfId="104" priority="7" stopIfTrue="1">
      <formula>$I$23="Enterprise value"</formula>
    </cfRule>
  </conditionalFormatting>
  <conditionalFormatting sqref="I36:I38">
    <cfRule type="expression" dxfId="103" priority="12" stopIfTrue="1">
      <formula>$I$23="Share price"</formula>
    </cfRule>
  </conditionalFormatting>
  <conditionalFormatting sqref="I40:J40">
    <cfRule type="expression" dxfId="102" priority="11" stopIfTrue="1">
      <formula>$I$23="Enterprise value"</formula>
    </cfRule>
  </conditionalFormatting>
  <conditionalFormatting sqref="I42:J51">
    <cfRule type="expression" dxfId="101" priority="1" stopIfTrue="1">
      <formula>$I$23="Enterprise value"</formula>
    </cfRule>
  </conditionalFormatting>
  <dataValidations count="3">
    <dataValidation type="list" allowBlank="1" showInputMessage="1" showErrorMessage="1" sqref="D31" xr:uid="{00000000-0002-0000-0200-000000000000}">
      <formula1>"10K,10Q,8K,Annual,Interim"</formula1>
    </dataValidation>
    <dataValidation type="list" allowBlank="1" showInputMessage="1" showErrorMessage="1" prompt="Input 1, 2 or 3 to indicate which quarter data has been spread. Leave blank if annual data." sqref="D32" xr:uid="{00000000-0002-0000-0200-000001000000}">
      <formula1>"1,2,3,,"</formula1>
    </dataValidation>
    <dataValidation type="list" allowBlank="1" showInputMessage="1" showErrorMessage="1" sqref="I23" xr:uid="{00000000-0002-0000-0200-000002000000}">
      <formula1>"Share price,Enterprise value"</formula1>
    </dataValidation>
  </dataValidations>
  <pageMargins left="0.74803149606299213" right="0.74803149606299213" top="0.98425196850393704" bottom="0.98425196850393704" header="0.51181102362204722" footer="0.51181102362204722"/>
  <pageSetup paperSize="9" scale="58" orientation="portrait" r:id="rId1"/>
  <headerFooter alignWithMargins="0">
    <oddFooter>&amp;R&amp;8&amp;P of &amp;N</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X80"/>
  <sheetViews>
    <sheetView showGridLines="0" zoomScaleNormal="100" workbookViewId="0"/>
  </sheetViews>
  <sheetFormatPr defaultColWidth="9" defaultRowHeight="13.2" x14ac:dyDescent="0.25"/>
  <cols>
    <col min="1" max="2" width="1.77734375" style="40" customWidth="1"/>
    <col min="3" max="3" width="40.77734375" style="40" customWidth="1"/>
    <col min="4" max="4" width="12.44140625" style="40" customWidth="1"/>
    <col min="5" max="7" width="11.21875" style="40" customWidth="1"/>
    <col min="8" max="8" width="19.21875" style="40" customWidth="1"/>
    <col min="9" max="9" width="15.77734375" style="40" bestFit="1" customWidth="1"/>
    <col min="10" max="11" width="11.5546875" style="40" bestFit="1" customWidth="1"/>
    <col min="12" max="13" width="9" style="40"/>
    <col min="14" max="14" width="19.44140625" style="40" customWidth="1"/>
    <col min="15" max="15" width="11.21875" style="40" bestFit="1" customWidth="1"/>
    <col min="16" max="16" width="9.5546875" style="40" bestFit="1" customWidth="1"/>
    <col min="17" max="19" width="9.21875" style="40" bestFit="1" customWidth="1"/>
    <col min="20" max="20" width="11.21875" style="40" bestFit="1" customWidth="1"/>
    <col min="21" max="21" width="9.5546875" style="40" bestFit="1" customWidth="1"/>
    <col min="22" max="22" width="14.44140625" style="40" bestFit="1" customWidth="1"/>
    <col min="23" max="24" width="14.77734375" style="40" bestFit="1" customWidth="1"/>
    <col min="25" max="16384" width="9" style="40"/>
  </cols>
  <sheetData>
    <row r="1" spans="1:14" s="151" customFormat="1" ht="17.399999999999999" x14ac:dyDescent="0.3">
      <c r="A1" s="120" t="str">
        <f>"Comparable transactions analysis - "&amp;D23&amp;" / "&amp;D24</f>
      </c>
      <c r="B1" s="120"/>
      <c r="C1" s="121"/>
      <c r="D1" s="121"/>
      <c r="E1" s="121"/>
      <c r="F1" s="121"/>
      <c r="G1" s="121"/>
      <c r="H1" s="121"/>
      <c r="I1" s="121"/>
      <c r="J1" s="121"/>
      <c r="K1" s="121"/>
      <c r="L1" s="121"/>
      <c r="M1" s="122"/>
      <c r="N1" s="122"/>
    </row>
    <row r="2" spans="1:14" s="151" customFormat="1" ht="18" thickBot="1" x14ac:dyDescent="0.35">
      <c r="A2" s="128" t="str">
        <f>"Input sheet (all numbers in millions "&amp;D27&amp;" unless otherwise stated)"</f>
      </c>
      <c r="B2" s="127"/>
      <c r="C2" s="127"/>
      <c r="D2" s="127"/>
      <c r="E2" s="127"/>
      <c r="F2" s="127"/>
      <c r="G2" s="127"/>
      <c r="H2" s="127"/>
      <c r="I2" s="127"/>
      <c r="J2" s="127"/>
      <c r="K2" s="127"/>
      <c r="L2" s="127"/>
      <c r="M2" s="127"/>
      <c r="N2" s="152"/>
    </row>
    <row r="3" spans="1:14" ht="13.8" thickTop="1" x14ac:dyDescent="0.25">
      <c r="B3" s="41"/>
    </row>
    <row r="4" spans="1:14" ht="17.399999999999999" x14ac:dyDescent="0.25">
      <c r="A4" s="129" t="s">
        <v>72</v>
      </c>
      <c r="B4" s="129"/>
      <c r="C4" s="130"/>
    </row>
    <row r="5" spans="1:14" ht="13.8" x14ac:dyDescent="0.25">
      <c r="B5" s="131" t="s">
        <v>73</v>
      </c>
      <c r="C5" s="41"/>
    </row>
    <row r="6" spans="1:14" ht="13.8" x14ac:dyDescent="0.25">
      <c r="B6" s="131"/>
      <c r="C6" s="41" t="str">
        <f>F25</f>
      </c>
      <c r="D6" s="37">
        <f>IF(Driver="Enterprise value","na",I25)</f>
      </c>
    </row>
    <row r="7" spans="1:14" ht="13.8" x14ac:dyDescent="0.25">
      <c r="B7" s="131"/>
      <c r="C7" s="41" t="s">
        <v>27</v>
      </c>
      <c r="D7" s="38">
        <f>IF(OR(Driver="Enterprise Value",I25=0),"na",I25/I26-1)</f>
      </c>
    </row>
    <row r="8" spans="1:14" ht="13.8" x14ac:dyDescent="0.25">
      <c r="B8" s="132"/>
      <c r="C8" s="133" t="str">
        <f>C41</f>
      </c>
      <c r="D8" s="39">
        <f>IF(Driver="Enterprise value","na",I33*FX)</f>
      </c>
      <c r="E8" s="41"/>
      <c r="F8" s="134"/>
    </row>
    <row r="9" spans="1:14" ht="13.8" x14ac:dyDescent="0.25">
      <c r="B9" s="132"/>
      <c r="C9" s="133" t="str">
        <f>C50</f>
      </c>
      <c r="D9" s="135">
        <f>D50*FX</f>
      </c>
    </row>
    <row r="10" spans="1:14" ht="13.8" x14ac:dyDescent="0.25">
      <c r="B10" s="132"/>
      <c r="C10" s="133"/>
    </row>
    <row r="11" spans="1:14" ht="13.8" x14ac:dyDescent="0.25">
      <c r="B11" s="131" t="s">
        <v>74</v>
      </c>
      <c r="C11" s="133"/>
      <c r="D11" s="136" t="s">
        <v>16</v>
      </c>
      <c r="E11" s="136" t="s">
        <v>75</v>
      </c>
    </row>
    <row r="12" spans="1:14" ht="13.8" x14ac:dyDescent="0.25">
      <c r="B12" s="132"/>
      <c r="C12" s="41" t="s">
        <v>76</v>
      </c>
      <c r="D12" s="42">
        <f>G65*FX</f>
      </c>
      <c r="E12" s="137" t="s">
        <v>77</v>
      </c>
    </row>
    <row r="13" spans="1:14" ht="13.8" x14ac:dyDescent="0.25">
      <c r="B13" s="132"/>
      <c r="C13" s="43" t="s">
        <v>78</v>
      </c>
      <c r="D13" s="42">
        <f>G76*FX</f>
      </c>
      <c r="E13" s="138">
        <f>D13/D12</f>
      </c>
    </row>
    <row r="14" spans="1:14" ht="13.8" x14ac:dyDescent="0.25">
      <c r="B14" s="132"/>
      <c r="C14" s="43" t="s">
        <v>19</v>
      </c>
      <c r="D14" s="42">
        <f>G79*FX</f>
      </c>
      <c r="E14" s="138">
        <f>D14/D12</f>
      </c>
    </row>
    <row r="15" spans="1:14" ht="13.8" x14ac:dyDescent="0.25">
      <c r="B15" s="139"/>
      <c r="D15" s="140"/>
    </row>
    <row r="16" spans="1:14" ht="13.8" x14ac:dyDescent="0.25">
      <c r="B16" s="131" t="s">
        <v>79</v>
      </c>
    </row>
    <row r="17" spans="1:24" x14ac:dyDescent="0.25">
      <c r="C17" s="40" t="s">
        <v>80</v>
      </c>
      <c r="D17" s="44">
        <f>$D$9/D12</f>
      </c>
    </row>
    <row r="18" spans="1:24" x14ac:dyDescent="0.25">
      <c r="C18" s="40" t="s">
        <v>81</v>
      </c>
      <c r="D18" s="44">
        <f>$D$9/D13</f>
      </c>
    </row>
    <row r="19" spans="1:24" x14ac:dyDescent="0.25">
      <c r="C19" s="40" t="s">
        <v>21</v>
      </c>
      <c r="D19" s="44">
        <f>$D$9/D14</f>
      </c>
    </row>
    <row r="20" spans="1:24" x14ac:dyDescent="0.25">
      <c r="D20" s="140"/>
    </row>
    <row r="21" spans="1:24" ht="17.399999999999999" x14ac:dyDescent="0.25">
      <c r="A21" s="129" t="s">
        <v>82</v>
      </c>
      <c r="B21" s="129"/>
      <c r="C21" s="130"/>
      <c r="I21" s="141"/>
    </row>
    <row r="22" spans="1:24" ht="13.8" x14ac:dyDescent="0.25">
      <c r="A22" s="36"/>
      <c r="B22" s="131" t="s">
        <v>83</v>
      </c>
      <c r="C22" s="41"/>
      <c r="D22" s="41"/>
      <c r="F22" s="131" t="s">
        <v>84</v>
      </c>
    </row>
    <row r="23" spans="1:24" ht="13.8" x14ac:dyDescent="0.25">
      <c r="B23" s="132"/>
      <c r="C23" s="41" t="s">
        <v>85</v>
      </c>
      <c r="D23" s="45" t="s">
        <v>156</v>
      </c>
      <c r="E23" s="41"/>
      <c r="F23" s="40" t="s">
        <v>86</v>
      </c>
      <c r="I23" s="45" t="s">
        <v>87</v>
      </c>
    </row>
    <row r="24" spans="1:24" ht="13.8" x14ac:dyDescent="0.25">
      <c r="B24" s="132"/>
      <c r="C24" s="41" t="s">
        <v>88</v>
      </c>
      <c r="D24" s="45" t="s">
        <v>157</v>
      </c>
      <c r="E24" s="41"/>
      <c r="F24" s="36" t="s">
        <v>90</v>
      </c>
    </row>
    <row r="25" spans="1:24" ht="13.8" x14ac:dyDescent="0.25">
      <c r="B25" s="132"/>
      <c r="C25" s="41" t="s">
        <v>91</v>
      </c>
      <c r="D25" s="46">
        <v>42558</v>
      </c>
      <c r="E25" s="41"/>
      <c r="F25" s="41" t="s">
        <v>92</v>
      </c>
      <c r="I25" s="47">
        <v>56.25</v>
      </c>
      <c r="K25" s="142"/>
    </row>
    <row r="26" spans="1:24" ht="13.8" x14ac:dyDescent="0.25">
      <c r="B26" s="132"/>
      <c r="C26" s="133" t="s">
        <v>93</v>
      </c>
      <c r="D26" s="48">
        <v>42837</v>
      </c>
      <c r="E26" s="41"/>
      <c r="F26" s="133" t="s">
        <v>94</v>
      </c>
      <c r="I26" s="47">
        <v>47.43</v>
      </c>
      <c r="W26" s="49"/>
      <c r="X26" s="49"/>
    </row>
    <row r="27" spans="1:24" ht="13.8" x14ac:dyDescent="0.25">
      <c r="B27" s="132"/>
      <c r="C27" s="133" t="s">
        <v>10</v>
      </c>
      <c r="D27" s="50" t="s">
        <v>11</v>
      </c>
      <c r="E27" s="41"/>
      <c r="F27" s="133" t="s">
        <v>95</v>
      </c>
      <c r="I27" s="47">
        <v>46.94</v>
      </c>
      <c r="W27" s="49"/>
      <c r="X27" s="49"/>
    </row>
    <row r="28" spans="1:24" ht="13.8" x14ac:dyDescent="0.25">
      <c r="B28" s="132"/>
      <c r="C28" s="133" t="s">
        <v>96</v>
      </c>
      <c r="D28" s="51">
        <v>1</v>
      </c>
      <c r="E28" s="41"/>
      <c r="F28" s="133" t="s">
        <v>97</v>
      </c>
      <c r="I28" s="52">
        <v>45.96</v>
      </c>
      <c r="J28" s="142"/>
      <c r="W28" s="49"/>
      <c r="X28" s="49"/>
    </row>
    <row r="29" spans="1:24" ht="13.8" x14ac:dyDescent="0.25">
      <c r="B29" s="132"/>
      <c r="C29" s="133" t="s">
        <v>98</v>
      </c>
      <c r="D29" s="53">
        <v>42369</v>
      </c>
      <c r="E29" s="41"/>
      <c r="F29" s="41" t="s">
        <v>99</v>
      </c>
      <c r="I29" s="54">
        <f>176.918229</f>
      </c>
      <c r="W29" s="49"/>
      <c r="X29" s="49"/>
    </row>
    <row r="30" spans="1:24" ht="13.8" x14ac:dyDescent="0.25">
      <c r="B30" s="132"/>
      <c r="C30" s="133" t="s">
        <v>100</v>
      </c>
      <c r="D30" s="53">
        <v>42460</v>
      </c>
      <c r="E30" s="41"/>
      <c r="F30" s="41" t="s">
        <v>101</v>
      </c>
      <c r="I30" s="42">
        <f>K52</f>
      </c>
      <c r="W30" s="49"/>
      <c r="X30" s="49"/>
    </row>
    <row r="31" spans="1:24" ht="13.8" x14ac:dyDescent="0.25">
      <c r="B31" s="132"/>
      <c r="C31" s="133" t="s">
        <v>102</v>
      </c>
      <c r="D31" s="50" t="s">
        <v>158</v>
      </c>
      <c r="E31" s="41"/>
      <c r="F31" s="41" t="s">
        <v>104</v>
      </c>
      <c r="I31" s="42">
        <f>I29+I30</f>
      </c>
      <c r="W31" s="49"/>
      <c r="X31" s="49"/>
    </row>
    <row r="32" spans="1:24" ht="13.8" x14ac:dyDescent="0.25">
      <c r="B32" s="132"/>
      <c r="C32" s="133" t="s">
        <v>105</v>
      </c>
      <c r="D32" s="55">
        <v>1</v>
      </c>
      <c r="E32" s="56"/>
      <c r="F32" s="40" t="s">
        <v>106</v>
      </c>
      <c r="I32" s="143">
        <v>0</v>
      </c>
      <c r="W32" s="49"/>
      <c r="X32" s="49"/>
    </row>
    <row r="33" spans="1:24" ht="13.8" x14ac:dyDescent="0.25">
      <c r="B33" s="132"/>
      <c r="E33" s="56"/>
      <c r="F33" s="49" t="s">
        <v>107</v>
      </c>
      <c r="I33" s="57">
        <f>I25*I31+I32</f>
      </c>
      <c r="L33" s="144"/>
      <c r="W33" s="49"/>
      <c r="X33" s="49"/>
    </row>
    <row r="34" spans="1:24" ht="13.8" x14ac:dyDescent="0.25">
      <c r="B34" s="132"/>
      <c r="C34" s="133" t="s">
        <v>108</v>
      </c>
      <c r="D34" s="145">
        <v>1</v>
      </c>
      <c r="E34" s="56"/>
      <c r="W34" s="49"/>
      <c r="X34" s="49"/>
    </row>
    <row r="35" spans="1:24" ht="13.8" x14ac:dyDescent="0.25">
      <c r="B35" s="132"/>
      <c r="C35" s="133" t="s">
        <v>109</v>
      </c>
      <c r="D35" s="138">
        <f>1-D34</f>
      </c>
      <c r="E35" s="56"/>
      <c r="F35" s="131" t="s">
        <v>90</v>
      </c>
      <c r="W35" s="49"/>
      <c r="X35" s="49"/>
    </row>
    <row r="36" spans="1:24" ht="13.8" x14ac:dyDescent="0.25">
      <c r="B36" s="132"/>
      <c r="E36" s="56"/>
      <c r="F36" s="58" t="s">
        <v>110</v>
      </c>
      <c r="G36" s="59"/>
      <c r="H36" s="49"/>
      <c r="I36" s="50">
        <v>0</v>
      </c>
      <c r="W36" s="49"/>
      <c r="X36" s="49"/>
    </row>
    <row r="37" spans="1:24" ht="13.8" x14ac:dyDescent="0.25">
      <c r="B37" s="132"/>
      <c r="E37" s="56"/>
      <c r="F37" s="58" t="s">
        <v>111</v>
      </c>
      <c r="G37" s="59"/>
      <c r="H37" s="49"/>
      <c r="I37" s="60">
        <v>0</v>
      </c>
      <c r="W37" s="49"/>
      <c r="X37" s="49"/>
    </row>
    <row r="38" spans="1:24" ht="13.8" x14ac:dyDescent="0.25">
      <c r="B38" s="132"/>
      <c r="E38" s="56"/>
      <c r="F38" s="61" t="s">
        <v>112</v>
      </c>
      <c r="G38" s="59"/>
      <c r="H38" s="49"/>
      <c r="I38" s="62">
        <f>SUM(I36:I37)</f>
      </c>
      <c r="W38" s="49"/>
      <c r="X38" s="49"/>
    </row>
    <row r="39" spans="1:24" ht="13.8" x14ac:dyDescent="0.25">
      <c r="B39" s="132"/>
      <c r="E39" s="56"/>
      <c r="F39" s="133"/>
      <c r="G39" s="133"/>
      <c r="I39" s="41"/>
      <c r="W39" s="49"/>
      <c r="X39" s="49"/>
    </row>
    <row r="40" spans="1:24" ht="13.8" x14ac:dyDescent="0.25">
      <c r="B40" s="131" t="s">
        <v>113</v>
      </c>
      <c r="F40" s="131" t="s">
        <v>114</v>
      </c>
      <c r="I40" s="146">
        <f>YEAR($D$29)</f>
      </c>
      <c r="J40" s="146">
        <f>YEAR($D$29)</f>
      </c>
    </row>
    <row r="41" spans="1:24" ht="13.8" x14ac:dyDescent="0.25">
      <c r="A41" s="49"/>
      <c r="B41" s="131"/>
      <c r="C41" s="64" t="s">
        <v>107</v>
      </c>
      <c r="D41" s="57">
        <f>I33</f>
      </c>
      <c r="E41" s="49"/>
      <c r="I41" s="65" t="s">
        <v>115</v>
      </c>
      <c r="J41" s="65" t="s">
        <v>116</v>
      </c>
      <c r="K41" s="65" t="s">
        <v>117</v>
      </c>
    </row>
    <row r="42" spans="1:24" ht="13.8" x14ac:dyDescent="0.25">
      <c r="B42" s="132"/>
      <c r="C42" s="40" t="str">
        <f>F55</f>
      </c>
      <c r="D42" s="42">
        <f>I55</f>
      </c>
      <c r="F42" s="66" t="s">
        <v>118</v>
      </c>
      <c r="I42" s="67">
        <f>9.382468</f>
      </c>
      <c r="J42" s="68">
        <v>20.48</v>
      </c>
      <c r="K42" s="147">
        <f t="shared" ref="K42:K51" si="0">MAX(($I$25-J42)/$I$25*I42,0)</f>
      </c>
    </row>
    <row r="43" spans="1:24" ht="13.8" x14ac:dyDescent="0.25">
      <c r="B43" s="132"/>
      <c r="C43" s="41" t="str">
        <f>C55&amp;" and "&amp;LOWER(C56)</f>
      </c>
      <c r="D43" s="42">
        <f>D55</f>
      </c>
      <c r="F43" s="66" t="s">
        <v>159</v>
      </c>
      <c r="I43" s="67">
        <v>0.80153700000000005</v>
      </c>
      <c r="J43" s="68">
        <v>0</v>
      </c>
      <c r="K43" s="147">
        <f t="shared" si="0"/>
      </c>
    </row>
    <row r="44" spans="1:24" ht="13.8" x14ac:dyDescent="0.25">
      <c r="B44" s="132"/>
      <c r="C44" s="69" t="s">
        <v>120</v>
      </c>
      <c r="D44" s="57">
        <f>D42-D43</f>
      </c>
      <c r="F44" s="66" t="s">
        <v>160</v>
      </c>
      <c r="I44" s="67">
        <v>0.22741400000000001</v>
      </c>
      <c r="J44" s="68">
        <v>0</v>
      </c>
      <c r="K44" s="147">
        <f t="shared" si="0"/>
      </c>
    </row>
    <row r="45" spans="1:24" ht="13.8" x14ac:dyDescent="0.25">
      <c r="B45" s="132"/>
      <c r="C45" s="41" t="str">
        <f>F56</f>
      </c>
      <c r="D45" s="42">
        <f>I56</f>
      </c>
      <c r="F45" s="66" t="s">
        <v>161</v>
      </c>
      <c r="G45" s="49"/>
      <c r="H45" s="49"/>
      <c r="I45" s="67">
        <v>0</v>
      </c>
      <c r="J45" s="68">
        <v>0</v>
      </c>
      <c r="K45" s="147">
        <f t="shared" si="0"/>
      </c>
    </row>
    <row r="46" spans="1:24" ht="13.8" x14ac:dyDescent="0.25">
      <c r="B46" s="132"/>
      <c r="C46" s="41" t="str">
        <f>F59</f>
      </c>
      <c r="D46" s="42">
        <f>I59</f>
      </c>
      <c r="F46" s="66" t="s">
        <v>123</v>
      </c>
      <c r="G46" s="49"/>
      <c r="H46" s="49"/>
      <c r="I46" s="67">
        <v>0</v>
      </c>
      <c r="J46" s="68">
        <v>0</v>
      </c>
      <c r="K46" s="147">
        <f t="shared" si="0"/>
      </c>
    </row>
    <row r="47" spans="1:24" ht="13.8" x14ac:dyDescent="0.25">
      <c r="B47" s="132"/>
      <c r="C47" s="41" t="str">
        <f>F60</f>
      </c>
      <c r="D47" s="42">
        <f>I60</f>
      </c>
      <c r="F47" s="66" t="s">
        <v>124</v>
      </c>
      <c r="I47" s="67">
        <v>0</v>
      </c>
      <c r="J47" s="68">
        <v>0</v>
      </c>
      <c r="K47" s="147">
        <f t="shared" si="0"/>
      </c>
    </row>
    <row r="48" spans="1:24" ht="12.75" customHeight="1" x14ac:dyDescent="0.3">
      <c r="A48" s="35"/>
      <c r="B48" s="132"/>
      <c r="C48" s="41" t="str">
        <f>C57</f>
      </c>
      <c r="D48" s="42">
        <f>D57</f>
      </c>
      <c r="F48" s="66" t="s">
        <v>125</v>
      </c>
      <c r="G48" s="41"/>
      <c r="H48" s="41"/>
      <c r="I48" s="67">
        <v>0</v>
      </c>
      <c r="J48" s="68">
        <v>0</v>
      </c>
      <c r="K48" s="147">
        <f t="shared" si="0"/>
      </c>
    </row>
    <row r="49" spans="1:22" ht="15.6" x14ac:dyDescent="0.3">
      <c r="A49" s="35"/>
      <c r="B49" s="132"/>
      <c r="C49" s="41" t="str">
        <f>C58</f>
      </c>
      <c r="D49" s="42">
        <f>D58</f>
      </c>
      <c r="F49" s="66" t="s">
        <v>126</v>
      </c>
      <c r="G49" s="41"/>
      <c r="H49" s="41"/>
      <c r="I49" s="67">
        <v>0</v>
      </c>
      <c r="J49" s="68">
        <v>0</v>
      </c>
      <c r="K49" s="147">
        <f t="shared" si="0"/>
      </c>
    </row>
    <row r="50" spans="1:22" ht="15.6" x14ac:dyDescent="0.3">
      <c r="A50" s="35"/>
      <c r="B50" s="132"/>
      <c r="C50" s="59" t="s">
        <v>110</v>
      </c>
      <c r="D50" s="57">
        <f>IF(I23="Enterprise value",I38,SUM(D41,D44:D47)-SUM(D48:D49))</f>
      </c>
      <c r="F50" s="66" t="s">
        <v>127</v>
      </c>
      <c r="G50" s="41"/>
      <c r="H50" s="41"/>
      <c r="I50" s="67">
        <v>0</v>
      </c>
      <c r="J50" s="68">
        <v>0</v>
      </c>
      <c r="K50" s="147">
        <f t="shared" si="0"/>
      </c>
    </row>
    <row r="51" spans="1:22" ht="15.6" x14ac:dyDescent="0.3">
      <c r="A51" s="35"/>
      <c r="B51" s="132"/>
      <c r="C51" s="70"/>
      <c r="D51" s="56"/>
      <c r="F51" s="66" t="s">
        <v>128</v>
      </c>
      <c r="G51" s="41"/>
      <c r="H51" s="41"/>
      <c r="I51" s="67">
        <v>0</v>
      </c>
      <c r="J51" s="68">
        <v>0</v>
      </c>
      <c r="K51" s="147">
        <f t="shared" si="0"/>
      </c>
    </row>
    <row r="52" spans="1:22" ht="17.399999999999999" x14ac:dyDescent="0.25">
      <c r="A52" s="129" t="s">
        <v>129</v>
      </c>
      <c r="B52" s="129"/>
      <c r="C52" s="130"/>
      <c r="F52" s="56" t="s">
        <v>130</v>
      </c>
      <c r="I52" s="49"/>
      <c r="J52" s="49"/>
      <c r="K52" s="71">
        <f>SUM(K42:K51)</f>
      </c>
    </row>
    <row r="53" spans="1:22" ht="13.8" x14ac:dyDescent="0.25">
      <c r="B53" s="132"/>
    </row>
    <row r="54" spans="1:22" ht="13.8" x14ac:dyDescent="0.25">
      <c r="B54" s="131" t="s">
        <v>131</v>
      </c>
      <c r="D54" s="148">
        <f>D30</f>
      </c>
      <c r="E54" s="100"/>
      <c r="F54" s="100"/>
      <c r="G54" s="100"/>
      <c r="H54" s="100"/>
      <c r="I54" s="148">
        <f>D54</f>
      </c>
    </row>
    <row r="55" spans="1:22" ht="13.8" x14ac:dyDescent="0.25">
      <c r="B55" s="132"/>
      <c r="C55" s="40" t="s">
        <v>28</v>
      </c>
      <c r="D55" s="50">
        <f>39.421</f>
      </c>
      <c r="F55" s="40" t="s">
        <v>132</v>
      </c>
      <c r="I55" s="50">
        <f>2089.244+46.336</f>
      </c>
      <c r="M55" s="41"/>
      <c r="N55" s="72"/>
      <c r="O55" s="73"/>
      <c r="P55" s="73"/>
      <c r="Q55" s="73"/>
      <c r="R55" s="73"/>
      <c r="S55" s="41"/>
      <c r="T55" s="74"/>
      <c r="U55" s="74"/>
      <c r="V55" s="74"/>
    </row>
    <row r="56" spans="1:22" ht="13.8" x14ac:dyDescent="0.25">
      <c r="B56" s="132"/>
      <c r="C56" s="40" t="s">
        <v>133</v>
      </c>
      <c r="D56" s="50">
        <v>0</v>
      </c>
      <c r="F56" s="40" t="s">
        <v>134</v>
      </c>
      <c r="I56" s="45">
        <v>0</v>
      </c>
      <c r="M56" s="41"/>
      <c r="N56" s="72"/>
      <c r="O56" s="73"/>
      <c r="P56" s="73"/>
      <c r="Q56" s="73"/>
      <c r="R56" s="73"/>
      <c r="S56" s="41"/>
      <c r="T56" s="74"/>
      <c r="U56" s="74"/>
      <c r="V56" s="74"/>
    </row>
    <row r="57" spans="1:22" ht="13.8" x14ac:dyDescent="0.25">
      <c r="B57" s="132"/>
      <c r="C57" s="40" t="s">
        <v>135</v>
      </c>
      <c r="D57" s="75">
        <f>28.941</f>
      </c>
      <c r="F57" s="40" t="s">
        <v>136</v>
      </c>
      <c r="I57" s="54">
        <f>4305.733-SUM(I55:I56,I58:I60)</f>
      </c>
      <c r="M57" s="41"/>
      <c r="N57" s="41"/>
      <c r="O57" s="41"/>
      <c r="P57" s="41"/>
      <c r="Q57" s="41"/>
      <c r="R57" s="41"/>
      <c r="S57" s="36"/>
    </row>
    <row r="58" spans="1:22" ht="13.8" x14ac:dyDescent="0.25">
      <c r="B58" s="132"/>
      <c r="C58" s="40" t="s">
        <v>137</v>
      </c>
      <c r="D58" s="75">
        <v>0</v>
      </c>
      <c r="F58" s="40" t="s">
        <v>138</v>
      </c>
      <c r="I58" s="45">
        <f>1308.599</f>
      </c>
      <c r="J58" s="110"/>
      <c r="M58" s="41"/>
      <c r="N58" s="41"/>
      <c r="O58" s="41"/>
      <c r="P58" s="41"/>
      <c r="Q58" s="41"/>
      <c r="R58" s="41"/>
      <c r="S58" s="76"/>
    </row>
    <row r="59" spans="1:22" ht="13.8" x14ac:dyDescent="0.25">
      <c r="B59" s="132"/>
      <c r="C59" s="40" t="s">
        <v>139</v>
      </c>
      <c r="D59" s="75">
        <f>4305.733-SUM(D55:D58)</f>
      </c>
      <c r="F59" s="40" t="s">
        <v>140</v>
      </c>
      <c r="I59" s="45">
        <v>0</v>
      </c>
      <c r="J59" s="77"/>
    </row>
    <row r="60" spans="1:22" ht="13.8" x14ac:dyDescent="0.25">
      <c r="B60" s="132"/>
      <c r="F60" s="40" t="s">
        <v>141</v>
      </c>
      <c r="I60" s="45">
        <v>0</v>
      </c>
      <c r="J60" s="77"/>
    </row>
    <row r="61" spans="1:22" ht="13.8" x14ac:dyDescent="0.25">
      <c r="B61" s="132"/>
      <c r="C61" s="78" t="s">
        <v>142</v>
      </c>
      <c r="D61" s="49">
        <f>SUM(D55:D59)</f>
      </c>
      <c r="F61" s="78" t="s">
        <v>143</v>
      </c>
      <c r="I61" s="49">
        <f>SUM(I55:I60)</f>
      </c>
      <c r="J61" s="77"/>
    </row>
    <row r="62" spans="1:22" ht="13.8" x14ac:dyDescent="0.25">
      <c r="B62" s="132"/>
      <c r="C62" s="79" t="s">
        <v>144</v>
      </c>
      <c r="D62" s="80" t="str">
        <f>IF(D61=I61,"OK",D61-I61)</f>
      </c>
      <c r="J62" s="77"/>
    </row>
    <row r="63" spans="1:22" ht="13.8" x14ac:dyDescent="0.25">
      <c r="B63" s="132"/>
      <c r="J63" s="81"/>
    </row>
    <row r="64" spans="1:22" ht="13.8" x14ac:dyDescent="0.25">
      <c r="B64" s="132" t="s">
        <v>145</v>
      </c>
      <c r="D64" s="149">
        <f>YEAR($D$29)</f>
      </c>
      <c r="E64" s="148" t="str">
        <f>YEAR($D$30)-1&amp;" "&amp;$D$32&amp;"Q"</f>
      </c>
      <c r="F64" s="148" t="str">
        <f>YEAR($D$30)&amp;" "&amp;$D$32&amp;"Q"</f>
      </c>
      <c r="G64" s="148" t="s">
        <v>16</v>
      </c>
      <c r="H64" s="110"/>
    </row>
    <row r="65" spans="2:8" x14ac:dyDescent="0.25">
      <c r="B65" s="41"/>
      <c r="C65" s="41" t="s">
        <v>76</v>
      </c>
      <c r="D65" s="150">
        <f>3866.295</f>
      </c>
      <c r="E65" s="50">
        <f>911.142</f>
      </c>
      <c r="F65" s="50">
        <f>1039.695</f>
      </c>
      <c r="G65" s="110">
        <f>D65-E65+F65</f>
      </c>
    </row>
    <row r="67" spans="2:8" x14ac:dyDescent="0.25">
      <c r="B67" s="41"/>
      <c r="C67" s="41" t="s">
        <v>146</v>
      </c>
      <c r="D67" s="83">
        <f>332.206</f>
      </c>
      <c r="E67" s="84">
        <f>70.07</f>
      </c>
      <c r="F67" s="84">
        <f>83.837</f>
      </c>
    </row>
    <row r="68" spans="2:8" x14ac:dyDescent="0.25">
      <c r="B68" s="41"/>
      <c r="C68" s="85" t="s">
        <v>162</v>
      </c>
      <c r="D68" s="50">
        <f>11.7+3.1+3.7+9.8-7.9</f>
      </c>
      <c r="E68" s="50">
        <v>0</v>
      </c>
      <c r="F68" s="50">
        <f>2.2+6</f>
      </c>
    </row>
    <row r="69" spans="2:8" x14ac:dyDescent="0.25">
      <c r="B69" s="41"/>
      <c r="C69" s="85" t="s">
        <v>163</v>
      </c>
      <c r="D69" s="50">
        <v>0</v>
      </c>
      <c r="E69" s="50">
        <v>0</v>
      </c>
      <c r="F69" s="50">
        <v>0</v>
      </c>
    </row>
    <row r="70" spans="2:8" x14ac:dyDescent="0.25">
      <c r="B70" s="41"/>
      <c r="C70" s="85" t="s">
        <v>164</v>
      </c>
      <c r="D70" s="50">
        <v>0</v>
      </c>
      <c r="E70" s="50">
        <v>0</v>
      </c>
      <c r="F70" s="50">
        <v>0</v>
      </c>
    </row>
    <row r="71" spans="2:8" x14ac:dyDescent="0.25">
      <c r="B71" s="41"/>
      <c r="C71" s="85" t="s">
        <v>165</v>
      </c>
      <c r="D71" s="50">
        <v>0</v>
      </c>
      <c r="E71" s="50">
        <v>0</v>
      </c>
      <c r="F71" s="50">
        <v>0</v>
      </c>
    </row>
    <row r="72" spans="2:8" x14ac:dyDescent="0.25">
      <c r="B72" s="41"/>
      <c r="C72" s="85" t="s">
        <v>166</v>
      </c>
      <c r="D72" s="50">
        <v>0</v>
      </c>
      <c r="E72" s="50">
        <v>0</v>
      </c>
      <c r="F72" s="50">
        <v>0</v>
      </c>
    </row>
    <row r="73" spans="2:8" x14ac:dyDescent="0.25">
      <c r="B73" s="41"/>
      <c r="C73" s="85" t="s">
        <v>152</v>
      </c>
      <c r="D73" s="50">
        <v>0</v>
      </c>
      <c r="E73" s="50">
        <v>0</v>
      </c>
      <c r="F73" s="50">
        <v>0</v>
      </c>
    </row>
    <row r="74" spans="2:8" x14ac:dyDescent="0.25">
      <c r="B74" s="41"/>
      <c r="C74" s="85" t="s">
        <v>153</v>
      </c>
      <c r="D74" s="50">
        <v>0</v>
      </c>
      <c r="E74" s="50">
        <v>0</v>
      </c>
      <c r="F74" s="50">
        <v>0</v>
      </c>
    </row>
    <row r="75" spans="2:8" x14ac:dyDescent="0.25">
      <c r="B75" s="41"/>
      <c r="C75" s="85" t="s">
        <v>154</v>
      </c>
      <c r="D75" s="50">
        <v>0</v>
      </c>
      <c r="E75" s="50">
        <v>0</v>
      </c>
      <c r="F75" s="50">
        <v>0</v>
      </c>
    </row>
    <row r="76" spans="2:8" s="49" customFormat="1" x14ac:dyDescent="0.25">
      <c r="B76" s="56"/>
      <c r="C76" s="86" t="s">
        <v>78</v>
      </c>
      <c r="D76" s="56">
        <f>SUM(D67:D75)</f>
      </c>
      <c r="E76" s="56">
        <f>SUM(E67:E75)</f>
      </c>
      <c r="F76" s="56">
        <f>SUM(F67:F75)</f>
      </c>
      <c r="G76" s="87">
        <f>D76-E76+F76</f>
      </c>
      <c r="H76" s="40"/>
    </row>
    <row r="77" spans="2:8" x14ac:dyDescent="0.25">
      <c r="B77" s="41"/>
    </row>
    <row r="78" spans="2:8" x14ac:dyDescent="0.25">
      <c r="B78" s="41"/>
      <c r="C78" s="41" t="s">
        <v>155</v>
      </c>
      <c r="D78" s="50">
        <f>120.019</f>
      </c>
      <c r="E78" s="50">
        <v>27.53</v>
      </c>
      <c r="F78" s="50">
        <v>33.44</v>
      </c>
      <c r="G78" s="110">
        <f>D78-E78+F78</f>
      </c>
    </row>
    <row r="79" spans="2:8" s="49" customFormat="1" x14ac:dyDescent="0.25">
      <c r="B79" s="56"/>
      <c r="C79" s="86" t="s">
        <v>19</v>
      </c>
      <c r="D79" s="56">
        <f>D76+D78</f>
      </c>
      <c r="E79" s="56">
        <f>E76+E78</f>
      </c>
      <c r="F79" s="56">
        <f>F76+F78</f>
      </c>
      <c r="G79" s="87">
        <f>D79-E79+F79</f>
      </c>
    </row>
    <row r="80" spans="2:8" x14ac:dyDescent="0.25">
      <c r="B80" s="41"/>
    </row>
  </sheetData>
  <conditionalFormatting sqref="D41:D49">
    <cfRule type="expression" dxfId="100" priority="14" stopIfTrue="1">
      <formula>$I$23="Enterprise value"</formula>
    </cfRule>
  </conditionalFormatting>
  <conditionalFormatting sqref="F24:F31 F33 K40:K51 I41:J41 C41:C49 F46:H46 F52:K52">
    <cfRule type="expression" dxfId="99" priority="15" stopIfTrue="1">
      <formula>$I$23="Enterprise value"</formula>
    </cfRule>
  </conditionalFormatting>
  <conditionalFormatting sqref="F35:F38">
    <cfRule type="expression" dxfId="98" priority="16" stopIfTrue="1">
      <formula>$I$23="Share price"</formula>
    </cfRule>
  </conditionalFormatting>
  <conditionalFormatting sqref="F42:F51">
    <cfRule type="expression" dxfId="97" priority="2" stopIfTrue="1">
      <formula>$I$23="Enterprise value"</formula>
    </cfRule>
  </conditionalFormatting>
  <conditionalFormatting sqref="F40:H44 G45:H45">
    <cfRule type="expression" dxfId="96" priority="6" stopIfTrue="1">
      <formula>$I$23="Enterprise value"</formula>
    </cfRule>
  </conditionalFormatting>
  <conditionalFormatting sqref="I25:I33">
    <cfRule type="expression" dxfId="95" priority="7" stopIfTrue="1">
      <formula>$I$23="Enterprise value"</formula>
    </cfRule>
  </conditionalFormatting>
  <conditionalFormatting sqref="I36:I38">
    <cfRule type="expression" dxfId="94" priority="12" stopIfTrue="1">
      <formula>$I$23="Share price"</formula>
    </cfRule>
  </conditionalFormatting>
  <conditionalFormatting sqref="I40:J40">
    <cfRule type="expression" dxfId="93" priority="11" stopIfTrue="1">
      <formula>$I$23="Enterprise value"</formula>
    </cfRule>
  </conditionalFormatting>
  <conditionalFormatting sqref="I42:J51">
    <cfRule type="expression" dxfId="92" priority="1" stopIfTrue="1">
      <formula>$I$23="Enterprise value"</formula>
    </cfRule>
  </conditionalFormatting>
  <dataValidations count="3">
    <dataValidation type="list" allowBlank="1" showInputMessage="1" showErrorMessage="1" sqref="I23" xr:uid="{00000000-0002-0000-0300-000000000000}">
      <formula1>"Share price,Enterprise value"</formula1>
    </dataValidation>
    <dataValidation type="list" allowBlank="1" showInputMessage="1" showErrorMessage="1" prompt="Input 1, 2 or 3 to indicate which quarter data has been spread. Leave blank if annual data." sqref="D32" xr:uid="{00000000-0002-0000-0300-000001000000}">
      <formula1>"1,2,3,,"</formula1>
    </dataValidation>
    <dataValidation type="list" allowBlank="1" showInputMessage="1" showErrorMessage="1" sqref="D31" xr:uid="{00000000-0002-0000-0300-000002000000}">
      <formula1>"10K,10Q,8K,Annual,Interim"</formula1>
    </dataValidation>
  </dataValidations>
  <pageMargins left="0.74803149606299213" right="0.74803149606299213" top="0.98425196850393704" bottom="0.98425196850393704" header="0.51181102362204722" footer="0.51181102362204722"/>
  <pageSetup paperSize="9" scale="58" orientation="portrait" r:id="rId1"/>
  <headerFooter alignWithMargins="0">
    <oddFooter>&amp;R&amp;8&amp;P of &amp;N</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X80"/>
  <sheetViews>
    <sheetView showGridLines="0" zoomScaleNormal="100" workbookViewId="0"/>
  </sheetViews>
  <sheetFormatPr defaultColWidth="9" defaultRowHeight="13.2" x14ac:dyDescent="0.25"/>
  <cols>
    <col min="1" max="2" width="1.77734375" style="40" customWidth="1"/>
    <col min="3" max="3" width="40.77734375" style="40" customWidth="1"/>
    <col min="4" max="4" width="12" style="40" customWidth="1"/>
    <col min="5" max="7" width="11.21875" style="40" customWidth="1"/>
    <col min="8" max="8" width="19.21875" style="40" customWidth="1"/>
    <col min="9" max="9" width="15.77734375" style="40" bestFit="1" customWidth="1"/>
    <col min="10" max="11" width="11.5546875" style="40" bestFit="1" customWidth="1"/>
    <col min="12" max="13" width="9" style="40"/>
    <col min="14" max="14" width="19.44140625" style="40" customWidth="1"/>
    <col min="15" max="15" width="11.21875" style="40" bestFit="1" customWidth="1"/>
    <col min="16" max="16" width="9.5546875" style="40" bestFit="1" customWidth="1"/>
    <col min="17" max="19" width="9.21875" style="40" bestFit="1" customWidth="1"/>
    <col min="20" max="20" width="11.21875" style="40" bestFit="1" customWidth="1"/>
    <col min="21" max="21" width="9.5546875" style="40" bestFit="1" customWidth="1"/>
    <col min="22" max="22" width="14.44140625" style="40" bestFit="1" customWidth="1"/>
    <col min="23" max="24" width="14.77734375" style="40" bestFit="1" customWidth="1"/>
    <col min="25" max="16384" width="9" style="40"/>
  </cols>
  <sheetData>
    <row r="1" spans="1:14" s="151" customFormat="1" ht="17.399999999999999" x14ac:dyDescent="0.3">
      <c r="A1" s="120" t="str">
        <f>"Comparable transactions analysis - "&amp;D23&amp;" / "&amp;D24</f>
      </c>
      <c r="B1" s="120"/>
      <c r="C1" s="121"/>
      <c r="D1" s="121"/>
      <c r="E1" s="121"/>
      <c r="F1" s="121"/>
      <c r="G1" s="121"/>
      <c r="H1" s="121"/>
      <c r="I1" s="121"/>
      <c r="J1" s="121"/>
      <c r="K1" s="121"/>
      <c r="L1" s="121"/>
      <c r="M1" s="122"/>
      <c r="N1" s="122"/>
    </row>
    <row r="2" spans="1:14" s="151" customFormat="1" ht="18" thickBot="1" x14ac:dyDescent="0.35">
      <c r="A2" s="128" t="str">
        <f>"Input sheet (all numbers in millions "&amp;D27&amp;" unless otherwise stated)"</f>
      </c>
      <c r="B2" s="127"/>
      <c r="C2" s="127"/>
      <c r="D2" s="127"/>
      <c r="E2" s="127"/>
      <c r="F2" s="127"/>
      <c r="G2" s="127"/>
      <c r="H2" s="127"/>
      <c r="I2" s="127"/>
      <c r="J2" s="127"/>
      <c r="K2" s="127"/>
      <c r="L2" s="127"/>
      <c r="M2" s="127"/>
      <c r="N2" s="152"/>
    </row>
    <row r="3" spans="1:14" ht="13.8" thickTop="1" x14ac:dyDescent="0.25">
      <c r="B3" s="41"/>
    </row>
    <row r="4" spans="1:14" ht="17.399999999999999" x14ac:dyDescent="0.25">
      <c r="A4" s="129" t="s">
        <v>72</v>
      </c>
      <c r="B4" s="129"/>
      <c r="C4" s="130"/>
    </row>
    <row r="5" spans="1:14" ht="13.8" x14ac:dyDescent="0.25">
      <c r="B5" s="131" t="s">
        <v>73</v>
      </c>
      <c r="C5" s="41"/>
    </row>
    <row r="6" spans="1:14" ht="13.8" x14ac:dyDescent="0.25">
      <c r="B6" s="131"/>
      <c r="C6" s="41" t="str">
        <f>F25</f>
      </c>
      <c r="D6" s="37">
        <f>IF(Driver="Enterprise value","na",I25)</f>
      </c>
    </row>
    <row r="7" spans="1:14" ht="13.8" x14ac:dyDescent="0.25">
      <c r="B7" s="131"/>
      <c r="C7" s="41" t="s">
        <v>27</v>
      </c>
      <c r="D7" s="38">
        <f>IF(OR(Driver="Enterprise Value",I25=0),"na",I25/I26-1)</f>
      </c>
    </row>
    <row r="8" spans="1:14" ht="13.8" x14ac:dyDescent="0.25">
      <c r="B8" s="132"/>
      <c r="C8" s="133" t="str">
        <f>C41</f>
      </c>
      <c r="D8" s="39">
        <f>IF(Driver="Enterprise value","na",I33*FX)</f>
      </c>
      <c r="E8" s="41"/>
      <c r="F8" s="134"/>
    </row>
    <row r="9" spans="1:14" ht="13.8" x14ac:dyDescent="0.25">
      <c r="B9" s="132"/>
      <c r="C9" s="133" t="str">
        <f>C50</f>
      </c>
      <c r="D9" s="135">
        <f>D50*FX</f>
      </c>
    </row>
    <row r="10" spans="1:14" ht="13.8" x14ac:dyDescent="0.25">
      <c r="B10" s="132"/>
      <c r="C10" s="133"/>
    </row>
    <row r="11" spans="1:14" ht="13.8" x14ac:dyDescent="0.25">
      <c r="B11" s="131" t="s">
        <v>74</v>
      </c>
      <c r="C11" s="133"/>
      <c r="D11" s="136" t="s">
        <v>16</v>
      </c>
      <c r="E11" s="136" t="s">
        <v>75</v>
      </c>
    </row>
    <row r="12" spans="1:14" ht="13.8" x14ac:dyDescent="0.25">
      <c r="B12" s="132"/>
      <c r="C12" s="41" t="s">
        <v>76</v>
      </c>
      <c r="D12" s="42">
        <f>G65*FX</f>
      </c>
      <c r="E12" s="137" t="s">
        <v>77</v>
      </c>
    </row>
    <row r="13" spans="1:14" ht="13.8" x14ac:dyDescent="0.25">
      <c r="B13" s="132"/>
      <c r="C13" s="43" t="s">
        <v>78</v>
      </c>
      <c r="D13" s="42">
        <f>G76*FX</f>
      </c>
      <c r="E13" s="138">
        <f>D13/D12</f>
      </c>
    </row>
    <row r="14" spans="1:14" ht="13.8" x14ac:dyDescent="0.25">
      <c r="B14" s="132"/>
      <c r="C14" s="43" t="s">
        <v>19</v>
      </c>
      <c r="D14" s="42">
        <f>G79*FX</f>
      </c>
      <c r="E14" s="138">
        <f>D14/D12</f>
      </c>
    </row>
    <row r="15" spans="1:14" ht="13.8" x14ac:dyDescent="0.25">
      <c r="B15" s="139"/>
      <c r="D15" s="140"/>
    </row>
    <row r="16" spans="1:14" ht="13.8" x14ac:dyDescent="0.25">
      <c r="B16" s="131" t="s">
        <v>79</v>
      </c>
    </row>
    <row r="17" spans="1:24" x14ac:dyDescent="0.25">
      <c r="C17" s="40" t="s">
        <v>80</v>
      </c>
      <c r="D17" s="44">
        <f>$D$9/D12</f>
      </c>
    </row>
    <row r="18" spans="1:24" x14ac:dyDescent="0.25">
      <c r="C18" s="40" t="s">
        <v>81</v>
      </c>
      <c r="D18" s="44">
        <f>$D$9/D13</f>
      </c>
    </row>
    <row r="19" spans="1:24" x14ac:dyDescent="0.25">
      <c r="C19" s="40" t="s">
        <v>21</v>
      </c>
      <c r="D19" s="44">
        <f>$D$9/D14</f>
      </c>
    </row>
    <row r="20" spans="1:24" x14ac:dyDescent="0.25">
      <c r="D20" s="140"/>
    </row>
    <row r="21" spans="1:24" ht="17.399999999999999" x14ac:dyDescent="0.25">
      <c r="A21" s="129" t="s">
        <v>82</v>
      </c>
      <c r="B21" s="129"/>
      <c r="C21" s="130"/>
      <c r="I21" s="141"/>
    </row>
    <row r="22" spans="1:24" ht="13.8" x14ac:dyDescent="0.25">
      <c r="A22" s="36"/>
      <c r="B22" s="131" t="s">
        <v>83</v>
      </c>
      <c r="C22" s="41"/>
      <c r="D22" s="41"/>
      <c r="F22" s="131" t="s">
        <v>84</v>
      </c>
    </row>
    <row r="23" spans="1:24" ht="13.8" x14ac:dyDescent="0.25">
      <c r="B23" s="132"/>
      <c r="C23" s="41" t="s">
        <v>85</v>
      </c>
      <c r="D23" s="45" t="s">
        <v>44</v>
      </c>
      <c r="E23" s="41"/>
      <c r="F23" s="40" t="s">
        <v>86</v>
      </c>
      <c r="I23" s="45" t="s">
        <v>87</v>
      </c>
    </row>
    <row r="24" spans="1:24" ht="13.8" x14ac:dyDescent="0.25">
      <c r="B24" s="132"/>
      <c r="C24" s="41" t="s">
        <v>88</v>
      </c>
      <c r="D24" s="45" t="s">
        <v>167</v>
      </c>
      <c r="E24" s="41"/>
      <c r="F24" s="36" t="s">
        <v>90</v>
      </c>
    </row>
    <row r="25" spans="1:24" ht="13.8" x14ac:dyDescent="0.25">
      <c r="B25" s="132"/>
      <c r="C25" s="41" t="s">
        <v>91</v>
      </c>
      <c r="D25" s="46">
        <v>42088</v>
      </c>
      <c r="E25" s="41"/>
      <c r="F25" s="41" t="s">
        <v>92</v>
      </c>
      <c r="I25" s="47">
        <v>83.17</v>
      </c>
      <c r="K25" s="142"/>
    </row>
    <row r="26" spans="1:24" ht="13.8" x14ac:dyDescent="0.25">
      <c r="B26" s="132"/>
      <c r="C26" s="133" t="s">
        <v>93</v>
      </c>
      <c r="D26" s="48">
        <v>42187</v>
      </c>
      <c r="E26" s="41"/>
      <c r="F26" s="133" t="s">
        <v>94</v>
      </c>
      <c r="I26" s="47">
        <v>61.33</v>
      </c>
      <c r="W26" s="49"/>
      <c r="X26" s="49"/>
    </row>
    <row r="27" spans="1:24" ht="13.8" x14ac:dyDescent="0.25">
      <c r="B27" s="132"/>
      <c r="C27" s="133" t="s">
        <v>10</v>
      </c>
      <c r="D27" s="50" t="s">
        <v>11</v>
      </c>
      <c r="E27" s="41"/>
      <c r="F27" s="133" t="s">
        <v>95</v>
      </c>
      <c r="I27" s="47">
        <v>61.7</v>
      </c>
      <c r="W27" s="49"/>
      <c r="X27" s="49"/>
    </row>
    <row r="28" spans="1:24" ht="13.8" x14ac:dyDescent="0.25">
      <c r="B28" s="132"/>
      <c r="C28" s="133" t="s">
        <v>96</v>
      </c>
      <c r="D28" s="51">
        <v>1</v>
      </c>
      <c r="E28" s="41"/>
      <c r="F28" s="133" t="s">
        <v>97</v>
      </c>
      <c r="I28" s="52">
        <v>64.08</v>
      </c>
      <c r="W28" s="49"/>
      <c r="X28" s="49"/>
    </row>
    <row r="29" spans="1:24" ht="13.8" x14ac:dyDescent="0.25">
      <c r="B29" s="132"/>
      <c r="C29" s="133" t="s">
        <v>98</v>
      </c>
      <c r="D29" s="53">
        <v>42000</v>
      </c>
      <c r="E29" s="41"/>
      <c r="F29" s="41" t="s">
        <v>99</v>
      </c>
      <c r="I29" s="54">
        <f>587.988695</f>
      </c>
      <c r="W29" s="49"/>
      <c r="X29" s="49"/>
    </row>
    <row r="30" spans="1:24" ht="13.8" x14ac:dyDescent="0.25">
      <c r="B30" s="132"/>
      <c r="C30" s="133" t="s">
        <v>100</v>
      </c>
      <c r="D30" s="53">
        <f>D29</f>
      </c>
      <c r="E30" s="41"/>
      <c r="F30" s="41" t="s">
        <v>101</v>
      </c>
      <c r="I30" s="42">
        <f>K52</f>
      </c>
      <c r="W30" s="49"/>
      <c r="X30" s="49"/>
    </row>
    <row r="31" spans="1:24" ht="13.8" x14ac:dyDescent="0.25">
      <c r="B31" s="132"/>
      <c r="C31" s="133" t="s">
        <v>102</v>
      </c>
      <c r="D31" s="50" t="s">
        <v>103</v>
      </c>
      <c r="E31" s="41"/>
      <c r="F31" s="41" t="s">
        <v>104</v>
      </c>
      <c r="I31" s="42">
        <f>I29+I30</f>
      </c>
      <c r="W31" s="49"/>
      <c r="X31" s="49"/>
    </row>
    <row r="32" spans="1:24" ht="13.8" x14ac:dyDescent="0.25">
      <c r="B32" s="132"/>
      <c r="C32" s="133" t="s">
        <v>105</v>
      </c>
      <c r="D32" s="55"/>
      <c r="E32" s="56"/>
      <c r="F32" s="40" t="s">
        <v>106</v>
      </c>
      <c r="I32" s="143">
        <v>0</v>
      </c>
      <c r="W32" s="49"/>
      <c r="X32" s="49"/>
    </row>
    <row r="33" spans="1:24" ht="13.8" x14ac:dyDescent="0.25">
      <c r="B33" s="132"/>
      <c r="E33" s="56"/>
      <c r="F33" s="49" t="s">
        <v>107</v>
      </c>
      <c r="I33" s="57">
        <f>I25*I31+I32</f>
      </c>
      <c r="L33" s="144"/>
      <c r="W33" s="49"/>
      <c r="X33" s="49"/>
    </row>
    <row r="34" spans="1:24" ht="13.8" x14ac:dyDescent="0.25">
      <c r="B34" s="132"/>
      <c r="C34" s="133" t="s">
        <v>108</v>
      </c>
      <c r="D34" s="145">
        <f>16.5/I25</f>
      </c>
      <c r="E34" s="56"/>
      <c r="W34" s="49"/>
      <c r="X34" s="49"/>
    </row>
    <row r="35" spans="1:24" ht="13.8" x14ac:dyDescent="0.25">
      <c r="B35" s="132"/>
      <c r="C35" s="133" t="s">
        <v>109</v>
      </c>
      <c r="D35" s="138">
        <f>1-D34</f>
      </c>
      <c r="E35" s="56"/>
      <c r="F35" s="131" t="s">
        <v>90</v>
      </c>
      <c r="W35" s="49"/>
      <c r="X35" s="49"/>
    </row>
    <row r="36" spans="1:24" ht="13.8" x14ac:dyDescent="0.25">
      <c r="B36" s="132"/>
      <c r="E36" s="56"/>
      <c r="F36" s="58" t="s">
        <v>110</v>
      </c>
      <c r="G36" s="59"/>
      <c r="H36" s="49"/>
      <c r="I36" s="50">
        <v>0</v>
      </c>
      <c r="W36" s="49"/>
      <c r="X36" s="49"/>
    </row>
    <row r="37" spans="1:24" ht="13.8" x14ac:dyDescent="0.25">
      <c r="B37" s="132"/>
      <c r="E37" s="56"/>
      <c r="F37" s="58" t="s">
        <v>111</v>
      </c>
      <c r="G37" s="59"/>
      <c r="H37" s="49"/>
      <c r="I37" s="60">
        <v>0</v>
      </c>
      <c r="W37" s="49"/>
      <c r="X37" s="49"/>
    </row>
    <row r="38" spans="1:24" ht="13.8" x14ac:dyDescent="0.25">
      <c r="B38" s="132"/>
      <c r="E38" s="56"/>
      <c r="F38" s="61" t="s">
        <v>112</v>
      </c>
      <c r="G38" s="59"/>
      <c r="H38" s="49"/>
      <c r="I38" s="62">
        <f>SUM(I36:I37)</f>
      </c>
      <c r="W38" s="49"/>
      <c r="X38" s="49"/>
    </row>
    <row r="39" spans="1:24" ht="13.8" x14ac:dyDescent="0.25">
      <c r="B39" s="132"/>
      <c r="E39" s="56"/>
      <c r="F39" s="133"/>
      <c r="G39" s="133"/>
      <c r="I39" s="41"/>
      <c r="W39" s="49"/>
      <c r="X39" s="49"/>
    </row>
    <row r="40" spans="1:24" ht="13.8" x14ac:dyDescent="0.25">
      <c r="B40" s="131" t="s">
        <v>113</v>
      </c>
      <c r="F40" s="131" t="s">
        <v>114</v>
      </c>
      <c r="I40" s="146">
        <f>YEAR($D$29)</f>
      </c>
      <c r="J40" s="146">
        <f>YEAR($D$29)</f>
      </c>
    </row>
    <row r="41" spans="1:24" ht="13.8" x14ac:dyDescent="0.25">
      <c r="A41" s="49"/>
      <c r="B41" s="131"/>
      <c r="C41" s="64" t="s">
        <v>107</v>
      </c>
      <c r="D41" s="57">
        <f>I33</f>
      </c>
      <c r="E41" s="49"/>
      <c r="I41" s="65" t="s">
        <v>115</v>
      </c>
      <c r="J41" s="65" t="s">
        <v>116</v>
      </c>
      <c r="K41" s="65" t="s">
        <v>117</v>
      </c>
    </row>
    <row r="42" spans="1:24" ht="13.8" x14ac:dyDescent="0.25">
      <c r="B42" s="132"/>
      <c r="C42" s="40" t="str">
        <f>F55</f>
      </c>
      <c r="D42" s="42">
        <f>I55</f>
      </c>
      <c r="F42" s="66" t="s">
        <v>118</v>
      </c>
      <c r="I42" s="67">
        <f>14.870166</f>
      </c>
      <c r="J42" s="68">
        <v>39.26</v>
      </c>
      <c r="K42" s="147">
        <f t="shared" ref="K42:K51" si="0">MAX(($I$25-J42)/$I$25*I42,0)</f>
      </c>
    </row>
    <row r="43" spans="1:24" ht="13.8" x14ac:dyDescent="0.25">
      <c r="B43" s="132"/>
      <c r="C43" s="41" t="str">
        <f>C55&amp;" and "&amp;LOWER(C56)</f>
      </c>
      <c r="D43" s="42">
        <f>D55</f>
      </c>
      <c r="F43" s="66" t="s">
        <v>159</v>
      </c>
      <c r="I43" s="67">
        <f>4.057652</f>
      </c>
      <c r="J43" s="68">
        <v>0</v>
      </c>
      <c r="K43" s="147">
        <f t="shared" si="0"/>
      </c>
    </row>
    <row r="44" spans="1:24" ht="13.8" x14ac:dyDescent="0.25">
      <c r="B44" s="132"/>
      <c r="C44" s="69" t="s">
        <v>120</v>
      </c>
      <c r="D44" s="57">
        <f>D42-D43</f>
      </c>
      <c r="F44" s="66" t="s">
        <v>168</v>
      </c>
      <c r="I44" s="67">
        <v>0</v>
      </c>
      <c r="J44" s="68">
        <v>0</v>
      </c>
      <c r="K44" s="147">
        <f t="shared" si="0"/>
      </c>
    </row>
    <row r="45" spans="1:24" ht="13.8" x14ac:dyDescent="0.25">
      <c r="B45" s="132"/>
      <c r="C45" s="41" t="str">
        <f>F56</f>
      </c>
      <c r="D45" s="42">
        <f>I56</f>
      </c>
      <c r="F45" s="66" t="s">
        <v>161</v>
      </c>
      <c r="G45" s="49"/>
      <c r="H45" s="49"/>
      <c r="I45" s="67">
        <v>0</v>
      </c>
      <c r="J45" s="68">
        <v>0</v>
      </c>
      <c r="K45" s="147">
        <f t="shared" si="0"/>
      </c>
    </row>
    <row r="46" spans="1:24" ht="13.8" x14ac:dyDescent="0.25">
      <c r="B46" s="132"/>
      <c r="C46" s="41" t="str">
        <f>F59</f>
      </c>
      <c r="D46" s="42">
        <f>I59</f>
      </c>
      <c r="F46" s="66" t="s">
        <v>123</v>
      </c>
      <c r="G46" s="49"/>
      <c r="H46" s="49"/>
      <c r="I46" s="67">
        <v>0</v>
      </c>
      <c r="J46" s="68">
        <v>0</v>
      </c>
      <c r="K46" s="147">
        <f t="shared" si="0"/>
      </c>
    </row>
    <row r="47" spans="1:24" ht="13.8" x14ac:dyDescent="0.25">
      <c r="B47" s="132"/>
      <c r="C47" s="41" t="str">
        <f>F60</f>
      </c>
      <c r="D47" s="42">
        <f>I60</f>
      </c>
      <c r="F47" s="66" t="s">
        <v>124</v>
      </c>
      <c r="I47" s="67">
        <v>0</v>
      </c>
      <c r="J47" s="68">
        <v>0</v>
      </c>
      <c r="K47" s="147">
        <f t="shared" si="0"/>
      </c>
    </row>
    <row r="48" spans="1:24" ht="12.75" customHeight="1" x14ac:dyDescent="0.3">
      <c r="A48" s="35"/>
      <c r="B48" s="132"/>
      <c r="C48" s="41" t="str">
        <f>C57</f>
      </c>
      <c r="D48" s="42">
        <f>D57</f>
      </c>
      <c r="F48" s="66" t="s">
        <v>125</v>
      </c>
      <c r="G48" s="41"/>
      <c r="H48" s="41"/>
      <c r="I48" s="67">
        <v>0</v>
      </c>
      <c r="J48" s="68">
        <v>0</v>
      </c>
      <c r="K48" s="147">
        <f t="shared" si="0"/>
      </c>
    </row>
    <row r="49" spans="1:22" ht="15.6" x14ac:dyDescent="0.3">
      <c r="A49" s="35"/>
      <c r="B49" s="132"/>
      <c r="C49" s="41" t="str">
        <f>C58</f>
      </c>
      <c r="D49" s="42">
        <f>D58</f>
      </c>
      <c r="F49" s="66" t="s">
        <v>126</v>
      </c>
      <c r="G49" s="41"/>
      <c r="H49" s="41"/>
      <c r="I49" s="67">
        <v>0</v>
      </c>
      <c r="J49" s="68">
        <v>0</v>
      </c>
      <c r="K49" s="147">
        <f t="shared" si="0"/>
      </c>
    </row>
    <row r="50" spans="1:22" ht="15.6" x14ac:dyDescent="0.3">
      <c r="A50" s="35"/>
      <c r="B50" s="132"/>
      <c r="C50" s="59" t="s">
        <v>110</v>
      </c>
      <c r="D50" s="57">
        <f>IF(I23="Enterprise value",I38,SUM(D41,D44:D47)-SUM(D48:D49))</f>
      </c>
      <c r="F50" s="66" t="s">
        <v>127</v>
      </c>
      <c r="G50" s="41"/>
      <c r="H50" s="41"/>
      <c r="I50" s="67">
        <v>0</v>
      </c>
      <c r="J50" s="68">
        <v>0</v>
      </c>
      <c r="K50" s="147">
        <f t="shared" si="0"/>
      </c>
    </row>
    <row r="51" spans="1:22" ht="15.6" x14ac:dyDescent="0.3">
      <c r="A51" s="35"/>
      <c r="B51" s="132"/>
      <c r="C51" s="70"/>
      <c r="D51" s="56"/>
      <c r="F51" s="66" t="s">
        <v>128</v>
      </c>
      <c r="G51" s="41"/>
      <c r="H51" s="41"/>
      <c r="I51" s="67">
        <v>0</v>
      </c>
      <c r="J51" s="68">
        <v>0</v>
      </c>
      <c r="K51" s="147">
        <f t="shared" si="0"/>
      </c>
    </row>
    <row r="52" spans="1:22" ht="17.399999999999999" x14ac:dyDescent="0.25">
      <c r="A52" s="129" t="s">
        <v>129</v>
      </c>
      <c r="B52" s="129"/>
      <c r="C52" s="130"/>
      <c r="F52" s="56" t="s">
        <v>130</v>
      </c>
      <c r="I52" s="49"/>
      <c r="J52" s="49"/>
      <c r="K52" s="71">
        <f>SUM(K42:K51)</f>
      </c>
    </row>
    <row r="53" spans="1:22" ht="13.8" x14ac:dyDescent="0.25">
      <c r="B53" s="132"/>
    </row>
    <row r="54" spans="1:22" ht="13.8" x14ac:dyDescent="0.25">
      <c r="B54" s="131" t="s">
        <v>131</v>
      </c>
      <c r="D54" s="148">
        <f>D30</f>
      </c>
      <c r="E54" s="100"/>
      <c r="F54" s="100"/>
      <c r="G54" s="100"/>
      <c r="H54" s="100"/>
      <c r="I54" s="148">
        <f>D54</f>
      </c>
    </row>
    <row r="55" spans="1:22" ht="13.8" x14ac:dyDescent="0.25">
      <c r="B55" s="132"/>
      <c r="C55" s="40" t="s">
        <v>28</v>
      </c>
      <c r="D55" s="50">
        <f>1293-324</f>
      </c>
      <c r="F55" s="40" t="s">
        <v>132</v>
      </c>
      <c r="I55" s="50">
        <f>8627+1405</f>
      </c>
      <c r="M55" s="41"/>
      <c r="N55" s="72"/>
      <c r="O55" s="73"/>
      <c r="P55" s="73"/>
      <c r="Q55" s="73"/>
      <c r="R55" s="73"/>
      <c r="S55" s="41"/>
      <c r="T55" s="74"/>
      <c r="U55" s="74"/>
      <c r="V55" s="74"/>
    </row>
    <row r="56" spans="1:22" ht="13.8" x14ac:dyDescent="0.25">
      <c r="B56" s="132"/>
      <c r="C56" s="40" t="s">
        <v>133</v>
      </c>
      <c r="D56" s="50">
        <v>0</v>
      </c>
      <c r="F56" s="40" t="s">
        <v>134</v>
      </c>
      <c r="I56" s="45">
        <v>0</v>
      </c>
      <c r="M56" s="41"/>
      <c r="N56" s="72"/>
      <c r="O56" s="73"/>
      <c r="P56" s="73"/>
      <c r="Q56" s="73"/>
      <c r="R56" s="73"/>
      <c r="S56" s="41"/>
      <c r="T56" s="74"/>
      <c r="U56" s="74"/>
      <c r="V56" s="74"/>
    </row>
    <row r="57" spans="1:22" ht="13.8" x14ac:dyDescent="0.25">
      <c r="B57" s="132"/>
      <c r="C57" s="40" t="s">
        <v>135</v>
      </c>
      <c r="D57" s="75">
        <v>0</v>
      </c>
      <c r="F57" s="40" t="s">
        <v>136</v>
      </c>
      <c r="I57" s="54">
        <f>338+3399+1105+340+641+192+163+511+1537</f>
      </c>
      <c r="M57" s="41"/>
      <c r="N57" s="41"/>
      <c r="O57" s="41"/>
      <c r="P57" s="41"/>
      <c r="Q57" s="41"/>
      <c r="R57" s="41"/>
      <c r="S57" s="36"/>
    </row>
    <row r="58" spans="1:22" ht="13.8" x14ac:dyDescent="0.25">
      <c r="B58" s="132"/>
      <c r="C58" s="40" t="s">
        <v>137</v>
      </c>
      <c r="D58" s="75">
        <v>0</v>
      </c>
      <c r="F58" s="40" t="s">
        <v>138</v>
      </c>
      <c r="I58" s="45">
        <f>4365</f>
      </c>
      <c r="J58" s="110"/>
      <c r="M58" s="41"/>
      <c r="N58" s="41"/>
      <c r="O58" s="41"/>
      <c r="P58" s="41"/>
      <c r="Q58" s="41"/>
      <c r="R58" s="41"/>
      <c r="S58" s="76"/>
    </row>
    <row r="59" spans="1:22" ht="13.8" x14ac:dyDescent="0.25">
      <c r="B59" s="132"/>
      <c r="C59" s="40" t="s">
        <v>139</v>
      </c>
      <c r="D59" s="75">
        <f>1080+1775+384+259+4192+11404+2234+326</f>
      </c>
      <c r="F59" s="40" t="s">
        <v>140</v>
      </c>
      <c r="I59" s="45">
        <v>0</v>
      </c>
      <c r="J59" s="77"/>
    </row>
    <row r="60" spans="1:22" ht="13.8" x14ac:dyDescent="0.25">
      <c r="B60" s="132"/>
      <c r="F60" s="40" t="s">
        <v>141</v>
      </c>
      <c r="I60" s="45">
        <v>0</v>
      </c>
      <c r="J60" s="77"/>
    </row>
    <row r="61" spans="1:22" ht="13.8" x14ac:dyDescent="0.25">
      <c r="B61" s="132"/>
      <c r="C61" s="78" t="s">
        <v>142</v>
      </c>
      <c r="D61" s="49">
        <f>SUM(D55:D59)</f>
      </c>
      <c r="F61" s="78" t="s">
        <v>143</v>
      </c>
      <c r="I61" s="49">
        <f>SUM(I55:I60)</f>
      </c>
      <c r="J61" s="77"/>
    </row>
    <row r="62" spans="1:22" ht="13.8" x14ac:dyDescent="0.25">
      <c r="B62" s="132"/>
      <c r="C62" s="79" t="s">
        <v>144</v>
      </c>
      <c r="D62" s="80" t="str">
        <f>IF(D61=I61,"OK",D61-I61)</f>
      </c>
      <c r="J62" s="77"/>
    </row>
    <row r="63" spans="1:22" ht="13.8" x14ac:dyDescent="0.25">
      <c r="B63" s="132"/>
      <c r="J63" s="81"/>
    </row>
    <row r="64" spans="1:22" ht="13.8" x14ac:dyDescent="0.25">
      <c r="B64" s="132" t="s">
        <v>145</v>
      </c>
      <c r="D64" s="149">
        <f>YEAR($D$29)</f>
      </c>
      <c r="E64" s="148" t="str">
        <f>YEAR($D$30)-1&amp;" "&amp;$D$32&amp;"Q"</f>
      </c>
      <c r="F64" s="148" t="str">
        <f>YEAR($D$30)&amp;" "&amp;$D$32&amp;"Q"</f>
      </c>
      <c r="G64" s="148" t="s">
        <v>16</v>
      </c>
      <c r="H64" s="110"/>
    </row>
    <row r="65" spans="2:8" x14ac:dyDescent="0.25">
      <c r="B65" s="41"/>
      <c r="C65" s="41" t="s">
        <v>76</v>
      </c>
      <c r="D65" s="150">
        <v>18205</v>
      </c>
      <c r="E65" s="50">
        <v>0</v>
      </c>
      <c r="F65" s="50">
        <v>0</v>
      </c>
      <c r="G65" s="110">
        <f>D65-E65+F65</f>
      </c>
    </row>
    <row r="67" spans="2:8" x14ac:dyDescent="0.25">
      <c r="B67" s="41"/>
      <c r="C67" s="41" t="s">
        <v>146</v>
      </c>
      <c r="D67" s="83">
        <v>1890</v>
      </c>
      <c r="E67" s="84">
        <v>0</v>
      </c>
      <c r="F67" s="84">
        <v>0</v>
      </c>
    </row>
    <row r="68" spans="2:8" x14ac:dyDescent="0.25">
      <c r="B68" s="41"/>
      <c r="C68" s="85" t="s">
        <v>169</v>
      </c>
      <c r="D68" s="50">
        <v>107</v>
      </c>
      <c r="E68" s="50">
        <v>0</v>
      </c>
      <c r="F68" s="50">
        <v>0</v>
      </c>
    </row>
    <row r="69" spans="2:8" x14ac:dyDescent="0.25">
      <c r="B69" s="41"/>
      <c r="C69" s="85" t="s">
        <v>170</v>
      </c>
      <c r="D69" s="50">
        <v>1341</v>
      </c>
      <c r="E69" s="50">
        <v>0</v>
      </c>
      <c r="F69" s="50">
        <v>0</v>
      </c>
    </row>
    <row r="70" spans="2:8" x14ac:dyDescent="0.25">
      <c r="B70" s="41"/>
      <c r="C70" s="85" t="s">
        <v>164</v>
      </c>
      <c r="D70" s="50">
        <v>0</v>
      </c>
      <c r="E70" s="50">
        <v>0</v>
      </c>
      <c r="F70" s="50">
        <v>0</v>
      </c>
    </row>
    <row r="71" spans="2:8" x14ac:dyDescent="0.25">
      <c r="B71" s="41"/>
      <c r="C71" s="85" t="s">
        <v>165</v>
      </c>
      <c r="D71" s="50">
        <v>0</v>
      </c>
      <c r="E71" s="50">
        <v>0</v>
      </c>
      <c r="F71" s="50">
        <v>0</v>
      </c>
    </row>
    <row r="72" spans="2:8" x14ac:dyDescent="0.25">
      <c r="B72" s="41"/>
      <c r="C72" s="85" t="s">
        <v>166</v>
      </c>
      <c r="D72" s="50">
        <v>0</v>
      </c>
      <c r="E72" s="50">
        <v>0</v>
      </c>
      <c r="F72" s="50">
        <v>0</v>
      </c>
    </row>
    <row r="73" spans="2:8" x14ac:dyDescent="0.25">
      <c r="B73" s="41"/>
      <c r="C73" s="85" t="s">
        <v>152</v>
      </c>
      <c r="D73" s="50">
        <v>0</v>
      </c>
      <c r="E73" s="50">
        <v>0</v>
      </c>
      <c r="F73" s="50">
        <v>0</v>
      </c>
    </row>
    <row r="74" spans="2:8" x14ac:dyDescent="0.25">
      <c r="B74" s="41"/>
      <c r="C74" s="85" t="s">
        <v>153</v>
      </c>
      <c r="D74" s="50">
        <v>0</v>
      </c>
      <c r="E74" s="50">
        <v>0</v>
      </c>
      <c r="F74" s="50">
        <v>0</v>
      </c>
    </row>
    <row r="75" spans="2:8" x14ac:dyDescent="0.25">
      <c r="B75" s="41"/>
      <c r="C75" s="85" t="s">
        <v>154</v>
      </c>
      <c r="D75" s="50">
        <v>0</v>
      </c>
      <c r="E75" s="50">
        <v>0</v>
      </c>
      <c r="F75" s="50">
        <v>0</v>
      </c>
    </row>
    <row r="76" spans="2:8" s="49" customFormat="1" x14ac:dyDescent="0.25">
      <c r="B76" s="56"/>
      <c r="C76" s="86" t="s">
        <v>78</v>
      </c>
      <c r="D76" s="56">
        <f>SUM(D67:D75)</f>
      </c>
      <c r="E76" s="56">
        <f>SUM(E67:E75)</f>
      </c>
      <c r="F76" s="56">
        <f>SUM(F67:F75)</f>
      </c>
      <c r="G76" s="87">
        <f>D76-E76+F76</f>
      </c>
      <c r="H76" s="40"/>
    </row>
    <row r="77" spans="2:8" x14ac:dyDescent="0.25">
      <c r="B77" s="41"/>
    </row>
    <row r="78" spans="2:8" x14ac:dyDescent="0.25">
      <c r="B78" s="41"/>
      <c r="C78" s="41" t="s">
        <v>155</v>
      </c>
      <c r="D78" s="50">
        <v>385</v>
      </c>
      <c r="E78" s="50">
        <v>0</v>
      </c>
      <c r="F78" s="50">
        <v>0</v>
      </c>
      <c r="G78" s="110">
        <f>D78-E78+F78</f>
      </c>
    </row>
    <row r="79" spans="2:8" s="49" customFormat="1" x14ac:dyDescent="0.25">
      <c r="B79" s="56"/>
      <c r="C79" s="86" t="s">
        <v>19</v>
      </c>
      <c r="D79" s="56">
        <f>D76+D78</f>
      </c>
      <c r="E79" s="56">
        <f>E76+E78</f>
      </c>
      <c r="F79" s="56">
        <f>F76+F78</f>
      </c>
      <c r="G79" s="87">
        <f>D79-E79+F79</f>
      </c>
    </row>
    <row r="80" spans="2:8" x14ac:dyDescent="0.25">
      <c r="B80" s="41"/>
    </row>
  </sheetData>
  <conditionalFormatting sqref="D41:D49 I42:J51">
    <cfRule type="expression" dxfId="91" priority="5" stopIfTrue="1">
      <formula>$I$23="Enterprise value"</formula>
    </cfRule>
  </conditionalFormatting>
  <conditionalFormatting sqref="F24:F31 F33 F40:H46 K40:K51 I41:J41 C41:C49 F52:K52">
    <cfRule type="expression" dxfId="90" priority="6" stopIfTrue="1">
      <formula>$I$23="Enterprise value"</formula>
    </cfRule>
  </conditionalFormatting>
  <conditionalFormatting sqref="F35:F38">
    <cfRule type="expression" dxfId="89" priority="7" stopIfTrue="1">
      <formula>$I$23="Share price"</formula>
    </cfRule>
  </conditionalFormatting>
  <conditionalFormatting sqref="F42:F51">
    <cfRule type="expression" dxfId="88" priority="1" stopIfTrue="1">
      <formula>$I$23="Enterprise value"</formula>
    </cfRule>
  </conditionalFormatting>
  <conditionalFormatting sqref="I25:I33">
    <cfRule type="expression" dxfId="87" priority="4" stopIfTrue="1">
      <formula>$I$23="Enterprise value"</formula>
    </cfRule>
  </conditionalFormatting>
  <conditionalFormatting sqref="I36:I38">
    <cfRule type="expression" dxfId="86" priority="3" stopIfTrue="1">
      <formula>$I$23="Share price"</formula>
    </cfRule>
  </conditionalFormatting>
  <conditionalFormatting sqref="I40:J40">
    <cfRule type="expression" dxfId="85" priority="2" stopIfTrue="1">
      <formula>$I$23="Enterprise value"</formula>
    </cfRule>
  </conditionalFormatting>
  <dataValidations count="3">
    <dataValidation type="list" allowBlank="1" showInputMessage="1" showErrorMessage="1" sqref="D31" xr:uid="{00000000-0002-0000-0400-000000000000}">
      <formula1>"10K,10Q,8K,Annual,Interim"</formula1>
    </dataValidation>
    <dataValidation type="list" allowBlank="1" showInputMessage="1" showErrorMessage="1" prompt="Input 1, 2 or 3 to indicate which quarter data has been spread. Leave blank if annual data." sqref="D32" xr:uid="{00000000-0002-0000-0400-000001000000}">
      <formula1>"1,2,3,,"</formula1>
    </dataValidation>
    <dataValidation type="list" allowBlank="1" showInputMessage="1" showErrorMessage="1" sqref="I23" xr:uid="{00000000-0002-0000-0400-000002000000}">
      <formula1>"Share price,Enterprise value"</formula1>
    </dataValidation>
  </dataValidations>
  <pageMargins left="0.74803149606299213" right="0.74803149606299213" top="0.98425196850393704" bottom="0.98425196850393704" header="0.51181102362204722" footer="0.51181102362204722"/>
  <pageSetup paperSize="9" scale="58" orientation="portrait" r:id="rId1"/>
  <headerFooter alignWithMargins="0">
    <oddFooter>&amp;R&amp;8&amp;P of &amp;N</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pageSetUpPr fitToPage="1"/>
  </sheetPr>
  <dimension ref="A1:X80"/>
  <sheetViews>
    <sheetView showGridLines="0" zoomScaleNormal="100" workbookViewId="0"/>
  </sheetViews>
  <sheetFormatPr defaultColWidth="9" defaultRowHeight="13.2" x14ac:dyDescent="0.25"/>
  <cols>
    <col min="1" max="2" width="1.77734375" style="40" customWidth="1"/>
    <col min="3" max="3" width="40.77734375" style="40" customWidth="1"/>
    <col min="4" max="4" width="11.5546875" style="40" customWidth="1"/>
    <col min="5" max="7" width="11.21875" style="40" customWidth="1"/>
    <col min="8" max="8" width="19.21875" style="40" customWidth="1"/>
    <col min="9" max="9" width="15.77734375" style="40" bestFit="1" customWidth="1"/>
    <col min="10" max="11" width="11.5546875" style="40" bestFit="1" customWidth="1"/>
    <col min="12" max="13" width="9" style="40"/>
    <col min="14" max="14" width="19.44140625" style="40" customWidth="1"/>
    <col min="15" max="15" width="11.21875" style="40" bestFit="1" customWidth="1"/>
    <col min="16" max="16" width="9.5546875" style="40" bestFit="1" customWidth="1"/>
    <col min="17" max="19" width="9.21875" style="40" bestFit="1" customWidth="1"/>
    <col min="20" max="20" width="11.21875" style="40" bestFit="1" customWidth="1"/>
    <col min="21" max="21" width="9.5546875" style="40" bestFit="1" customWidth="1"/>
    <col min="22" max="22" width="14.44140625" style="40" bestFit="1" customWidth="1"/>
    <col min="23" max="24" width="14.77734375" style="40" bestFit="1" customWidth="1"/>
    <col min="25" max="16384" width="9" style="40"/>
  </cols>
  <sheetData>
    <row r="1" spans="1:14" s="151" customFormat="1" ht="17.399999999999999" x14ac:dyDescent="0.3">
      <c r="A1" s="120" t="str">
        <f>"Comparable transactions analysis - "&amp;D23&amp;" / "&amp;D24</f>
      </c>
      <c r="B1" s="120"/>
      <c r="C1" s="121"/>
      <c r="D1" s="121"/>
      <c r="E1" s="121"/>
      <c r="F1" s="121"/>
      <c r="G1" s="121"/>
      <c r="H1" s="121"/>
      <c r="I1" s="121"/>
      <c r="J1" s="121"/>
      <c r="K1" s="121"/>
      <c r="L1" s="121"/>
      <c r="M1" s="122"/>
      <c r="N1" s="122"/>
    </row>
    <row r="2" spans="1:14" s="151" customFormat="1" ht="18" thickBot="1" x14ac:dyDescent="0.35">
      <c r="A2" s="128" t="str">
        <f>"Input sheet (all numbers in millions "&amp;D27&amp;" unless otherwise stated)"</f>
      </c>
      <c r="B2" s="127"/>
      <c r="C2" s="127"/>
      <c r="D2" s="127"/>
      <c r="E2" s="127"/>
      <c r="F2" s="127"/>
      <c r="G2" s="127"/>
      <c r="H2" s="127"/>
      <c r="I2" s="127"/>
      <c r="J2" s="127"/>
      <c r="K2" s="127"/>
      <c r="L2" s="127"/>
      <c r="M2" s="127"/>
      <c r="N2" s="152"/>
    </row>
    <row r="3" spans="1:14" ht="13.8" thickTop="1" x14ac:dyDescent="0.25">
      <c r="B3" s="41"/>
    </row>
    <row r="4" spans="1:14" ht="17.399999999999999" x14ac:dyDescent="0.25">
      <c r="A4" s="129" t="s">
        <v>72</v>
      </c>
      <c r="B4" s="129"/>
      <c r="C4" s="130"/>
    </row>
    <row r="5" spans="1:14" ht="13.8" x14ac:dyDescent="0.25">
      <c r="B5" s="131" t="s">
        <v>73</v>
      </c>
      <c r="C5" s="41"/>
    </row>
    <row r="6" spans="1:14" ht="13.8" x14ac:dyDescent="0.25">
      <c r="B6" s="131"/>
      <c r="C6" s="41" t="str">
        <f>F25</f>
      </c>
      <c r="D6" s="37">
        <f>IF(Driver="Enterprise value","na",I25)</f>
      </c>
    </row>
    <row r="7" spans="1:14" ht="13.8" x14ac:dyDescent="0.25">
      <c r="B7" s="131"/>
      <c r="C7" s="41" t="s">
        <v>27</v>
      </c>
      <c r="D7" s="38">
        <f>IF(OR(Driver="Enterprise Value",I25=0),"na",I25/I26-1)</f>
      </c>
    </row>
    <row r="8" spans="1:14" ht="13.8" x14ac:dyDescent="0.25">
      <c r="B8" s="132"/>
      <c r="C8" s="133" t="str">
        <f>C41</f>
      </c>
      <c r="D8" s="39">
        <f>IF(Driver="Enterprise value","na",I33*FX)</f>
      </c>
      <c r="E8" s="41"/>
      <c r="F8" s="134"/>
    </row>
    <row r="9" spans="1:14" ht="13.8" x14ac:dyDescent="0.25">
      <c r="B9" s="132"/>
      <c r="C9" s="133" t="str">
        <f>C50</f>
      </c>
      <c r="D9" s="135">
        <f>D50*FX</f>
      </c>
    </row>
    <row r="10" spans="1:14" ht="13.8" x14ac:dyDescent="0.25">
      <c r="B10" s="132"/>
      <c r="C10" s="133"/>
    </row>
    <row r="11" spans="1:14" ht="13.8" x14ac:dyDescent="0.25">
      <c r="B11" s="131" t="s">
        <v>74</v>
      </c>
      <c r="C11" s="133"/>
      <c r="D11" s="136" t="s">
        <v>16</v>
      </c>
      <c r="E11" s="136" t="s">
        <v>75</v>
      </c>
    </row>
    <row r="12" spans="1:14" ht="13.8" x14ac:dyDescent="0.25">
      <c r="B12" s="132"/>
      <c r="C12" s="41" t="s">
        <v>76</v>
      </c>
      <c r="D12" s="42">
        <f>G65*FX</f>
      </c>
      <c r="E12" s="137" t="s">
        <v>77</v>
      </c>
    </row>
    <row r="13" spans="1:14" ht="13.8" x14ac:dyDescent="0.25">
      <c r="B13" s="132"/>
      <c r="C13" s="43" t="s">
        <v>78</v>
      </c>
      <c r="D13" s="42">
        <f>G76*FX</f>
      </c>
      <c r="E13" s="138">
        <f>D13/D12</f>
      </c>
    </row>
    <row r="14" spans="1:14" ht="13.8" x14ac:dyDescent="0.25">
      <c r="B14" s="132"/>
      <c r="C14" s="43" t="s">
        <v>19</v>
      </c>
      <c r="D14" s="42">
        <f>G79*FX</f>
      </c>
      <c r="E14" s="138">
        <f>D14/D12</f>
      </c>
    </row>
    <row r="15" spans="1:14" ht="13.8" x14ac:dyDescent="0.25">
      <c r="B15" s="139"/>
      <c r="D15" s="140"/>
    </row>
    <row r="16" spans="1:14" ht="13.8" x14ac:dyDescent="0.25">
      <c r="B16" s="131" t="s">
        <v>79</v>
      </c>
    </row>
    <row r="17" spans="1:24" x14ac:dyDescent="0.25">
      <c r="C17" s="40" t="s">
        <v>80</v>
      </c>
      <c r="D17" s="44">
        <f>$D$9/D12</f>
      </c>
    </row>
    <row r="18" spans="1:24" x14ac:dyDescent="0.25">
      <c r="C18" s="40" t="s">
        <v>81</v>
      </c>
      <c r="D18" s="44">
        <f>$D$9/D13</f>
      </c>
    </row>
    <row r="19" spans="1:24" x14ac:dyDescent="0.25">
      <c r="C19" s="40" t="s">
        <v>21</v>
      </c>
      <c r="D19" s="44">
        <f>$D$9/D14</f>
      </c>
    </row>
    <row r="20" spans="1:24" x14ac:dyDescent="0.25">
      <c r="D20" s="140"/>
    </row>
    <row r="21" spans="1:24" ht="17.399999999999999" x14ac:dyDescent="0.25">
      <c r="A21" s="129" t="s">
        <v>82</v>
      </c>
      <c r="B21" s="129"/>
      <c r="C21" s="130"/>
      <c r="I21" s="141"/>
    </row>
    <row r="22" spans="1:24" ht="13.8" x14ac:dyDescent="0.25">
      <c r="A22" s="36"/>
      <c r="B22" s="131" t="s">
        <v>83</v>
      </c>
      <c r="C22" s="41"/>
      <c r="D22" s="41"/>
      <c r="F22" s="131" t="s">
        <v>84</v>
      </c>
    </row>
    <row r="23" spans="1:24" ht="13.8" x14ac:dyDescent="0.25">
      <c r="B23" s="132"/>
      <c r="C23" s="41" t="s">
        <v>85</v>
      </c>
      <c r="D23" s="88" t="s">
        <v>171</v>
      </c>
      <c r="E23" s="41"/>
      <c r="F23" s="40" t="s">
        <v>86</v>
      </c>
      <c r="I23" s="45" t="s">
        <v>87</v>
      </c>
    </row>
    <row r="24" spans="1:24" ht="13.8" x14ac:dyDescent="0.25">
      <c r="B24" s="132"/>
      <c r="C24" s="41" t="s">
        <v>88</v>
      </c>
      <c r="D24" s="45" t="s">
        <v>44</v>
      </c>
      <c r="E24" s="41"/>
      <c r="F24" s="36" t="s">
        <v>90</v>
      </c>
    </row>
    <row r="25" spans="1:24" ht="13.8" x14ac:dyDescent="0.25">
      <c r="B25" s="132"/>
      <c r="C25" s="41" t="s">
        <v>91</v>
      </c>
      <c r="D25" s="46">
        <v>41319</v>
      </c>
      <c r="E25" s="41"/>
      <c r="F25" s="41" t="s">
        <v>92</v>
      </c>
      <c r="I25" s="47">
        <v>72.5</v>
      </c>
    </row>
    <row r="26" spans="1:24" ht="13.8" x14ac:dyDescent="0.25">
      <c r="B26" s="132"/>
      <c r="C26" s="133" t="s">
        <v>93</v>
      </c>
      <c r="D26" s="48">
        <v>41432</v>
      </c>
      <c r="E26" s="41"/>
      <c r="F26" s="133" t="s">
        <v>94</v>
      </c>
      <c r="I26" s="47">
        <v>60.48</v>
      </c>
      <c r="W26" s="49"/>
      <c r="X26" s="49"/>
    </row>
    <row r="27" spans="1:24" ht="13.8" x14ac:dyDescent="0.25">
      <c r="B27" s="132"/>
      <c r="C27" s="133" t="s">
        <v>10</v>
      </c>
      <c r="D27" s="50" t="s">
        <v>11</v>
      </c>
      <c r="E27" s="41"/>
      <c r="F27" s="133" t="s">
        <v>95</v>
      </c>
      <c r="I27" s="47">
        <v>61</v>
      </c>
      <c r="W27" s="49"/>
      <c r="X27" s="49"/>
    </row>
    <row r="28" spans="1:24" ht="13.8" x14ac:dyDescent="0.25">
      <c r="B28" s="132"/>
      <c r="C28" s="133" t="s">
        <v>96</v>
      </c>
      <c r="D28" s="51">
        <v>1</v>
      </c>
      <c r="E28" s="41"/>
      <c r="F28" s="133" t="s">
        <v>97</v>
      </c>
      <c r="I28" s="52">
        <v>58.91</v>
      </c>
      <c r="W28" s="49"/>
      <c r="X28" s="49"/>
    </row>
    <row r="29" spans="1:24" ht="13.8" x14ac:dyDescent="0.25">
      <c r="B29" s="132"/>
      <c r="C29" s="133" t="s">
        <v>98</v>
      </c>
      <c r="D29" s="53">
        <v>41028</v>
      </c>
      <c r="E29" s="41"/>
      <c r="F29" s="41" t="s">
        <v>99</v>
      </c>
      <c r="I29" s="54">
        <v>320.65104300000002</v>
      </c>
      <c r="W29" s="49"/>
      <c r="X29" s="49"/>
    </row>
    <row r="30" spans="1:24" ht="13.8" x14ac:dyDescent="0.25">
      <c r="B30" s="132"/>
      <c r="C30" s="133" t="s">
        <v>100</v>
      </c>
      <c r="D30" s="53">
        <v>41301</v>
      </c>
      <c r="E30" s="41"/>
      <c r="F30" s="41" t="s">
        <v>101</v>
      </c>
      <c r="I30" s="42">
        <f>K52</f>
      </c>
      <c r="W30" s="49"/>
      <c r="X30" s="49"/>
    </row>
    <row r="31" spans="1:24" ht="13.8" x14ac:dyDescent="0.25">
      <c r="B31" s="132"/>
      <c r="C31" s="133" t="s">
        <v>102</v>
      </c>
      <c r="D31" s="50" t="s">
        <v>158</v>
      </c>
      <c r="E31" s="41"/>
      <c r="F31" s="41" t="s">
        <v>104</v>
      </c>
      <c r="I31" s="42">
        <f>I29+I30</f>
      </c>
      <c r="W31" s="49"/>
      <c r="X31" s="49"/>
    </row>
    <row r="32" spans="1:24" ht="13.8" x14ac:dyDescent="0.25">
      <c r="B32" s="132"/>
      <c r="C32" s="133" t="s">
        <v>105</v>
      </c>
      <c r="D32" s="55">
        <v>3</v>
      </c>
      <c r="E32" s="56"/>
      <c r="F32" s="40" t="s">
        <v>106</v>
      </c>
      <c r="I32" s="143">
        <v>0</v>
      </c>
      <c r="W32" s="49"/>
      <c r="X32" s="49"/>
    </row>
    <row r="33" spans="1:24" ht="13.8" x14ac:dyDescent="0.25">
      <c r="B33" s="132"/>
      <c r="E33" s="56"/>
      <c r="F33" s="49" t="s">
        <v>107</v>
      </c>
      <c r="I33" s="57">
        <f>I25*I31+I32</f>
      </c>
      <c r="W33" s="49"/>
      <c r="X33" s="49"/>
    </row>
    <row r="34" spans="1:24" ht="13.8" x14ac:dyDescent="0.25">
      <c r="B34" s="132"/>
      <c r="C34" s="133" t="s">
        <v>108</v>
      </c>
      <c r="D34" s="145">
        <v>1</v>
      </c>
      <c r="E34" s="56"/>
      <c r="W34" s="49"/>
      <c r="X34" s="49"/>
    </row>
    <row r="35" spans="1:24" ht="13.8" x14ac:dyDescent="0.25">
      <c r="B35" s="132"/>
      <c r="C35" s="133" t="s">
        <v>109</v>
      </c>
      <c r="D35" s="138">
        <f>1-D34</f>
      </c>
      <c r="E35" s="56"/>
      <c r="F35" s="131" t="s">
        <v>90</v>
      </c>
      <c r="W35" s="49"/>
      <c r="X35" s="49"/>
    </row>
    <row r="36" spans="1:24" ht="13.8" x14ac:dyDescent="0.25">
      <c r="B36" s="132"/>
      <c r="E36" s="56"/>
      <c r="F36" s="58" t="s">
        <v>110</v>
      </c>
      <c r="G36" s="59"/>
      <c r="H36" s="49"/>
      <c r="I36" s="50">
        <v>0</v>
      </c>
      <c r="W36" s="49"/>
      <c r="X36" s="49"/>
    </row>
    <row r="37" spans="1:24" ht="13.8" x14ac:dyDescent="0.25">
      <c r="B37" s="132"/>
      <c r="E37" s="56"/>
      <c r="F37" s="58" t="s">
        <v>111</v>
      </c>
      <c r="G37" s="59"/>
      <c r="H37" s="49"/>
      <c r="I37" s="60">
        <v>0</v>
      </c>
      <c r="W37" s="49"/>
      <c r="X37" s="49"/>
    </row>
    <row r="38" spans="1:24" ht="13.8" x14ac:dyDescent="0.25">
      <c r="B38" s="132"/>
      <c r="E38" s="56"/>
      <c r="F38" s="61" t="s">
        <v>112</v>
      </c>
      <c r="G38" s="59"/>
      <c r="H38" s="49"/>
      <c r="I38" s="62">
        <f>SUM(I36:I37)</f>
      </c>
      <c r="W38" s="49"/>
      <c r="X38" s="49"/>
    </row>
    <row r="39" spans="1:24" ht="13.8" x14ac:dyDescent="0.25">
      <c r="B39" s="132"/>
      <c r="E39" s="56"/>
      <c r="F39" s="133"/>
      <c r="G39" s="133"/>
      <c r="I39" s="41"/>
      <c r="W39" s="49"/>
      <c r="X39" s="49"/>
    </row>
    <row r="40" spans="1:24" ht="13.8" x14ac:dyDescent="0.25">
      <c r="B40" s="131" t="s">
        <v>113</v>
      </c>
      <c r="F40" s="131" t="s">
        <v>114</v>
      </c>
      <c r="I40" s="146">
        <f>YEAR($D$29)</f>
      </c>
      <c r="J40" s="146">
        <f>YEAR($D$29)</f>
      </c>
    </row>
    <row r="41" spans="1:24" ht="13.8" x14ac:dyDescent="0.25">
      <c r="A41" s="49"/>
      <c r="B41" s="131"/>
      <c r="C41" s="64" t="s">
        <v>107</v>
      </c>
      <c r="D41" s="57">
        <f>I33</f>
      </c>
      <c r="E41" s="49"/>
      <c r="I41" s="65" t="s">
        <v>115</v>
      </c>
      <c r="J41" s="65" t="s">
        <v>116</v>
      </c>
      <c r="K41" s="65" t="s">
        <v>117</v>
      </c>
    </row>
    <row r="42" spans="1:24" ht="13.8" x14ac:dyDescent="0.25">
      <c r="B42" s="132"/>
      <c r="C42" s="40" t="str">
        <f>F55</f>
      </c>
      <c r="D42" s="42">
        <f>I55</f>
      </c>
      <c r="F42" s="66" t="s">
        <v>118</v>
      </c>
      <c r="I42" s="67">
        <f>8.608</f>
      </c>
      <c r="J42" s="68">
        <v>45.69</v>
      </c>
      <c r="K42" s="147">
        <f t="shared" ref="K42:K51" si="0">MAX(($I$25-J42)/$I$25*I42,0)</f>
      </c>
    </row>
    <row r="43" spans="1:24" ht="13.8" x14ac:dyDescent="0.25">
      <c r="B43" s="132"/>
      <c r="C43" s="41" t="str">
        <f>C55&amp;" and "&amp;LOWER(C56)</f>
      </c>
      <c r="D43" s="42">
        <f>D55</f>
      </c>
      <c r="F43" s="66" t="s">
        <v>159</v>
      </c>
      <c r="I43" s="67">
        <v>1.27</v>
      </c>
      <c r="J43" s="68">
        <v>0</v>
      </c>
      <c r="K43" s="147">
        <f t="shared" si="0"/>
      </c>
    </row>
    <row r="44" spans="1:24" ht="13.8" x14ac:dyDescent="0.25">
      <c r="B44" s="132"/>
      <c r="C44" s="69" t="s">
        <v>120</v>
      </c>
      <c r="D44" s="57">
        <f>D42-D43</f>
      </c>
      <c r="F44" s="66" t="s">
        <v>168</v>
      </c>
      <c r="I44" s="67">
        <v>0</v>
      </c>
      <c r="J44" s="68">
        <v>0</v>
      </c>
      <c r="K44" s="147">
        <f t="shared" si="0"/>
      </c>
    </row>
    <row r="45" spans="1:24" ht="13.8" x14ac:dyDescent="0.25">
      <c r="B45" s="132"/>
      <c r="C45" s="41" t="str">
        <f>F56</f>
      </c>
      <c r="D45" s="42">
        <f>I56</f>
      </c>
      <c r="F45" s="66" t="s">
        <v>161</v>
      </c>
      <c r="G45" s="49"/>
      <c r="H45" s="49"/>
      <c r="I45" s="67">
        <v>0</v>
      </c>
      <c r="J45" s="68">
        <v>0</v>
      </c>
      <c r="K45" s="147">
        <f t="shared" si="0"/>
      </c>
    </row>
    <row r="46" spans="1:24" ht="13.8" x14ac:dyDescent="0.25">
      <c r="B46" s="132"/>
      <c r="C46" s="41" t="str">
        <f>F59</f>
      </c>
      <c r="D46" s="42">
        <f>I59</f>
      </c>
      <c r="F46" s="66" t="s">
        <v>123</v>
      </c>
      <c r="G46" s="49"/>
      <c r="H46" s="49"/>
      <c r="I46" s="67">
        <v>0</v>
      </c>
      <c r="J46" s="68">
        <v>0</v>
      </c>
      <c r="K46" s="147">
        <f t="shared" si="0"/>
      </c>
    </row>
    <row r="47" spans="1:24" ht="13.8" x14ac:dyDescent="0.25">
      <c r="B47" s="132"/>
      <c r="C47" s="41" t="str">
        <f>F60</f>
      </c>
      <c r="D47" s="42">
        <f>I60</f>
      </c>
      <c r="F47" s="66" t="s">
        <v>124</v>
      </c>
      <c r="I47" s="67">
        <v>0</v>
      </c>
      <c r="J47" s="68">
        <v>0</v>
      </c>
      <c r="K47" s="147">
        <f t="shared" si="0"/>
      </c>
    </row>
    <row r="48" spans="1:24" ht="12.75" customHeight="1" x14ac:dyDescent="0.3">
      <c r="A48" s="35"/>
      <c r="B48" s="132"/>
      <c r="C48" s="41" t="str">
        <f>C57</f>
      </c>
      <c r="D48" s="42">
        <f>D57</f>
      </c>
      <c r="F48" s="66" t="s">
        <v>125</v>
      </c>
      <c r="G48" s="41"/>
      <c r="H48" s="41"/>
      <c r="I48" s="67">
        <v>0</v>
      </c>
      <c r="J48" s="68">
        <v>0</v>
      </c>
      <c r="K48" s="147">
        <f t="shared" si="0"/>
      </c>
    </row>
    <row r="49" spans="1:22" ht="15.6" x14ac:dyDescent="0.3">
      <c r="A49" s="35"/>
      <c r="B49" s="132"/>
      <c r="C49" s="41" t="str">
        <f>C58</f>
      </c>
      <c r="D49" s="42">
        <f>D58</f>
      </c>
      <c r="F49" s="66" t="s">
        <v>126</v>
      </c>
      <c r="G49" s="41"/>
      <c r="H49" s="41"/>
      <c r="I49" s="67">
        <v>0</v>
      </c>
      <c r="J49" s="68">
        <v>0</v>
      </c>
      <c r="K49" s="147">
        <f t="shared" si="0"/>
      </c>
    </row>
    <row r="50" spans="1:22" ht="15.6" x14ac:dyDescent="0.3">
      <c r="A50" s="35"/>
      <c r="B50" s="132"/>
      <c r="C50" s="59" t="s">
        <v>110</v>
      </c>
      <c r="D50" s="57">
        <f>IF(I23="Enterprise value",I38,SUM(D41,D44:D47)-SUM(D48:D49))</f>
      </c>
      <c r="F50" s="66" t="s">
        <v>127</v>
      </c>
      <c r="G50" s="41"/>
      <c r="H50" s="41"/>
      <c r="I50" s="67">
        <v>0</v>
      </c>
      <c r="J50" s="68">
        <v>0</v>
      </c>
      <c r="K50" s="147">
        <f t="shared" si="0"/>
      </c>
    </row>
    <row r="51" spans="1:22" ht="15.6" x14ac:dyDescent="0.3">
      <c r="A51" s="35"/>
      <c r="B51" s="132"/>
      <c r="C51" s="70"/>
      <c r="D51" s="56"/>
      <c r="F51" s="66" t="s">
        <v>128</v>
      </c>
      <c r="G51" s="41"/>
      <c r="H51" s="41"/>
      <c r="I51" s="67">
        <v>0</v>
      </c>
      <c r="J51" s="68">
        <v>0</v>
      </c>
      <c r="K51" s="147">
        <f t="shared" si="0"/>
      </c>
    </row>
    <row r="52" spans="1:22" ht="17.399999999999999" x14ac:dyDescent="0.25">
      <c r="A52" s="129" t="s">
        <v>129</v>
      </c>
      <c r="B52" s="129"/>
      <c r="C52" s="130"/>
      <c r="F52" s="56" t="s">
        <v>130</v>
      </c>
      <c r="I52" s="49"/>
      <c r="J52" s="49"/>
      <c r="K52" s="71">
        <f>SUM(K42:K51)</f>
      </c>
    </row>
    <row r="53" spans="1:22" ht="13.8" x14ac:dyDescent="0.25">
      <c r="B53" s="132"/>
    </row>
    <row r="54" spans="1:22" ht="13.8" x14ac:dyDescent="0.25">
      <c r="B54" s="131" t="s">
        <v>131</v>
      </c>
      <c r="D54" s="148">
        <f>D30</f>
      </c>
      <c r="E54" s="100"/>
      <c r="F54" s="100"/>
      <c r="G54" s="100"/>
      <c r="H54" s="100"/>
      <c r="I54" s="148">
        <f>D54</f>
      </c>
    </row>
    <row r="55" spans="1:22" ht="13.8" x14ac:dyDescent="0.25">
      <c r="B55" s="132"/>
      <c r="C55" s="40" t="s">
        <v>28</v>
      </c>
      <c r="D55" s="50">
        <f>1100.689</f>
      </c>
      <c r="F55" s="40" t="s">
        <v>132</v>
      </c>
      <c r="I55" s="50">
        <f>14.747+1038.511+3930.592</f>
      </c>
      <c r="M55" s="41"/>
      <c r="N55" s="72"/>
      <c r="O55" s="73"/>
      <c r="P55" s="73"/>
      <c r="Q55" s="73"/>
      <c r="R55" s="73"/>
      <c r="S55" s="41"/>
      <c r="T55" s="74"/>
      <c r="U55" s="74"/>
      <c r="V55" s="74"/>
    </row>
    <row r="56" spans="1:22" ht="13.8" x14ac:dyDescent="0.25">
      <c r="B56" s="132"/>
      <c r="C56" s="40" t="s">
        <v>133</v>
      </c>
      <c r="D56" s="50">
        <v>0</v>
      </c>
      <c r="F56" s="40" t="s">
        <v>134</v>
      </c>
      <c r="I56" s="45">
        <v>0</v>
      </c>
      <c r="M56" s="41"/>
      <c r="N56" s="72"/>
      <c r="O56" s="73"/>
      <c r="P56" s="73"/>
      <c r="Q56" s="73"/>
      <c r="R56" s="73"/>
      <c r="S56" s="41"/>
      <c r="T56" s="74"/>
      <c r="U56" s="74"/>
      <c r="V56" s="74"/>
    </row>
    <row r="57" spans="1:22" ht="13.8" x14ac:dyDescent="0.25">
      <c r="B57" s="132"/>
      <c r="C57" s="40" t="s">
        <v>135</v>
      </c>
      <c r="D57" s="75">
        <v>0</v>
      </c>
      <c r="F57" s="40" t="s">
        <v>136</v>
      </c>
      <c r="I57" s="54">
        <f>1129.651+158.143+320.052+623.962+91.283+776.66+230.919+504.76</f>
      </c>
      <c r="M57" s="41"/>
      <c r="N57" s="41"/>
      <c r="O57" s="41"/>
      <c r="P57" s="41"/>
      <c r="Q57" s="41"/>
      <c r="R57" s="41"/>
      <c r="S57" s="36"/>
    </row>
    <row r="58" spans="1:22" ht="13.8" x14ac:dyDescent="0.25">
      <c r="B58" s="132"/>
      <c r="C58" s="40" t="s">
        <v>137</v>
      </c>
      <c r="D58" s="75">
        <v>0</v>
      </c>
      <c r="F58" s="40" t="s">
        <v>138</v>
      </c>
      <c r="I58" s="45">
        <v>3030.5810000000001</v>
      </c>
      <c r="J58" s="110"/>
      <c r="M58" s="41"/>
      <c r="N58" s="41"/>
      <c r="O58" s="41"/>
      <c r="P58" s="41"/>
      <c r="Q58" s="41"/>
      <c r="R58" s="41"/>
      <c r="S58" s="76"/>
    </row>
    <row r="59" spans="1:22" ht="13.8" x14ac:dyDescent="0.25">
      <c r="B59" s="132"/>
      <c r="C59" s="40" t="s">
        <v>139</v>
      </c>
      <c r="D59" s="75">
        <f>11929.104-D55</f>
      </c>
      <c r="F59" s="40" t="s">
        <v>140</v>
      </c>
      <c r="I59" s="45">
        <v>0</v>
      </c>
      <c r="J59" s="77"/>
    </row>
    <row r="60" spans="1:22" ht="13.8" x14ac:dyDescent="0.25">
      <c r="B60" s="132"/>
      <c r="F60" s="40" t="s">
        <v>141</v>
      </c>
      <c r="I60" s="45">
        <f>50.537+28.706</f>
      </c>
      <c r="J60" s="77"/>
    </row>
    <row r="61" spans="1:22" ht="13.8" x14ac:dyDescent="0.25">
      <c r="B61" s="132"/>
      <c r="C61" s="78" t="s">
        <v>142</v>
      </c>
      <c r="D61" s="49">
        <f>SUM(D55:D59)</f>
      </c>
      <c r="F61" s="78" t="s">
        <v>143</v>
      </c>
      <c r="I61" s="49">
        <f>SUM(I55:I60)</f>
      </c>
      <c r="J61" s="77"/>
    </row>
    <row r="62" spans="1:22" ht="13.8" x14ac:dyDescent="0.25">
      <c r="B62" s="132"/>
      <c r="C62" s="79" t="s">
        <v>144</v>
      </c>
      <c r="D62" s="80" t="str">
        <f>IF(D61=I61,"OK",D61-I61)</f>
      </c>
      <c r="J62" s="77"/>
    </row>
    <row r="63" spans="1:22" ht="13.8" x14ac:dyDescent="0.25">
      <c r="B63" s="132"/>
      <c r="J63" s="81"/>
    </row>
    <row r="64" spans="1:22" ht="13.8" x14ac:dyDescent="0.25">
      <c r="B64" s="132" t="s">
        <v>145</v>
      </c>
      <c r="D64" s="149">
        <f>YEAR($D$29)</f>
      </c>
      <c r="E64" s="148" t="str">
        <f>YEAR($D$30)-1&amp;" "&amp;$D$32&amp;"Q"</f>
      </c>
      <c r="F64" s="148" t="str">
        <f>YEAR($D$30)&amp;" "&amp;$D$32&amp;"Q"</f>
      </c>
      <c r="G64" s="148" t="s">
        <v>16</v>
      </c>
      <c r="H64" s="110"/>
    </row>
    <row r="65" spans="2:8" x14ac:dyDescent="0.25">
      <c r="B65" s="41"/>
      <c r="C65" s="41" t="s">
        <v>76</v>
      </c>
      <c r="D65" s="150">
        <v>11649.079</v>
      </c>
      <c r="E65" s="50">
        <v>8495.9040000000005</v>
      </c>
      <c r="F65" s="50">
        <v>8538.3150000000005</v>
      </c>
      <c r="G65" s="110">
        <f>D65-E65+F65</f>
      </c>
    </row>
    <row r="67" spans="2:8" x14ac:dyDescent="0.25">
      <c r="B67" s="41"/>
      <c r="C67" s="41" t="s">
        <v>146</v>
      </c>
      <c r="D67" s="83">
        <v>1451.1679999999999</v>
      </c>
      <c r="E67" s="84">
        <v>1169.8979999999999</v>
      </c>
      <c r="F67" s="84">
        <v>1279.9880000000001</v>
      </c>
    </row>
    <row r="68" spans="2:8" x14ac:dyDescent="0.25">
      <c r="B68" s="41"/>
      <c r="C68" s="85" t="s">
        <v>172</v>
      </c>
      <c r="D68" s="50">
        <v>224.3</v>
      </c>
      <c r="E68" s="50">
        <v>111.151</v>
      </c>
      <c r="F68" s="50">
        <v>0</v>
      </c>
    </row>
    <row r="69" spans="2:8" x14ac:dyDescent="0.25">
      <c r="B69" s="41"/>
      <c r="C69" s="85" t="s">
        <v>173</v>
      </c>
      <c r="D69" s="50">
        <v>0</v>
      </c>
      <c r="E69" s="50">
        <v>0</v>
      </c>
      <c r="F69" s="50">
        <v>12.081</v>
      </c>
    </row>
    <row r="70" spans="2:8" x14ac:dyDescent="0.25">
      <c r="B70" s="41"/>
      <c r="C70" s="85" t="s">
        <v>164</v>
      </c>
      <c r="D70" s="50">
        <v>0</v>
      </c>
      <c r="E70" s="50">
        <v>0</v>
      </c>
      <c r="F70" s="50">
        <v>0</v>
      </c>
      <c r="H70" s="89"/>
    </row>
    <row r="71" spans="2:8" x14ac:dyDescent="0.25">
      <c r="B71" s="41"/>
      <c r="C71" s="85" t="s">
        <v>165</v>
      </c>
      <c r="D71" s="50">
        <v>0</v>
      </c>
      <c r="E71" s="50">
        <v>0</v>
      </c>
      <c r="F71" s="50">
        <v>0</v>
      </c>
    </row>
    <row r="72" spans="2:8" x14ac:dyDescent="0.25">
      <c r="B72" s="41"/>
      <c r="C72" s="85" t="s">
        <v>166</v>
      </c>
      <c r="D72" s="50">
        <v>0</v>
      </c>
      <c r="E72" s="50">
        <v>0</v>
      </c>
      <c r="F72" s="50">
        <v>0</v>
      </c>
    </row>
    <row r="73" spans="2:8" x14ac:dyDescent="0.25">
      <c r="B73" s="41"/>
      <c r="C73" s="85" t="s">
        <v>152</v>
      </c>
      <c r="D73" s="50">
        <v>0</v>
      </c>
      <c r="E73" s="50">
        <v>0</v>
      </c>
      <c r="F73" s="50">
        <v>0</v>
      </c>
    </row>
    <row r="74" spans="2:8" x14ac:dyDescent="0.25">
      <c r="B74" s="41"/>
      <c r="C74" s="85" t="s">
        <v>153</v>
      </c>
      <c r="D74" s="50">
        <v>0</v>
      </c>
      <c r="E74" s="50">
        <v>0</v>
      </c>
      <c r="F74" s="50">
        <v>0</v>
      </c>
    </row>
    <row r="75" spans="2:8" x14ac:dyDescent="0.25">
      <c r="B75" s="41"/>
      <c r="C75" s="85" t="s">
        <v>154</v>
      </c>
      <c r="D75" s="50">
        <v>0</v>
      </c>
      <c r="E75" s="50">
        <v>0</v>
      </c>
      <c r="F75" s="50">
        <v>0</v>
      </c>
    </row>
    <row r="76" spans="2:8" s="49" customFormat="1" x14ac:dyDescent="0.25">
      <c r="B76" s="56"/>
      <c r="C76" s="86" t="s">
        <v>78</v>
      </c>
      <c r="D76" s="56">
        <f>SUM(D67:D75)</f>
      </c>
      <c r="E76" s="56">
        <f>SUM(E67:E75)</f>
      </c>
      <c r="F76" s="56">
        <f>SUM(F67:F75)</f>
      </c>
      <c r="G76" s="87">
        <f>D76-E76+F76</f>
      </c>
      <c r="H76" s="40"/>
    </row>
    <row r="77" spans="2:8" x14ac:dyDescent="0.25">
      <c r="B77" s="41"/>
    </row>
    <row r="78" spans="2:8" x14ac:dyDescent="0.25">
      <c r="B78" s="41"/>
      <c r="C78" s="41" t="s">
        <v>155</v>
      </c>
      <c r="D78" s="50">
        <f>295.718+47.075</f>
      </c>
      <c r="E78" s="50">
        <f>217.62+33.965</f>
      </c>
      <c r="F78" s="50">
        <f>221.519+34.89</f>
      </c>
      <c r="G78" s="110">
        <f>D78-E78+F78</f>
      </c>
    </row>
    <row r="79" spans="2:8" s="49" customFormat="1" x14ac:dyDescent="0.25">
      <c r="B79" s="56"/>
      <c r="C79" s="86" t="s">
        <v>19</v>
      </c>
      <c r="D79" s="56">
        <f>D76+D78</f>
      </c>
      <c r="E79" s="56">
        <f>E76+E78</f>
      </c>
      <c r="F79" s="56">
        <f>F76+F78</f>
      </c>
      <c r="G79" s="87">
        <f>D79-E79+F79</f>
      </c>
    </row>
    <row r="80" spans="2:8" x14ac:dyDescent="0.25">
      <c r="B80" s="41"/>
    </row>
  </sheetData>
  <conditionalFormatting sqref="D41:D49 I42:J51">
    <cfRule type="expression" dxfId="84" priority="4" stopIfTrue="1">
      <formula>$I$23="Enterprise value"</formula>
    </cfRule>
  </conditionalFormatting>
  <conditionalFormatting sqref="F24:F31 F33 F40:H46 K40:K51 I41:J41 C41:C49 F47:F51 F52:K52">
    <cfRule type="expression" dxfId="83" priority="5" stopIfTrue="1">
      <formula>$I$23="Enterprise value"</formula>
    </cfRule>
  </conditionalFormatting>
  <conditionalFormatting sqref="F35:F38">
    <cfRule type="expression" dxfId="82" priority="6" stopIfTrue="1">
      <formula>$I$23="Share price"</formula>
    </cfRule>
  </conditionalFormatting>
  <conditionalFormatting sqref="I25:I33">
    <cfRule type="expression" dxfId="81" priority="3" stopIfTrue="1">
      <formula>$I$23="Enterprise value"</formula>
    </cfRule>
  </conditionalFormatting>
  <conditionalFormatting sqref="I36:I38">
    <cfRule type="expression" dxfId="80" priority="2" stopIfTrue="1">
      <formula>$I$23="Share price"</formula>
    </cfRule>
  </conditionalFormatting>
  <conditionalFormatting sqref="I40:J40">
    <cfRule type="expression" dxfId="79" priority="1" stopIfTrue="1">
      <formula>$I$23="Enterprise value"</formula>
    </cfRule>
  </conditionalFormatting>
  <dataValidations count="3">
    <dataValidation type="list" allowBlank="1" showInputMessage="1" showErrorMessage="1" sqref="I23" xr:uid="{00000000-0002-0000-0500-000000000000}">
      <formula1>"Share price,Enterprise value"</formula1>
    </dataValidation>
    <dataValidation type="list" allowBlank="1" showInputMessage="1" showErrorMessage="1" prompt="Input 1, 2 or 3 to indicate which quarter data has been spread. Leave blank if annual data." sqref="D32" xr:uid="{00000000-0002-0000-0500-000001000000}">
      <formula1>"1,2,3,,"</formula1>
    </dataValidation>
    <dataValidation type="list" allowBlank="1" showInputMessage="1" showErrorMessage="1" sqref="D31" xr:uid="{00000000-0002-0000-0500-000002000000}">
      <formula1>"10K,10Q,8K,Annual,Interim"</formula1>
    </dataValidation>
  </dataValidations>
  <pageMargins left="0.74803149606299213" right="0.74803149606299213" top="0.98425196850393704" bottom="0.98425196850393704" header="0.51181102362204722" footer="0.51181102362204722"/>
  <pageSetup paperSize="9" scale="58" orientation="portrait" r:id="rId1"/>
  <headerFooter alignWithMargins="0">
    <oddFooter>&amp;R&amp;8&amp;P of &amp;N</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pageSetUpPr fitToPage="1"/>
  </sheetPr>
  <dimension ref="A1:X80"/>
  <sheetViews>
    <sheetView showGridLines="0" zoomScaleNormal="100" workbookViewId="0"/>
  </sheetViews>
  <sheetFormatPr defaultColWidth="9" defaultRowHeight="13.2" x14ac:dyDescent="0.25"/>
  <cols>
    <col min="1" max="2" width="1.77734375" style="40" customWidth="1"/>
    <col min="3" max="3" width="40.77734375" style="40" customWidth="1"/>
    <col min="4" max="4" width="12" style="40" customWidth="1"/>
    <col min="5" max="8" width="11.21875" style="40" customWidth="1"/>
    <col min="9" max="9" width="15.77734375" style="40" bestFit="1" customWidth="1"/>
    <col min="10" max="11" width="11.44140625" style="40" bestFit="1" customWidth="1"/>
    <col min="12" max="13" width="9" style="40"/>
    <col min="14" max="14" width="19.44140625" style="40" customWidth="1"/>
    <col min="15" max="15" width="11.21875" style="40" bestFit="1" customWidth="1"/>
    <col min="16" max="16" width="9.5546875" style="40" bestFit="1" customWidth="1"/>
    <col min="17" max="19" width="9.21875" style="40" bestFit="1" customWidth="1"/>
    <col min="20" max="20" width="11.21875" style="40" bestFit="1" customWidth="1"/>
    <col min="21" max="21" width="9.5546875" style="40" bestFit="1" customWidth="1"/>
    <col min="22" max="22" width="14.44140625" style="40" bestFit="1" customWidth="1"/>
    <col min="23" max="24" width="14.77734375" style="40" bestFit="1" customWidth="1"/>
    <col min="25" max="16384" width="9" style="40"/>
  </cols>
  <sheetData>
    <row r="1" spans="1:14" s="151" customFormat="1" ht="17.399999999999999" x14ac:dyDescent="0.3">
      <c r="A1" s="120" t="str">
        <f>"Comparable transactions analysis - "&amp;D23&amp;" / "&amp;D24</f>
      </c>
      <c r="B1" s="120"/>
      <c r="C1" s="121"/>
      <c r="D1" s="121"/>
      <c r="E1" s="121"/>
      <c r="F1" s="121"/>
      <c r="G1" s="121"/>
      <c r="H1" s="121"/>
      <c r="I1" s="121"/>
      <c r="J1" s="121"/>
      <c r="K1" s="121"/>
      <c r="L1" s="121"/>
      <c r="M1" s="122"/>
      <c r="N1" s="122"/>
    </row>
    <row r="2" spans="1:14" s="151" customFormat="1" ht="18" thickBot="1" x14ac:dyDescent="0.35">
      <c r="A2" s="128" t="str">
        <f>"Input sheet (all numbers in millions "&amp;D27&amp;" unless otherwise stated)"</f>
      </c>
      <c r="B2" s="127"/>
      <c r="C2" s="127"/>
      <c r="D2" s="127"/>
      <c r="E2" s="127"/>
      <c r="F2" s="127"/>
      <c r="G2" s="127"/>
      <c r="H2" s="127"/>
      <c r="I2" s="127"/>
      <c r="J2" s="127"/>
      <c r="K2" s="127"/>
      <c r="L2" s="127"/>
      <c r="M2" s="127"/>
      <c r="N2" s="152"/>
    </row>
    <row r="3" spans="1:14" ht="13.8" thickTop="1" x14ac:dyDescent="0.25">
      <c r="B3" s="41"/>
    </row>
    <row r="4" spans="1:14" ht="17.399999999999999" x14ac:dyDescent="0.25">
      <c r="A4" s="129" t="s">
        <v>72</v>
      </c>
      <c r="B4" s="129"/>
      <c r="C4" s="130"/>
    </row>
    <row r="5" spans="1:14" ht="13.8" x14ac:dyDescent="0.25">
      <c r="B5" s="131" t="s">
        <v>73</v>
      </c>
      <c r="C5" s="41"/>
    </row>
    <row r="6" spans="1:14" ht="13.8" x14ac:dyDescent="0.25">
      <c r="B6" s="131"/>
      <c r="C6" s="41" t="str">
        <f>F25</f>
      </c>
      <c r="D6" s="37">
        <f>IF(Driver="Enterprise value","na",I25)</f>
      </c>
    </row>
    <row r="7" spans="1:14" ht="13.8" x14ac:dyDescent="0.25">
      <c r="B7" s="131"/>
      <c r="C7" s="41" t="s">
        <v>27</v>
      </c>
      <c r="D7" s="38">
        <f>IF(OR(Driver="Enterprise Value",I25=0),"na",I25/I26-1)</f>
      </c>
    </row>
    <row r="8" spans="1:14" ht="13.8" x14ac:dyDescent="0.25">
      <c r="B8" s="132"/>
      <c r="C8" s="133" t="str">
        <f>C41</f>
      </c>
      <c r="D8" s="39">
        <f>IF(Driver="Enterprise value","na",I33*FX)</f>
      </c>
      <c r="E8" s="41"/>
      <c r="F8" s="134"/>
    </row>
    <row r="9" spans="1:14" ht="13.8" x14ac:dyDescent="0.25">
      <c r="B9" s="132"/>
      <c r="C9" s="133" t="str">
        <f>C50</f>
      </c>
      <c r="D9" s="135">
        <f>D50*FX</f>
      </c>
    </row>
    <row r="10" spans="1:14" ht="13.8" x14ac:dyDescent="0.25">
      <c r="B10" s="132"/>
      <c r="C10" s="133"/>
    </row>
    <row r="11" spans="1:14" ht="13.8" x14ac:dyDescent="0.25">
      <c r="B11" s="131" t="s">
        <v>74</v>
      </c>
      <c r="C11" s="133"/>
      <c r="D11" s="136" t="s">
        <v>16</v>
      </c>
      <c r="E11" s="136" t="s">
        <v>75</v>
      </c>
    </row>
    <row r="12" spans="1:14" ht="13.8" x14ac:dyDescent="0.25">
      <c r="B12" s="132"/>
      <c r="C12" s="41" t="s">
        <v>76</v>
      </c>
      <c r="D12" s="42">
        <f>G65*FX</f>
      </c>
      <c r="E12" s="137" t="s">
        <v>77</v>
      </c>
    </row>
    <row r="13" spans="1:14" ht="13.8" x14ac:dyDescent="0.25">
      <c r="B13" s="132"/>
      <c r="C13" s="43" t="s">
        <v>78</v>
      </c>
      <c r="D13" s="42">
        <f>G76*FX</f>
      </c>
      <c r="E13" s="138">
        <f>D13/D12</f>
      </c>
    </row>
    <row r="14" spans="1:14" ht="13.8" x14ac:dyDescent="0.25">
      <c r="B14" s="132"/>
      <c r="C14" s="43" t="s">
        <v>19</v>
      </c>
      <c r="D14" s="42">
        <f>G79*FX</f>
      </c>
      <c r="E14" s="138">
        <f>D14/D12</f>
      </c>
    </row>
    <row r="15" spans="1:14" ht="13.8" x14ac:dyDescent="0.25">
      <c r="B15" s="139"/>
      <c r="D15" s="140"/>
    </row>
    <row r="16" spans="1:14" ht="13.8" x14ac:dyDescent="0.25">
      <c r="B16" s="131" t="s">
        <v>79</v>
      </c>
    </row>
    <row r="17" spans="1:24" x14ac:dyDescent="0.25">
      <c r="C17" s="40" t="s">
        <v>80</v>
      </c>
      <c r="D17" s="44">
        <f>$D$9/D12</f>
      </c>
    </row>
    <row r="18" spans="1:24" x14ac:dyDescent="0.25">
      <c r="C18" s="40" t="s">
        <v>81</v>
      </c>
      <c r="D18" s="44">
        <f>$D$9/D13</f>
      </c>
    </row>
    <row r="19" spans="1:24" x14ac:dyDescent="0.25">
      <c r="C19" s="40" t="s">
        <v>21</v>
      </c>
      <c r="D19" s="44">
        <f>$D$9/D14</f>
      </c>
    </row>
    <row r="20" spans="1:24" x14ac:dyDescent="0.25">
      <c r="D20" s="140"/>
    </row>
    <row r="21" spans="1:24" ht="17.399999999999999" x14ac:dyDescent="0.25">
      <c r="A21" s="129" t="s">
        <v>82</v>
      </c>
      <c r="B21" s="129"/>
      <c r="C21" s="130"/>
      <c r="I21" s="141"/>
    </row>
    <row r="22" spans="1:24" ht="13.8" x14ac:dyDescent="0.25">
      <c r="A22" s="36"/>
      <c r="B22" s="131" t="s">
        <v>83</v>
      </c>
      <c r="C22" s="41"/>
      <c r="D22" s="41"/>
      <c r="F22" s="131" t="s">
        <v>84</v>
      </c>
    </row>
    <row r="23" spans="1:24" ht="13.8" x14ac:dyDescent="0.25">
      <c r="B23" s="132"/>
      <c r="C23" s="41" t="s">
        <v>85</v>
      </c>
      <c r="D23" s="54" t="s">
        <v>42</v>
      </c>
      <c r="E23" s="41"/>
      <c r="F23" s="40" t="s">
        <v>86</v>
      </c>
      <c r="I23" s="45" t="s">
        <v>87</v>
      </c>
    </row>
    <row r="24" spans="1:24" ht="13.8" x14ac:dyDescent="0.25">
      <c r="B24" s="132"/>
      <c r="C24" s="41" t="s">
        <v>88</v>
      </c>
      <c r="D24" s="45" t="s">
        <v>174</v>
      </c>
      <c r="E24" s="41"/>
      <c r="F24" s="36" t="s">
        <v>90</v>
      </c>
    </row>
    <row r="25" spans="1:24" ht="13.8" x14ac:dyDescent="0.25">
      <c r="B25" s="132"/>
      <c r="C25" s="41" t="s">
        <v>91</v>
      </c>
      <c r="D25" s="46">
        <v>41239</v>
      </c>
      <c r="F25" s="41" t="s">
        <v>92</v>
      </c>
      <c r="I25" s="47">
        <v>90</v>
      </c>
    </row>
    <row r="26" spans="1:24" ht="13.8" x14ac:dyDescent="0.25">
      <c r="B26" s="132"/>
      <c r="C26" s="133" t="s">
        <v>93</v>
      </c>
      <c r="D26" s="48">
        <v>41303</v>
      </c>
      <c r="E26" s="41"/>
      <c r="F26" s="133" t="s">
        <v>94</v>
      </c>
      <c r="I26" s="47">
        <f>I25/(1+28.2%)</f>
      </c>
      <c r="W26" s="49"/>
      <c r="X26" s="49"/>
    </row>
    <row r="27" spans="1:24" ht="13.8" x14ac:dyDescent="0.25">
      <c r="B27" s="132"/>
      <c r="C27" s="133" t="s">
        <v>10</v>
      </c>
      <c r="D27" s="50" t="s">
        <v>11</v>
      </c>
      <c r="E27" s="41"/>
      <c r="F27" s="133" t="s">
        <v>95</v>
      </c>
      <c r="I27" s="47">
        <v>71.08</v>
      </c>
      <c r="W27" s="49"/>
      <c r="X27" s="49"/>
    </row>
    <row r="28" spans="1:24" ht="13.8" x14ac:dyDescent="0.25">
      <c r="B28" s="132"/>
      <c r="C28" s="133" t="s">
        <v>96</v>
      </c>
      <c r="D28" s="51">
        <v>1</v>
      </c>
      <c r="E28" s="41"/>
      <c r="F28" s="133" t="s">
        <v>97</v>
      </c>
      <c r="I28" s="52">
        <v>72.48</v>
      </c>
      <c r="W28" s="49"/>
      <c r="X28" s="49"/>
    </row>
    <row r="29" spans="1:24" ht="13.8" x14ac:dyDescent="0.25">
      <c r="B29" s="132"/>
      <c r="C29" s="133" t="s">
        <v>98</v>
      </c>
      <c r="D29" s="53">
        <v>41182</v>
      </c>
      <c r="E29" s="41"/>
      <c r="F29" s="41" t="s">
        <v>99</v>
      </c>
      <c r="I29" s="60">
        <f>54.909106</f>
      </c>
      <c r="W29" s="49"/>
      <c r="X29" s="49"/>
    </row>
    <row r="30" spans="1:24" ht="13.8" x14ac:dyDescent="0.25">
      <c r="B30" s="132"/>
      <c r="C30" s="133" t="s">
        <v>100</v>
      </c>
      <c r="D30" s="53">
        <v>41182</v>
      </c>
      <c r="E30" s="41"/>
      <c r="F30" s="41" t="s">
        <v>101</v>
      </c>
      <c r="I30" s="135">
        <f>K52</f>
      </c>
      <c r="W30" s="49"/>
      <c r="X30" s="49"/>
    </row>
    <row r="31" spans="1:24" ht="13.8" x14ac:dyDescent="0.25">
      <c r="B31" s="132"/>
      <c r="C31" s="133" t="s">
        <v>102</v>
      </c>
      <c r="D31" s="50" t="s">
        <v>103</v>
      </c>
      <c r="E31" s="41"/>
      <c r="F31" s="41" t="s">
        <v>104</v>
      </c>
      <c r="I31" s="42">
        <f>I29+I30</f>
      </c>
      <c r="W31" s="49"/>
      <c r="X31" s="49"/>
    </row>
    <row r="32" spans="1:24" ht="13.8" x14ac:dyDescent="0.25">
      <c r="B32" s="132"/>
      <c r="C32" s="133" t="s">
        <v>105</v>
      </c>
      <c r="D32" s="55"/>
      <c r="E32" s="56"/>
      <c r="F32" s="40" t="s">
        <v>106</v>
      </c>
      <c r="I32" s="143">
        <v>0</v>
      </c>
      <c r="W32" s="49"/>
      <c r="X32" s="49"/>
    </row>
    <row r="33" spans="1:24" ht="13.8" x14ac:dyDescent="0.25">
      <c r="B33" s="132"/>
      <c r="E33" s="56"/>
      <c r="F33" s="49" t="s">
        <v>107</v>
      </c>
      <c r="I33" s="57">
        <f>I25*I31+I32</f>
      </c>
      <c r="W33" s="49"/>
      <c r="X33" s="49"/>
    </row>
    <row r="34" spans="1:24" ht="13.8" x14ac:dyDescent="0.25">
      <c r="B34" s="132"/>
      <c r="C34" s="133" t="s">
        <v>108</v>
      </c>
      <c r="D34" s="145">
        <v>1</v>
      </c>
      <c r="E34" s="56"/>
      <c r="W34" s="49"/>
      <c r="X34" s="49"/>
    </row>
    <row r="35" spans="1:24" ht="13.8" x14ac:dyDescent="0.25">
      <c r="B35" s="132"/>
      <c r="C35" s="133" t="s">
        <v>109</v>
      </c>
      <c r="D35" s="138">
        <f>1-D34</f>
      </c>
      <c r="E35" s="56"/>
      <c r="F35" s="131" t="s">
        <v>90</v>
      </c>
      <c r="W35" s="49"/>
      <c r="X35" s="49"/>
    </row>
    <row r="36" spans="1:24" ht="13.8" x14ac:dyDescent="0.25">
      <c r="B36" s="132"/>
      <c r="E36" s="56"/>
      <c r="F36" s="58" t="s">
        <v>110</v>
      </c>
      <c r="G36" s="59"/>
      <c r="H36" s="49"/>
      <c r="I36" s="50">
        <v>0</v>
      </c>
      <c r="W36" s="49"/>
      <c r="X36" s="49"/>
    </row>
    <row r="37" spans="1:24" ht="13.8" x14ac:dyDescent="0.25">
      <c r="B37" s="132"/>
      <c r="E37" s="56"/>
      <c r="F37" s="58" t="s">
        <v>111</v>
      </c>
      <c r="G37" s="59"/>
      <c r="H37" s="49"/>
      <c r="I37" s="60">
        <v>0</v>
      </c>
      <c r="W37" s="49"/>
      <c r="X37" s="49"/>
    </row>
    <row r="38" spans="1:24" ht="13.8" x14ac:dyDescent="0.25">
      <c r="B38" s="132"/>
      <c r="E38" s="56"/>
      <c r="F38" s="61" t="s">
        <v>112</v>
      </c>
      <c r="G38" s="59"/>
      <c r="H38" s="49"/>
      <c r="I38" s="62">
        <f>SUM(I36:I37)</f>
      </c>
      <c r="W38" s="49"/>
      <c r="X38" s="49"/>
    </row>
    <row r="39" spans="1:24" ht="13.8" x14ac:dyDescent="0.25">
      <c r="B39" s="132"/>
      <c r="E39" s="56"/>
      <c r="F39" s="133"/>
      <c r="G39" s="133"/>
      <c r="I39" s="41"/>
      <c r="W39" s="49"/>
      <c r="X39" s="49"/>
    </row>
    <row r="40" spans="1:24" ht="13.8" x14ac:dyDescent="0.25">
      <c r="B40" s="131" t="s">
        <v>113</v>
      </c>
      <c r="F40" s="131" t="s">
        <v>114</v>
      </c>
      <c r="I40" s="146">
        <f>YEAR($D$29)</f>
      </c>
      <c r="J40" s="146">
        <f>YEAR($D$29)</f>
      </c>
      <c r="M40" s="66"/>
    </row>
    <row r="41" spans="1:24" ht="13.8" x14ac:dyDescent="0.25">
      <c r="A41" s="49"/>
      <c r="B41" s="131"/>
      <c r="C41" s="64" t="s">
        <v>107</v>
      </c>
      <c r="D41" s="57">
        <f>I33</f>
      </c>
      <c r="E41" s="49"/>
      <c r="I41" s="65" t="s">
        <v>115</v>
      </c>
      <c r="J41" s="65" t="s">
        <v>116</v>
      </c>
      <c r="K41" s="65" t="s">
        <v>117</v>
      </c>
      <c r="M41" s="66"/>
    </row>
    <row r="42" spans="1:24" ht="13.8" x14ac:dyDescent="0.25">
      <c r="B42" s="132"/>
      <c r="C42" s="40" t="str">
        <f>F55</f>
      </c>
      <c r="D42" s="42">
        <f>I55</f>
      </c>
      <c r="F42" s="66" t="s">
        <v>175</v>
      </c>
      <c r="I42" s="67">
        <f>0.262641</f>
      </c>
      <c r="J42" s="68">
        <v>26.33</v>
      </c>
      <c r="K42" s="147">
        <f t="shared" ref="K42:K51" si="0">MAX(($I$25-J42)/$I$25*I42,0)</f>
      </c>
      <c r="M42" s="66"/>
    </row>
    <row r="43" spans="1:24" ht="13.8" x14ac:dyDescent="0.25">
      <c r="B43" s="132"/>
      <c r="C43" s="41" t="str">
        <f>C55&amp;" and "&amp;LOWER(C56)</f>
      </c>
      <c r="D43" s="135">
        <f>D55+D56</f>
      </c>
      <c r="F43" s="66" t="s">
        <v>176</v>
      </c>
      <c r="I43" s="67">
        <f>2.909877</f>
      </c>
      <c r="J43" s="68">
        <v>52.19</v>
      </c>
      <c r="K43" s="147">
        <f t="shared" si="0"/>
      </c>
      <c r="M43" s="66"/>
    </row>
    <row r="44" spans="1:24" ht="13.8" x14ac:dyDescent="0.25">
      <c r="B44" s="132"/>
      <c r="C44" s="69" t="s">
        <v>120</v>
      </c>
      <c r="D44" s="57">
        <f>D42-D43</f>
      </c>
      <c r="F44" s="66" t="s">
        <v>177</v>
      </c>
      <c r="I44" s="67">
        <f>0.81961</f>
      </c>
      <c r="J44" s="68">
        <v>66.489999999999995</v>
      </c>
      <c r="K44" s="147">
        <f t="shared" si="0"/>
      </c>
      <c r="M44" s="66"/>
    </row>
    <row r="45" spans="1:24" ht="13.8" x14ac:dyDescent="0.25">
      <c r="B45" s="132"/>
      <c r="C45" s="41" t="str">
        <f>F56</f>
      </c>
      <c r="D45" s="75">
        <f>I56</f>
      </c>
      <c r="E45" s="110"/>
      <c r="F45" s="66" t="s">
        <v>178</v>
      </c>
      <c r="G45" s="49"/>
      <c r="H45" s="49"/>
      <c r="I45" s="67">
        <f>0.14</f>
      </c>
      <c r="J45" s="68">
        <v>0</v>
      </c>
      <c r="K45" s="147">
        <f t="shared" si="0"/>
      </c>
      <c r="M45" s="66"/>
    </row>
    <row r="46" spans="1:24" ht="13.8" x14ac:dyDescent="0.25">
      <c r="B46" s="132"/>
      <c r="C46" s="41" t="str">
        <f>F59</f>
      </c>
      <c r="D46" s="42">
        <f>I59</f>
      </c>
      <c r="F46" s="66" t="s">
        <v>179</v>
      </c>
      <c r="G46" s="49"/>
      <c r="H46" s="49"/>
      <c r="I46" s="67">
        <v>0.17499999999999999</v>
      </c>
      <c r="J46" s="68">
        <v>0</v>
      </c>
      <c r="K46" s="147">
        <f t="shared" si="0"/>
      </c>
      <c r="M46" s="66"/>
    </row>
    <row r="47" spans="1:24" ht="13.8" x14ac:dyDescent="0.25">
      <c r="B47" s="132"/>
      <c r="C47" s="41" t="str">
        <f>F60</f>
      </c>
      <c r="D47" s="42">
        <f>I60</f>
      </c>
      <c r="F47" s="66" t="s">
        <v>180</v>
      </c>
      <c r="I47" s="67">
        <f>0.074699</f>
      </c>
      <c r="J47" s="68">
        <v>0</v>
      </c>
      <c r="K47" s="147">
        <f t="shared" si="0"/>
      </c>
      <c r="M47" s="66"/>
    </row>
    <row r="48" spans="1:24" ht="12.75" customHeight="1" x14ac:dyDescent="0.3">
      <c r="A48" s="35"/>
      <c r="B48" s="132"/>
      <c r="C48" s="41" t="str">
        <f>C57</f>
      </c>
      <c r="D48" s="42">
        <f>D57</f>
      </c>
      <c r="F48" s="66" t="s">
        <v>125</v>
      </c>
      <c r="G48" s="41"/>
      <c r="H48" s="41"/>
      <c r="I48" s="67">
        <v>0</v>
      </c>
      <c r="J48" s="68">
        <v>0</v>
      </c>
      <c r="K48" s="147">
        <f t="shared" si="0"/>
      </c>
    </row>
    <row r="49" spans="1:22" ht="15.6" x14ac:dyDescent="0.3">
      <c r="A49" s="35"/>
      <c r="B49" s="132"/>
      <c r="C49" s="41" t="str">
        <f>C58</f>
      </c>
      <c r="D49" s="42">
        <f>D58</f>
      </c>
      <c r="F49" s="66" t="s">
        <v>126</v>
      </c>
      <c r="G49" s="41"/>
      <c r="H49" s="41"/>
      <c r="I49" s="67">
        <v>0</v>
      </c>
      <c r="J49" s="68">
        <v>0</v>
      </c>
      <c r="K49" s="147">
        <f t="shared" si="0"/>
      </c>
    </row>
    <row r="50" spans="1:22" ht="15.6" x14ac:dyDescent="0.3">
      <c r="A50" s="35"/>
      <c r="B50" s="132"/>
      <c r="C50" s="59" t="s">
        <v>110</v>
      </c>
      <c r="D50" s="57">
        <f>IF(I23="Enterprise value",I38,SUM(D41,D44:D47)-SUM(D48:D49))</f>
      </c>
      <c r="F50" s="66" t="s">
        <v>127</v>
      </c>
      <c r="G50" s="41"/>
      <c r="H50" s="41"/>
      <c r="I50" s="67">
        <v>0</v>
      </c>
      <c r="J50" s="68">
        <v>0</v>
      </c>
      <c r="K50" s="147">
        <f t="shared" si="0"/>
      </c>
    </row>
    <row r="51" spans="1:22" ht="15.6" x14ac:dyDescent="0.3">
      <c r="A51" s="35"/>
      <c r="B51" s="132"/>
      <c r="C51" s="70"/>
      <c r="D51" s="56"/>
      <c r="F51" s="66" t="s">
        <v>128</v>
      </c>
      <c r="G51" s="41"/>
      <c r="H51" s="41"/>
      <c r="I51" s="67">
        <v>0</v>
      </c>
      <c r="J51" s="68">
        <v>0</v>
      </c>
      <c r="K51" s="147">
        <f t="shared" si="0"/>
      </c>
    </row>
    <row r="52" spans="1:22" ht="17.399999999999999" x14ac:dyDescent="0.25">
      <c r="A52" s="129" t="s">
        <v>129</v>
      </c>
      <c r="B52" s="129"/>
      <c r="C52" s="130"/>
      <c r="F52" s="56" t="s">
        <v>130</v>
      </c>
      <c r="I52" s="49"/>
      <c r="J52" s="49"/>
      <c r="K52" s="90">
        <f>SUM(K42:K51)</f>
      </c>
    </row>
    <row r="53" spans="1:22" ht="13.8" x14ac:dyDescent="0.25">
      <c r="B53" s="132"/>
    </row>
    <row r="54" spans="1:22" ht="13.8" x14ac:dyDescent="0.25">
      <c r="B54" s="131" t="s">
        <v>131</v>
      </c>
      <c r="D54" s="148">
        <f>D30</f>
      </c>
      <c r="E54" s="100"/>
      <c r="F54" s="100"/>
      <c r="G54" s="100"/>
      <c r="H54" s="100"/>
      <c r="I54" s="148">
        <f>D54</f>
      </c>
    </row>
    <row r="55" spans="1:22" ht="13.8" x14ac:dyDescent="0.25">
      <c r="B55" s="132"/>
      <c r="C55" s="40" t="s">
        <v>28</v>
      </c>
      <c r="D55" s="50">
        <f>307.5</f>
      </c>
      <c r="F55" s="40" t="s">
        <v>132</v>
      </c>
      <c r="I55" s="50">
        <f>1894.1+85.7+41.7</f>
      </c>
      <c r="M55" s="41"/>
      <c r="N55" s="72"/>
      <c r="O55" s="73"/>
      <c r="P55" s="73"/>
      <c r="Q55" s="73"/>
      <c r="R55" s="73"/>
      <c r="S55" s="41"/>
      <c r="T55" s="74"/>
      <c r="U55" s="74"/>
      <c r="V55" s="74"/>
    </row>
    <row r="56" spans="1:22" ht="13.8" x14ac:dyDescent="0.25">
      <c r="B56" s="132"/>
      <c r="C56" s="40" t="s">
        <v>133</v>
      </c>
      <c r="D56" s="50">
        <f>4.5</f>
      </c>
      <c r="F56" s="40" t="s">
        <v>134</v>
      </c>
      <c r="I56" s="50">
        <v>0</v>
      </c>
      <c r="M56" s="41"/>
      <c r="N56" s="72"/>
      <c r="O56" s="73"/>
      <c r="P56" s="73"/>
      <c r="Q56" s="73"/>
      <c r="R56" s="73"/>
      <c r="S56" s="41"/>
      <c r="T56" s="74"/>
      <c r="U56" s="74"/>
      <c r="V56" s="74"/>
    </row>
    <row r="57" spans="1:22" ht="13.8" x14ac:dyDescent="0.25">
      <c r="B57" s="132"/>
      <c r="C57" s="40" t="s">
        <v>135</v>
      </c>
      <c r="D57" s="75">
        <v>0</v>
      </c>
      <c r="F57" s="40" t="s">
        <v>136</v>
      </c>
      <c r="I57" s="54">
        <f>4538.8-I55-I56-I58-I59-I60</f>
      </c>
      <c r="M57" s="41"/>
      <c r="N57" s="41"/>
      <c r="O57" s="41"/>
      <c r="P57" s="41"/>
      <c r="Q57" s="41"/>
      <c r="R57" s="41"/>
      <c r="S57" s="36"/>
    </row>
    <row r="58" spans="1:22" ht="13.8" x14ac:dyDescent="0.25">
      <c r="B58" s="132"/>
      <c r="C58" s="40" t="s">
        <v>137</v>
      </c>
      <c r="D58" s="75">
        <f>40.4</f>
      </c>
      <c r="F58" s="40" t="s">
        <v>138</v>
      </c>
      <c r="I58" s="45">
        <f>1647.5</f>
      </c>
      <c r="J58" s="110"/>
      <c r="M58" s="41"/>
      <c r="N58" s="41"/>
      <c r="O58" s="41"/>
      <c r="P58" s="41"/>
      <c r="Q58" s="41"/>
      <c r="R58" s="41"/>
      <c r="S58" s="76"/>
    </row>
    <row r="59" spans="1:22" ht="13.8" x14ac:dyDescent="0.25">
      <c r="B59" s="132"/>
      <c r="C59" s="40" t="s">
        <v>139</v>
      </c>
      <c r="D59" s="75">
        <f>4538.8-D55-D56-D57-D58</f>
      </c>
      <c r="F59" s="40" t="s">
        <v>140</v>
      </c>
      <c r="I59" s="45">
        <v>0</v>
      </c>
      <c r="J59" s="77"/>
    </row>
    <row r="60" spans="1:22" ht="13.8" x14ac:dyDescent="0.25">
      <c r="B60" s="132"/>
      <c r="F60" s="40" t="s">
        <v>141</v>
      </c>
      <c r="I60" s="45">
        <v>0</v>
      </c>
      <c r="J60" s="77"/>
    </row>
    <row r="61" spans="1:22" ht="13.8" x14ac:dyDescent="0.25">
      <c r="B61" s="132"/>
      <c r="C61" s="78" t="s">
        <v>142</v>
      </c>
      <c r="D61" s="49">
        <f>SUM(D55:D59)</f>
      </c>
      <c r="F61" s="78" t="s">
        <v>143</v>
      </c>
      <c r="I61" s="49">
        <f>SUM(I55:I60)</f>
      </c>
      <c r="J61" s="77"/>
    </row>
    <row r="62" spans="1:22" ht="13.8" x14ac:dyDescent="0.25">
      <c r="B62" s="132"/>
      <c r="C62" s="79" t="s">
        <v>144</v>
      </c>
      <c r="D62" s="80" t="str">
        <f>IF(D61=I61,"OK",D61-I61)</f>
      </c>
      <c r="J62" s="77"/>
    </row>
    <row r="63" spans="1:22" ht="13.8" x14ac:dyDescent="0.25">
      <c r="B63" s="132"/>
      <c r="J63" s="81"/>
    </row>
    <row r="64" spans="1:22" ht="13.8" x14ac:dyDescent="0.25">
      <c r="B64" s="132" t="s">
        <v>145</v>
      </c>
      <c r="D64" s="149">
        <f>YEAR($D$29)</f>
      </c>
      <c r="E64" s="148" t="str">
        <f>YEAR($D$30)-1&amp;" "&amp;$D$32&amp;"Q"</f>
      </c>
      <c r="F64" s="148" t="str">
        <f>YEAR($D$30)&amp;" "&amp;$D$32&amp;"Q"</f>
      </c>
      <c r="G64" s="148" t="s">
        <v>16</v>
      </c>
    </row>
    <row r="65" spans="2:7" x14ac:dyDescent="0.25">
      <c r="B65" s="41"/>
      <c r="C65" s="41" t="s">
        <v>76</v>
      </c>
      <c r="D65" s="150">
        <f>4322.2</f>
      </c>
      <c r="E65" s="50">
        <v>0</v>
      </c>
      <c r="F65" s="50">
        <v>0</v>
      </c>
      <c r="G65" s="40">
        <f>D65-E65+F65</f>
      </c>
    </row>
    <row r="67" spans="2:7" x14ac:dyDescent="0.25">
      <c r="B67" s="41"/>
      <c r="C67" s="41" t="s">
        <v>146</v>
      </c>
      <c r="D67" s="83">
        <f>273.1</f>
      </c>
      <c r="E67" s="83">
        <v>0</v>
      </c>
      <c r="F67" s="91">
        <v>0</v>
      </c>
    </row>
    <row r="68" spans="2:7" x14ac:dyDescent="0.25">
      <c r="B68" s="41"/>
      <c r="C68" s="85" t="s">
        <v>181</v>
      </c>
      <c r="D68" s="50">
        <v>10.4</v>
      </c>
      <c r="E68" s="50">
        <v>0</v>
      </c>
      <c r="F68" s="50">
        <v>0</v>
      </c>
    </row>
    <row r="69" spans="2:7" x14ac:dyDescent="0.25">
      <c r="B69" s="41"/>
      <c r="C69" s="85" t="s">
        <v>182</v>
      </c>
      <c r="D69" s="50">
        <v>23.6</v>
      </c>
      <c r="E69" s="50">
        <v>0</v>
      </c>
      <c r="F69" s="50">
        <v>0</v>
      </c>
    </row>
    <row r="70" spans="2:7" x14ac:dyDescent="0.25">
      <c r="B70" s="41"/>
      <c r="C70" s="85" t="s">
        <v>183</v>
      </c>
      <c r="D70" s="50">
        <v>13.4</v>
      </c>
      <c r="E70" s="50">
        <v>0</v>
      </c>
      <c r="F70" s="50">
        <v>0</v>
      </c>
    </row>
    <row r="71" spans="2:7" x14ac:dyDescent="0.25">
      <c r="B71" s="41"/>
      <c r="C71" s="85" t="s">
        <v>184</v>
      </c>
      <c r="D71" s="50">
        <v>30.6</v>
      </c>
      <c r="E71" s="50">
        <v>0</v>
      </c>
      <c r="F71" s="50">
        <v>0</v>
      </c>
    </row>
    <row r="72" spans="2:7" x14ac:dyDescent="0.25">
      <c r="B72" s="41"/>
      <c r="C72" s="85" t="s">
        <v>166</v>
      </c>
      <c r="D72" s="50">
        <v>0</v>
      </c>
      <c r="E72" s="50">
        <v>0</v>
      </c>
      <c r="F72" s="50">
        <v>0</v>
      </c>
    </row>
    <row r="73" spans="2:7" x14ac:dyDescent="0.25">
      <c r="B73" s="41"/>
      <c r="C73" s="85" t="s">
        <v>152</v>
      </c>
      <c r="D73" s="50">
        <v>0</v>
      </c>
      <c r="E73" s="50">
        <v>0</v>
      </c>
      <c r="F73" s="50">
        <v>0</v>
      </c>
    </row>
    <row r="74" spans="2:7" x14ac:dyDescent="0.25">
      <c r="B74" s="41"/>
      <c r="C74" s="85" t="s">
        <v>153</v>
      </c>
      <c r="D74" s="50">
        <v>0</v>
      </c>
      <c r="E74" s="50">
        <v>0</v>
      </c>
      <c r="F74" s="50">
        <v>0</v>
      </c>
    </row>
    <row r="75" spans="2:7" x14ac:dyDescent="0.25">
      <c r="B75" s="41"/>
      <c r="C75" s="85" t="s">
        <v>154</v>
      </c>
      <c r="D75" s="50">
        <v>0</v>
      </c>
      <c r="E75" s="50">
        <v>0</v>
      </c>
      <c r="F75" s="50">
        <v>0</v>
      </c>
    </row>
    <row r="76" spans="2:7" s="49" customFormat="1" x14ac:dyDescent="0.25">
      <c r="B76" s="56"/>
      <c r="C76" s="86" t="s">
        <v>78</v>
      </c>
      <c r="D76" s="56">
        <f>SUM(D67:D75)</f>
      </c>
      <c r="E76" s="56">
        <f>SUM(E67:E75)</f>
      </c>
      <c r="F76" s="56">
        <f>SUM(F67:F75)</f>
      </c>
      <c r="G76" s="49">
        <f>D76-E76+F76</f>
      </c>
    </row>
    <row r="77" spans="2:7" x14ac:dyDescent="0.25">
      <c r="B77" s="41"/>
    </row>
    <row r="78" spans="2:7" x14ac:dyDescent="0.25">
      <c r="B78" s="41"/>
      <c r="C78" s="41" t="s">
        <v>155</v>
      </c>
      <c r="D78" s="50">
        <f>198.8</f>
      </c>
      <c r="E78" s="50">
        <v>0</v>
      </c>
      <c r="F78" s="50">
        <v>0</v>
      </c>
      <c r="G78" s="40">
        <f>D78-E78+F78</f>
      </c>
    </row>
    <row r="79" spans="2:7" s="49" customFormat="1" x14ac:dyDescent="0.25">
      <c r="B79" s="56"/>
      <c r="C79" s="86" t="s">
        <v>19</v>
      </c>
      <c r="D79" s="56">
        <f>D76+D78</f>
      </c>
      <c r="E79" s="56">
        <f>E76+E78</f>
      </c>
      <c r="F79" s="56">
        <f>F76+F78</f>
      </c>
      <c r="G79" s="49">
        <f>D79-E79+F79</f>
      </c>
    </row>
    <row r="80" spans="2:7" x14ac:dyDescent="0.25">
      <c r="B80" s="41"/>
    </row>
  </sheetData>
  <conditionalFormatting sqref="D41:D49 I42:J51">
    <cfRule type="expression" dxfId="78" priority="8" stopIfTrue="1">
      <formula>$I$23="Enterprise value"</formula>
    </cfRule>
  </conditionalFormatting>
  <conditionalFormatting sqref="F24:F31 F33 F40:H46 K40:K51 I41:J41 C41:C49 F52:K52">
    <cfRule type="expression" dxfId="77" priority="9" stopIfTrue="1">
      <formula>$I$23="Enterprise value"</formula>
    </cfRule>
  </conditionalFormatting>
  <conditionalFormatting sqref="F35:F38">
    <cfRule type="expression" dxfId="76" priority="10" stopIfTrue="1">
      <formula>$I$23="Share price"</formula>
    </cfRule>
  </conditionalFormatting>
  <conditionalFormatting sqref="F47:F51">
    <cfRule type="expression" dxfId="75" priority="1" stopIfTrue="1">
      <formula>$I$23="Enterprise value"</formula>
    </cfRule>
  </conditionalFormatting>
  <conditionalFormatting sqref="I25:I33">
    <cfRule type="expression" dxfId="74" priority="7" stopIfTrue="1">
      <formula>$I$23="Enterprise value"</formula>
    </cfRule>
  </conditionalFormatting>
  <conditionalFormatting sqref="I36:I38">
    <cfRule type="expression" dxfId="73" priority="6" stopIfTrue="1">
      <formula>$I$23="Share price"</formula>
    </cfRule>
  </conditionalFormatting>
  <conditionalFormatting sqref="I40:J40">
    <cfRule type="expression" dxfId="72" priority="5" stopIfTrue="1">
      <formula>$I$23="Enterprise value"</formula>
    </cfRule>
  </conditionalFormatting>
  <conditionalFormatting sqref="M40:M47">
    <cfRule type="expression" dxfId="71" priority="3" stopIfTrue="1">
      <formula>$I$23="Enterprise value"</formula>
    </cfRule>
  </conditionalFormatting>
  <dataValidations count="3">
    <dataValidation type="list" allowBlank="1" showInputMessage="1" showErrorMessage="1" sqref="D31" xr:uid="{00000000-0002-0000-0600-000000000000}">
      <formula1>"10K,10Q,8K,Annual,Interim"</formula1>
    </dataValidation>
    <dataValidation type="list" allowBlank="1" showInputMessage="1" showErrorMessage="1" prompt="Input 1, 2 or 3 to indicate which quarter data has been spread. Leave blank if annual data." sqref="D32" xr:uid="{00000000-0002-0000-0600-000001000000}">
      <formula1>"1,2,3,,"</formula1>
    </dataValidation>
    <dataValidation type="list" allowBlank="1" showInputMessage="1" showErrorMessage="1" sqref="I23" xr:uid="{00000000-0002-0000-0600-000002000000}">
      <formula1>"Share price,Enterprise value"</formula1>
    </dataValidation>
  </dataValidations>
  <pageMargins left="0.74803149606299213" right="0.74803149606299213" top="0.98425196850393704" bottom="0.98425196850393704" header="0.51181102362204722" footer="0.51181102362204722"/>
  <pageSetup paperSize="9" scale="62" orientation="portrait" r:id="rId1"/>
  <headerFooter alignWithMargins="0">
    <oddFooter>&amp;R&amp;8&amp;P of &amp;N</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pageSetUpPr fitToPage="1"/>
  </sheetPr>
  <dimension ref="A1:X80"/>
  <sheetViews>
    <sheetView showGridLines="0" zoomScaleNormal="100" workbookViewId="0"/>
  </sheetViews>
  <sheetFormatPr defaultColWidth="9" defaultRowHeight="13.2" x14ac:dyDescent="0.25"/>
  <cols>
    <col min="1" max="2" width="1.77734375" style="40" customWidth="1"/>
    <col min="3" max="3" width="40.77734375" style="40" customWidth="1"/>
    <col min="4" max="4" width="11.77734375" style="40" customWidth="1"/>
    <col min="5" max="8" width="11.21875" style="40" customWidth="1"/>
    <col min="9" max="9" width="15.77734375" style="40" bestFit="1" customWidth="1"/>
    <col min="10" max="11" width="11.44140625" style="40" bestFit="1" customWidth="1"/>
    <col min="12" max="13" width="9" style="40"/>
    <col min="14" max="14" width="19.44140625" style="40" customWidth="1"/>
    <col min="15" max="15" width="11.21875" style="40" bestFit="1" customWidth="1"/>
    <col min="16" max="16" width="9.5546875" style="40" bestFit="1" customWidth="1"/>
    <col min="17" max="19" width="9.21875" style="40" bestFit="1" customWidth="1"/>
    <col min="20" max="20" width="11.21875" style="40" bestFit="1" customWidth="1"/>
    <col min="21" max="21" width="9.5546875" style="40" bestFit="1" customWidth="1"/>
    <col min="22" max="22" width="14.44140625" style="40" bestFit="1" customWidth="1"/>
    <col min="23" max="24" width="14.77734375" style="40" bestFit="1" customWidth="1"/>
    <col min="25" max="16384" width="9" style="40"/>
  </cols>
  <sheetData>
    <row r="1" spans="1:14" s="151" customFormat="1" ht="17.399999999999999" x14ac:dyDescent="0.3">
      <c r="A1" s="120" t="str">
        <f>"Comparable transactions analysis - "&amp;D23&amp;" / "&amp;D24</f>
      </c>
      <c r="B1" s="120"/>
      <c r="C1" s="121"/>
      <c r="D1" s="121"/>
      <c r="E1" s="121"/>
      <c r="F1" s="121"/>
      <c r="G1" s="121"/>
      <c r="H1" s="121"/>
      <c r="I1" s="121"/>
      <c r="J1" s="121"/>
      <c r="K1" s="121"/>
      <c r="L1" s="121"/>
      <c r="M1" s="122"/>
      <c r="N1" s="122"/>
    </row>
    <row r="2" spans="1:14" s="151" customFormat="1" ht="18" thickBot="1" x14ac:dyDescent="0.35">
      <c r="A2" s="128" t="str">
        <f>"Input sheet (all numbers in millions "&amp;D27&amp;" unless otherwise stated)"</f>
      </c>
      <c r="B2" s="127"/>
      <c r="C2" s="127"/>
      <c r="D2" s="127"/>
      <c r="E2" s="127"/>
      <c r="F2" s="127"/>
      <c r="G2" s="127"/>
      <c r="H2" s="127"/>
      <c r="I2" s="127"/>
      <c r="J2" s="127"/>
      <c r="K2" s="127"/>
      <c r="L2" s="127"/>
      <c r="M2" s="127"/>
      <c r="N2" s="152"/>
    </row>
    <row r="3" spans="1:14" ht="13.8" thickTop="1" x14ac:dyDescent="0.25">
      <c r="B3" s="41"/>
    </row>
    <row r="4" spans="1:14" ht="17.399999999999999" x14ac:dyDescent="0.25">
      <c r="A4" s="129" t="s">
        <v>72</v>
      </c>
      <c r="B4" s="129"/>
      <c r="C4" s="130"/>
    </row>
    <row r="5" spans="1:14" ht="13.8" x14ac:dyDescent="0.25">
      <c r="B5" s="131" t="s">
        <v>73</v>
      </c>
      <c r="C5" s="41"/>
    </row>
    <row r="6" spans="1:14" ht="13.8" x14ac:dyDescent="0.25">
      <c r="B6" s="131"/>
      <c r="C6" s="41" t="str">
        <f>F25</f>
      </c>
      <c r="D6" s="37" t="str">
        <f>IF(Driver="Enterprise value","na",I25)</f>
      </c>
    </row>
    <row r="7" spans="1:14" ht="13.8" x14ac:dyDescent="0.25">
      <c r="B7" s="131"/>
      <c r="C7" s="41" t="s">
        <v>27</v>
      </c>
      <c r="D7" s="38" t="str">
        <f>IF(OR(Driver="Enterprise Value",I25=0),"na",I25/I26-1)</f>
      </c>
    </row>
    <row r="8" spans="1:14" ht="13.8" x14ac:dyDescent="0.25">
      <c r="B8" s="132"/>
      <c r="C8" s="133" t="str">
        <f>C41</f>
      </c>
      <c r="D8" s="39" t="str">
        <f>IF(Driver="Enterprise value","na",I33*FX)</f>
      </c>
      <c r="E8" s="41"/>
      <c r="F8" s="134"/>
    </row>
    <row r="9" spans="1:14" ht="13.8" x14ac:dyDescent="0.25">
      <c r="B9" s="132"/>
      <c r="C9" s="133" t="str">
        <f>C50</f>
      </c>
      <c r="D9" s="135">
        <f>D50*FX</f>
      </c>
    </row>
    <row r="10" spans="1:14" ht="13.8" x14ac:dyDescent="0.25">
      <c r="B10" s="132"/>
      <c r="C10" s="133"/>
    </row>
    <row r="11" spans="1:14" ht="13.8" x14ac:dyDescent="0.25">
      <c r="B11" s="131" t="s">
        <v>74</v>
      </c>
      <c r="C11" s="133"/>
      <c r="D11" s="136" t="s">
        <v>16</v>
      </c>
      <c r="E11" s="136" t="s">
        <v>75</v>
      </c>
    </row>
    <row r="12" spans="1:14" ht="13.8" x14ac:dyDescent="0.25">
      <c r="B12" s="132"/>
      <c r="C12" s="41" t="s">
        <v>76</v>
      </c>
      <c r="D12" s="42">
        <f>G65*FX</f>
      </c>
      <c r="E12" s="137" t="s">
        <v>77</v>
      </c>
    </row>
    <row r="13" spans="1:14" ht="13.8" x14ac:dyDescent="0.25">
      <c r="B13" s="132"/>
      <c r="C13" s="43" t="s">
        <v>78</v>
      </c>
      <c r="D13" s="42">
        <f>G76*FX</f>
      </c>
      <c r="E13" s="138">
        <f>D13/D12</f>
      </c>
    </row>
    <row r="14" spans="1:14" ht="13.8" x14ac:dyDescent="0.25">
      <c r="B14" s="132"/>
      <c r="C14" s="43" t="s">
        <v>19</v>
      </c>
      <c r="D14" s="42">
        <f>G79*FX</f>
      </c>
      <c r="E14" s="138">
        <f>D14/D12</f>
      </c>
    </row>
    <row r="15" spans="1:14" ht="13.8" x14ac:dyDescent="0.25">
      <c r="B15" s="139"/>
      <c r="D15" s="140"/>
    </row>
    <row r="16" spans="1:14" ht="13.8" x14ac:dyDescent="0.25">
      <c r="B16" s="131" t="s">
        <v>79</v>
      </c>
    </row>
    <row r="17" spans="1:24" x14ac:dyDescent="0.25">
      <c r="C17" s="40" t="s">
        <v>80</v>
      </c>
      <c r="D17" s="44">
        <f>$D$9/D12</f>
      </c>
    </row>
    <row r="18" spans="1:24" x14ac:dyDescent="0.25">
      <c r="C18" s="40" t="s">
        <v>81</v>
      </c>
      <c r="D18" s="44">
        <f>$D$9/D13</f>
      </c>
    </row>
    <row r="19" spans="1:24" x14ac:dyDescent="0.25">
      <c r="C19" s="40" t="s">
        <v>21</v>
      </c>
      <c r="D19" s="44">
        <f>$D$9/D14</f>
      </c>
    </row>
    <row r="20" spans="1:24" x14ac:dyDescent="0.25">
      <c r="D20" s="140"/>
    </row>
    <row r="21" spans="1:24" ht="17.399999999999999" x14ac:dyDescent="0.25">
      <c r="A21" s="129" t="s">
        <v>82</v>
      </c>
      <c r="B21" s="129"/>
      <c r="C21" s="130"/>
      <c r="I21" s="141"/>
    </row>
    <row r="22" spans="1:24" ht="13.8" x14ac:dyDescent="0.25">
      <c r="A22" s="36"/>
      <c r="B22" s="131" t="s">
        <v>83</v>
      </c>
      <c r="C22" s="41"/>
      <c r="D22" s="41"/>
      <c r="F22" s="131" t="s">
        <v>84</v>
      </c>
    </row>
    <row r="23" spans="1:24" ht="13.8" x14ac:dyDescent="0.25">
      <c r="B23" s="132"/>
      <c r="C23" s="41" t="s">
        <v>85</v>
      </c>
      <c r="D23" s="54" t="s">
        <v>41</v>
      </c>
      <c r="E23" s="41"/>
      <c r="F23" s="40" t="s">
        <v>86</v>
      </c>
      <c r="I23" s="45" t="s">
        <v>113</v>
      </c>
    </row>
    <row r="24" spans="1:24" ht="13.8" x14ac:dyDescent="0.25">
      <c r="B24" s="132"/>
      <c r="C24" s="41" t="s">
        <v>88</v>
      </c>
      <c r="D24" s="45" t="s">
        <v>185</v>
      </c>
      <c r="E24" s="41"/>
      <c r="F24" s="36" t="s">
        <v>90</v>
      </c>
    </row>
    <row r="25" spans="1:24" ht="13.8" x14ac:dyDescent="0.25">
      <c r="B25" s="132"/>
      <c r="C25" s="41" t="s">
        <v>91</v>
      </c>
      <c r="D25" s="46">
        <v>40954</v>
      </c>
      <c r="E25" s="41"/>
      <c r="F25" s="41" t="s">
        <v>92</v>
      </c>
      <c r="I25" s="47">
        <v>0</v>
      </c>
    </row>
    <row r="26" spans="1:24" ht="13.8" x14ac:dyDescent="0.25">
      <c r="B26" s="132"/>
      <c r="C26" s="133" t="s">
        <v>93</v>
      </c>
      <c r="D26" s="46">
        <v>41060</v>
      </c>
      <c r="E26" s="41"/>
      <c r="F26" s="133" t="s">
        <v>94</v>
      </c>
      <c r="I26" s="47">
        <v>0</v>
      </c>
      <c r="W26" s="49"/>
      <c r="X26" s="49"/>
    </row>
    <row r="27" spans="1:24" ht="13.8" x14ac:dyDescent="0.25">
      <c r="B27" s="132"/>
      <c r="C27" s="133" t="s">
        <v>10</v>
      </c>
      <c r="D27" s="50" t="s">
        <v>11</v>
      </c>
      <c r="E27" s="41"/>
      <c r="F27" s="133" t="s">
        <v>95</v>
      </c>
      <c r="I27" s="47">
        <v>0</v>
      </c>
      <c r="W27" s="49"/>
      <c r="X27" s="49"/>
    </row>
    <row r="28" spans="1:24" ht="13.8" x14ac:dyDescent="0.25">
      <c r="B28" s="132"/>
      <c r="C28" s="133" t="s">
        <v>96</v>
      </c>
      <c r="D28" s="51">
        <v>1</v>
      </c>
      <c r="E28" s="41"/>
      <c r="F28" s="133" t="s">
        <v>97</v>
      </c>
      <c r="I28" s="47">
        <v>0</v>
      </c>
      <c r="W28" s="49"/>
      <c r="X28" s="49"/>
    </row>
    <row r="29" spans="1:24" ht="13.8" x14ac:dyDescent="0.25">
      <c r="B29" s="132"/>
      <c r="C29" s="133" t="s">
        <v>98</v>
      </c>
      <c r="D29" s="53">
        <v>40724</v>
      </c>
      <c r="E29" s="41"/>
      <c r="F29" s="41" t="s">
        <v>99</v>
      </c>
      <c r="I29" s="60">
        <v>0</v>
      </c>
      <c r="W29" s="49"/>
      <c r="X29" s="49"/>
    </row>
    <row r="30" spans="1:24" ht="13.8" x14ac:dyDescent="0.25">
      <c r="B30" s="132"/>
      <c r="C30" s="133" t="s">
        <v>100</v>
      </c>
      <c r="D30" s="53">
        <v>40724</v>
      </c>
      <c r="E30" s="41"/>
      <c r="F30" s="41" t="s">
        <v>101</v>
      </c>
      <c r="I30" s="42" t="e">
        <f>K52</f>
      </c>
      <c r="W30" s="49"/>
      <c r="X30" s="49"/>
    </row>
    <row r="31" spans="1:24" ht="13.8" x14ac:dyDescent="0.25">
      <c r="B31" s="132"/>
      <c r="C31" s="133" t="s">
        <v>102</v>
      </c>
      <c r="D31" s="50" t="s">
        <v>186</v>
      </c>
      <c r="E31" s="41"/>
      <c r="F31" s="41" t="s">
        <v>104</v>
      </c>
      <c r="I31" s="42" t="e">
        <f>I29+I30</f>
      </c>
      <c r="W31" s="49"/>
      <c r="X31" s="49"/>
    </row>
    <row r="32" spans="1:24" ht="13.8" x14ac:dyDescent="0.25">
      <c r="B32" s="132"/>
      <c r="C32" s="133" t="s">
        <v>105</v>
      </c>
      <c r="D32" s="55"/>
      <c r="E32" s="56"/>
      <c r="F32" s="40" t="s">
        <v>106</v>
      </c>
      <c r="I32" s="143">
        <v>0</v>
      </c>
      <c r="W32" s="49"/>
      <c r="X32" s="49"/>
    </row>
    <row r="33" spans="1:24" ht="13.8" x14ac:dyDescent="0.25">
      <c r="B33" s="132"/>
      <c r="E33" s="56"/>
      <c r="F33" s="49" t="s">
        <v>107</v>
      </c>
      <c r="I33" s="57" t="e">
        <f>I25*I31+I32</f>
      </c>
      <c r="W33" s="49"/>
      <c r="X33" s="49"/>
    </row>
    <row r="34" spans="1:24" ht="13.8" x14ac:dyDescent="0.25">
      <c r="B34" s="132"/>
      <c r="C34" s="133" t="s">
        <v>108</v>
      </c>
      <c r="D34" s="145">
        <v>1</v>
      </c>
      <c r="E34" s="56"/>
      <c r="W34" s="49"/>
      <c r="X34" s="49"/>
    </row>
    <row r="35" spans="1:24" ht="13.8" x14ac:dyDescent="0.25">
      <c r="B35" s="132"/>
      <c r="C35" s="133" t="s">
        <v>109</v>
      </c>
      <c r="D35" s="138">
        <f>1-D34</f>
      </c>
      <c r="E35" s="56"/>
      <c r="F35" s="131" t="s">
        <v>90</v>
      </c>
      <c r="W35" s="49"/>
      <c r="X35" s="49"/>
    </row>
    <row r="36" spans="1:24" ht="13.8" x14ac:dyDescent="0.25">
      <c r="B36" s="132"/>
      <c r="E36" s="56"/>
      <c r="F36" s="58" t="s">
        <v>110</v>
      </c>
      <c r="G36" s="59"/>
      <c r="H36" s="49"/>
      <c r="I36" s="50">
        <v>2695</v>
      </c>
      <c r="W36" s="49"/>
      <c r="X36" s="49"/>
    </row>
    <row r="37" spans="1:24" ht="13.8" x14ac:dyDescent="0.25">
      <c r="B37" s="132"/>
      <c r="E37" s="56"/>
      <c r="F37" s="58" t="s">
        <v>111</v>
      </c>
      <c r="G37" s="59"/>
      <c r="H37" s="49"/>
      <c r="I37" s="60">
        <f>(I36-9*D79)*-1</f>
      </c>
      <c r="W37" s="49"/>
      <c r="X37" s="49"/>
    </row>
    <row r="38" spans="1:24" ht="13.8" x14ac:dyDescent="0.25">
      <c r="B38" s="132"/>
      <c r="E38" s="56"/>
      <c r="F38" s="61" t="s">
        <v>112</v>
      </c>
      <c r="G38" s="59"/>
      <c r="H38" s="49"/>
      <c r="I38" s="62">
        <f>SUM(I36:I37)</f>
      </c>
      <c r="W38" s="49"/>
      <c r="X38" s="49"/>
    </row>
    <row r="39" spans="1:24" ht="13.8" x14ac:dyDescent="0.25">
      <c r="B39" s="132"/>
      <c r="E39" s="56"/>
      <c r="F39" s="133"/>
      <c r="G39" s="133"/>
      <c r="I39" s="41"/>
      <c r="W39" s="49"/>
      <c r="X39" s="49"/>
    </row>
    <row r="40" spans="1:24" ht="13.8" x14ac:dyDescent="0.25">
      <c r="B40" s="131" t="s">
        <v>113</v>
      </c>
      <c r="F40" s="131" t="s">
        <v>114</v>
      </c>
      <c r="I40" s="146">
        <f>YEAR($D$29)</f>
      </c>
      <c r="J40" s="146">
        <f>YEAR($D$29)</f>
      </c>
    </row>
    <row r="41" spans="1:24" ht="13.8" x14ac:dyDescent="0.25">
      <c r="A41" s="49"/>
      <c r="B41" s="131"/>
      <c r="C41" s="64" t="s">
        <v>107</v>
      </c>
      <c r="D41" s="57" t="e">
        <f>I33</f>
      </c>
      <c r="E41" s="49"/>
      <c r="I41" s="65" t="s">
        <v>115</v>
      </c>
      <c r="J41" s="65" t="s">
        <v>116</v>
      </c>
      <c r="K41" s="65" t="s">
        <v>117</v>
      </c>
    </row>
    <row r="42" spans="1:24" ht="13.8" x14ac:dyDescent="0.25">
      <c r="B42" s="132"/>
      <c r="C42" s="40" t="str">
        <f>F55</f>
      </c>
      <c r="D42" s="42">
        <f>I55</f>
      </c>
      <c r="F42" s="66" t="s">
        <v>187</v>
      </c>
      <c r="I42" s="67">
        <v>0</v>
      </c>
      <c r="J42" s="68">
        <v>0</v>
      </c>
      <c r="K42" s="147" t="e">
        <f t="shared" ref="K42:K51" si="0">MAX(($I$25-J42)/$I$25*I42,0)</f>
      </c>
    </row>
    <row r="43" spans="1:24" ht="13.8" x14ac:dyDescent="0.25">
      <c r="B43" s="132"/>
      <c r="C43" s="41" t="str">
        <f>C55&amp;" and "&amp;LOWER(C56)</f>
      </c>
      <c r="D43" s="42">
        <f>D55</f>
      </c>
      <c r="F43" s="66" t="s">
        <v>188</v>
      </c>
      <c r="I43" s="67">
        <v>0</v>
      </c>
      <c r="J43" s="68">
        <v>0</v>
      </c>
      <c r="K43" s="147" t="e">
        <f t="shared" si="0"/>
      </c>
    </row>
    <row r="44" spans="1:24" ht="13.8" x14ac:dyDescent="0.25">
      <c r="B44" s="132"/>
      <c r="C44" s="69" t="s">
        <v>120</v>
      </c>
      <c r="D44" s="57">
        <f>D42-D43</f>
      </c>
      <c r="F44" s="66" t="s">
        <v>168</v>
      </c>
      <c r="I44" s="67">
        <v>0</v>
      </c>
      <c r="J44" s="68">
        <v>0</v>
      </c>
      <c r="K44" s="147" t="e">
        <f t="shared" si="0"/>
      </c>
    </row>
    <row r="45" spans="1:24" ht="13.8" x14ac:dyDescent="0.25">
      <c r="B45" s="132"/>
      <c r="C45" s="41" t="str">
        <f>F56</f>
      </c>
      <c r="D45" s="92">
        <f>I56</f>
      </c>
      <c r="F45" s="66" t="s">
        <v>161</v>
      </c>
      <c r="G45" s="49"/>
      <c r="H45" s="49"/>
      <c r="I45" s="67">
        <v>0</v>
      </c>
      <c r="J45" s="68">
        <v>0</v>
      </c>
      <c r="K45" s="147" t="e">
        <f t="shared" si="0"/>
      </c>
    </row>
    <row r="46" spans="1:24" ht="13.8" x14ac:dyDescent="0.25">
      <c r="B46" s="132"/>
      <c r="C46" s="41" t="str">
        <f>F59</f>
      </c>
      <c r="D46" s="42">
        <f>I59</f>
      </c>
      <c r="F46" s="66" t="s">
        <v>123</v>
      </c>
      <c r="G46" s="49"/>
      <c r="H46" s="49"/>
      <c r="I46" s="67">
        <v>0</v>
      </c>
      <c r="J46" s="68">
        <v>0</v>
      </c>
      <c r="K46" s="147" t="e">
        <f t="shared" si="0"/>
      </c>
    </row>
    <row r="47" spans="1:24" ht="13.8" x14ac:dyDescent="0.25">
      <c r="B47" s="132"/>
      <c r="C47" s="41" t="str">
        <f>F60</f>
      </c>
      <c r="D47" s="42">
        <f>I60</f>
      </c>
      <c r="F47" s="66" t="s">
        <v>124</v>
      </c>
      <c r="I47" s="67">
        <v>0</v>
      </c>
      <c r="J47" s="68">
        <v>0</v>
      </c>
      <c r="K47" s="147" t="e">
        <f t="shared" si="0"/>
      </c>
    </row>
    <row r="48" spans="1:24" ht="12.75" customHeight="1" x14ac:dyDescent="0.3">
      <c r="A48" s="35"/>
      <c r="B48" s="132"/>
      <c r="C48" s="41" t="str">
        <f>C57</f>
      </c>
      <c r="D48" s="42">
        <f>D57</f>
      </c>
      <c r="F48" s="66" t="s">
        <v>125</v>
      </c>
      <c r="G48" s="41"/>
      <c r="H48" s="41"/>
      <c r="I48" s="67">
        <v>0</v>
      </c>
      <c r="J48" s="68">
        <v>0</v>
      </c>
      <c r="K48" s="147" t="e">
        <f t="shared" si="0"/>
      </c>
    </row>
    <row r="49" spans="1:22" ht="15.6" x14ac:dyDescent="0.3">
      <c r="A49" s="35"/>
      <c r="B49" s="132"/>
      <c r="C49" s="41" t="str">
        <f>C58</f>
      </c>
      <c r="D49" s="42">
        <f>D58</f>
      </c>
      <c r="F49" s="66" t="s">
        <v>126</v>
      </c>
      <c r="G49" s="41"/>
      <c r="H49" s="41"/>
      <c r="I49" s="67">
        <v>0</v>
      </c>
      <c r="J49" s="68">
        <v>0</v>
      </c>
      <c r="K49" s="147" t="e">
        <f t="shared" si="0"/>
      </c>
    </row>
    <row r="50" spans="1:22" ht="15.6" x14ac:dyDescent="0.3">
      <c r="A50" s="35"/>
      <c r="B50" s="132"/>
      <c r="C50" s="59" t="s">
        <v>110</v>
      </c>
      <c r="D50" s="57">
        <f>IF(I23="Enterprise value",I38,SUM(D41,D44:D47)-SUM(D48:D49))</f>
      </c>
      <c r="F50" s="66" t="s">
        <v>127</v>
      </c>
      <c r="G50" s="41"/>
      <c r="H50" s="41"/>
      <c r="I50" s="67">
        <v>0</v>
      </c>
      <c r="J50" s="68">
        <v>0</v>
      </c>
      <c r="K50" s="147" t="e">
        <f t="shared" si="0"/>
      </c>
    </row>
    <row r="51" spans="1:22" ht="15.6" x14ac:dyDescent="0.3">
      <c r="A51" s="35"/>
      <c r="B51" s="132"/>
      <c r="C51" s="70"/>
      <c r="D51" s="56"/>
      <c r="F51" s="66" t="s">
        <v>128</v>
      </c>
      <c r="G51" s="41"/>
      <c r="H51" s="41"/>
      <c r="I51" s="67">
        <v>0</v>
      </c>
      <c r="J51" s="68">
        <v>0</v>
      </c>
      <c r="K51" s="147" t="e">
        <f t="shared" si="0"/>
      </c>
    </row>
    <row r="52" spans="1:22" ht="17.399999999999999" x14ac:dyDescent="0.25">
      <c r="A52" s="129" t="s">
        <v>129</v>
      </c>
      <c r="B52" s="129"/>
      <c r="C52" s="130"/>
      <c r="F52" s="56" t="s">
        <v>130</v>
      </c>
      <c r="I52" s="49"/>
      <c r="J52" s="49"/>
      <c r="K52" s="71" t="e">
        <f>SUM(K42:K51)</f>
      </c>
    </row>
    <row r="53" spans="1:22" ht="13.8" x14ac:dyDescent="0.25">
      <c r="B53" s="132"/>
    </row>
    <row r="54" spans="1:22" ht="13.8" x14ac:dyDescent="0.25">
      <c r="B54" s="131" t="s">
        <v>131</v>
      </c>
      <c r="D54" s="148">
        <f>D30</f>
      </c>
      <c r="E54" s="100"/>
      <c r="F54" s="100"/>
      <c r="G54" s="100"/>
      <c r="H54" s="100"/>
      <c r="I54" s="148">
        <f>D54</f>
      </c>
    </row>
    <row r="55" spans="1:22" ht="13.8" x14ac:dyDescent="0.25">
      <c r="B55" s="132"/>
      <c r="C55" s="40" t="s">
        <v>28</v>
      </c>
      <c r="D55" s="50">
        <v>0</v>
      </c>
      <c r="F55" s="40" t="s">
        <v>132</v>
      </c>
      <c r="I55" s="50">
        <v>0</v>
      </c>
      <c r="M55" s="41"/>
      <c r="N55" s="72"/>
      <c r="O55" s="73"/>
      <c r="P55" s="73"/>
      <c r="Q55" s="73"/>
      <c r="R55" s="73"/>
      <c r="S55" s="41"/>
      <c r="T55" s="74"/>
      <c r="U55" s="74"/>
      <c r="V55" s="74"/>
    </row>
    <row r="56" spans="1:22" ht="13.8" x14ac:dyDescent="0.25">
      <c r="B56" s="132"/>
      <c r="C56" s="40" t="s">
        <v>133</v>
      </c>
      <c r="D56" s="50">
        <v>0</v>
      </c>
      <c r="F56" s="40" t="s">
        <v>134</v>
      </c>
      <c r="I56" s="45">
        <v>0</v>
      </c>
      <c r="M56" s="41"/>
      <c r="N56" s="72"/>
      <c r="O56" s="73"/>
      <c r="P56" s="73"/>
      <c r="Q56" s="73"/>
      <c r="R56" s="73"/>
      <c r="S56" s="41"/>
      <c r="T56" s="74"/>
      <c r="U56" s="74"/>
      <c r="V56" s="74"/>
    </row>
    <row r="57" spans="1:22" ht="13.8" x14ac:dyDescent="0.25">
      <c r="B57" s="132"/>
      <c r="C57" s="40" t="s">
        <v>135</v>
      </c>
      <c r="D57" s="75">
        <v>0</v>
      </c>
      <c r="F57" s="40" t="s">
        <v>136</v>
      </c>
      <c r="I57" s="54">
        <v>0</v>
      </c>
      <c r="M57" s="41"/>
      <c r="N57" s="41"/>
      <c r="O57" s="41"/>
      <c r="P57" s="41"/>
      <c r="Q57" s="41"/>
      <c r="R57" s="41"/>
      <c r="S57" s="36"/>
    </row>
    <row r="58" spans="1:22" ht="13.8" x14ac:dyDescent="0.25">
      <c r="B58" s="132"/>
      <c r="C58" s="40" t="s">
        <v>137</v>
      </c>
      <c r="D58" s="75">
        <v>0</v>
      </c>
      <c r="F58" s="40" t="s">
        <v>138</v>
      </c>
      <c r="I58" s="45">
        <v>0</v>
      </c>
      <c r="J58" s="110"/>
      <c r="M58" s="41"/>
      <c r="N58" s="41"/>
      <c r="O58" s="41"/>
      <c r="P58" s="41"/>
      <c r="Q58" s="41"/>
      <c r="R58" s="41"/>
      <c r="S58" s="76"/>
    </row>
    <row r="59" spans="1:22" ht="13.8" x14ac:dyDescent="0.25">
      <c r="B59" s="132"/>
      <c r="C59" s="40" t="s">
        <v>139</v>
      </c>
      <c r="D59" s="75">
        <v>0</v>
      </c>
      <c r="F59" s="40" t="s">
        <v>140</v>
      </c>
      <c r="I59" s="45">
        <v>0</v>
      </c>
      <c r="J59" s="77"/>
    </row>
    <row r="60" spans="1:22" ht="13.8" x14ac:dyDescent="0.25">
      <c r="B60" s="132"/>
      <c r="F60" s="40" t="s">
        <v>141</v>
      </c>
      <c r="I60" s="45">
        <v>0</v>
      </c>
      <c r="J60" s="77"/>
    </row>
    <row r="61" spans="1:22" ht="13.8" x14ac:dyDescent="0.25">
      <c r="B61" s="132"/>
      <c r="C61" s="78" t="s">
        <v>142</v>
      </c>
      <c r="D61" s="49">
        <f>SUM(D55:D59)</f>
      </c>
      <c r="F61" s="78" t="s">
        <v>143</v>
      </c>
      <c r="I61" s="49">
        <f>SUM(I55:I60)</f>
      </c>
      <c r="J61" s="77"/>
    </row>
    <row r="62" spans="1:22" ht="13.8" x14ac:dyDescent="0.25">
      <c r="B62" s="132"/>
      <c r="C62" s="79" t="s">
        <v>144</v>
      </c>
      <c r="D62" s="80" t="str">
        <f>IF(D61=I61,"OK",D61-I61)</f>
      </c>
      <c r="J62" s="77"/>
    </row>
    <row r="63" spans="1:22" ht="13.8" x14ac:dyDescent="0.25">
      <c r="B63" s="132"/>
      <c r="J63" s="81"/>
    </row>
    <row r="64" spans="1:22" ht="13.8" x14ac:dyDescent="0.25">
      <c r="B64" s="132" t="s">
        <v>145</v>
      </c>
      <c r="D64" s="149">
        <f>YEAR($D$29)</f>
      </c>
      <c r="E64" s="148" t="str">
        <f>YEAR($D$30)-1&amp;" "&amp;$D$32&amp;"Q"</f>
      </c>
      <c r="F64" s="148" t="str">
        <f>YEAR($D$30)&amp;" "&amp;$D$32&amp;"Q"</f>
      </c>
      <c r="G64" s="148" t="s">
        <v>16</v>
      </c>
    </row>
    <row r="65" spans="2:7" x14ac:dyDescent="0.25">
      <c r="B65" s="41"/>
      <c r="C65" s="41" t="s">
        <v>76</v>
      </c>
      <c r="D65" s="50">
        <v>1500</v>
      </c>
      <c r="E65" s="50">
        <v>0</v>
      </c>
      <c r="F65" s="50">
        <v>0</v>
      </c>
      <c r="G65" s="40">
        <f>D65-E65+F65</f>
      </c>
    </row>
    <row r="67" spans="2:7" x14ac:dyDescent="0.25">
      <c r="B67" s="41"/>
      <c r="C67" s="41" t="s">
        <v>146</v>
      </c>
      <c r="D67" s="50">
        <v>200</v>
      </c>
      <c r="E67" s="83">
        <v>0</v>
      </c>
      <c r="F67" s="91">
        <v>0</v>
      </c>
    </row>
    <row r="68" spans="2:7" x14ac:dyDescent="0.25">
      <c r="B68" s="41"/>
      <c r="C68" s="85" t="s">
        <v>189</v>
      </c>
      <c r="D68" s="50">
        <v>0</v>
      </c>
      <c r="E68" s="50">
        <v>0</v>
      </c>
      <c r="F68" s="50">
        <v>0</v>
      </c>
    </row>
    <row r="69" spans="2:7" x14ac:dyDescent="0.25">
      <c r="B69" s="41"/>
      <c r="C69" s="85" t="s">
        <v>163</v>
      </c>
      <c r="D69" s="50">
        <v>0</v>
      </c>
      <c r="E69" s="50">
        <v>0</v>
      </c>
      <c r="F69" s="50">
        <v>0</v>
      </c>
    </row>
    <row r="70" spans="2:7" x14ac:dyDescent="0.25">
      <c r="B70" s="41"/>
      <c r="C70" s="85" t="s">
        <v>164</v>
      </c>
      <c r="D70" s="50">
        <v>0</v>
      </c>
      <c r="E70" s="50">
        <v>0</v>
      </c>
      <c r="F70" s="50">
        <v>0</v>
      </c>
    </row>
    <row r="71" spans="2:7" x14ac:dyDescent="0.25">
      <c r="B71" s="41"/>
      <c r="C71" s="85" t="s">
        <v>165</v>
      </c>
      <c r="D71" s="50">
        <v>0</v>
      </c>
      <c r="E71" s="50">
        <v>0</v>
      </c>
      <c r="F71" s="50">
        <v>0</v>
      </c>
    </row>
    <row r="72" spans="2:7" x14ac:dyDescent="0.25">
      <c r="B72" s="41"/>
      <c r="C72" s="85" t="s">
        <v>166</v>
      </c>
      <c r="D72" s="50">
        <v>0</v>
      </c>
      <c r="E72" s="50">
        <v>0</v>
      </c>
      <c r="F72" s="50">
        <v>0</v>
      </c>
    </row>
    <row r="73" spans="2:7" x14ac:dyDescent="0.25">
      <c r="B73" s="41"/>
      <c r="C73" s="85" t="s">
        <v>152</v>
      </c>
      <c r="D73" s="50">
        <v>0</v>
      </c>
      <c r="E73" s="50">
        <v>0</v>
      </c>
      <c r="F73" s="50">
        <v>0</v>
      </c>
    </row>
    <row r="74" spans="2:7" x14ac:dyDescent="0.25">
      <c r="B74" s="41"/>
      <c r="C74" s="85" t="s">
        <v>153</v>
      </c>
      <c r="D74" s="50">
        <v>0</v>
      </c>
      <c r="E74" s="50">
        <v>0</v>
      </c>
      <c r="F74" s="50">
        <v>0</v>
      </c>
    </row>
    <row r="75" spans="2:7" x14ac:dyDescent="0.25">
      <c r="B75" s="41"/>
      <c r="C75" s="85" t="s">
        <v>154</v>
      </c>
      <c r="D75" s="50">
        <v>0</v>
      </c>
      <c r="E75" s="50">
        <v>0</v>
      </c>
      <c r="F75" s="50">
        <v>0</v>
      </c>
    </row>
    <row r="76" spans="2:7" s="49" customFormat="1" x14ac:dyDescent="0.25">
      <c r="B76" s="56"/>
      <c r="C76" s="86" t="s">
        <v>78</v>
      </c>
      <c r="D76" s="56">
        <f>SUM(D67:D75)</f>
      </c>
      <c r="E76" s="56">
        <f>SUM(E67:E75)</f>
      </c>
      <c r="F76" s="56">
        <f>SUM(F67:F75)</f>
      </c>
      <c r="G76" s="49">
        <f>D76-E76+F76</f>
      </c>
    </row>
    <row r="77" spans="2:7" x14ac:dyDescent="0.25">
      <c r="B77" s="41"/>
    </row>
    <row r="78" spans="2:7" x14ac:dyDescent="0.25">
      <c r="B78" s="41"/>
      <c r="C78" s="41" t="s">
        <v>155</v>
      </c>
      <c r="D78" s="39">
        <f>D79-D76</f>
      </c>
      <c r="E78" s="50">
        <v>0</v>
      </c>
      <c r="F78" s="50">
        <v>0</v>
      </c>
      <c r="G78" s="40">
        <f>D78-E78+F78</f>
      </c>
    </row>
    <row r="79" spans="2:7" s="49" customFormat="1" x14ac:dyDescent="0.25">
      <c r="B79" s="56"/>
      <c r="C79" s="86" t="s">
        <v>19</v>
      </c>
      <c r="D79" s="93">
        <v>243</v>
      </c>
      <c r="E79" s="56">
        <f>E76+E78</f>
      </c>
      <c r="F79" s="56">
        <f>F76+F78</f>
      </c>
      <c r="G79" s="49">
        <f>D79-E79+F79</f>
      </c>
    </row>
    <row r="80" spans="2:7" x14ac:dyDescent="0.25">
      <c r="B80" s="41"/>
    </row>
  </sheetData>
  <conditionalFormatting sqref="D41:D49 I42:J51">
    <cfRule type="expression" dxfId="70" priority="8" stopIfTrue="1">
      <formula>$I$23="Enterprise value"</formula>
    </cfRule>
  </conditionalFormatting>
  <conditionalFormatting sqref="F24:F31 F33 F40:H41 K40:K51 I41:J41 C41:C49 G42:H46 F52:K52">
    <cfRule type="expression" dxfId="69" priority="9" stopIfTrue="1">
      <formula>$I$23="Enterprise value"</formula>
    </cfRule>
  </conditionalFormatting>
  <conditionalFormatting sqref="F35:F38">
    <cfRule type="expression" dxfId="68" priority="10" stopIfTrue="1">
      <formula>$I$23="Share price"</formula>
    </cfRule>
  </conditionalFormatting>
  <conditionalFormatting sqref="F42:F51">
    <cfRule type="expression" dxfId="67" priority="1" stopIfTrue="1">
      <formula>$I$23="Enterprise value"</formula>
    </cfRule>
  </conditionalFormatting>
  <conditionalFormatting sqref="I25:I33">
    <cfRule type="expression" dxfId="66" priority="7" stopIfTrue="1">
      <formula>$I$23="Enterprise value"</formula>
    </cfRule>
  </conditionalFormatting>
  <conditionalFormatting sqref="I36:I38">
    <cfRule type="expression" dxfId="65" priority="6" stopIfTrue="1">
      <formula>$I$23="Share price"</formula>
    </cfRule>
  </conditionalFormatting>
  <conditionalFormatting sqref="I40:J40">
    <cfRule type="expression" dxfId="64" priority="5" stopIfTrue="1">
      <formula>$I$23="Enterprise value"</formula>
    </cfRule>
  </conditionalFormatting>
  <dataValidations count="3">
    <dataValidation type="list" allowBlank="1" showInputMessage="1" showErrorMessage="1" sqref="D31" xr:uid="{00000000-0002-0000-0700-000000000000}">
      <formula1>"10K,10Q,8K,Annual,Interim"</formula1>
    </dataValidation>
    <dataValidation type="list" allowBlank="1" showInputMessage="1" showErrorMessage="1" prompt="Input 1, 2 or 3 to indicate which quarter data has been spread. Leave blank if annual data." sqref="D32" xr:uid="{00000000-0002-0000-0700-000001000000}">
      <formula1>"1,2,3,,"</formula1>
    </dataValidation>
    <dataValidation type="list" allowBlank="1" showInputMessage="1" showErrorMessage="1" sqref="I23" xr:uid="{00000000-0002-0000-0700-000002000000}">
      <formula1>"Share price,Enterprise value"</formula1>
    </dataValidation>
  </dataValidations>
  <pageMargins left="0.74803149606299213" right="0.74803149606299213" top="0.98425196850393704" bottom="0.98425196850393704" header="0.51181102362204722" footer="0.51181102362204722"/>
  <pageSetup paperSize="9" scale="62" orientation="portrait" r:id="rId1"/>
  <headerFooter alignWithMargins="0">
    <oddFooter>&amp;R&amp;8&amp;P of &amp;N</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pageSetUpPr fitToPage="1"/>
  </sheetPr>
  <dimension ref="A1:X80"/>
  <sheetViews>
    <sheetView showGridLines="0" zoomScaleNormal="100" workbookViewId="0"/>
  </sheetViews>
  <sheetFormatPr defaultColWidth="9" defaultRowHeight="13.2" x14ac:dyDescent="0.25"/>
  <cols>
    <col min="1" max="2" width="1.77734375" style="40" customWidth="1"/>
    <col min="3" max="3" width="40.77734375" style="40" customWidth="1"/>
    <col min="4" max="4" width="12" style="40" customWidth="1"/>
    <col min="5" max="8" width="11.21875" style="40" customWidth="1"/>
    <col min="9" max="9" width="15.77734375" style="40" bestFit="1" customWidth="1"/>
    <col min="10" max="11" width="11.44140625" style="40" bestFit="1" customWidth="1"/>
    <col min="12" max="13" width="9" style="40"/>
    <col min="14" max="14" width="19.44140625" style="40" customWidth="1"/>
    <col min="15" max="15" width="11.21875" style="40" bestFit="1" customWidth="1"/>
    <col min="16" max="16" width="9.5546875" style="40" bestFit="1" customWidth="1"/>
    <col min="17" max="19" width="9.21875" style="40" bestFit="1" customWidth="1"/>
    <col min="20" max="20" width="11.21875" style="40" bestFit="1" customWidth="1"/>
    <col min="21" max="21" width="9.5546875" style="40" bestFit="1" customWidth="1"/>
    <col min="22" max="22" width="14.44140625" style="40" bestFit="1" customWidth="1"/>
    <col min="23" max="24" width="14.77734375" style="40" bestFit="1" customWidth="1"/>
    <col min="25" max="16384" width="9" style="40"/>
  </cols>
  <sheetData>
    <row r="1" spans="1:14" s="151" customFormat="1" ht="17.399999999999999" x14ac:dyDescent="0.3">
      <c r="A1" s="120" t="str">
        <f>"Comparable transactions analysis - "&amp;D23&amp;" / "&amp;D24</f>
      </c>
      <c r="B1" s="120"/>
      <c r="C1" s="121"/>
      <c r="D1" s="121"/>
      <c r="E1" s="121"/>
      <c r="F1" s="121"/>
      <c r="G1" s="121"/>
      <c r="H1" s="121"/>
      <c r="I1" s="121"/>
      <c r="J1" s="121"/>
      <c r="K1" s="121"/>
      <c r="L1" s="121"/>
      <c r="M1" s="122"/>
      <c r="N1" s="122"/>
    </row>
    <row r="2" spans="1:14" s="151" customFormat="1" ht="18" thickBot="1" x14ac:dyDescent="0.35">
      <c r="A2" s="128" t="str">
        <f>"Input sheet (all numbers in millions "&amp;D27&amp;" unless otherwise stated)"</f>
      </c>
      <c r="B2" s="127"/>
      <c r="C2" s="127"/>
      <c r="D2" s="127"/>
      <c r="E2" s="127"/>
      <c r="F2" s="127"/>
      <c r="G2" s="127"/>
      <c r="H2" s="127"/>
      <c r="I2" s="127"/>
      <c r="J2" s="127"/>
      <c r="K2" s="127"/>
      <c r="L2" s="127"/>
      <c r="M2" s="127"/>
      <c r="N2" s="152"/>
    </row>
    <row r="3" spans="1:14" ht="13.8" thickTop="1" x14ac:dyDescent="0.25">
      <c r="B3" s="41"/>
    </row>
    <row r="4" spans="1:14" ht="17.399999999999999" x14ac:dyDescent="0.25">
      <c r="A4" s="129" t="s">
        <v>72</v>
      </c>
      <c r="B4" s="129"/>
      <c r="C4" s="130"/>
    </row>
    <row r="5" spans="1:14" ht="13.8" x14ac:dyDescent="0.25">
      <c r="B5" s="131" t="s">
        <v>73</v>
      </c>
      <c r="C5" s="41"/>
    </row>
    <row r="6" spans="1:14" ht="13.8" x14ac:dyDescent="0.25">
      <c r="B6" s="131"/>
      <c r="C6" s="41" t="str">
        <f>F25</f>
      </c>
      <c r="D6" s="37" t="str">
        <f>IF(Driver="Enterprise value","na",I25)</f>
      </c>
    </row>
    <row r="7" spans="1:14" ht="13.8" x14ac:dyDescent="0.25">
      <c r="B7" s="131"/>
      <c r="C7" s="41" t="s">
        <v>27</v>
      </c>
      <c r="D7" s="38" t="str">
        <f>IF(OR(Driver="Enterprise Value",I25=0),"na",I25/I26-1)</f>
      </c>
    </row>
    <row r="8" spans="1:14" ht="13.8" x14ac:dyDescent="0.25">
      <c r="B8" s="132"/>
      <c r="C8" s="133" t="str">
        <f>C41</f>
      </c>
      <c r="D8" s="39" t="str">
        <f>IF(Driver="Enterprise value","na",I33*FX)</f>
      </c>
      <c r="E8" s="41"/>
      <c r="F8" s="134"/>
    </row>
    <row r="9" spans="1:14" ht="13.8" x14ac:dyDescent="0.25">
      <c r="B9" s="132"/>
      <c r="C9" s="133" t="str">
        <f>C50</f>
      </c>
      <c r="D9" s="135">
        <f>D50*FX</f>
      </c>
    </row>
    <row r="10" spans="1:14" ht="13.8" x14ac:dyDescent="0.25">
      <c r="B10" s="132"/>
      <c r="C10" s="133"/>
    </row>
    <row r="11" spans="1:14" ht="13.8" x14ac:dyDescent="0.25">
      <c r="B11" s="131" t="s">
        <v>74</v>
      </c>
      <c r="C11" s="133"/>
      <c r="D11" s="136" t="s">
        <v>16</v>
      </c>
      <c r="E11" s="136" t="s">
        <v>75</v>
      </c>
    </row>
    <row r="12" spans="1:14" ht="13.8" x14ac:dyDescent="0.25">
      <c r="B12" s="132"/>
      <c r="C12" s="41" t="s">
        <v>76</v>
      </c>
      <c r="D12" s="42">
        <f>G65*FX</f>
      </c>
      <c r="E12" s="137" t="s">
        <v>77</v>
      </c>
    </row>
    <row r="13" spans="1:14" ht="13.8" x14ac:dyDescent="0.25">
      <c r="B13" s="132"/>
      <c r="C13" s="43" t="s">
        <v>78</v>
      </c>
      <c r="D13" s="42">
        <f>G76*FX</f>
      </c>
      <c r="E13" s="138">
        <f>D13/D12</f>
      </c>
    </row>
    <row r="14" spans="1:14" ht="13.8" x14ac:dyDescent="0.25">
      <c r="B14" s="132"/>
      <c r="C14" s="43" t="s">
        <v>19</v>
      </c>
      <c r="D14" s="42">
        <f>G79*FX</f>
      </c>
      <c r="E14" s="138">
        <f>D14/D12</f>
      </c>
    </row>
    <row r="15" spans="1:14" ht="13.8" x14ac:dyDescent="0.25">
      <c r="B15" s="139"/>
      <c r="D15" s="140"/>
    </row>
    <row r="16" spans="1:14" ht="13.8" x14ac:dyDescent="0.25">
      <c r="B16" s="131" t="s">
        <v>79</v>
      </c>
    </row>
    <row r="17" spans="1:24" x14ac:dyDescent="0.25">
      <c r="C17" s="40" t="s">
        <v>80</v>
      </c>
      <c r="D17" s="44">
        <f>$D$9/D12</f>
      </c>
    </row>
    <row r="18" spans="1:24" x14ac:dyDescent="0.25">
      <c r="C18" s="40" t="s">
        <v>81</v>
      </c>
      <c r="D18" s="44" t="e">
        <f>$D$9/D13</f>
      </c>
    </row>
    <row r="19" spans="1:24" x14ac:dyDescent="0.25">
      <c r="C19" s="40" t="s">
        <v>21</v>
      </c>
      <c r="D19" s="44">
        <f>$D$9/D14</f>
      </c>
    </row>
    <row r="20" spans="1:24" x14ac:dyDescent="0.25">
      <c r="D20" s="140"/>
    </row>
    <row r="21" spans="1:24" ht="17.399999999999999" x14ac:dyDescent="0.25">
      <c r="A21" s="129" t="s">
        <v>82</v>
      </c>
      <c r="B21" s="129"/>
      <c r="C21" s="130"/>
      <c r="I21" s="141"/>
    </row>
    <row r="22" spans="1:24" ht="13.8" x14ac:dyDescent="0.25">
      <c r="A22" s="36"/>
      <c r="B22" s="131" t="s">
        <v>83</v>
      </c>
      <c r="C22" s="41"/>
      <c r="D22" s="41"/>
      <c r="F22" s="131" t="s">
        <v>84</v>
      </c>
    </row>
    <row r="23" spans="1:24" ht="13.8" x14ac:dyDescent="0.25">
      <c r="B23" s="132"/>
      <c r="C23" s="41" t="s">
        <v>85</v>
      </c>
      <c r="D23" s="54" t="s">
        <v>190</v>
      </c>
      <c r="E23" s="41"/>
      <c r="F23" s="40" t="s">
        <v>86</v>
      </c>
      <c r="I23" s="45" t="s">
        <v>113</v>
      </c>
    </row>
    <row r="24" spans="1:24" ht="13.8" x14ac:dyDescent="0.25">
      <c r="B24" s="132"/>
      <c r="C24" s="41" t="s">
        <v>88</v>
      </c>
      <c r="D24" s="45" t="s">
        <v>191</v>
      </c>
      <c r="E24" s="41"/>
      <c r="F24" s="36" t="s">
        <v>90</v>
      </c>
    </row>
    <row r="25" spans="1:24" ht="13.8" x14ac:dyDescent="0.25">
      <c r="B25" s="132"/>
      <c r="C25" s="41" t="s">
        <v>91</v>
      </c>
      <c r="D25" s="46">
        <v>41022</v>
      </c>
      <c r="E25" s="41"/>
      <c r="F25" s="41" t="s">
        <v>92</v>
      </c>
      <c r="I25" s="47">
        <v>0</v>
      </c>
    </row>
    <row r="26" spans="1:24" ht="13.8" x14ac:dyDescent="0.25">
      <c r="B26" s="132"/>
      <c r="C26" s="133" t="s">
        <v>93</v>
      </c>
      <c r="D26" s="48">
        <v>41243</v>
      </c>
      <c r="E26" s="41"/>
      <c r="F26" s="133" t="s">
        <v>94</v>
      </c>
      <c r="I26" s="47">
        <v>0</v>
      </c>
      <c r="W26" s="49"/>
      <c r="X26" s="49"/>
    </row>
    <row r="27" spans="1:24" ht="13.8" x14ac:dyDescent="0.25">
      <c r="B27" s="132"/>
      <c r="C27" s="133" t="s">
        <v>10</v>
      </c>
      <c r="D27" s="50" t="s">
        <v>11</v>
      </c>
      <c r="E27" s="41"/>
      <c r="F27" s="133" t="s">
        <v>95</v>
      </c>
      <c r="I27" s="47">
        <v>0</v>
      </c>
      <c r="W27" s="49"/>
      <c r="X27" s="49"/>
    </row>
    <row r="28" spans="1:24" ht="13.8" x14ac:dyDescent="0.25">
      <c r="B28" s="132"/>
      <c r="C28" s="133" t="s">
        <v>96</v>
      </c>
      <c r="D28" s="51">
        <v>1</v>
      </c>
      <c r="E28" s="41"/>
      <c r="F28" s="133" t="s">
        <v>97</v>
      </c>
      <c r="I28" s="47">
        <v>0</v>
      </c>
      <c r="W28" s="49"/>
      <c r="X28" s="49"/>
    </row>
    <row r="29" spans="1:24" ht="13.8" x14ac:dyDescent="0.25">
      <c r="B29" s="132"/>
      <c r="C29" s="133" t="s">
        <v>98</v>
      </c>
      <c r="D29" s="53">
        <v>40908</v>
      </c>
      <c r="E29" s="41"/>
      <c r="F29" s="41" t="s">
        <v>99</v>
      </c>
      <c r="I29" s="60">
        <v>0</v>
      </c>
      <c r="W29" s="49"/>
      <c r="X29" s="49"/>
    </row>
    <row r="30" spans="1:24" ht="13.8" x14ac:dyDescent="0.25">
      <c r="B30" s="132"/>
      <c r="C30" s="133" t="s">
        <v>100</v>
      </c>
      <c r="D30" s="53">
        <v>40908</v>
      </c>
      <c r="E30" s="41"/>
      <c r="F30" s="41" t="s">
        <v>101</v>
      </c>
      <c r="I30" s="42" t="e">
        <f>K52</f>
      </c>
      <c r="W30" s="49"/>
      <c r="X30" s="49"/>
    </row>
    <row r="31" spans="1:24" ht="13.8" x14ac:dyDescent="0.25">
      <c r="B31" s="132"/>
      <c r="C31" s="133" t="s">
        <v>102</v>
      </c>
      <c r="D31" s="50" t="s">
        <v>186</v>
      </c>
      <c r="E31" s="41"/>
      <c r="F31" s="41" t="s">
        <v>104</v>
      </c>
      <c r="I31" s="42" t="e">
        <f>I29+I30</f>
      </c>
      <c r="W31" s="49"/>
      <c r="X31" s="49"/>
    </row>
    <row r="32" spans="1:24" ht="13.8" x14ac:dyDescent="0.25">
      <c r="B32" s="132"/>
      <c r="C32" s="133" t="s">
        <v>105</v>
      </c>
      <c r="D32" s="55"/>
      <c r="E32" s="56"/>
      <c r="F32" s="40" t="s">
        <v>106</v>
      </c>
      <c r="I32" s="143">
        <v>0</v>
      </c>
      <c r="W32" s="49"/>
      <c r="X32" s="49"/>
    </row>
    <row r="33" spans="1:24" ht="13.8" x14ac:dyDescent="0.25">
      <c r="B33" s="132"/>
      <c r="E33" s="56"/>
      <c r="F33" s="49" t="s">
        <v>107</v>
      </c>
      <c r="I33" s="57" t="e">
        <f>I25*I31+I32</f>
      </c>
      <c r="W33" s="49"/>
      <c r="X33" s="49"/>
    </row>
    <row r="34" spans="1:24" ht="13.8" x14ac:dyDescent="0.25">
      <c r="B34" s="132"/>
      <c r="C34" s="133" t="s">
        <v>108</v>
      </c>
      <c r="D34" s="145">
        <v>1</v>
      </c>
      <c r="E34" s="56"/>
      <c r="W34" s="49"/>
      <c r="X34" s="49"/>
    </row>
    <row r="35" spans="1:24" ht="13.8" x14ac:dyDescent="0.25">
      <c r="B35" s="132"/>
      <c r="C35" s="133" t="s">
        <v>109</v>
      </c>
      <c r="D35" s="138">
        <f>1-D34</f>
      </c>
      <c r="E35" s="56"/>
      <c r="F35" s="131" t="s">
        <v>90</v>
      </c>
      <c r="W35" s="49"/>
      <c r="X35" s="49"/>
    </row>
    <row r="36" spans="1:24" ht="13.8" x14ac:dyDescent="0.25">
      <c r="B36" s="132"/>
      <c r="E36" s="56"/>
      <c r="F36" s="58" t="s">
        <v>110</v>
      </c>
      <c r="G36" s="59"/>
      <c r="H36" s="49"/>
      <c r="I36" s="50">
        <v>11850</v>
      </c>
      <c r="W36" s="49"/>
      <c r="X36" s="49"/>
    </row>
    <row r="37" spans="1:24" ht="13.8" x14ac:dyDescent="0.25">
      <c r="B37" s="132"/>
      <c r="E37" s="56"/>
      <c r="F37" s="58" t="s">
        <v>111</v>
      </c>
      <c r="G37" s="59"/>
      <c r="H37" s="49"/>
      <c r="I37" s="60">
        <v>0</v>
      </c>
      <c r="W37" s="49"/>
      <c r="X37" s="49"/>
    </row>
    <row r="38" spans="1:24" ht="13.8" x14ac:dyDescent="0.25">
      <c r="B38" s="132"/>
      <c r="E38" s="56"/>
      <c r="F38" s="61" t="s">
        <v>112</v>
      </c>
      <c r="G38" s="59"/>
      <c r="H38" s="49"/>
      <c r="I38" s="62">
        <f>SUM(I36:I37)</f>
      </c>
      <c r="W38" s="49"/>
      <c r="X38" s="49"/>
    </row>
    <row r="39" spans="1:24" ht="13.8" x14ac:dyDescent="0.25">
      <c r="B39" s="132"/>
      <c r="E39" s="56"/>
      <c r="F39" s="133"/>
      <c r="G39" s="133"/>
      <c r="I39" s="41"/>
      <c r="W39" s="49"/>
      <c r="X39" s="49"/>
    </row>
    <row r="40" spans="1:24" ht="13.8" x14ac:dyDescent="0.25">
      <c r="B40" s="131" t="s">
        <v>113</v>
      </c>
      <c r="F40" s="131" t="s">
        <v>114</v>
      </c>
      <c r="I40" s="146">
        <f>YEAR($D$29)</f>
      </c>
      <c r="J40" s="146">
        <f>YEAR($D$29)</f>
      </c>
    </row>
    <row r="41" spans="1:24" ht="13.8" x14ac:dyDescent="0.25">
      <c r="A41" s="49"/>
      <c r="B41" s="131"/>
      <c r="C41" s="64" t="s">
        <v>107</v>
      </c>
      <c r="D41" s="57" t="e">
        <f>I33</f>
      </c>
      <c r="E41" s="49"/>
      <c r="I41" s="65" t="s">
        <v>115</v>
      </c>
      <c r="J41" s="65" t="s">
        <v>116</v>
      </c>
      <c r="K41" s="65" t="s">
        <v>117</v>
      </c>
    </row>
    <row r="42" spans="1:24" ht="13.8" x14ac:dyDescent="0.25">
      <c r="B42" s="132"/>
      <c r="C42" s="40" t="str">
        <f>F55</f>
      </c>
      <c r="D42" s="42">
        <f>I55</f>
      </c>
      <c r="F42" s="66" t="s">
        <v>187</v>
      </c>
      <c r="I42" s="67">
        <v>0</v>
      </c>
      <c r="J42" s="68">
        <v>0</v>
      </c>
      <c r="K42" s="147" t="e">
        <f t="shared" ref="K42:K51" si="0">MAX(($I$25-J42)/$I$25*I42,0)</f>
      </c>
    </row>
    <row r="43" spans="1:24" ht="13.8" x14ac:dyDescent="0.25">
      <c r="B43" s="132"/>
      <c r="C43" s="41" t="str">
        <f>C55&amp;" and "&amp;LOWER(C56)</f>
      </c>
      <c r="D43" s="42">
        <f>D55</f>
      </c>
      <c r="F43" s="66" t="s">
        <v>188</v>
      </c>
      <c r="I43" s="67">
        <v>0</v>
      </c>
      <c r="J43" s="68">
        <v>0</v>
      </c>
      <c r="K43" s="147" t="e">
        <f t="shared" si="0"/>
      </c>
    </row>
    <row r="44" spans="1:24" ht="13.8" x14ac:dyDescent="0.25">
      <c r="B44" s="132"/>
      <c r="C44" s="69" t="s">
        <v>120</v>
      </c>
      <c r="D44" s="57">
        <f>D42-D43</f>
      </c>
      <c r="F44" s="66" t="s">
        <v>168</v>
      </c>
      <c r="I44" s="67">
        <v>0</v>
      </c>
      <c r="J44" s="68">
        <v>0</v>
      </c>
      <c r="K44" s="147" t="e">
        <f t="shared" si="0"/>
      </c>
    </row>
    <row r="45" spans="1:24" ht="13.8" x14ac:dyDescent="0.25">
      <c r="B45" s="132"/>
      <c r="C45" s="41" t="str">
        <f>F56</f>
      </c>
      <c r="D45" s="92">
        <f>I56</f>
      </c>
      <c r="F45" s="66" t="s">
        <v>161</v>
      </c>
      <c r="G45" s="49"/>
      <c r="H45" s="49"/>
      <c r="I45" s="67">
        <v>0</v>
      </c>
      <c r="J45" s="68">
        <v>0</v>
      </c>
      <c r="K45" s="147" t="e">
        <f t="shared" si="0"/>
      </c>
    </row>
    <row r="46" spans="1:24" ht="13.8" x14ac:dyDescent="0.25">
      <c r="B46" s="132"/>
      <c r="C46" s="41" t="str">
        <f>F59</f>
      </c>
      <c r="D46" s="42">
        <f>I59</f>
      </c>
      <c r="F46" s="66" t="s">
        <v>123</v>
      </c>
      <c r="G46" s="49"/>
      <c r="H46" s="49"/>
      <c r="I46" s="67">
        <v>0</v>
      </c>
      <c r="J46" s="68">
        <v>0</v>
      </c>
      <c r="K46" s="147" t="e">
        <f t="shared" si="0"/>
      </c>
    </row>
    <row r="47" spans="1:24" ht="13.8" x14ac:dyDescent="0.25">
      <c r="B47" s="132"/>
      <c r="C47" s="41" t="str">
        <f>F60</f>
      </c>
      <c r="D47" s="42">
        <f>I60</f>
      </c>
      <c r="F47" s="66" t="s">
        <v>124</v>
      </c>
      <c r="I47" s="67">
        <v>0</v>
      </c>
      <c r="J47" s="68">
        <v>0</v>
      </c>
      <c r="K47" s="147" t="e">
        <f t="shared" si="0"/>
      </c>
    </row>
    <row r="48" spans="1:24" ht="12.75" customHeight="1" x14ac:dyDescent="0.3">
      <c r="A48" s="35"/>
      <c r="B48" s="132"/>
      <c r="C48" s="41" t="str">
        <f>C57</f>
      </c>
      <c r="D48" s="42">
        <f>D57</f>
      </c>
      <c r="F48" s="66" t="s">
        <v>125</v>
      </c>
      <c r="G48" s="41"/>
      <c r="H48" s="41"/>
      <c r="I48" s="67">
        <v>0</v>
      </c>
      <c r="J48" s="68">
        <v>0</v>
      </c>
      <c r="K48" s="147" t="e">
        <f t="shared" si="0"/>
      </c>
    </row>
    <row r="49" spans="1:22" ht="15.6" x14ac:dyDescent="0.3">
      <c r="A49" s="35"/>
      <c r="B49" s="132"/>
      <c r="C49" s="41" t="str">
        <f>C58</f>
      </c>
      <c r="D49" s="42">
        <f>D58</f>
      </c>
      <c r="F49" s="66" t="s">
        <v>126</v>
      </c>
      <c r="G49" s="41"/>
      <c r="H49" s="41"/>
      <c r="I49" s="67">
        <v>0</v>
      </c>
      <c r="J49" s="68">
        <v>0</v>
      </c>
      <c r="K49" s="147" t="e">
        <f t="shared" si="0"/>
      </c>
    </row>
    <row r="50" spans="1:22" ht="15.6" x14ac:dyDescent="0.3">
      <c r="A50" s="35"/>
      <c r="B50" s="132"/>
      <c r="C50" s="59" t="s">
        <v>110</v>
      </c>
      <c r="D50" s="57">
        <f>IF(I23="Enterprise value",I38,SUM(D41,D44:D47)-SUM(D48:D49))</f>
      </c>
      <c r="F50" s="66" t="s">
        <v>127</v>
      </c>
      <c r="G50" s="41"/>
      <c r="H50" s="41"/>
      <c r="I50" s="67">
        <v>0</v>
      </c>
      <c r="J50" s="68">
        <v>0</v>
      </c>
      <c r="K50" s="147" t="e">
        <f t="shared" si="0"/>
      </c>
    </row>
    <row r="51" spans="1:22" ht="15.6" x14ac:dyDescent="0.3">
      <c r="A51" s="35"/>
      <c r="B51" s="132"/>
      <c r="C51" s="70"/>
      <c r="D51" s="56"/>
      <c r="F51" s="66" t="s">
        <v>128</v>
      </c>
      <c r="G51" s="41"/>
      <c r="H51" s="41"/>
      <c r="I51" s="67">
        <v>0</v>
      </c>
      <c r="J51" s="68">
        <v>0</v>
      </c>
      <c r="K51" s="147" t="e">
        <f t="shared" si="0"/>
      </c>
    </row>
    <row r="52" spans="1:22" ht="17.399999999999999" x14ac:dyDescent="0.25">
      <c r="A52" s="129" t="s">
        <v>129</v>
      </c>
      <c r="B52" s="129"/>
      <c r="C52" s="130"/>
      <c r="F52" s="56" t="s">
        <v>130</v>
      </c>
      <c r="I52" s="49"/>
      <c r="J52" s="49"/>
      <c r="K52" s="71" t="e">
        <f>SUM(K42:K51)</f>
      </c>
    </row>
    <row r="53" spans="1:22" ht="13.8" x14ac:dyDescent="0.25">
      <c r="B53" s="132"/>
    </row>
    <row r="54" spans="1:22" ht="13.8" x14ac:dyDescent="0.25">
      <c r="B54" s="131" t="s">
        <v>131</v>
      </c>
      <c r="D54" s="148">
        <f>D30</f>
      </c>
      <c r="E54" s="100"/>
      <c r="F54" s="100"/>
      <c r="G54" s="100"/>
      <c r="H54" s="100"/>
      <c r="I54" s="148">
        <f>D54</f>
      </c>
    </row>
    <row r="55" spans="1:22" ht="13.8" x14ac:dyDescent="0.25">
      <c r="B55" s="132"/>
      <c r="C55" s="40" t="s">
        <v>28</v>
      </c>
      <c r="D55" s="50">
        <v>0</v>
      </c>
      <c r="F55" s="40" t="s">
        <v>132</v>
      </c>
      <c r="I55" s="50">
        <v>0</v>
      </c>
      <c r="M55" s="41"/>
      <c r="N55" s="72"/>
      <c r="O55" s="73"/>
      <c r="P55" s="73"/>
      <c r="Q55" s="73"/>
      <c r="R55" s="73"/>
      <c r="S55" s="41"/>
      <c r="T55" s="74"/>
      <c r="U55" s="74"/>
      <c r="V55" s="74"/>
    </row>
    <row r="56" spans="1:22" ht="13.8" x14ac:dyDescent="0.25">
      <c r="B56" s="132"/>
      <c r="C56" s="40" t="s">
        <v>133</v>
      </c>
      <c r="D56" s="50">
        <v>0</v>
      </c>
      <c r="F56" s="40" t="s">
        <v>134</v>
      </c>
      <c r="I56" s="45">
        <v>0</v>
      </c>
      <c r="M56" s="41"/>
      <c r="N56" s="72"/>
      <c r="O56" s="73"/>
      <c r="P56" s="73"/>
      <c r="Q56" s="73"/>
      <c r="R56" s="73"/>
      <c r="S56" s="41"/>
      <c r="T56" s="74"/>
      <c r="U56" s="74"/>
      <c r="V56" s="74"/>
    </row>
    <row r="57" spans="1:22" ht="13.8" x14ac:dyDescent="0.25">
      <c r="B57" s="132"/>
      <c r="C57" s="40" t="s">
        <v>135</v>
      </c>
      <c r="D57" s="75">
        <v>0</v>
      </c>
      <c r="F57" s="40" t="s">
        <v>136</v>
      </c>
      <c r="I57" s="54">
        <v>0</v>
      </c>
      <c r="M57" s="41"/>
      <c r="N57" s="41"/>
      <c r="O57" s="41"/>
      <c r="P57" s="41"/>
      <c r="Q57" s="41"/>
      <c r="R57" s="41"/>
      <c r="S57" s="36"/>
    </row>
    <row r="58" spans="1:22" ht="13.8" x14ac:dyDescent="0.25">
      <c r="B58" s="132"/>
      <c r="C58" s="40" t="s">
        <v>137</v>
      </c>
      <c r="D58" s="75">
        <v>0</v>
      </c>
      <c r="F58" s="40" t="s">
        <v>138</v>
      </c>
      <c r="I58" s="45">
        <v>0</v>
      </c>
      <c r="J58" s="110"/>
      <c r="M58" s="41"/>
      <c r="N58" s="41"/>
      <c r="O58" s="41"/>
      <c r="P58" s="41"/>
      <c r="Q58" s="41"/>
      <c r="R58" s="41"/>
      <c r="S58" s="76"/>
    </row>
    <row r="59" spans="1:22" ht="13.8" x14ac:dyDescent="0.25">
      <c r="B59" s="132"/>
      <c r="C59" s="40" t="s">
        <v>139</v>
      </c>
      <c r="D59" s="75">
        <v>0</v>
      </c>
      <c r="F59" s="40" t="s">
        <v>140</v>
      </c>
      <c r="I59" s="45">
        <v>0</v>
      </c>
      <c r="J59" s="77"/>
    </row>
    <row r="60" spans="1:22" ht="13.8" x14ac:dyDescent="0.25">
      <c r="B60" s="132"/>
      <c r="F60" s="40" t="s">
        <v>141</v>
      </c>
      <c r="I60" s="45">
        <v>0</v>
      </c>
      <c r="J60" s="77"/>
    </row>
    <row r="61" spans="1:22" ht="13.8" x14ac:dyDescent="0.25">
      <c r="B61" s="132"/>
      <c r="C61" s="78" t="s">
        <v>142</v>
      </c>
      <c r="D61" s="49">
        <f>SUM(D55:D59)</f>
      </c>
      <c r="F61" s="78" t="s">
        <v>143</v>
      </c>
      <c r="I61" s="49">
        <f>SUM(I55:I60)</f>
      </c>
      <c r="J61" s="77"/>
    </row>
    <row r="62" spans="1:22" ht="13.8" x14ac:dyDescent="0.25">
      <c r="B62" s="132"/>
      <c r="C62" s="79" t="s">
        <v>144</v>
      </c>
      <c r="D62" s="80" t="str">
        <f>IF(D61=I61,"OK",D61-I61)</f>
      </c>
      <c r="J62" s="77"/>
    </row>
    <row r="63" spans="1:22" ht="13.8" x14ac:dyDescent="0.25">
      <c r="B63" s="132"/>
      <c r="J63" s="81"/>
    </row>
    <row r="64" spans="1:22" ht="13.8" x14ac:dyDescent="0.25">
      <c r="B64" s="132" t="s">
        <v>145</v>
      </c>
      <c r="D64" s="149">
        <f>YEAR($D$29)</f>
      </c>
      <c r="E64" s="148" t="str">
        <f>YEAR($D$30)-1&amp;" "&amp;$D$32&amp;"Q"</f>
      </c>
      <c r="F64" s="148" t="str">
        <f>YEAR($D$30)&amp;" "&amp;$D$32&amp;"Q"</f>
      </c>
      <c r="G64" s="148" t="s">
        <v>16</v>
      </c>
    </row>
    <row r="65" spans="2:7" x14ac:dyDescent="0.25">
      <c r="B65" s="41"/>
      <c r="C65" s="41" t="s">
        <v>76</v>
      </c>
      <c r="D65" s="150">
        <v>2100</v>
      </c>
      <c r="E65" s="50">
        <v>0</v>
      </c>
      <c r="F65" s="50">
        <v>0</v>
      </c>
      <c r="G65" s="40">
        <f>D65-E65+F65</f>
      </c>
    </row>
    <row r="67" spans="2:7" x14ac:dyDescent="0.25">
      <c r="B67" s="41"/>
      <c r="C67" s="41" t="s">
        <v>146</v>
      </c>
      <c r="D67" s="83">
        <v>0</v>
      </c>
      <c r="E67" s="83">
        <v>0</v>
      </c>
      <c r="F67" s="91">
        <v>0</v>
      </c>
    </row>
    <row r="68" spans="2:7" x14ac:dyDescent="0.25">
      <c r="B68" s="41"/>
      <c r="C68" s="85" t="s">
        <v>189</v>
      </c>
      <c r="D68" s="50">
        <v>0</v>
      </c>
      <c r="E68" s="50">
        <v>0</v>
      </c>
      <c r="F68" s="50">
        <v>0</v>
      </c>
    </row>
    <row r="69" spans="2:7" x14ac:dyDescent="0.25">
      <c r="B69" s="41"/>
      <c r="C69" s="85" t="s">
        <v>163</v>
      </c>
      <c r="D69" s="50">
        <v>0</v>
      </c>
      <c r="E69" s="50">
        <v>0</v>
      </c>
      <c r="F69" s="50">
        <v>0</v>
      </c>
    </row>
    <row r="70" spans="2:7" x14ac:dyDescent="0.25">
      <c r="B70" s="41"/>
      <c r="C70" s="85" t="s">
        <v>164</v>
      </c>
      <c r="D70" s="50">
        <v>0</v>
      </c>
      <c r="E70" s="50">
        <v>0</v>
      </c>
      <c r="F70" s="50">
        <v>0</v>
      </c>
    </row>
    <row r="71" spans="2:7" x14ac:dyDescent="0.25">
      <c r="B71" s="41"/>
      <c r="C71" s="85" t="s">
        <v>165</v>
      </c>
      <c r="D71" s="50">
        <v>0</v>
      </c>
      <c r="E71" s="50">
        <v>0</v>
      </c>
      <c r="F71" s="50">
        <v>0</v>
      </c>
    </row>
    <row r="72" spans="2:7" x14ac:dyDescent="0.25">
      <c r="B72" s="41"/>
      <c r="C72" s="85" t="s">
        <v>166</v>
      </c>
      <c r="D72" s="50">
        <v>0</v>
      </c>
      <c r="E72" s="50">
        <v>0</v>
      </c>
      <c r="F72" s="50">
        <v>0</v>
      </c>
    </row>
    <row r="73" spans="2:7" x14ac:dyDescent="0.25">
      <c r="B73" s="41"/>
      <c r="C73" s="85" t="s">
        <v>152</v>
      </c>
      <c r="D73" s="50">
        <v>0</v>
      </c>
      <c r="E73" s="50">
        <v>0</v>
      </c>
      <c r="F73" s="50">
        <v>0</v>
      </c>
    </row>
    <row r="74" spans="2:7" x14ac:dyDescent="0.25">
      <c r="B74" s="41"/>
      <c r="C74" s="85" t="s">
        <v>153</v>
      </c>
      <c r="D74" s="50">
        <v>0</v>
      </c>
      <c r="E74" s="50">
        <v>0</v>
      </c>
      <c r="F74" s="50">
        <v>0</v>
      </c>
    </row>
    <row r="75" spans="2:7" x14ac:dyDescent="0.25">
      <c r="B75" s="41"/>
      <c r="C75" s="85" t="s">
        <v>154</v>
      </c>
      <c r="D75" s="50">
        <v>0</v>
      </c>
      <c r="E75" s="50">
        <v>0</v>
      </c>
      <c r="F75" s="50">
        <v>0</v>
      </c>
    </row>
    <row r="76" spans="2:7" s="49" customFormat="1" x14ac:dyDescent="0.25">
      <c r="B76" s="56"/>
      <c r="C76" s="86" t="s">
        <v>78</v>
      </c>
      <c r="D76" s="56">
        <f>SUM(D67:D75)</f>
      </c>
      <c r="E76" s="56">
        <f>SUM(E67:E75)</f>
      </c>
      <c r="F76" s="56">
        <f>SUM(F67:F75)</f>
      </c>
      <c r="G76" s="49">
        <f>D76-E76+F76</f>
      </c>
    </row>
    <row r="77" spans="2:7" x14ac:dyDescent="0.25">
      <c r="B77" s="41"/>
    </row>
    <row r="78" spans="2:7" x14ac:dyDescent="0.25">
      <c r="B78" s="41"/>
      <c r="C78" s="41" t="s">
        <v>155</v>
      </c>
      <c r="D78" s="50">
        <v>0</v>
      </c>
      <c r="E78" s="50">
        <v>0</v>
      </c>
      <c r="F78" s="50">
        <v>0</v>
      </c>
      <c r="G78" s="40">
        <f>D78-E78+F78</f>
      </c>
    </row>
    <row r="79" spans="2:7" s="49" customFormat="1" x14ac:dyDescent="0.25">
      <c r="B79" s="56"/>
      <c r="C79" s="86" t="s">
        <v>19</v>
      </c>
      <c r="D79" s="94">
        <f>D65*25%</f>
      </c>
      <c r="E79" s="56">
        <f>E76+E78</f>
      </c>
      <c r="F79" s="56">
        <f>F76+F78</f>
      </c>
      <c r="G79" s="49">
        <f>D79-E79+F79</f>
      </c>
    </row>
    <row r="80" spans="2:7" x14ac:dyDescent="0.25">
      <c r="B80" s="41"/>
    </row>
  </sheetData>
  <conditionalFormatting sqref="D41:D49 I42:J51">
    <cfRule type="expression" dxfId="63" priority="7" stopIfTrue="1">
      <formula>$I$23="Enterprise value"</formula>
    </cfRule>
  </conditionalFormatting>
  <conditionalFormatting sqref="F24:F31 F33 F40:H41 K40:K51 I41:J41 C41:C49 G42:H46 F52:K52">
    <cfRule type="expression" dxfId="62" priority="8" stopIfTrue="1">
      <formula>$I$23="Enterprise value"</formula>
    </cfRule>
  </conditionalFormatting>
  <conditionalFormatting sqref="F35:F38">
    <cfRule type="expression" dxfId="61" priority="9" stopIfTrue="1">
      <formula>$I$23="Share price"</formula>
    </cfRule>
  </conditionalFormatting>
  <conditionalFormatting sqref="F42:F51">
    <cfRule type="expression" dxfId="60" priority="1" stopIfTrue="1">
      <formula>$I$23="Enterprise value"</formula>
    </cfRule>
  </conditionalFormatting>
  <conditionalFormatting sqref="I25:I33">
    <cfRule type="expression" dxfId="59" priority="6" stopIfTrue="1">
      <formula>$I$23="Enterprise value"</formula>
    </cfRule>
  </conditionalFormatting>
  <conditionalFormatting sqref="I36:I38">
    <cfRule type="expression" dxfId="58" priority="5" stopIfTrue="1">
      <formula>$I$23="Share price"</formula>
    </cfRule>
  </conditionalFormatting>
  <conditionalFormatting sqref="I40:J40">
    <cfRule type="expression" dxfId="57" priority="4" stopIfTrue="1">
      <formula>$I$23="Enterprise value"</formula>
    </cfRule>
  </conditionalFormatting>
  <dataValidations count="3">
    <dataValidation type="list" allowBlank="1" showInputMessage="1" showErrorMessage="1" sqref="I23" xr:uid="{00000000-0002-0000-0800-000000000000}">
      <formula1>"Share price,Enterprise value"</formula1>
    </dataValidation>
    <dataValidation type="list" allowBlank="1" showInputMessage="1" showErrorMessage="1" prompt="Input 1, 2 or 3 to indicate which quarter data has been spread. Leave blank if annual data." sqref="D32" xr:uid="{00000000-0002-0000-0800-000001000000}">
      <formula1>"1,2,3,,"</formula1>
    </dataValidation>
    <dataValidation type="list" allowBlank="1" showInputMessage="1" showErrorMessage="1" sqref="D31" xr:uid="{00000000-0002-0000-0800-000002000000}">
      <formula1>"10K,10Q,8K,Annual,Interim"</formula1>
    </dataValidation>
  </dataValidations>
  <pageMargins left="0.74803149606299213" right="0.74803149606299213" top="0.98425196850393704" bottom="0.98425196850393704" header="0.51181102362204722" footer="0.51181102362204722"/>
  <pageSetup paperSize="9" scale="62" orientation="portrait" r:id="rId1"/>
  <headerFooter alignWithMargins="0">
    <oddFooter>&amp;R&amp;8&amp;P of &amp;N</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pageSetUpPr fitToPage="1"/>
  </sheetPr>
  <dimension ref="A1:X80"/>
  <sheetViews>
    <sheetView showGridLines="0" zoomScaleNormal="100" workbookViewId="0"/>
  </sheetViews>
  <sheetFormatPr defaultColWidth="9" defaultRowHeight="13.2" x14ac:dyDescent="0.25"/>
  <cols>
    <col min="1" max="2" width="1.77734375" style="40" customWidth="1"/>
    <col min="3" max="3" width="40.77734375" style="40" customWidth="1"/>
    <col min="4" max="4" width="12" style="40" customWidth="1"/>
    <col min="5" max="8" width="11.21875" style="40" customWidth="1"/>
    <col min="9" max="9" width="15.77734375" style="40" bestFit="1" customWidth="1"/>
    <col min="10" max="11" width="11.44140625" style="40" bestFit="1" customWidth="1"/>
    <col min="12" max="13" width="9" style="40"/>
    <col min="14" max="14" width="19.44140625" style="40" customWidth="1"/>
    <col min="15" max="15" width="11.21875" style="40" bestFit="1" customWidth="1"/>
    <col min="16" max="16" width="9.5546875" style="40" bestFit="1" customWidth="1"/>
    <col min="17" max="19" width="9.21875" style="40" bestFit="1" customWidth="1"/>
    <col min="20" max="20" width="11.21875" style="40" bestFit="1" customWidth="1"/>
    <col min="21" max="21" width="9.5546875" style="40" bestFit="1" customWidth="1"/>
    <col min="22" max="22" width="14.44140625" style="40" bestFit="1" customWidth="1"/>
    <col min="23" max="24" width="14.77734375" style="40" bestFit="1" customWidth="1"/>
    <col min="25" max="16384" width="9" style="40"/>
  </cols>
  <sheetData>
    <row r="1" spans="1:14" s="151" customFormat="1" ht="17.399999999999999" x14ac:dyDescent="0.3">
      <c r="A1" s="120" t="str">
        <f>"Comparable transactions analysis - "&amp;D23&amp;" / "&amp;D24</f>
      </c>
      <c r="B1" s="120"/>
      <c r="C1" s="121"/>
      <c r="D1" s="121"/>
      <c r="E1" s="121"/>
      <c r="F1" s="121"/>
      <c r="G1" s="121"/>
      <c r="H1" s="121"/>
      <c r="I1" s="121"/>
      <c r="J1" s="121"/>
      <c r="K1" s="121"/>
      <c r="L1" s="121"/>
      <c r="M1" s="122"/>
      <c r="N1" s="122"/>
    </row>
    <row r="2" spans="1:14" s="151" customFormat="1" ht="18" thickBot="1" x14ac:dyDescent="0.35">
      <c r="A2" s="128" t="str">
        <f>"Input sheet (all numbers in millions "&amp;D27&amp;" unless otherwise stated)"</f>
      </c>
      <c r="B2" s="127"/>
      <c r="C2" s="127"/>
      <c r="D2" s="127"/>
      <c r="E2" s="127"/>
      <c r="F2" s="127"/>
      <c r="G2" s="127"/>
      <c r="H2" s="127"/>
      <c r="I2" s="127"/>
      <c r="J2" s="127"/>
      <c r="K2" s="127"/>
      <c r="L2" s="127"/>
      <c r="M2" s="127"/>
      <c r="N2" s="152"/>
    </row>
    <row r="3" spans="1:14" ht="13.8" thickTop="1" x14ac:dyDescent="0.25">
      <c r="B3" s="41"/>
    </row>
    <row r="4" spans="1:14" ht="17.399999999999999" x14ac:dyDescent="0.25">
      <c r="A4" s="129" t="s">
        <v>72</v>
      </c>
      <c r="B4" s="129"/>
      <c r="C4" s="130"/>
    </row>
    <row r="5" spans="1:14" ht="13.8" x14ac:dyDescent="0.25">
      <c r="B5" s="131" t="s">
        <v>73</v>
      </c>
      <c r="C5" s="41"/>
    </row>
    <row r="6" spans="1:14" ht="13.8" x14ac:dyDescent="0.25">
      <c r="B6" s="131"/>
      <c r="C6" s="41" t="str">
        <f>F25</f>
      </c>
      <c r="D6" s="37" t="str">
        <f>IF(Driver="Enterprise value","na",I25)</f>
      </c>
    </row>
    <row r="7" spans="1:14" ht="13.8" x14ac:dyDescent="0.25">
      <c r="B7" s="131"/>
      <c r="C7" s="41" t="s">
        <v>27</v>
      </c>
      <c r="D7" s="38" t="str">
        <f>IF(OR(Driver="Enterprise Value",I25=0),"na",I25/I26-1)</f>
      </c>
    </row>
    <row r="8" spans="1:14" ht="13.8" x14ac:dyDescent="0.25">
      <c r="B8" s="132"/>
      <c r="C8" s="133" t="str">
        <f>C41</f>
      </c>
      <c r="D8" s="39" t="str">
        <f>IF(Driver="Enterprise value","na",I33*FX)</f>
      </c>
      <c r="E8" s="41"/>
      <c r="F8" s="134"/>
    </row>
    <row r="9" spans="1:14" ht="13.8" x14ac:dyDescent="0.25">
      <c r="B9" s="132"/>
      <c r="C9" s="133" t="str">
        <f>C50</f>
      </c>
      <c r="D9" s="135">
        <f>D50*FX</f>
      </c>
    </row>
    <row r="10" spans="1:14" ht="13.8" x14ac:dyDescent="0.25">
      <c r="B10" s="132"/>
      <c r="C10" s="133"/>
    </row>
    <row r="11" spans="1:14" ht="13.8" x14ac:dyDescent="0.25">
      <c r="B11" s="131" t="s">
        <v>74</v>
      </c>
      <c r="C11" s="133"/>
      <c r="D11" s="136" t="s">
        <v>16</v>
      </c>
      <c r="E11" s="136" t="s">
        <v>75</v>
      </c>
    </row>
    <row r="12" spans="1:14" ht="13.8" x14ac:dyDescent="0.25">
      <c r="B12" s="132"/>
      <c r="C12" s="41" t="s">
        <v>76</v>
      </c>
      <c r="D12" s="42">
        <f>G65*FX</f>
      </c>
      <c r="E12" s="137" t="s">
        <v>77</v>
      </c>
    </row>
    <row r="13" spans="1:14" ht="13.8" x14ac:dyDescent="0.25">
      <c r="B13" s="132"/>
      <c r="C13" s="43" t="s">
        <v>78</v>
      </c>
      <c r="D13" s="42">
        <f>G76*FX</f>
      </c>
      <c r="E13" s="138">
        <f>D13/D12</f>
      </c>
    </row>
    <row r="14" spans="1:14" ht="13.8" x14ac:dyDescent="0.25">
      <c r="B14" s="132"/>
      <c r="C14" s="43" t="s">
        <v>19</v>
      </c>
      <c r="D14" s="42">
        <f>G79*FX</f>
      </c>
      <c r="E14" s="138">
        <f>D14/D12</f>
      </c>
    </row>
    <row r="15" spans="1:14" ht="13.8" x14ac:dyDescent="0.25">
      <c r="B15" s="139"/>
      <c r="D15" s="140"/>
    </row>
    <row r="16" spans="1:14" ht="13.8" x14ac:dyDescent="0.25">
      <c r="B16" s="131" t="s">
        <v>79</v>
      </c>
    </row>
    <row r="17" spans="1:24" x14ac:dyDescent="0.25">
      <c r="C17" s="40" t="s">
        <v>80</v>
      </c>
      <c r="D17" s="44">
        <f>$D$9/D12</f>
      </c>
    </row>
    <row r="18" spans="1:24" x14ac:dyDescent="0.25">
      <c r="C18" s="40" t="s">
        <v>81</v>
      </c>
      <c r="D18" s="44">
        <f>$D$9/D13</f>
      </c>
    </row>
    <row r="19" spans="1:24" x14ac:dyDescent="0.25">
      <c r="C19" s="40" t="s">
        <v>21</v>
      </c>
      <c r="D19" s="44">
        <f>$D$9/D14</f>
      </c>
    </row>
    <row r="20" spans="1:24" x14ac:dyDescent="0.25">
      <c r="D20" s="140"/>
    </row>
    <row r="21" spans="1:24" ht="17.399999999999999" x14ac:dyDescent="0.25">
      <c r="A21" s="129" t="s">
        <v>82</v>
      </c>
      <c r="B21" s="129"/>
      <c r="C21" s="130"/>
      <c r="I21" s="141"/>
    </row>
    <row r="22" spans="1:24" ht="13.8" x14ac:dyDescent="0.25">
      <c r="A22" s="36"/>
      <c r="B22" s="131" t="s">
        <v>83</v>
      </c>
      <c r="C22" s="41"/>
      <c r="D22" s="41"/>
      <c r="F22" s="131" t="s">
        <v>84</v>
      </c>
    </row>
    <row r="23" spans="1:24" ht="13.8" x14ac:dyDescent="0.25">
      <c r="B23" s="132"/>
      <c r="C23" s="41" t="s">
        <v>85</v>
      </c>
      <c r="D23" s="54" t="s">
        <v>190</v>
      </c>
      <c r="E23" s="41"/>
      <c r="F23" s="40" t="s">
        <v>86</v>
      </c>
      <c r="I23" s="45" t="s">
        <v>113</v>
      </c>
    </row>
    <row r="24" spans="1:24" ht="13.8" x14ac:dyDescent="0.25">
      <c r="B24" s="132"/>
      <c r="C24" s="41" t="s">
        <v>88</v>
      </c>
      <c r="D24" s="45" t="s">
        <v>192</v>
      </c>
      <c r="E24" s="41"/>
      <c r="F24" s="36" t="s">
        <v>90</v>
      </c>
    </row>
    <row r="25" spans="1:24" ht="13.8" x14ac:dyDescent="0.25">
      <c r="B25" s="132"/>
      <c r="C25" s="41" t="s">
        <v>91</v>
      </c>
      <c r="D25" s="46">
        <v>40182</v>
      </c>
      <c r="E25" s="41"/>
      <c r="F25" s="41" t="s">
        <v>92</v>
      </c>
      <c r="I25" s="47">
        <v>0</v>
      </c>
    </row>
    <row r="26" spans="1:24" ht="13.8" x14ac:dyDescent="0.25">
      <c r="B26" s="132"/>
      <c r="C26" s="133" t="s">
        <v>93</v>
      </c>
      <c r="D26" s="46">
        <v>40238</v>
      </c>
      <c r="E26" s="41"/>
      <c r="F26" s="133" t="s">
        <v>94</v>
      </c>
      <c r="I26" s="47">
        <v>0</v>
      </c>
      <c r="W26" s="49"/>
      <c r="X26" s="49"/>
    </row>
    <row r="27" spans="1:24" ht="13.8" x14ac:dyDescent="0.25">
      <c r="B27" s="132"/>
      <c r="C27" s="133" t="s">
        <v>10</v>
      </c>
      <c r="D27" s="50" t="s">
        <v>11</v>
      </c>
      <c r="E27" s="41"/>
      <c r="F27" s="133" t="s">
        <v>95</v>
      </c>
      <c r="I27" s="47">
        <v>0</v>
      </c>
      <c r="W27" s="49"/>
      <c r="X27" s="49"/>
    </row>
    <row r="28" spans="1:24" ht="13.8" x14ac:dyDescent="0.25">
      <c r="B28" s="132"/>
      <c r="C28" s="133" t="s">
        <v>96</v>
      </c>
      <c r="D28" s="51">
        <v>1</v>
      </c>
      <c r="E28" s="41"/>
      <c r="F28" s="133" t="s">
        <v>97</v>
      </c>
      <c r="I28" s="47">
        <v>0</v>
      </c>
      <c r="W28" s="49"/>
      <c r="X28" s="49"/>
    </row>
    <row r="29" spans="1:24" ht="13.8" x14ac:dyDescent="0.25">
      <c r="B29" s="132"/>
      <c r="C29" s="133" t="s">
        <v>98</v>
      </c>
      <c r="D29" s="53">
        <v>40178</v>
      </c>
      <c r="E29" s="41"/>
      <c r="F29" s="41" t="s">
        <v>99</v>
      </c>
      <c r="I29" s="60">
        <v>0</v>
      </c>
      <c r="W29" s="49"/>
      <c r="X29" s="49"/>
    </row>
    <row r="30" spans="1:24" ht="13.8" x14ac:dyDescent="0.25">
      <c r="B30" s="132"/>
      <c r="C30" s="133" t="s">
        <v>100</v>
      </c>
      <c r="D30" s="53">
        <v>40178</v>
      </c>
      <c r="E30" s="41"/>
      <c r="F30" s="41" t="s">
        <v>101</v>
      </c>
      <c r="I30" s="42" t="e">
        <f>K52</f>
      </c>
      <c r="W30" s="49"/>
      <c r="X30" s="49"/>
    </row>
    <row r="31" spans="1:24" ht="13.8" x14ac:dyDescent="0.25">
      <c r="B31" s="132"/>
      <c r="C31" s="133" t="s">
        <v>102</v>
      </c>
      <c r="D31" s="50" t="s">
        <v>186</v>
      </c>
      <c r="E31" s="41"/>
      <c r="F31" s="41" t="s">
        <v>104</v>
      </c>
      <c r="I31" s="42" t="e">
        <f>I29+I30</f>
      </c>
      <c r="W31" s="49"/>
      <c r="X31" s="49"/>
    </row>
    <row r="32" spans="1:24" ht="13.8" x14ac:dyDescent="0.25">
      <c r="B32" s="132"/>
      <c r="C32" s="133" t="s">
        <v>105</v>
      </c>
      <c r="D32" s="55"/>
      <c r="E32" s="56"/>
      <c r="F32" s="40" t="s">
        <v>106</v>
      </c>
      <c r="I32" s="143">
        <v>0</v>
      </c>
      <c r="W32" s="49"/>
      <c r="X32" s="49"/>
    </row>
    <row r="33" spans="1:24" ht="13.8" x14ac:dyDescent="0.25">
      <c r="B33" s="132"/>
      <c r="E33" s="56"/>
      <c r="F33" s="49" t="s">
        <v>107</v>
      </c>
      <c r="I33" s="57" t="e">
        <f>I25*I31+I32</f>
      </c>
      <c r="W33" s="49"/>
      <c r="X33" s="49"/>
    </row>
    <row r="34" spans="1:24" ht="13.8" x14ac:dyDescent="0.25">
      <c r="B34" s="132"/>
      <c r="C34" s="133" t="s">
        <v>108</v>
      </c>
      <c r="D34" s="145">
        <v>1</v>
      </c>
      <c r="E34" s="56"/>
      <c r="W34" s="49"/>
      <c r="X34" s="49"/>
    </row>
    <row r="35" spans="1:24" ht="13.8" x14ac:dyDescent="0.25">
      <c r="B35" s="132"/>
      <c r="C35" s="133" t="s">
        <v>109</v>
      </c>
      <c r="D35" s="138">
        <f>1-D34</f>
      </c>
      <c r="E35" s="56"/>
      <c r="F35" s="131" t="s">
        <v>90</v>
      </c>
      <c r="W35" s="49"/>
      <c r="X35" s="49"/>
    </row>
    <row r="36" spans="1:24" ht="13.8" x14ac:dyDescent="0.25">
      <c r="B36" s="132"/>
      <c r="E36" s="56"/>
      <c r="F36" s="58" t="s">
        <v>110</v>
      </c>
      <c r="G36" s="59"/>
      <c r="H36" s="49"/>
      <c r="I36" s="50">
        <v>3700</v>
      </c>
      <c r="W36" s="49"/>
      <c r="X36" s="49"/>
    </row>
    <row r="37" spans="1:24" ht="13.8" x14ac:dyDescent="0.25">
      <c r="B37" s="132"/>
      <c r="E37" s="56"/>
      <c r="F37" s="58" t="s">
        <v>111</v>
      </c>
      <c r="G37" s="59"/>
      <c r="H37" s="49"/>
      <c r="I37" s="60">
        <v>0</v>
      </c>
      <c r="W37" s="49"/>
      <c r="X37" s="49"/>
    </row>
    <row r="38" spans="1:24" ht="13.8" x14ac:dyDescent="0.25">
      <c r="B38" s="132"/>
      <c r="E38" s="56"/>
      <c r="F38" s="61" t="s">
        <v>112</v>
      </c>
      <c r="G38" s="59"/>
      <c r="H38" s="49"/>
      <c r="I38" s="62">
        <f>SUM(I36:I37)</f>
      </c>
      <c r="W38" s="49"/>
      <c r="X38" s="49"/>
    </row>
    <row r="39" spans="1:24" ht="13.8" x14ac:dyDescent="0.25">
      <c r="B39" s="132"/>
      <c r="E39" s="56"/>
      <c r="F39" s="133"/>
      <c r="G39" s="133"/>
      <c r="I39" s="41"/>
      <c r="W39" s="49"/>
      <c r="X39" s="49"/>
    </row>
    <row r="40" spans="1:24" ht="13.8" x14ac:dyDescent="0.25">
      <c r="B40" s="131" t="s">
        <v>113</v>
      </c>
      <c r="F40" s="131" t="s">
        <v>114</v>
      </c>
      <c r="I40" s="146">
        <f>YEAR($D$29)</f>
      </c>
      <c r="J40" s="146">
        <f>YEAR($D$29)</f>
      </c>
    </row>
    <row r="41" spans="1:24" ht="13.8" x14ac:dyDescent="0.25">
      <c r="A41" s="49"/>
      <c r="B41" s="131"/>
      <c r="C41" s="64" t="s">
        <v>107</v>
      </c>
      <c r="D41" s="57" t="e">
        <f>I33</f>
      </c>
      <c r="E41" s="49"/>
      <c r="I41" s="65" t="s">
        <v>115</v>
      </c>
      <c r="J41" s="65" t="s">
        <v>116</v>
      </c>
      <c r="K41" s="65" t="s">
        <v>117</v>
      </c>
    </row>
    <row r="42" spans="1:24" ht="13.8" x14ac:dyDescent="0.25">
      <c r="B42" s="132"/>
      <c r="C42" s="40" t="str">
        <f>F55</f>
      </c>
      <c r="D42" s="42">
        <f>I55</f>
      </c>
      <c r="F42" s="66" t="s">
        <v>187</v>
      </c>
      <c r="I42" s="67">
        <v>0</v>
      </c>
      <c r="J42" s="68">
        <v>0</v>
      </c>
      <c r="K42" s="147" t="e">
        <f t="shared" ref="K42:K51" si="0">MAX(($I$25-J42)/$I$25*I42,0)</f>
      </c>
    </row>
    <row r="43" spans="1:24" ht="13.8" x14ac:dyDescent="0.25">
      <c r="B43" s="132"/>
      <c r="C43" s="41" t="str">
        <f>C55&amp;" and "&amp;LOWER(C56)</f>
      </c>
      <c r="D43" s="42">
        <f>D55</f>
      </c>
      <c r="F43" s="66" t="s">
        <v>188</v>
      </c>
      <c r="I43" s="67">
        <v>0</v>
      </c>
      <c r="J43" s="68">
        <v>0</v>
      </c>
      <c r="K43" s="147" t="e">
        <f t="shared" si="0"/>
      </c>
    </row>
    <row r="44" spans="1:24" ht="13.8" x14ac:dyDescent="0.25">
      <c r="B44" s="132"/>
      <c r="C44" s="69" t="s">
        <v>120</v>
      </c>
      <c r="D44" s="57">
        <f>D42-D43</f>
      </c>
      <c r="F44" s="66" t="s">
        <v>168</v>
      </c>
      <c r="I44" s="67">
        <v>0</v>
      </c>
      <c r="J44" s="68">
        <v>0</v>
      </c>
      <c r="K44" s="147" t="e">
        <f t="shared" si="0"/>
      </c>
    </row>
    <row r="45" spans="1:24" ht="13.8" x14ac:dyDescent="0.25">
      <c r="B45" s="132"/>
      <c r="C45" s="41" t="str">
        <f>F56</f>
      </c>
      <c r="D45" s="92">
        <v>0</v>
      </c>
      <c r="F45" s="66" t="s">
        <v>161</v>
      </c>
      <c r="G45" s="49"/>
      <c r="H45" s="49"/>
      <c r="I45" s="67">
        <v>0</v>
      </c>
      <c r="J45" s="68">
        <v>0</v>
      </c>
      <c r="K45" s="147" t="e">
        <f t="shared" si="0"/>
      </c>
    </row>
    <row r="46" spans="1:24" ht="13.8" x14ac:dyDescent="0.25">
      <c r="B46" s="132"/>
      <c r="C46" s="41" t="str">
        <f>F59</f>
      </c>
      <c r="D46" s="42">
        <f>I59</f>
      </c>
      <c r="F46" s="66" t="s">
        <v>123</v>
      </c>
      <c r="G46" s="49"/>
      <c r="H46" s="49"/>
      <c r="I46" s="67">
        <v>0</v>
      </c>
      <c r="J46" s="68">
        <v>0</v>
      </c>
      <c r="K46" s="147" t="e">
        <f t="shared" si="0"/>
      </c>
    </row>
    <row r="47" spans="1:24" ht="13.8" x14ac:dyDescent="0.25">
      <c r="B47" s="132"/>
      <c r="C47" s="41" t="str">
        <f>F60</f>
      </c>
      <c r="D47" s="42">
        <f>I60</f>
      </c>
      <c r="F47" s="66" t="s">
        <v>124</v>
      </c>
      <c r="I47" s="67">
        <v>0</v>
      </c>
      <c r="J47" s="68">
        <v>0</v>
      </c>
      <c r="K47" s="147" t="e">
        <f t="shared" si="0"/>
      </c>
    </row>
    <row r="48" spans="1:24" ht="12.75" customHeight="1" x14ac:dyDescent="0.3">
      <c r="A48" s="35"/>
      <c r="B48" s="132"/>
      <c r="C48" s="41" t="str">
        <f>C57</f>
      </c>
      <c r="D48" s="42">
        <f>D57</f>
      </c>
      <c r="F48" s="66" t="s">
        <v>125</v>
      </c>
      <c r="G48" s="41"/>
      <c r="H48" s="41"/>
      <c r="I48" s="67">
        <v>0</v>
      </c>
      <c r="J48" s="68">
        <v>0</v>
      </c>
      <c r="K48" s="147" t="e">
        <f t="shared" si="0"/>
      </c>
    </row>
    <row r="49" spans="1:22" ht="15.6" x14ac:dyDescent="0.3">
      <c r="A49" s="35"/>
      <c r="B49" s="132"/>
      <c r="C49" s="41" t="str">
        <f>C58</f>
      </c>
      <c r="D49" s="42">
        <f>D58</f>
      </c>
      <c r="F49" s="66" t="s">
        <v>126</v>
      </c>
      <c r="G49" s="41"/>
      <c r="H49" s="41"/>
      <c r="I49" s="67">
        <v>0</v>
      </c>
      <c r="J49" s="68">
        <v>0</v>
      </c>
      <c r="K49" s="147" t="e">
        <f t="shared" si="0"/>
      </c>
    </row>
    <row r="50" spans="1:22" ht="15.6" x14ac:dyDescent="0.3">
      <c r="A50" s="35"/>
      <c r="B50" s="132"/>
      <c r="C50" s="59" t="s">
        <v>110</v>
      </c>
      <c r="D50" s="57">
        <f>IF(I23="Enterprise value",I38,SUM(D41,D44:D47)-SUM(D48:D49))</f>
      </c>
      <c r="F50" s="66" t="s">
        <v>127</v>
      </c>
      <c r="G50" s="41"/>
      <c r="H50" s="41"/>
      <c r="I50" s="67">
        <v>0</v>
      </c>
      <c r="J50" s="68">
        <v>0</v>
      </c>
      <c r="K50" s="147" t="e">
        <f t="shared" si="0"/>
      </c>
    </row>
    <row r="51" spans="1:22" ht="15.6" x14ac:dyDescent="0.3">
      <c r="A51" s="35"/>
      <c r="B51" s="132"/>
      <c r="C51" s="70"/>
      <c r="D51" s="56"/>
      <c r="F51" s="66" t="s">
        <v>128</v>
      </c>
      <c r="G51" s="41"/>
      <c r="H51" s="41"/>
      <c r="I51" s="67">
        <v>0</v>
      </c>
      <c r="J51" s="68">
        <v>0</v>
      </c>
      <c r="K51" s="147" t="e">
        <f t="shared" si="0"/>
      </c>
    </row>
    <row r="52" spans="1:22" ht="17.399999999999999" x14ac:dyDescent="0.25">
      <c r="A52" s="129" t="s">
        <v>129</v>
      </c>
      <c r="B52" s="129"/>
      <c r="C52" s="130"/>
      <c r="F52" s="56" t="s">
        <v>130</v>
      </c>
      <c r="I52" s="49"/>
      <c r="J52" s="49"/>
      <c r="K52" s="71" t="e">
        <f>SUM(K42:K51)</f>
      </c>
    </row>
    <row r="53" spans="1:22" ht="13.8" x14ac:dyDescent="0.25">
      <c r="B53" s="132"/>
    </row>
    <row r="54" spans="1:22" ht="13.8" x14ac:dyDescent="0.25">
      <c r="B54" s="131" t="s">
        <v>131</v>
      </c>
      <c r="D54" s="148">
        <f>D30</f>
      </c>
      <c r="E54" s="100"/>
      <c r="F54" s="100"/>
      <c r="G54" s="100"/>
      <c r="H54" s="100"/>
      <c r="I54" s="148">
        <f>D54</f>
      </c>
    </row>
    <row r="55" spans="1:22" ht="13.8" x14ac:dyDescent="0.25">
      <c r="B55" s="132"/>
      <c r="C55" s="40" t="s">
        <v>28</v>
      </c>
      <c r="D55" s="50">
        <v>0</v>
      </c>
      <c r="F55" s="40" t="s">
        <v>132</v>
      </c>
      <c r="I55" s="50">
        <v>0</v>
      </c>
      <c r="M55" s="41"/>
      <c r="N55" s="72"/>
      <c r="O55" s="73"/>
      <c r="P55" s="73"/>
      <c r="Q55" s="73"/>
      <c r="R55" s="73"/>
      <c r="S55" s="41"/>
      <c r="T55" s="74"/>
      <c r="U55" s="74"/>
      <c r="V55" s="74"/>
    </row>
    <row r="56" spans="1:22" ht="13.8" x14ac:dyDescent="0.25">
      <c r="B56" s="132"/>
      <c r="C56" s="40" t="s">
        <v>133</v>
      </c>
      <c r="D56" s="50">
        <v>0</v>
      </c>
      <c r="F56" s="40" t="s">
        <v>134</v>
      </c>
      <c r="I56" s="45">
        <v>0</v>
      </c>
      <c r="M56" s="41"/>
      <c r="N56" s="72"/>
      <c r="O56" s="73"/>
      <c r="P56" s="73"/>
      <c r="Q56" s="73"/>
      <c r="R56" s="73"/>
      <c r="S56" s="41"/>
      <c r="T56" s="74"/>
      <c r="U56" s="74"/>
      <c r="V56" s="74"/>
    </row>
    <row r="57" spans="1:22" ht="13.8" x14ac:dyDescent="0.25">
      <c r="B57" s="132"/>
      <c r="C57" s="40" t="s">
        <v>135</v>
      </c>
      <c r="D57" s="75">
        <v>0</v>
      </c>
      <c r="F57" s="40" t="s">
        <v>136</v>
      </c>
      <c r="I57" s="54">
        <v>0</v>
      </c>
      <c r="M57" s="41"/>
      <c r="N57" s="41"/>
      <c r="O57" s="41"/>
      <c r="P57" s="41"/>
      <c r="Q57" s="41"/>
      <c r="R57" s="41"/>
      <c r="S57" s="36"/>
    </row>
    <row r="58" spans="1:22" ht="13.8" x14ac:dyDescent="0.25">
      <c r="B58" s="132"/>
      <c r="C58" s="40" t="s">
        <v>137</v>
      </c>
      <c r="D58" s="75">
        <v>0</v>
      </c>
      <c r="F58" s="40" t="s">
        <v>138</v>
      </c>
      <c r="I58" s="45">
        <v>0</v>
      </c>
      <c r="J58" s="110"/>
      <c r="M58" s="41"/>
      <c r="N58" s="41"/>
      <c r="O58" s="41"/>
      <c r="P58" s="41"/>
      <c r="Q58" s="41"/>
      <c r="R58" s="41"/>
      <c r="S58" s="76"/>
    </row>
    <row r="59" spans="1:22" ht="13.8" x14ac:dyDescent="0.25">
      <c r="B59" s="132"/>
      <c r="C59" s="40" t="s">
        <v>139</v>
      </c>
      <c r="D59" s="75">
        <v>0</v>
      </c>
      <c r="F59" s="40" t="s">
        <v>140</v>
      </c>
      <c r="I59" s="45">
        <v>0</v>
      </c>
      <c r="J59" s="77"/>
    </row>
    <row r="60" spans="1:22" ht="13.8" x14ac:dyDescent="0.25">
      <c r="B60" s="132"/>
      <c r="F60" s="40" t="s">
        <v>141</v>
      </c>
      <c r="I60" s="45">
        <v>0</v>
      </c>
      <c r="J60" s="77"/>
    </row>
    <row r="61" spans="1:22" ht="13.8" x14ac:dyDescent="0.25">
      <c r="B61" s="132"/>
      <c r="C61" s="78" t="s">
        <v>142</v>
      </c>
      <c r="D61" s="49">
        <f>SUM(D55:D59)</f>
      </c>
      <c r="F61" s="78" t="s">
        <v>143</v>
      </c>
      <c r="I61" s="49">
        <f>SUM(I55:I60)</f>
      </c>
      <c r="J61" s="77"/>
    </row>
    <row r="62" spans="1:22" ht="13.8" x14ac:dyDescent="0.25">
      <c r="B62" s="132"/>
      <c r="C62" s="79" t="s">
        <v>144</v>
      </c>
      <c r="D62" s="80" t="str">
        <f>IF(D61=I61,"OK",D61-I61)</f>
      </c>
      <c r="J62" s="77"/>
    </row>
    <row r="63" spans="1:22" ht="13.8" x14ac:dyDescent="0.25">
      <c r="B63" s="132"/>
      <c r="J63" s="81"/>
    </row>
    <row r="64" spans="1:22" ht="13.8" x14ac:dyDescent="0.25">
      <c r="B64" s="132" t="s">
        <v>145</v>
      </c>
      <c r="D64" s="149">
        <f>YEAR($D$29)</f>
      </c>
      <c r="E64" s="148" t="str">
        <f>YEAR($D$30)-1&amp;" "&amp;$D$32&amp;"Q"</f>
      </c>
      <c r="F64" s="148" t="str">
        <f>YEAR($D$30)&amp;" "&amp;$D$32&amp;"Q"</f>
      </c>
      <c r="G64" s="148" t="s">
        <v>16</v>
      </c>
    </row>
    <row r="65" spans="2:7" x14ac:dyDescent="0.25">
      <c r="B65" s="41"/>
      <c r="C65" s="41" t="s">
        <v>76</v>
      </c>
      <c r="D65" s="50">
        <v>1632</v>
      </c>
      <c r="E65" s="50">
        <v>0</v>
      </c>
      <c r="F65" s="50">
        <v>0</v>
      </c>
      <c r="G65" s="40">
        <f>D65-E65+F65</f>
      </c>
    </row>
    <row r="67" spans="2:7" x14ac:dyDescent="0.25">
      <c r="B67" s="41"/>
      <c r="C67" s="41" t="s">
        <v>146</v>
      </c>
      <c r="D67" s="50">
        <v>200</v>
      </c>
      <c r="E67" s="83">
        <v>0</v>
      </c>
      <c r="F67" s="91">
        <v>0</v>
      </c>
    </row>
    <row r="68" spans="2:7" x14ac:dyDescent="0.25">
      <c r="B68" s="41"/>
      <c r="C68" s="85" t="s">
        <v>189</v>
      </c>
      <c r="D68" s="50">
        <v>0</v>
      </c>
      <c r="E68" s="50">
        <v>0</v>
      </c>
      <c r="F68" s="50">
        <v>0</v>
      </c>
    </row>
    <row r="69" spans="2:7" x14ac:dyDescent="0.25">
      <c r="B69" s="41"/>
      <c r="C69" s="85" t="s">
        <v>163</v>
      </c>
      <c r="D69" s="50">
        <v>0</v>
      </c>
      <c r="E69" s="50">
        <v>0</v>
      </c>
      <c r="F69" s="50">
        <v>0</v>
      </c>
    </row>
    <row r="70" spans="2:7" x14ac:dyDescent="0.25">
      <c r="B70" s="41"/>
      <c r="C70" s="85" t="s">
        <v>164</v>
      </c>
      <c r="D70" s="50">
        <v>0</v>
      </c>
      <c r="E70" s="50">
        <v>0</v>
      </c>
      <c r="F70" s="50">
        <v>0</v>
      </c>
    </row>
    <row r="71" spans="2:7" x14ac:dyDescent="0.25">
      <c r="B71" s="41"/>
      <c r="C71" s="85" t="s">
        <v>165</v>
      </c>
      <c r="D71" s="50">
        <v>0</v>
      </c>
      <c r="E71" s="50">
        <v>0</v>
      </c>
      <c r="F71" s="50">
        <v>0</v>
      </c>
    </row>
    <row r="72" spans="2:7" x14ac:dyDescent="0.25">
      <c r="B72" s="41"/>
      <c r="C72" s="85" t="s">
        <v>166</v>
      </c>
      <c r="D72" s="50">
        <v>0</v>
      </c>
      <c r="E72" s="50">
        <v>0</v>
      </c>
      <c r="F72" s="50">
        <v>0</v>
      </c>
    </row>
    <row r="73" spans="2:7" x14ac:dyDescent="0.25">
      <c r="B73" s="41"/>
      <c r="C73" s="85" t="s">
        <v>152</v>
      </c>
      <c r="D73" s="50">
        <v>0</v>
      </c>
      <c r="E73" s="50">
        <v>0</v>
      </c>
      <c r="F73" s="50">
        <v>0</v>
      </c>
    </row>
    <row r="74" spans="2:7" x14ac:dyDescent="0.25">
      <c r="B74" s="41"/>
      <c r="C74" s="85" t="s">
        <v>153</v>
      </c>
      <c r="D74" s="50">
        <v>0</v>
      </c>
      <c r="E74" s="50">
        <v>0</v>
      </c>
      <c r="F74" s="50">
        <v>0</v>
      </c>
    </row>
    <row r="75" spans="2:7" x14ac:dyDescent="0.25">
      <c r="B75" s="41"/>
      <c r="C75" s="85" t="s">
        <v>154</v>
      </c>
      <c r="D75" s="50">
        <v>0</v>
      </c>
      <c r="E75" s="50">
        <v>0</v>
      </c>
      <c r="F75" s="50">
        <v>0</v>
      </c>
    </row>
    <row r="76" spans="2:7" s="49" customFormat="1" x14ac:dyDescent="0.25">
      <c r="B76" s="56"/>
      <c r="C76" s="86" t="s">
        <v>78</v>
      </c>
      <c r="D76" s="94">
        <v>279</v>
      </c>
      <c r="E76" s="56">
        <f>SUM(E67:E75)</f>
      </c>
      <c r="F76" s="56">
        <f>SUM(F67:F75)</f>
      </c>
      <c r="G76" s="49">
        <f>D76-E76+F76</f>
      </c>
    </row>
    <row r="77" spans="2:7" x14ac:dyDescent="0.25">
      <c r="B77" s="41"/>
    </row>
    <row r="78" spans="2:7" x14ac:dyDescent="0.25">
      <c r="B78" s="41"/>
      <c r="C78" s="41" t="s">
        <v>155</v>
      </c>
      <c r="D78" s="50">
        <v>0</v>
      </c>
      <c r="E78" s="50">
        <v>0</v>
      </c>
      <c r="F78" s="50">
        <v>0</v>
      </c>
      <c r="G78" s="40">
        <f>D78-E78+F78</f>
      </c>
    </row>
    <row r="79" spans="2:7" s="49" customFormat="1" x14ac:dyDescent="0.25">
      <c r="B79" s="56"/>
      <c r="C79" s="86" t="s">
        <v>19</v>
      </c>
      <c r="D79" s="95">
        <v>297</v>
      </c>
      <c r="E79" s="56">
        <f>E76+E78</f>
      </c>
      <c r="F79" s="56">
        <f>F76+F78</f>
      </c>
      <c r="G79" s="49">
        <f>D79-E79+F79</f>
      </c>
    </row>
    <row r="80" spans="2:7" x14ac:dyDescent="0.25">
      <c r="B80" s="41"/>
    </row>
  </sheetData>
  <conditionalFormatting sqref="D41:D49 I42:J51">
    <cfRule type="expression" dxfId="56" priority="8" stopIfTrue="1">
      <formula>$I$23="Enterprise value"</formula>
    </cfRule>
  </conditionalFormatting>
  <conditionalFormatting sqref="F24:F31 F33 F40:H41 K40:K51 I41:J41 C41:C49 G42:H46 F52:K52">
    <cfRule type="expression" dxfId="55" priority="9" stopIfTrue="1">
      <formula>$I$23="Enterprise value"</formula>
    </cfRule>
  </conditionalFormatting>
  <conditionalFormatting sqref="F35:F38">
    <cfRule type="expression" dxfId="54" priority="10" stopIfTrue="1">
      <formula>$I$23="Share price"</formula>
    </cfRule>
  </conditionalFormatting>
  <conditionalFormatting sqref="F42:F51">
    <cfRule type="expression" dxfId="53" priority="1" stopIfTrue="1">
      <formula>$I$23="Enterprise value"</formula>
    </cfRule>
  </conditionalFormatting>
  <conditionalFormatting sqref="I25:I33">
    <cfRule type="expression" dxfId="52" priority="7" stopIfTrue="1">
      <formula>$I$23="Enterprise value"</formula>
    </cfRule>
  </conditionalFormatting>
  <conditionalFormatting sqref="I36:I38">
    <cfRule type="expression" dxfId="51" priority="6" stopIfTrue="1">
      <formula>$I$23="Share price"</formula>
    </cfRule>
  </conditionalFormatting>
  <conditionalFormatting sqref="I40:J40">
    <cfRule type="expression" dxfId="50" priority="5" stopIfTrue="1">
      <formula>$I$23="Enterprise value"</formula>
    </cfRule>
  </conditionalFormatting>
  <dataValidations count="3">
    <dataValidation type="list" allowBlank="1" showInputMessage="1" showErrorMessage="1" sqref="I23" xr:uid="{00000000-0002-0000-0900-000000000000}">
      <formula1>"Share price,Enterprise value"</formula1>
    </dataValidation>
    <dataValidation type="list" allowBlank="1" showInputMessage="1" showErrorMessage="1" prompt="Input 1, 2 or 3 to indicate which quarter data has been spread. Leave blank if annual data." sqref="D32" xr:uid="{00000000-0002-0000-0900-000001000000}">
      <formula1>"1,2,3,,"</formula1>
    </dataValidation>
    <dataValidation type="list" allowBlank="1" showInputMessage="1" showErrorMessage="1" sqref="D31" xr:uid="{00000000-0002-0000-0900-000002000000}">
      <formula1>"10K,10Q,8K,Annual,Interim"</formula1>
    </dataValidation>
  </dataValidations>
  <pageMargins left="0.74803149606299213" right="0.74803149606299213" top="0.98425196850393704" bottom="0.98425196850393704" header="0.51181102362204722" footer="0.51181102362204722"/>
  <pageSetup paperSize="9" scale="63" orientation="portrait" r:id="rId1"/>
  <headerFooter alignWithMargins="0">
    <oddFooter>&amp;R&amp;8&amp;P of &amp;N</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1:X80"/>
  <sheetViews>
    <sheetView showGridLines="0" zoomScaleNormal="100" workbookViewId="0"/>
  </sheetViews>
  <sheetFormatPr defaultColWidth="9" defaultRowHeight="13.2" x14ac:dyDescent="0.25"/>
  <cols>
    <col min="1" max="2" width="1.77734375" style="40" customWidth="1"/>
    <col min="3" max="3" width="40.77734375" style="40" customWidth="1"/>
    <col min="4" max="4" width="11.77734375" style="40" customWidth="1"/>
    <col min="5" max="8" width="11.21875" style="40" customWidth="1"/>
    <col min="9" max="9" width="15.77734375" style="40" bestFit="1" customWidth="1"/>
    <col min="10" max="11" width="11.44140625" style="40" bestFit="1" customWidth="1"/>
    <col min="12" max="13" width="9" style="40"/>
    <col min="14" max="14" width="19.44140625" style="40" customWidth="1"/>
    <col min="15" max="15" width="11.21875" style="40" bestFit="1" customWidth="1"/>
    <col min="16" max="16" width="9.5546875" style="40" bestFit="1" customWidth="1"/>
    <col min="17" max="19" width="9.21875" style="40" bestFit="1" customWidth="1"/>
    <col min="20" max="20" width="11.21875" style="40" bestFit="1" customWidth="1"/>
    <col min="21" max="21" width="9.5546875" style="40" bestFit="1" customWidth="1"/>
    <col min="22" max="22" width="14.44140625" style="40" bestFit="1" customWidth="1"/>
    <col min="23" max="24" width="14.77734375" style="40" bestFit="1" customWidth="1"/>
    <col min="25" max="16384" width="9" style="40"/>
  </cols>
  <sheetData>
    <row r="1" spans="1:14" s="151" customFormat="1" ht="17.399999999999999" x14ac:dyDescent="0.3">
      <c r="A1" s="120" t="str">
        <f>"Comparable transactions analysis - "&amp;D23&amp;" / "&amp;D24</f>
      </c>
      <c r="B1" s="120"/>
      <c r="C1" s="121"/>
      <c r="D1" s="121"/>
      <c r="E1" s="121"/>
      <c r="F1" s="121"/>
      <c r="G1" s="121"/>
      <c r="H1" s="121"/>
      <c r="I1" s="121"/>
      <c r="J1" s="121"/>
      <c r="K1" s="121"/>
      <c r="L1" s="121"/>
      <c r="M1" s="122"/>
      <c r="N1" s="122"/>
    </row>
    <row r="2" spans="1:14" s="151" customFormat="1" ht="18" thickBot="1" x14ac:dyDescent="0.35">
      <c r="A2" s="128" t="str">
        <f>"Input sheet (all numbers in millions "&amp;D27&amp;" unless otherwise stated)"</f>
      </c>
      <c r="B2" s="127"/>
      <c r="C2" s="127"/>
      <c r="D2" s="127"/>
      <c r="E2" s="127"/>
      <c r="F2" s="127"/>
      <c r="G2" s="127"/>
      <c r="H2" s="127"/>
      <c r="I2" s="127"/>
      <c r="J2" s="127"/>
      <c r="K2" s="127"/>
      <c r="L2" s="127"/>
      <c r="M2" s="127"/>
      <c r="N2" s="152"/>
    </row>
    <row r="3" spans="1:14" ht="13.8" thickTop="1" x14ac:dyDescent="0.25">
      <c r="B3" s="41"/>
    </row>
    <row r="4" spans="1:14" ht="17.399999999999999" x14ac:dyDescent="0.25">
      <c r="A4" s="129" t="s">
        <v>72</v>
      </c>
      <c r="B4" s="129"/>
      <c r="C4" s="130"/>
    </row>
    <row r="5" spans="1:14" ht="13.8" x14ac:dyDescent="0.25">
      <c r="B5" s="131" t="s">
        <v>73</v>
      </c>
      <c r="C5" s="41"/>
    </row>
    <row r="6" spans="1:14" ht="13.8" x14ac:dyDescent="0.25">
      <c r="B6" s="131"/>
      <c r="C6" s="41" t="str">
        <f>F25</f>
      </c>
      <c r="D6" s="37">
        <f>IF(Driver="Enterprise value","na",I25)</f>
      </c>
    </row>
    <row r="7" spans="1:14" ht="13.8" x14ac:dyDescent="0.25">
      <c r="B7" s="131"/>
      <c r="C7" s="41" t="s">
        <v>27</v>
      </c>
      <c r="D7" s="38">
        <f>IF(OR(Driver="Enterprise Value",I25=0),"na",I25/I26-1)</f>
      </c>
    </row>
    <row r="8" spans="1:14" ht="13.8" x14ac:dyDescent="0.25">
      <c r="B8" s="132"/>
      <c r="C8" s="133" t="str">
        <f>C41</f>
      </c>
      <c r="D8" s="39">
        <f>IF(Driver="Enterprise value","na",I33*FX)</f>
      </c>
      <c r="E8" s="41"/>
      <c r="F8" s="134"/>
    </row>
    <row r="9" spans="1:14" ht="13.8" x14ac:dyDescent="0.25">
      <c r="B9" s="132"/>
      <c r="C9" s="133" t="str">
        <f>C50</f>
      </c>
      <c r="D9" s="135">
        <f>D50*FX</f>
      </c>
    </row>
    <row r="10" spans="1:14" ht="13.8" x14ac:dyDescent="0.25">
      <c r="B10" s="132"/>
      <c r="C10" s="133"/>
    </row>
    <row r="11" spans="1:14" ht="13.8" x14ac:dyDescent="0.25">
      <c r="B11" s="131" t="s">
        <v>74</v>
      </c>
      <c r="C11" s="133"/>
      <c r="D11" s="136" t="s">
        <v>16</v>
      </c>
      <c r="E11" s="136" t="s">
        <v>75</v>
      </c>
    </row>
    <row r="12" spans="1:14" ht="13.8" x14ac:dyDescent="0.25">
      <c r="B12" s="132"/>
      <c r="C12" s="41" t="s">
        <v>76</v>
      </c>
      <c r="D12" s="42">
        <f>G65*FX</f>
      </c>
      <c r="E12" s="137" t="s">
        <v>77</v>
      </c>
    </row>
    <row r="13" spans="1:14" ht="13.8" x14ac:dyDescent="0.25">
      <c r="B13" s="132"/>
      <c r="C13" s="43" t="s">
        <v>78</v>
      </c>
      <c r="D13" s="42">
        <f>G76*FX</f>
      </c>
      <c r="E13" s="138">
        <f>D13/D12</f>
      </c>
    </row>
    <row r="14" spans="1:14" ht="13.8" x14ac:dyDescent="0.25">
      <c r="B14" s="132"/>
      <c r="C14" s="43" t="s">
        <v>19</v>
      </c>
      <c r="D14" s="42">
        <f>G79*FX</f>
      </c>
      <c r="E14" s="138">
        <f>D14/D12</f>
      </c>
    </row>
    <row r="15" spans="1:14" ht="13.8" x14ac:dyDescent="0.25">
      <c r="B15" s="139"/>
      <c r="D15" s="140"/>
    </row>
    <row r="16" spans="1:14" ht="13.8" x14ac:dyDescent="0.25">
      <c r="B16" s="131" t="s">
        <v>79</v>
      </c>
    </row>
    <row r="17" spans="1:24" x14ac:dyDescent="0.25">
      <c r="C17" s="40" t="s">
        <v>80</v>
      </c>
      <c r="D17" s="44">
        <f>$D$9/D12</f>
      </c>
    </row>
    <row r="18" spans="1:24" x14ac:dyDescent="0.25">
      <c r="C18" s="40" t="s">
        <v>81</v>
      </c>
      <c r="D18" s="44">
        <f>$D$9/D13</f>
      </c>
    </row>
    <row r="19" spans="1:24" x14ac:dyDescent="0.25">
      <c r="C19" s="40" t="s">
        <v>21</v>
      </c>
      <c r="D19" s="44">
        <f>$D$9/D14</f>
      </c>
    </row>
    <row r="20" spans="1:24" x14ac:dyDescent="0.25">
      <c r="D20" s="140"/>
    </row>
    <row r="21" spans="1:24" ht="17.399999999999999" x14ac:dyDescent="0.25">
      <c r="A21" s="129" t="s">
        <v>82</v>
      </c>
      <c r="B21" s="129"/>
      <c r="C21" s="130"/>
      <c r="I21" s="141"/>
    </row>
    <row r="22" spans="1:24" ht="13.8" x14ac:dyDescent="0.25">
      <c r="A22" s="36"/>
      <c r="B22" s="131" t="s">
        <v>83</v>
      </c>
      <c r="C22" s="41"/>
      <c r="D22" s="41"/>
      <c r="F22" s="131" t="s">
        <v>84</v>
      </c>
    </row>
    <row r="23" spans="1:24" ht="13.8" x14ac:dyDescent="0.25">
      <c r="B23" s="132"/>
      <c r="C23" s="41" t="s">
        <v>85</v>
      </c>
      <c r="D23" s="54" t="s">
        <v>167</v>
      </c>
      <c r="E23" s="41"/>
      <c r="F23" s="40" t="s">
        <v>86</v>
      </c>
      <c r="I23" s="45" t="s">
        <v>87</v>
      </c>
    </row>
    <row r="24" spans="1:24" ht="13.8" x14ac:dyDescent="0.25">
      <c r="B24" s="132"/>
      <c r="C24" s="41" t="s">
        <v>88</v>
      </c>
      <c r="D24" s="45" t="s">
        <v>193</v>
      </c>
      <c r="E24" s="41"/>
      <c r="F24" s="36" t="s">
        <v>90</v>
      </c>
    </row>
    <row r="25" spans="1:24" ht="13.8" x14ac:dyDescent="0.25">
      <c r="B25" s="132"/>
      <c r="C25" s="41" t="s">
        <v>91</v>
      </c>
      <c r="D25" s="46">
        <v>40063</v>
      </c>
      <c r="E25" s="41"/>
      <c r="F25" s="41" t="s">
        <v>92</v>
      </c>
      <c r="I25" s="52">
        <f>8.4+0.1</f>
      </c>
    </row>
    <row r="26" spans="1:24" ht="13.8" x14ac:dyDescent="0.25">
      <c r="B26" s="132"/>
      <c r="C26" s="133" t="s">
        <v>93</v>
      </c>
      <c r="D26" s="46">
        <v>40211</v>
      </c>
      <c r="E26" s="41"/>
      <c r="F26" s="133" t="s">
        <v>94</v>
      </c>
      <c r="I26" s="47">
        <v>5.68</v>
      </c>
      <c r="W26" s="49"/>
      <c r="X26" s="49"/>
    </row>
    <row r="27" spans="1:24" ht="13.8" x14ac:dyDescent="0.25">
      <c r="B27" s="132"/>
      <c r="C27" s="133" t="s">
        <v>10</v>
      </c>
      <c r="D27" s="50" t="s">
        <v>194</v>
      </c>
      <c r="E27" s="41"/>
      <c r="F27" s="133" t="s">
        <v>95</v>
      </c>
      <c r="I27" s="47">
        <v>5.81</v>
      </c>
      <c r="W27" s="49"/>
      <c r="X27" s="49"/>
    </row>
    <row r="28" spans="1:24" ht="13.8" x14ac:dyDescent="0.25">
      <c r="B28" s="132"/>
      <c r="C28" s="133" t="s">
        <v>96</v>
      </c>
      <c r="D28" s="51">
        <v>1.6136999999999999</v>
      </c>
      <c r="E28" s="41"/>
      <c r="F28" s="133" t="s">
        <v>97</v>
      </c>
      <c r="I28" s="47">
        <v>5.83</v>
      </c>
      <c r="W28" s="49"/>
      <c r="X28" s="49"/>
    </row>
    <row r="29" spans="1:24" ht="13.8" x14ac:dyDescent="0.25">
      <c r="B29" s="132"/>
      <c r="C29" s="133" t="s">
        <v>98</v>
      </c>
      <c r="D29" s="53">
        <v>39813</v>
      </c>
      <c r="E29" s="41"/>
      <c r="F29" s="41" t="s">
        <v>99</v>
      </c>
      <c r="I29" s="60">
        <v>1373.872386</v>
      </c>
      <c r="W29" s="49"/>
      <c r="X29" s="49"/>
    </row>
    <row r="30" spans="1:24" ht="13.8" x14ac:dyDescent="0.25">
      <c r="B30" s="132"/>
      <c r="C30" s="133" t="s">
        <v>100</v>
      </c>
      <c r="D30" s="53">
        <v>39994</v>
      </c>
      <c r="E30" s="41"/>
      <c r="F30" s="41" t="s">
        <v>101</v>
      </c>
      <c r="I30" s="42">
        <f>K52</f>
      </c>
      <c r="W30" s="49"/>
      <c r="X30" s="49"/>
    </row>
    <row r="31" spans="1:24" ht="13.8" x14ac:dyDescent="0.25">
      <c r="B31" s="132"/>
      <c r="C31" s="133" t="s">
        <v>102</v>
      </c>
      <c r="D31" s="50" t="s">
        <v>158</v>
      </c>
      <c r="E31" s="41"/>
      <c r="F31" s="41" t="s">
        <v>104</v>
      </c>
      <c r="I31" s="42">
        <f>I29+I30</f>
      </c>
      <c r="W31" s="49"/>
      <c r="X31" s="49"/>
    </row>
    <row r="32" spans="1:24" ht="13.8" x14ac:dyDescent="0.25">
      <c r="B32" s="132"/>
      <c r="C32" s="133" t="s">
        <v>105</v>
      </c>
      <c r="D32" s="55">
        <v>2</v>
      </c>
      <c r="E32" s="56"/>
      <c r="F32" s="40" t="s">
        <v>106</v>
      </c>
      <c r="I32" s="143">
        <v>0</v>
      </c>
      <c r="W32" s="49"/>
      <c r="X32" s="49"/>
    </row>
    <row r="33" spans="1:24" ht="13.8" x14ac:dyDescent="0.25">
      <c r="B33" s="132"/>
      <c r="E33" s="56"/>
      <c r="F33" s="49" t="s">
        <v>107</v>
      </c>
      <c r="I33" s="57">
        <f>I25*I31+I32</f>
      </c>
      <c r="W33" s="49"/>
      <c r="X33" s="49"/>
    </row>
    <row r="34" spans="1:24" ht="13.8" x14ac:dyDescent="0.25">
      <c r="B34" s="132"/>
      <c r="C34" s="133" t="s">
        <v>108</v>
      </c>
      <c r="D34" s="145">
        <f>5/I25</f>
      </c>
      <c r="E34" s="56"/>
      <c r="W34" s="49"/>
      <c r="X34" s="49"/>
    </row>
    <row r="35" spans="1:24" ht="13.8" x14ac:dyDescent="0.25">
      <c r="B35" s="132"/>
      <c r="C35" s="133" t="s">
        <v>109</v>
      </c>
      <c r="D35" s="138">
        <f>1-D34</f>
      </c>
      <c r="E35" s="56"/>
      <c r="F35" s="131" t="s">
        <v>90</v>
      </c>
      <c r="W35" s="49"/>
      <c r="X35" s="49"/>
    </row>
    <row r="36" spans="1:24" ht="13.8" x14ac:dyDescent="0.25">
      <c r="B36" s="132"/>
      <c r="E36" s="56"/>
      <c r="F36" s="58" t="s">
        <v>110</v>
      </c>
      <c r="G36" s="59"/>
      <c r="H36" s="49"/>
      <c r="I36" s="60">
        <v>0</v>
      </c>
      <c r="W36" s="49"/>
      <c r="X36" s="49"/>
    </row>
    <row r="37" spans="1:24" ht="13.8" x14ac:dyDescent="0.25">
      <c r="B37" s="132"/>
      <c r="E37" s="56"/>
      <c r="F37" s="58" t="s">
        <v>111</v>
      </c>
      <c r="G37" s="59"/>
      <c r="H37" s="49"/>
      <c r="I37" s="60">
        <v>0</v>
      </c>
      <c r="W37" s="49"/>
      <c r="X37" s="49"/>
    </row>
    <row r="38" spans="1:24" ht="13.8" x14ac:dyDescent="0.25">
      <c r="B38" s="132"/>
      <c r="E38" s="56"/>
      <c r="F38" s="61" t="s">
        <v>112</v>
      </c>
      <c r="G38" s="59"/>
      <c r="H38" s="49"/>
      <c r="I38" s="62">
        <f>SUM(I36:I37)</f>
      </c>
      <c r="W38" s="49"/>
      <c r="X38" s="49"/>
    </row>
    <row r="39" spans="1:24" ht="13.8" x14ac:dyDescent="0.25">
      <c r="B39" s="132"/>
      <c r="E39" s="56"/>
      <c r="F39" s="133"/>
      <c r="G39" s="133"/>
      <c r="I39" s="41"/>
      <c r="W39" s="49"/>
      <c r="X39" s="49"/>
    </row>
    <row r="40" spans="1:24" ht="13.8" x14ac:dyDescent="0.25">
      <c r="B40" s="131" t="s">
        <v>113</v>
      </c>
      <c r="F40" s="131" t="s">
        <v>114</v>
      </c>
      <c r="I40" s="146">
        <f>YEAR($D$29)</f>
      </c>
      <c r="J40" s="146">
        <f>YEAR($D$29)</f>
      </c>
    </row>
    <row r="41" spans="1:24" ht="13.8" x14ac:dyDescent="0.25">
      <c r="A41" s="49"/>
      <c r="B41" s="131"/>
      <c r="C41" s="64" t="s">
        <v>107</v>
      </c>
      <c r="D41" s="57">
        <f>I33</f>
      </c>
      <c r="E41" s="49"/>
      <c r="I41" s="65" t="s">
        <v>115</v>
      </c>
      <c r="J41" s="65" t="s">
        <v>116</v>
      </c>
      <c r="K41" s="65" t="s">
        <v>117</v>
      </c>
    </row>
    <row r="42" spans="1:24" ht="13.8" x14ac:dyDescent="0.25">
      <c r="B42" s="132"/>
      <c r="C42" s="40" t="str">
        <f>F55</f>
      </c>
      <c r="D42" s="42">
        <f>I55</f>
      </c>
      <c r="F42" s="66" t="s">
        <v>118</v>
      </c>
      <c r="I42" s="67">
        <v>39.310631000000001</v>
      </c>
      <c r="J42" s="68">
        <v>0</v>
      </c>
      <c r="K42" s="147">
        <f t="shared" ref="K42:K51" si="0">MAX(($I$25-J42)/$I$25*I42,0)</f>
      </c>
    </row>
    <row r="43" spans="1:24" ht="13.8" x14ac:dyDescent="0.25">
      <c r="B43" s="132"/>
      <c r="C43" s="41" t="str">
        <f>C55&amp;" and "&amp;LOWER(C56)</f>
      </c>
      <c r="D43" s="42">
        <f>D55</f>
      </c>
      <c r="F43" s="66" t="s">
        <v>188</v>
      </c>
      <c r="I43" s="67">
        <v>0</v>
      </c>
      <c r="J43" s="68">
        <v>0</v>
      </c>
      <c r="K43" s="147">
        <f t="shared" si="0"/>
      </c>
    </row>
    <row r="44" spans="1:24" ht="13.8" x14ac:dyDescent="0.25">
      <c r="B44" s="132"/>
      <c r="C44" s="69" t="s">
        <v>120</v>
      </c>
      <c r="D44" s="57">
        <f>D42-D43</f>
      </c>
      <c r="F44" s="66" t="s">
        <v>168</v>
      </c>
      <c r="I44" s="67">
        <v>0</v>
      </c>
      <c r="J44" s="68">
        <v>0</v>
      </c>
      <c r="K44" s="147">
        <f t="shared" si="0"/>
      </c>
    </row>
    <row r="45" spans="1:24" ht="13.8" x14ac:dyDescent="0.25">
      <c r="B45" s="132"/>
      <c r="C45" s="41" t="str">
        <f>F56</f>
      </c>
      <c r="D45" s="92">
        <f>482*(1-28.5%)</f>
      </c>
      <c r="F45" s="66" t="s">
        <v>161</v>
      </c>
      <c r="G45" s="49"/>
      <c r="H45" s="49"/>
      <c r="I45" s="67">
        <v>0</v>
      </c>
      <c r="J45" s="68">
        <v>0</v>
      </c>
      <c r="K45" s="147">
        <f t="shared" si="0"/>
      </c>
    </row>
    <row r="46" spans="1:24" ht="13.8" x14ac:dyDescent="0.25">
      <c r="B46" s="132"/>
      <c r="C46" s="41" t="str">
        <f>F59</f>
      </c>
      <c r="D46" s="42">
        <f>I59</f>
      </c>
      <c r="F46" s="66" t="s">
        <v>123</v>
      </c>
      <c r="G46" s="49"/>
      <c r="H46" s="49"/>
      <c r="I46" s="67">
        <v>0</v>
      </c>
      <c r="J46" s="68">
        <v>0</v>
      </c>
      <c r="K46" s="147">
        <f t="shared" si="0"/>
      </c>
    </row>
    <row r="47" spans="1:24" ht="13.8" x14ac:dyDescent="0.25">
      <c r="B47" s="132"/>
      <c r="C47" s="41" t="str">
        <f>F60</f>
      </c>
      <c r="D47" s="42">
        <f>I60</f>
      </c>
      <c r="F47" s="66" t="s">
        <v>124</v>
      </c>
      <c r="I47" s="67">
        <v>0</v>
      </c>
      <c r="J47" s="68">
        <v>0</v>
      </c>
      <c r="K47" s="147">
        <f t="shared" si="0"/>
      </c>
    </row>
    <row r="48" spans="1:24" ht="15.6" x14ac:dyDescent="0.3">
      <c r="A48" s="35"/>
      <c r="B48" s="132"/>
      <c r="C48" s="41" t="str">
        <f>C57</f>
      </c>
      <c r="D48" s="42">
        <f>D57</f>
      </c>
      <c r="F48" s="66" t="s">
        <v>125</v>
      </c>
      <c r="G48" s="41"/>
      <c r="H48" s="41"/>
      <c r="I48" s="67">
        <v>0</v>
      </c>
      <c r="J48" s="68">
        <v>0</v>
      </c>
      <c r="K48" s="147">
        <f t="shared" si="0"/>
      </c>
    </row>
    <row r="49" spans="1:22" ht="15.6" x14ac:dyDescent="0.3">
      <c r="A49" s="35"/>
      <c r="B49" s="132"/>
      <c r="C49" s="41" t="str">
        <f>C58</f>
      </c>
      <c r="D49" s="42">
        <f>D58</f>
      </c>
      <c r="F49" s="66" t="s">
        <v>126</v>
      </c>
      <c r="G49" s="41"/>
      <c r="H49" s="41"/>
      <c r="I49" s="67">
        <v>0</v>
      </c>
      <c r="J49" s="68">
        <v>0</v>
      </c>
      <c r="K49" s="147">
        <f t="shared" si="0"/>
      </c>
    </row>
    <row r="50" spans="1:22" ht="15.6" x14ac:dyDescent="0.3">
      <c r="A50" s="35"/>
      <c r="B50" s="132"/>
      <c r="C50" s="59" t="s">
        <v>110</v>
      </c>
      <c r="D50" s="57">
        <f>IF(I23="Enterprise value",I38,SUM(D41,D44:D47)-SUM(D48:D49))</f>
      </c>
      <c r="F50" s="66" t="s">
        <v>127</v>
      </c>
      <c r="G50" s="41"/>
      <c r="H50" s="41"/>
      <c r="I50" s="67">
        <v>0</v>
      </c>
      <c r="J50" s="68">
        <v>0</v>
      </c>
      <c r="K50" s="147">
        <f t="shared" si="0"/>
      </c>
    </row>
    <row r="51" spans="1:22" ht="15.6" x14ac:dyDescent="0.3">
      <c r="A51" s="35"/>
      <c r="B51" s="132"/>
      <c r="C51" s="70"/>
      <c r="D51" s="56"/>
      <c r="F51" s="66" t="s">
        <v>128</v>
      </c>
      <c r="G51" s="41"/>
      <c r="H51" s="41"/>
      <c r="I51" s="67">
        <v>0</v>
      </c>
      <c r="J51" s="68">
        <v>0</v>
      </c>
      <c r="K51" s="147">
        <f t="shared" si="0"/>
      </c>
    </row>
    <row r="52" spans="1:22" ht="17.399999999999999" x14ac:dyDescent="0.25">
      <c r="A52" s="129" t="s">
        <v>129</v>
      </c>
      <c r="B52" s="129"/>
      <c r="C52" s="130"/>
      <c r="F52" s="56" t="s">
        <v>130</v>
      </c>
      <c r="I52" s="49"/>
      <c r="J52" s="49"/>
      <c r="K52" s="71">
        <f>SUM(K42:K51)</f>
      </c>
    </row>
    <row r="53" spans="1:22" ht="13.8" x14ac:dyDescent="0.25">
      <c r="B53" s="132"/>
    </row>
    <row r="54" spans="1:22" ht="13.8" x14ac:dyDescent="0.25">
      <c r="B54" s="131" t="s">
        <v>131</v>
      </c>
      <c r="D54" s="148">
        <f>D30</f>
      </c>
      <c r="E54" s="100"/>
      <c r="F54" s="100"/>
      <c r="G54" s="100"/>
      <c r="H54" s="100"/>
      <c r="I54" s="148">
        <f>D54</f>
      </c>
    </row>
    <row r="55" spans="1:22" ht="13.8" x14ac:dyDescent="0.25">
      <c r="B55" s="132"/>
      <c r="C55" s="40" t="s">
        <v>28</v>
      </c>
      <c r="D55" s="50">
        <f>120+266+98+2</f>
      </c>
      <c r="F55" s="40" t="s">
        <v>132</v>
      </c>
      <c r="I55" s="50">
        <f>729+1+90+1396+1</f>
      </c>
      <c r="M55" s="41"/>
      <c r="N55" s="72"/>
      <c r="O55" s="73"/>
      <c r="P55" s="73"/>
      <c r="Q55" s="73"/>
      <c r="R55" s="73"/>
      <c r="S55" s="41"/>
      <c r="T55" s="74"/>
      <c r="U55" s="74"/>
      <c r="V55" s="74"/>
    </row>
    <row r="56" spans="1:22" ht="13.8" x14ac:dyDescent="0.25">
      <c r="B56" s="132"/>
      <c r="C56" s="40" t="s">
        <v>133</v>
      </c>
      <c r="D56" s="50">
        <v>0</v>
      </c>
      <c r="F56" s="40" t="s">
        <v>134</v>
      </c>
      <c r="I56" s="45">
        <v>0</v>
      </c>
      <c r="M56" s="41"/>
      <c r="N56" s="72"/>
      <c r="O56" s="73"/>
      <c r="P56" s="73"/>
      <c r="Q56" s="73"/>
      <c r="R56" s="73"/>
      <c r="S56" s="41"/>
      <c r="T56" s="74"/>
      <c r="U56" s="74"/>
      <c r="V56" s="74"/>
    </row>
    <row r="57" spans="1:22" ht="13.8" x14ac:dyDescent="0.25">
      <c r="B57" s="132"/>
      <c r="C57" s="40" t="s">
        <v>135</v>
      </c>
      <c r="D57" s="75">
        <v>31</v>
      </c>
      <c r="F57" s="40" t="s">
        <v>136</v>
      </c>
      <c r="I57" s="54">
        <f>4812-I55</f>
      </c>
      <c r="M57" s="41"/>
      <c r="N57" s="41"/>
      <c r="O57" s="41"/>
      <c r="P57" s="41"/>
      <c r="Q57" s="41"/>
      <c r="R57" s="41"/>
      <c r="S57" s="36"/>
    </row>
    <row r="58" spans="1:22" ht="13.8" x14ac:dyDescent="0.25">
      <c r="B58" s="132"/>
      <c r="C58" s="40" t="s">
        <v>137</v>
      </c>
      <c r="D58" s="75">
        <v>0</v>
      </c>
      <c r="F58" s="40" t="s">
        <v>138</v>
      </c>
      <c r="I58" s="45">
        <v>3080</v>
      </c>
      <c r="J58" s="110"/>
      <c r="M58" s="41"/>
      <c r="N58" s="41"/>
      <c r="O58" s="41"/>
      <c r="P58" s="41"/>
      <c r="Q58" s="41"/>
      <c r="R58" s="41"/>
      <c r="S58" s="76"/>
    </row>
    <row r="59" spans="1:22" ht="13.8" x14ac:dyDescent="0.25">
      <c r="B59" s="132"/>
      <c r="C59" s="40" t="s">
        <v>139</v>
      </c>
      <c r="D59" s="75">
        <f>7899-D55-D57</f>
      </c>
      <c r="F59" s="40" t="s">
        <v>140</v>
      </c>
      <c r="I59" s="45">
        <v>0</v>
      </c>
      <c r="J59" s="77"/>
    </row>
    <row r="60" spans="1:22" ht="13.8" x14ac:dyDescent="0.25">
      <c r="B60" s="132"/>
      <c r="F60" s="40" t="s">
        <v>141</v>
      </c>
      <c r="I60" s="45">
        <v>7</v>
      </c>
      <c r="J60" s="77"/>
    </row>
    <row r="61" spans="1:22" ht="13.8" x14ac:dyDescent="0.25">
      <c r="B61" s="132"/>
      <c r="C61" s="78" t="s">
        <v>142</v>
      </c>
      <c r="D61" s="49">
        <f>SUM(D55:D59)</f>
      </c>
      <c r="F61" s="78" t="s">
        <v>143</v>
      </c>
      <c r="I61" s="49">
        <f>SUM(I55:I60)</f>
      </c>
      <c r="J61" s="77"/>
    </row>
    <row r="62" spans="1:22" ht="13.8" x14ac:dyDescent="0.25">
      <c r="B62" s="132"/>
      <c r="C62" s="79" t="s">
        <v>144</v>
      </c>
      <c r="D62" s="80" t="str">
        <f>IF(D61=I61,"OK",D61-I61)</f>
      </c>
      <c r="J62" s="77"/>
    </row>
    <row r="63" spans="1:22" ht="13.8" x14ac:dyDescent="0.25">
      <c r="B63" s="132"/>
      <c r="J63" s="81"/>
    </row>
    <row r="64" spans="1:22" ht="13.8" x14ac:dyDescent="0.25">
      <c r="B64" s="132" t="s">
        <v>145</v>
      </c>
      <c r="D64" s="149">
        <f>YEAR($D$29)</f>
      </c>
      <c r="E64" s="148" t="str">
        <f>YEAR($D$30)-1&amp;" "&amp;$D$32&amp;"Q"</f>
      </c>
      <c r="F64" s="148" t="str">
        <f>YEAR($D$30)&amp;" "&amp;$D$32&amp;"Q"</f>
      </c>
      <c r="G64" s="148" t="s">
        <v>16</v>
      </c>
    </row>
    <row r="65" spans="2:7" x14ac:dyDescent="0.25">
      <c r="B65" s="41"/>
      <c r="C65" s="41" t="s">
        <v>76</v>
      </c>
      <c r="D65" s="50">
        <v>5384</v>
      </c>
      <c r="E65" s="50">
        <v>2440</v>
      </c>
      <c r="F65" s="50">
        <v>2767</v>
      </c>
      <c r="G65" s="40">
        <f>D65-E65+F65</f>
      </c>
    </row>
    <row r="67" spans="2:7" x14ac:dyDescent="0.25">
      <c r="B67" s="41"/>
      <c r="C67" s="41" t="s">
        <v>146</v>
      </c>
      <c r="D67" s="50">
        <v>638</v>
      </c>
      <c r="E67" s="83">
        <v>237</v>
      </c>
      <c r="F67" s="91">
        <v>319</v>
      </c>
    </row>
    <row r="68" spans="2:7" x14ac:dyDescent="0.25">
      <c r="B68" s="41"/>
      <c r="C68" s="85" t="s">
        <v>189</v>
      </c>
      <c r="D68" s="50">
        <v>0</v>
      </c>
      <c r="E68" s="50">
        <v>0</v>
      </c>
      <c r="F68" s="50">
        <v>0</v>
      </c>
    </row>
    <row r="69" spans="2:7" x14ac:dyDescent="0.25">
      <c r="B69" s="41"/>
      <c r="C69" s="85" t="s">
        <v>163</v>
      </c>
      <c r="D69" s="50">
        <v>0</v>
      </c>
      <c r="E69" s="50">
        <v>0</v>
      </c>
      <c r="F69" s="50">
        <v>0</v>
      </c>
    </row>
    <row r="70" spans="2:7" x14ac:dyDescent="0.25">
      <c r="B70" s="41"/>
      <c r="C70" s="85" t="s">
        <v>164</v>
      </c>
      <c r="D70" s="50">
        <v>0</v>
      </c>
      <c r="E70" s="50">
        <v>0</v>
      </c>
      <c r="F70" s="50">
        <v>0</v>
      </c>
    </row>
    <row r="71" spans="2:7" x14ac:dyDescent="0.25">
      <c r="B71" s="41"/>
      <c r="C71" s="85" t="s">
        <v>165</v>
      </c>
      <c r="D71" s="50">
        <v>0</v>
      </c>
      <c r="E71" s="50">
        <v>0</v>
      </c>
      <c r="F71" s="50">
        <v>0</v>
      </c>
    </row>
    <row r="72" spans="2:7" x14ac:dyDescent="0.25">
      <c r="B72" s="41"/>
      <c r="C72" s="85" t="s">
        <v>166</v>
      </c>
      <c r="D72" s="50">
        <v>0</v>
      </c>
      <c r="E72" s="50">
        <v>0</v>
      </c>
      <c r="F72" s="50">
        <v>0</v>
      </c>
    </row>
    <row r="73" spans="2:7" x14ac:dyDescent="0.25">
      <c r="B73" s="41"/>
      <c r="C73" s="85" t="s">
        <v>152</v>
      </c>
      <c r="D73" s="50">
        <v>0</v>
      </c>
      <c r="E73" s="50">
        <v>0</v>
      </c>
      <c r="F73" s="50">
        <v>0</v>
      </c>
    </row>
    <row r="74" spans="2:7" x14ac:dyDescent="0.25">
      <c r="B74" s="41"/>
      <c r="C74" s="85" t="s">
        <v>153</v>
      </c>
      <c r="D74" s="50">
        <v>0</v>
      </c>
      <c r="E74" s="50">
        <v>0</v>
      </c>
      <c r="F74" s="50">
        <v>0</v>
      </c>
    </row>
    <row r="75" spans="2:7" x14ac:dyDescent="0.25">
      <c r="B75" s="41"/>
      <c r="C75" s="85" t="s">
        <v>154</v>
      </c>
      <c r="D75" s="50">
        <v>0</v>
      </c>
      <c r="E75" s="50">
        <v>0</v>
      </c>
      <c r="F75" s="50">
        <v>0</v>
      </c>
    </row>
    <row r="76" spans="2:7" x14ac:dyDescent="0.25">
      <c r="B76" s="41"/>
      <c r="C76" s="86" t="s">
        <v>78</v>
      </c>
      <c r="D76" s="41">
        <f>SUM(D67:D75)</f>
      </c>
      <c r="E76" s="41">
        <f>SUM(E67:E75)</f>
      </c>
      <c r="F76" s="41">
        <f>SUM(F67:F75)</f>
      </c>
      <c r="G76" s="40">
        <f>D76-E76+F76</f>
      </c>
    </row>
    <row r="77" spans="2:7" x14ac:dyDescent="0.25">
      <c r="B77" s="41"/>
    </row>
    <row r="78" spans="2:7" x14ac:dyDescent="0.25">
      <c r="B78" s="41"/>
      <c r="C78" s="41" t="s">
        <v>155</v>
      </c>
      <c r="D78" s="50">
        <f>151+10+31+4</f>
      </c>
      <c r="E78" s="50">
        <f>137-2</f>
      </c>
      <c r="F78" s="50">
        <v>108</v>
      </c>
      <c r="G78" s="40">
        <f>D78-E78+F78</f>
      </c>
    </row>
    <row r="79" spans="2:7" s="49" customFormat="1" x14ac:dyDescent="0.25">
      <c r="B79" s="56"/>
      <c r="C79" s="86" t="s">
        <v>19</v>
      </c>
      <c r="D79" s="56">
        <f>D76+D78</f>
      </c>
      <c r="E79" s="56">
        <f>E76+E78</f>
      </c>
      <c r="F79" s="56">
        <f>F76+F78</f>
      </c>
      <c r="G79" s="49">
        <f>D79-E79+F79</f>
      </c>
    </row>
    <row r="80" spans="2:7" x14ac:dyDescent="0.25">
      <c r="B80" s="41"/>
    </row>
  </sheetData>
  <conditionalFormatting sqref="D41:D49 I42:J51">
    <cfRule type="expression" dxfId="49" priority="9" stopIfTrue="1">
      <formula>$I$23="Enterprise value"</formula>
    </cfRule>
  </conditionalFormatting>
  <conditionalFormatting sqref="F24:F31 F33 F40:H42 K40:K51 I41:J41 C41:C49 G43:H46 F52:K52">
    <cfRule type="expression" dxfId="48" priority="10" stopIfTrue="1">
      <formula>$I$23="Enterprise value"</formula>
    </cfRule>
  </conditionalFormatting>
  <conditionalFormatting sqref="F35:F38">
    <cfRule type="expression" dxfId="47" priority="11" stopIfTrue="1">
      <formula>$I$23="Share price"</formula>
    </cfRule>
  </conditionalFormatting>
  <conditionalFormatting sqref="F42:F51">
    <cfRule type="expression" dxfId="46" priority="1" stopIfTrue="1">
      <formula>$I$23="Enterprise value"</formula>
    </cfRule>
  </conditionalFormatting>
  <conditionalFormatting sqref="I25:I33">
    <cfRule type="expression" dxfId="45" priority="8" stopIfTrue="1">
      <formula>$I$23="Enterprise value"</formula>
    </cfRule>
  </conditionalFormatting>
  <conditionalFormatting sqref="I36:I38">
    <cfRule type="expression" dxfId="44" priority="7" stopIfTrue="1">
      <formula>$I$23="Share price"</formula>
    </cfRule>
  </conditionalFormatting>
  <conditionalFormatting sqref="I40:J40">
    <cfRule type="expression" dxfId="43" priority="6" stopIfTrue="1">
      <formula>$I$23="Enterprise value"</formula>
    </cfRule>
  </conditionalFormatting>
  <dataValidations count="3">
    <dataValidation type="list" allowBlank="1" showInputMessage="1" showErrorMessage="1" sqref="D31" xr:uid="{00000000-0002-0000-0A00-000000000000}">
      <formula1>"10K,10Q,8K,Annual,Interim"</formula1>
    </dataValidation>
    <dataValidation type="list" allowBlank="1" showInputMessage="1" showErrorMessage="1" prompt="Input 1, 2 or 3 to indicate which quarter data has been spread. Leave blank if annual data." sqref="D32" xr:uid="{00000000-0002-0000-0A00-000001000000}">
      <formula1>"1,2,3,,"</formula1>
    </dataValidation>
    <dataValidation type="list" allowBlank="1" showInputMessage="1" showErrorMessage="1" sqref="I23" xr:uid="{00000000-0002-0000-0A00-000002000000}">
      <formula1>"Share price,Enterprise value"</formula1>
    </dataValidation>
  </dataValidations>
  <pageMargins left="0.74803149606299213" right="0.74803149606299213" top="0.98425196850393704" bottom="0.98425196850393704" header="0.51181102362204722" footer="0.51181102362204722"/>
  <pageSetup paperSize="9" scale="63" orientation="portrait" r:id="rId1"/>
  <headerFooter alignWithMargins="0">
    <oddFooter>&amp;R&amp;8&amp;P of &amp;N</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A1:X80"/>
  <sheetViews>
    <sheetView showGridLines="0" zoomScaleNormal="100" workbookViewId="0"/>
  </sheetViews>
  <sheetFormatPr defaultColWidth="9" defaultRowHeight="13.2" x14ac:dyDescent="0.25"/>
  <cols>
    <col min="1" max="2" width="1.77734375" style="40" customWidth="1"/>
    <col min="3" max="3" width="40.77734375" style="40" customWidth="1"/>
    <col min="4" max="4" width="12.44140625" style="40" customWidth="1"/>
    <col min="5" max="8" width="11.21875" style="40" customWidth="1"/>
    <col min="9" max="9" width="15.77734375" style="40" bestFit="1" customWidth="1"/>
    <col min="10" max="11" width="11.44140625" style="40" bestFit="1" customWidth="1"/>
    <col min="12" max="13" width="9" style="40"/>
    <col min="14" max="14" width="19.44140625" style="40" customWidth="1"/>
    <col min="15" max="15" width="11.21875" style="40" bestFit="1" customWidth="1"/>
    <col min="16" max="16" width="9.5546875" style="40" bestFit="1" customWidth="1"/>
    <col min="17" max="19" width="9.21875" style="40" bestFit="1" customWidth="1"/>
    <col min="20" max="20" width="11.21875" style="40" bestFit="1" customWidth="1"/>
    <col min="21" max="21" width="9.5546875" style="40" bestFit="1" customWidth="1"/>
    <col min="22" max="22" width="14.44140625" style="40" bestFit="1" customWidth="1"/>
    <col min="23" max="24" width="14.77734375" style="40" bestFit="1" customWidth="1"/>
    <col min="25" max="16384" width="9" style="40"/>
  </cols>
  <sheetData>
    <row r="1" spans="1:14" s="151" customFormat="1" ht="17.399999999999999" x14ac:dyDescent="0.3">
      <c r="A1" s="120" t="str">
        <f>"Comparable transactions analysis - "&amp;D23&amp;" / "&amp;D24</f>
      </c>
      <c r="B1" s="120"/>
      <c r="C1" s="121"/>
      <c r="D1" s="121"/>
      <c r="E1" s="121"/>
      <c r="F1" s="121"/>
      <c r="G1" s="121"/>
      <c r="H1" s="121"/>
      <c r="I1" s="121"/>
      <c r="J1" s="121"/>
      <c r="K1" s="121"/>
      <c r="L1" s="121"/>
      <c r="M1" s="122"/>
      <c r="N1" s="122"/>
    </row>
    <row r="2" spans="1:14" s="151" customFormat="1" ht="18" thickBot="1" x14ac:dyDescent="0.35">
      <c r="A2" s="128" t="str">
        <f>"Input sheet (all numbers in millions "&amp;D27&amp;" unless otherwise stated)"</f>
      </c>
      <c r="B2" s="127"/>
      <c r="C2" s="127"/>
      <c r="D2" s="127"/>
      <c r="E2" s="127"/>
      <c r="F2" s="127"/>
      <c r="G2" s="127"/>
      <c r="H2" s="127"/>
      <c r="I2" s="127"/>
      <c r="J2" s="127"/>
      <c r="K2" s="127"/>
      <c r="L2" s="127"/>
      <c r="M2" s="127"/>
      <c r="N2" s="152"/>
    </row>
    <row r="3" spans="1:14" ht="13.8" thickTop="1" x14ac:dyDescent="0.25">
      <c r="B3" s="41"/>
    </row>
    <row r="4" spans="1:14" ht="17.399999999999999" x14ac:dyDescent="0.25">
      <c r="A4" s="129" t="s">
        <v>72</v>
      </c>
      <c r="B4" s="129"/>
      <c r="C4" s="130"/>
    </row>
    <row r="5" spans="1:14" ht="13.8" x14ac:dyDescent="0.25">
      <c r="B5" s="131" t="s">
        <v>73</v>
      </c>
      <c r="C5" s="41"/>
    </row>
    <row r="6" spans="1:14" ht="13.8" x14ac:dyDescent="0.25">
      <c r="B6" s="131"/>
      <c r="C6" s="41" t="str">
        <f>F25</f>
      </c>
      <c r="D6" s="37">
        <f>IF(Driver="Enterprise value","na",I25)</f>
      </c>
    </row>
    <row r="7" spans="1:14" ht="13.8" x14ac:dyDescent="0.25">
      <c r="B7" s="131"/>
      <c r="C7" s="41" t="s">
        <v>27</v>
      </c>
      <c r="D7" s="38">
        <f>IF(OR(Driver="Enterprise Value",I25=0),"na",I25/I26-1)</f>
      </c>
    </row>
    <row r="8" spans="1:14" ht="13.8" x14ac:dyDescent="0.25">
      <c r="B8" s="132"/>
      <c r="C8" s="133" t="str">
        <f>C41</f>
      </c>
      <c r="D8" s="39">
        <f>IF(Driver="Enterprise value","na",I33*FX)</f>
      </c>
      <c r="E8" s="41"/>
      <c r="F8" s="134"/>
    </row>
    <row r="9" spans="1:14" ht="13.8" x14ac:dyDescent="0.25">
      <c r="B9" s="132"/>
      <c r="C9" s="133" t="str">
        <f>C50</f>
      </c>
      <c r="D9" s="135">
        <f>D50*FX</f>
      </c>
    </row>
    <row r="10" spans="1:14" ht="13.8" x14ac:dyDescent="0.25">
      <c r="B10" s="132"/>
      <c r="C10" s="133"/>
    </row>
    <row r="11" spans="1:14" ht="13.8" x14ac:dyDescent="0.25">
      <c r="B11" s="131" t="s">
        <v>74</v>
      </c>
      <c r="C11" s="133"/>
      <c r="D11" s="136" t="s">
        <v>16</v>
      </c>
      <c r="E11" s="136" t="s">
        <v>75</v>
      </c>
    </row>
    <row r="12" spans="1:14" ht="13.8" x14ac:dyDescent="0.25">
      <c r="B12" s="132"/>
      <c r="C12" s="41" t="s">
        <v>76</v>
      </c>
      <c r="D12" s="42">
        <f>G65*FX</f>
      </c>
      <c r="E12" s="137" t="s">
        <v>77</v>
      </c>
    </row>
    <row r="13" spans="1:14" ht="13.8" x14ac:dyDescent="0.25">
      <c r="B13" s="132"/>
      <c r="C13" s="43" t="s">
        <v>78</v>
      </c>
      <c r="D13" s="42">
        <f>G76*FX</f>
      </c>
      <c r="E13" s="138">
        <f>D13/D12</f>
      </c>
    </row>
    <row r="14" spans="1:14" ht="13.8" x14ac:dyDescent="0.25">
      <c r="B14" s="132"/>
      <c r="C14" s="43" t="s">
        <v>19</v>
      </c>
      <c r="D14" s="42">
        <f>G79*FX</f>
      </c>
      <c r="E14" s="138">
        <f>D14/D12</f>
      </c>
    </row>
    <row r="15" spans="1:14" ht="13.8" x14ac:dyDescent="0.25">
      <c r="B15" s="139"/>
      <c r="D15" s="140"/>
    </row>
    <row r="16" spans="1:14" ht="13.8" x14ac:dyDescent="0.25">
      <c r="B16" s="131" t="s">
        <v>79</v>
      </c>
    </row>
    <row r="17" spans="1:24" x14ac:dyDescent="0.25">
      <c r="C17" s="40" t="s">
        <v>80</v>
      </c>
      <c r="D17" s="44">
        <f>$D$9/D12</f>
      </c>
    </row>
    <row r="18" spans="1:24" x14ac:dyDescent="0.25">
      <c r="C18" s="40" t="s">
        <v>81</v>
      </c>
      <c r="D18" s="44">
        <f>$D$9/D13</f>
      </c>
    </row>
    <row r="19" spans="1:24" x14ac:dyDescent="0.25">
      <c r="C19" s="40" t="s">
        <v>21</v>
      </c>
      <c r="D19" s="44">
        <f>$D$9/D14</f>
      </c>
    </row>
    <row r="20" spans="1:24" x14ac:dyDescent="0.25">
      <c r="D20" s="140"/>
    </row>
    <row r="21" spans="1:24" ht="17.399999999999999" x14ac:dyDescent="0.25">
      <c r="A21" s="129" t="s">
        <v>82</v>
      </c>
      <c r="B21" s="129"/>
      <c r="C21" s="130"/>
      <c r="I21" s="141"/>
    </row>
    <row r="22" spans="1:24" ht="13.8" x14ac:dyDescent="0.25">
      <c r="A22" s="36"/>
      <c r="B22" s="131" t="s">
        <v>83</v>
      </c>
      <c r="C22" s="41"/>
      <c r="D22" s="41"/>
      <c r="F22" s="131" t="s">
        <v>84</v>
      </c>
    </row>
    <row r="23" spans="1:24" ht="13.8" x14ac:dyDescent="0.25">
      <c r="B23" s="132"/>
      <c r="C23" s="41" t="s">
        <v>85</v>
      </c>
      <c r="D23" s="54" t="s">
        <v>37</v>
      </c>
      <c r="E23" s="41"/>
      <c r="F23" s="40" t="s">
        <v>86</v>
      </c>
      <c r="I23" s="45" t="s">
        <v>87</v>
      </c>
    </row>
    <row r="24" spans="1:24" ht="13.8" x14ac:dyDescent="0.25">
      <c r="B24" s="132"/>
      <c r="C24" s="41" t="s">
        <v>88</v>
      </c>
      <c r="D24" s="45" t="s">
        <v>32</v>
      </c>
      <c r="E24" s="41"/>
      <c r="F24" s="36" t="s">
        <v>90</v>
      </c>
    </row>
    <row r="25" spans="1:24" ht="13.8" x14ac:dyDescent="0.25">
      <c r="B25" s="132"/>
      <c r="C25" s="41" t="s">
        <v>91</v>
      </c>
      <c r="D25" s="46">
        <v>39566</v>
      </c>
      <c r="E25" s="41"/>
      <c r="F25" s="41" t="s">
        <v>92</v>
      </c>
      <c r="I25" s="47">
        <v>80</v>
      </c>
    </row>
    <row r="26" spans="1:24" ht="13.8" x14ac:dyDescent="0.25">
      <c r="B26" s="132"/>
      <c r="C26" s="133" t="s">
        <v>93</v>
      </c>
      <c r="D26" s="46">
        <v>39727</v>
      </c>
      <c r="E26" s="41"/>
      <c r="F26" s="133" t="s">
        <v>94</v>
      </c>
      <c r="I26" s="47">
        <f>76.91/1.232</f>
      </c>
      <c r="W26" s="49"/>
      <c r="X26" s="49"/>
    </row>
    <row r="27" spans="1:24" ht="13.8" x14ac:dyDescent="0.25">
      <c r="B27" s="132"/>
      <c r="C27" s="133" t="s">
        <v>10</v>
      </c>
      <c r="D27" s="50" t="s">
        <v>11</v>
      </c>
      <c r="E27" s="41"/>
      <c r="F27" s="133" t="s">
        <v>95</v>
      </c>
      <c r="I27" s="47">
        <v>0</v>
      </c>
      <c r="W27" s="49"/>
      <c r="X27" s="49"/>
    </row>
    <row r="28" spans="1:24" ht="13.8" x14ac:dyDescent="0.25">
      <c r="B28" s="132"/>
      <c r="C28" s="133" t="s">
        <v>96</v>
      </c>
      <c r="D28" s="51">
        <v>1</v>
      </c>
      <c r="E28" s="41"/>
      <c r="F28" s="133" t="s">
        <v>97</v>
      </c>
      <c r="I28" s="47">
        <v>0</v>
      </c>
      <c r="W28" s="49"/>
      <c r="X28" s="49"/>
    </row>
    <row r="29" spans="1:24" ht="13.8" x14ac:dyDescent="0.25">
      <c r="B29" s="132"/>
      <c r="C29" s="133" t="s">
        <v>98</v>
      </c>
      <c r="D29" s="53">
        <v>39447</v>
      </c>
      <c r="E29" s="41"/>
      <c r="F29" s="41" t="s">
        <v>99</v>
      </c>
      <c r="I29" s="60">
        <f>215.935235+55.811742</f>
      </c>
      <c r="W29" s="49"/>
      <c r="X29" s="49"/>
    </row>
    <row r="30" spans="1:24" ht="13.8" x14ac:dyDescent="0.25">
      <c r="B30" s="132"/>
      <c r="C30" s="133" t="s">
        <v>100</v>
      </c>
      <c r="D30" s="53">
        <v>39538</v>
      </c>
      <c r="E30" s="41"/>
      <c r="F30" s="41" t="s">
        <v>101</v>
      </c>
      <c r="I30" s="42">
        <f>K52</f>
      </c>
      <c r="W30" s="49"/>
      <c r="X30" s="49"/>
    </row>
    <row r="31" spans="1:24" ht="13.8" x14ac:dyDescent="0.25">
      <c r="B31" s="132"/>
      <c r="C31" s="133" t="s">
        <v>102</v>
      </c>
      <c r="D31" s="50" t="s">
        <v>158</v>
      </c>
      <c r="E31" s="41"/>
      <c r="F31" s="41" t="s">
        <v>104</v>
      </c>
      <c r="I31" s="42">
        <f>I29+I30</f>
      </c>
      <c r="W31" s="49"/>
      <c r="X31" s="49"/>
    </row>
    <row r="32" spans="1:24" ht="13.8" x14ac:dyDescent="0.25">
      <c r="B32" s="132"/>
      <c r="C32" s="133" t="s">
        <v>105</v>
      </c>
      <c r="D32" s="55">
        <v>1</v>
      </c>
      <c r="E32" s="56"/>
      <c r="F32" s="40" t="s">
        <v>106</v>
      </c>
      <c r="I32" s="143">
        <v>0</v>
      </c>
      <c r="W32" s="49"/>
      <c r="X32" s="49"/>
    </row>
    <row r="33" spans="1:24" ht="13.8" x14ac:dyDescent="0.25">
      <c r="B33" s="132"/>
      <c r="E33" s="56"/>
      <c r="F33" s="49" t="s">
        <v>107</v>
      </c>
      <c r="I33" s="57">
        <f>I25*I31+I32</f>
      </c>
      <c r="W33" s="49"/>
      <c r="X33" s="49"/>
    </row>
    <row r="34" spans="1:24" ht="13.8" x14ac:dyDescent="0.25">
      <c r="B34" s="132"/>
      <c r="C34" s="133" t="s">
        <v>108</v>
      </c>
      <c r="D34" s="145">
        <v>1</v>
      </c>
      <c r="E34" s="56"/>
      <c r="W34" s="49"/>
      <c r="X34" s="49"/>
    </row>
    <row r="35" spans="1:24" ht="13.8" x14ac:dyDescent="0.25">
      <c r="B35" s="132"/>
      <c r="C35" s="133" t="s">
        <v>109</v>
      </c>
      <c r="D35" s="138">
        <f>1-D34</f>
      </c>
      <c r="E35" s="56"/>
      <c r="F35" s="131" t="s">
        <v>90</v>
      </c>
      <c r="W35" s="49"/>
      <c r="X35" s="49"/>
    </row>
    <row r="36" spans="1:24" ht="13.8" x14ac:dyDescent="0.25">
      <c r="B36" s="132"/>
      <c r="E36" s="56"/>
      <c r="F36" s="58" t="s">
        <v>110</v>
      </c>
      <c r="G36" s="59"/>
      <c r="H36" s="49"/>
      <c r="I36" s="60">
        <v>0</v>
      </c>
      <c r="W36" s="49"/>
      <c r="X36" s="49"/>
    </row>
    <row r="37" spans="1:24" ht="13.8" x14ac:dyDescent="0.25">
      <c r="B37" s="132"/>
      <c r="E37" s="56"/>
      <c r="F37" s="58" t="s">
        <v>111</v>
      </c>
      <c r="G37" s="59"/>
      <c r="H37" s="49"/>
      <c r="I37" s="60">
        <v>0</v>
      </c>
      <c r="W37" s="49"/>
      <c r="X37" s="49"/>
    </row>
    <row r="38" spans="1:24" ht="13.8" x14ac:dyDescent="0.25">
      <c r="B38" s="132"/>
      <c r="E38" s="56"/>
      <c r="F38" s="61" t="s">
        <v>112</v>
      </c>
      <c r="G38" s="59"/>
      <c r="H38" s="49"/>
      <c r="I38" s="62">
        <f>SUM(I36:I37)</f>
      </c>
      <c r="W38" s="49"/>
      <c r="X38" s="49"/>
    </row>
    <row r="39" spans="1:24" ht="13.8" x14ac:dyDescent="0.25">
      <c r="B39" s="132"/>
      <c r="E39" s="56"/>
      <c r="F39" s="133"/>
      <c r="G39" s="133"/>
      <c r="I39" s="41"/>
      <c r="W39" s="49"/>
      <c r="X39" s="49"/>
    </row>
    <row r="40" spans="1:24" ht="13.8" x14ac:dyDescent="0.25">
      <c r="B40" s="131" t="s">
        <v>113</v>
      </c>
      <c r="F40" s="131" t="s">
        <v>114</v>
      </c>
      <c r="I40" s="146">
        <f>YEAR($D$29)</f>
      </c>
      <c r="J40" s="146">
        <f>YEAR($D$29)</f>
      </c>
    </row>
    <row r="41" spans="1:24" ht="13.8" x14ac:dyDescent="0.25">
      <c r="A41" s="49"/>
      <c r="B41" s="131"/>
      <c r="C41" s="64" t="s">
        <v>107</v>
      </c>
      <c r="D41" s="57">
        <f>I33</f>
      </c>
      <c r="E41" s="49"/>
      <c r="I41" s="65" t="s">
        <v>115</v>
      </c>
      <c r="J41" s="65" t="s">
        <v>116</v>
      </c>
      <c r="K41" s="65" t="s">
        <v>117</v>
      </c>
    </row>
    <row r="42" spans="1:24" ht="13.8" x14ac:dyDescent="0.25">
      <c r="B42" s="132"/>
      <c r="C42" s="40" t="str">
        <f>F55</f>
      </c>
      <c r="D42" s="42">
        <f>I55</f>
      </c>
      <c r="F42" s="66" t="s">
        <v>195</v>
      </c>
      <c r="I42" s="67">
        <v>1.5709139999999999</v>
      </c>
      <c r="J42" s="68">
        <v>0</v>
      </c>
      <c r="K42" s="147">
        <f t="shared" ref="K42:K51" si="0">MAX(($I$25-J42)/$I$25*I42,0)</f>
      </c>
    </row>
    <row r="43" spans="1:24" ht="13.8" x14ac:dyDescent="0.25">
      <c r="B43" s="132"/>
      <c r="C43" s="41" t="str">
        <f>C55&amp;" and "&amp;LOWER(C56)</f>
      </c>
      <c r="D43" s="42">
        <f>D55</f>
      </c>
      <c r="F43" s="66" t="s">
        <v>118</v>
      </c>
      <c r="I43" s="67">
        <v>14.43446</v>
      </c>
      <c r="J43" s="68">
        <v>50.16</v>
      </c>
      <c r="K43" s="147">
        <f t="shared" si="0"/>
      </c>
    </row>
    <row r="44" spans="1:24" ht="13.8" x14ac:dyDescent="0.25">
      <c r="B44" s="132"/>
      <c r="C44" s="69" t="s">
        <v>120</v>
      </c>
      <c r="D44" s="57">
        <f>D42-D43</f>
      </c>
      <c r="F44" s="66" t="s">
        <v>168</v>
      </c>
      <c r="I44" s="67">
        <v>0</v>
      </c>
      <c r="J44" s="68">
        <v>0</v>
      </c>
      <c r="K44" s="147">
        <f t="shared" si="0"/>
      </c>
    </row>
    <row r="45" spans="1:24" ht="13.8" x14ac:dyDescent="0.25">
      <c r="B45" s="132"/>
      <c r="C45" s="41" t="str">
        <f>F56</f>
      </c>
      <c r="D45" s="92">
        <f>I56</f>
      </c>
      <c r="F45" s="66" t="s">
        <v>161</v>
      </c>
      <c r="G45" s="49"/>
      <c r="H45" s="49"/>
      <c r="I45" s="67">
        <v>0</v>
      </c>
      <c r="J45" s="68">
        <v>0</v>
      </c>
      <c r="K45" s="147">
        <f t="shared" si="0"/>
      </c>
    </row>
    <row r="46" spans="1:24" ht="13.8" x14ac:dyDescent="0.25">
      <c r="B46" s="132"/>
      <c r="C46" s="41" t="str">
        <f>F59</f>
      </c>
      <c r="D46" s="42">
        <f>I59</f>
      </c>
      <c r="F46" s="66" t="s">
        <v>123</v>
      </c>
      <c r="G46" s="49"/>
      <c r="H46" s="49"/>
      <c r="I46" s="67">
        <v>0</v>
      </c>
      <c r="J46" s="68">
        <v>0</v>
      </c>
      <c r="K46" s="147">
        <f t="shared" si="0"/>
      </c>
    </row>
    <row r="47" spans="1:24" ht="13.8" x14ac:dyDescent="0.25">
      <c r="B47" s="132"/>
      <c r="C47" s="41" t="str">
        <f>F60</f>
      </c>
      <c r="D47" s="42">
        <f>I60</f>
      </c>
      <c r="F47" s="66" t="s">
        <v>124</v>
      </c>
      <c r="I47" s="67">
        <v>0</v>
      </c>
      <c r="J47" s="68">
        <v>0</v>
      </c>
      <c r="K47" s="147">
        <f t="shared" si="0"/>
      </c>
    </row>
    <row r="48" spans="1:24" ht="15.6" x14ac:dyDescent="0.3">
      <c r="A48" s="35"/>
      <c r="B48" s="132"/>
      <c r="C48" s="41" t="str">
        <f>C57</f>
      </c>
      <c r="D48" s="42">
        <f>D57</f>
      </c>
      <c r="F48" s="66" t="s">
        <v>125</v>
      </c>
      <c r="G48" s="41"/>
      <c r="H48" s="41"/>
      <c r="I48" s="67">
        <v>0</v>
      </c>
      <c r="J48" s="68">
        <v>0</v>
      </c>
      <c r="K48" s="147">
        <f t="shared" si="0"/>
      </c>
    </row>
    <row r="49" spans="1:22" ht="15.6" x14ac:dyDescent="0.3">
      <c r="A49" s="35"/>
      <c r="B49" s="132"/>
      <c r="C49" s="41" t="str">
        <f>C58</f>
      </c>
      <c r="D49" s="42">
        <f>D58</f>
      </c>
      <c r="F49" s="66" t="s">
        <v>126</v>
      </c>
      <c r="G49" s="41"/>
      <c r="H49" s="41"/>
      <c r="I49" s="67">
        <v>0</v>
      </c>
      <c r="J49" s="68">
        <v>0</v>
      </c>
      <c r="K49" s="147">
        <f t="shared" si="0"/>
      </c>
    </row>
    <row r="50" spans="1:22" ht="15.6" x14ac:dyDescent="0.3">
      <c r="A50" s="35"/>
      <c r="B50" s="132"/>
      <c r="C50" s="59" t="s">
        <v>110</v>
      </c>
      <c r="D50" s="57">
        <f>IF(I23="Enterprise value",I38,SUM(D41,D44:D47)-SUM(D48:D49))</f>
      </c>
      <c r="F50" s="66" t="s">
        <v>127</v>
      </c>
      <c r="G50" s="41"/>
      <c r="H50" s="41"/>
      <c r="I50" s="67">
        <v>0</v>
      </c>
      <c r="J50" s="68">
        <v>0</v>
      </c>
      <c r="K50" s="147">
        <f t="shared" si="0"/>
      </c>
    </row>
    <row r="51" spans="1:22" ht="15.6" x14ac:dyDescent="0.3">
      <c r="A51" s="35"/>
      <c r="B51" s="132"/>
      <c r="C51" s="70"/>
      <c r="D51" s="56"/>
      <c r="F51" s="66" t="s">
        <v>128</v>
      </c>
      <c r="G51" s="41"/>
      <c r="H51" s="41"/>
      <c r="I51" s="67">
        <v>0</v>
      </c>
      <c r="J51" s="68">
        <v>0</v>
      </c>
      <c r="K51" s="147">
        <f t="shared" si="0"/>
      </c>
    </row>
    <row r="52" spans="1:22" ht="17.399999999999999" x14ac:dyDescent="0.25">
      <c r="A52" s="129" t="s">
        <v>129</v>
      </c>
      <c r="B52" s="129"/>
      <c r="C52" s="130"/>
      <c r="F52" s="56" t="s">
        <v>130</v>
      </c>
      <c r="I52" s="49"/>
      <c r="J52" s="49"/>
      <c r="K52" s="71">
        <f>SUM(K42:K51)</f>
      </c>
    </row>
    <row r="53" spans="1:22" ht="13.8" x14ac:dyDescent="0.25">
      <c r="B53" s="132"/>
    </row>
    <row r="54" spans="1:22" ht="13.8" x14ac:dyDescent="0.25">
      <c r="B54" s="131" t="s">
        <v>131</v>
      </c>
      <c r="D54" s="148">
        <f>D30</f>
      </c>
      <c r="E54" s="100"/>
      <c r="F54" s="100"/>
      <c r="G54" s="100"/>
      <c r="H54" s="100"/>
      <c r="I54" s="148">
        <f>D54</f>
      </c>
    </row>
    <row r="55" spans="1:22" ht="13.8" x14ac:dyDescent="0.25">
      <c r="B55" s="132"/>
      <c r="C55" s="40" t="s">
        <v>28</v>
      </c>
      <c r="D55" s="50">
        <f>336.386+0.625</f>
      </c>
      <c r="F55" s="40" t="s">
        <v>132</v>
      </c>
      <c r="I55" s="50">
        <f>170+1000</f>
      </c>
      <c r="M55" s="41"/>
      <c r="N55" s="72"/>
      <c r="O55" s="73"/>
      <c r="P55" s="73"/>
      <c r="Q55" s="73"/>
      <c r="R55" s="73"/>
      <c r="S55" s="41"/>
      <c r="T55" s="74"/>
      <c r="U55" s="74"/>
      <c r="V55" s="74"/>
    </row>
    <row r="56" spans="1:22" ht="13.8" x14ac:dyDescent="0.25">
      <c r="B56" s="132"/>
      <c r="C56" s="40" t="s">
        <v>133</v>
      </c>
      <c r="D56" s="50">
        <v>0</v>
      </c>
      <c r="F56" s="40" t="s">
        <v>134</v>
      </c>
      <c r="I56" s="45">
        <v>0</v>
      </c>
      <c r="M56" s="41"/>
      <c r="N56" s="72"/>
      <c r="O56" s="73"/>
      <c r="P56" s="73"/>
      <c r="Q56" s="73"/>
      <c r="R56" s="73"/>
      <c r="S56" s="41"/>
      <c r="T56" s="74"/>
      <c r="U56" s="74"/>
      <c r="V56" s="74"/>
    </row>
    <row r="57" spans="1:22" ht="13.8" x14ac:dyDescent="0.25">
      <c r="B57" s="132"/>
      <c r="C57" s="40" t="s">
        <v>135</v>
      </c>
      <c r="D57" s="75">
        <v>0</v>
      </c>
      <c r="F57" s="40" t="s">
        <v>136</v>
      </c>
      <c r="I57" s="54">
        <f>2650.615-I55</f>
      </c>
      <c r="M57" s="41"/>
      <c r="N57" s="41"/>
      <c r="O57" s="41"/>
      <c r="P57" s="41"/>
      <c r="Q57" s="41"/>
      <c r="R57" s="41"/>
      <c r="S57" s="36"/>
    </row>
    <row r="58" spans="1:22" ht="13.8" x14ac:dyDescent="0.25">
      <c r="B58" s="132"/>
      <c r="C58" s="40" t="s">
        <v>137</v>
      </c>
      <c r="D58" s="75">
        <v>0</v>
      </c>
      <c r="F58" s="40" t="s">
        <v>138</v>
      </c>
      <c r="I58" s="45">
        <v>2749.357</v>
      </c>
      <c r="J58" s="110"/>
      <c r="M58" s="41"/>
      <c r="N58" s="41"/>
      <c r="O58" s="41"/>
      <c r="P58" s="41"/>
      <c r="Q58" s="41"/>
      <c r="R58" s="41"/>
      <c r="S58" s="76"/>
    </row>
    <row r="59" spans="1:22" ht="13.8" x14ac:dyDescent="0.25">
      <c r="B59" s="132"/>
      <c r="C59" s="40" t="s">
        <v>139</v>
      </c>
      <c r="D59" s="75">
        <f>5400-D55</f>
      </c>
      <c r="F59" s="40" t="s">
        <v>140</v>
      </c>
      <c r="I59" s="45">
        <v>0</v>
      </c>
      <c r="J59" s="77"/>
    </row>
    <row r="60" spans="1:22" ht="13.8" x14ac:dyDescent="0.25">
      <c r="B60" s="132"/>
      <c r="F60" s="40" t="s">
        <v>141</v>
      </c>
      <c r="I60" s="45">
        <v>0</v>
      </c>
      <c r="J60" s="77"/>
    </row>
    <row r="61" spans="1:22" ht="13.8" x14ac:dyDescent="0.25">
      <c r="B61" s="132"/>
      <c r="C61" s="78" t="s">
        <v>142</v>
      </c>
      <c r="D61" s="49">
        <f>SUM(D55:D59)</f>
      </c>
      <c r="F61" s="78" t="s">
        <v>143</v>
      </c>
      <c r="I61" s="49">
        <f>SUM(I55:I60)</f>
      </c>
      <c r="J61" s="77"/>
    </row>
    <row r="62" spans="1:22" ht="13.8" x14ac:dyDescent="0.25">
      <c r="B62" s="132"/>
      <c r="C62" s="79" t="s">
        <v>144</v>
      </c>
      <c r="D62" s="80">
        <f>IF(D61=I61,"OK",D61-I61)</f>
      </c>
      <c r="J62" s="77"/>
    </row>
    <row r="63" spans="1:22" ht="13.8" x14ac:dyDescent="0.25">
      <c r="B63" s="132"/>
      <c r="J63" s="81"/>
    </row>
    <row r="64" spans="1:22" ht="13.8" x14ac:dyDescent="0.25">
      <c r="B64" s="132" t="s">
        <v>145</v>
      </c>
      <c r="D64" s="149">
        <f>YEAR($D$29)</f>
      </c>
      <c r="E64" s="148" t="str">
        <f>YEAR($D$30)-1&amp;" "&amp;$D$32&amp;"Q"</f>
      </c>
      <c r="F64" s="148" t="str">
        <f>YEAR($D$30)&amp;" "&amp;$D$32&amp;"Q"</f>
      </c>
      <c r="G64" s="148" t="s">
        <v>16</v>
      </c>
    </row>
    <row r="65" spans="2:7" x14ac:dyDescent="0.25">
      <c r="B65" s="41"/>
      <c r="C65" s="41" t="s">
        <v>76</v>
      </c>
      <c r="D65" s="50">
        <v>5389.1</v>
      </c>
      <c r="E65" s="50">
        <v>1254.046</v>
      </c>
      <c r="F65" s="50">
        <v>1451.55</v>
      </c>
      <c r="G65" s="40">
        <f>D65-E65+F65</f>
      </c>
    </row>
    <row r="67" spans="2:7" x14ac:dyDescent="0.25">
      <c r="B67" s="41"/>
      <c r="C67" s="41" t="s">
        <v>146</v>
      </c>
      <c r="D67" s="92">
        <v>962.77200000000005</v>
      </c>
      <c r="E67" s="92">
        <v>210.20400000000001</v>
      </c>
      <c r="F67" s="96">
        <v>269.572</v>
      </c>
    </row>
    <row r="68" spans="2:7" x14ac:dyDescent="0.25">
      <c r="B68" s="41"/>
      <c r="C68" s="85" t="s">
        <v>183</v>
      </c>
      <c r="D68" s="50">
        <v>13.064</v>
      </c>
      <c r="E68" s="50">
        <v>8.1489999999999991</v>
      </c>
      <c r="F68" s="50">
        <v>0</v>
      </c>
    </row>
    <row r="69" spans="2:7" x14ac:dyDescent="0.25">
      <c r="B69" s="41"/>
      <c r="C69" s="85" t="s">
        <v>163</v>
      </c>
      <c r="D69" s="50">
        <v>0</v>
      </c>
      <c r="E69" s="50">
        <v>0</v>
      </c>
      <c r="F69" s="50">
        <v>0</v>
      </c>
    </row>
    <row r="70" spans="2:7" x14ac:dyDescent="0.25">
      <c r="B70" s="41"/>
      <c r="C70" s="85" t="s">
        <v>164</v>
      </c>
      <c r="D70" s="50">
        <v>0</v>
      </c>
      <c r="E70" s="50">
        <v>0</v>
      </c>
      <c r="F70" s="50">
        <v>0</v>
      </c>
    </row>
    <row r="71" spans="2:7" x14ac:dyDescent="0.25">
      <c r="B71" s="41"/>
      <c r="C71" s="85" t="s">
        <v>165</v>
      </c>
      <c r="D71" s="50">
        <v>0</v>
      </c>
      <c r="E71" s="50">
        <v>0</v>
      </c>
      <c r="F71" s="50">
        <v>0</v>
      </c>
    </row>
    <row r="72" spans="2:7" x14ac:dyDescent="0.25">
      <c r="B72" s="41"/>
      <c r="C72" s="85" t="s">
        <v>166</v>
      </c>
      <c r="D72" s="50">
        <v>0</v>
      </c>
      <c r="E72" s="50">
        <v>0</v>
      </c>
      <c r="F72" s="50">
        <v>0</v>
      </c>
    </row>
    <row r="73" spans="2:7" x14ac:dyDescent="0.25">
      <c r="B73" s="41"/>
      <c r="C73" s="85" t="s">
        <v>152</v>
      </c>
      <c r="D73" s="50">
        <v>0</v>
      </c>
      <c r="E73" s="50">
        <v>0</v>
      </c>
      <c r="F73" s="50">
        <v>0</v>
      </c>
    </row>
    <row r="74" spans="2:7" x14ac:dyDescent="0.25">
      <c r="B74" s="41"/>
      <c r="C74" s="85" t="s">
        <v>153</v>
      </c>
      <c r="D74" s="50">
        <v>0</v>
      </c>
      <c r="E74" s="50">
        <v>0</v>
      </c>
      <c r="F74" s="50">
        <v>0</v>
      </c>
    </row>
    <row r="75" spans="2:7" x14ac:dyDescent="0.25">
      <c r="B75" s="41"/>
      <c r="C75" s="85" t="s">
        <v>154</v>
      </c>
      <c r="D75" s="50">
        <v>0</v>
      </c>
      <c r="E75" s="50">
        <v>0</v>
      </c>
      <c r="F75" s="50">
        <v>0</v>
      </c>
    </row>
    <row r="76" spans="2:7" x14ac:dyDescent="0.25">
      <c r="B76" s="41"/>
      <c r="C76" s="86" t="s">
        <v>78</v>
      </c>
      <c r="D76" s="41">
        <f>SUM(D67:D75)</f>
      </c>
      <c r="E76" s="41">
        <f>SUM(E67:E75)</f>
      </c>
      <c r="F76" s="41">
        <f>SUM(F67:F75)</f>
      </c>
      <c r="G76" s="40">
        <f>D76-E76+F76</f>
      </c>
    </row>
    <row r="77" spans="2:7" x14ac:dyDescent="0.25">
      <c r="B77" s="41"/>
    </row>
    <row r="78" spans="2:7" x14ac:dyDescent="0.25">
      <c r="B78" s="41"/>
      <c r="C78" s="41" t="s">
        <v>155</v>
      </c>
      <c r="D78" s="50">
        <v>217.77799999999999</v>
      </c>
      <c r="E78" s="50">
        <v>48.793999999999997</v>
      </c>
      <c r="F78" s="50">
        <v>57.326000000000001</v>
      </c>
      <c r="G78" s="40">
        <f>D78-E78+F78</f>
      </c>
    </row>
    <row r="79" spans="2:7" s="49" customFormat="1" x14ac:dyDescent="0.25">
      <c r="B79" s="56"/>
      <c r="C79" s="86" t="s">
        <v>19</v>
      </c>
      <c r="D79" s="56">
        <f>D76+D78</f>
      </c>
      <c r="E79" s="56">
        <f>E76+E78</f>
      </c>
      <c r="F79" s="56">
        <f>F76+F78</f>
      </c>
      <c r="G79" s="49">
        <f>D79-E79+F79</f>
      </c>
    </row>
    <row r="80" spans="2:7" x14ac:dyDescent="0.25">
      <c r="B80" s="41"/>
    </row>
  </sheetData>
  <conditionalFormatting sqref="D41:D49 I42:J51">
    <cfRule type="expression" dxfId="42" priority="7" stopIfTrue="1">
      <formula>$I$23="Enterprise value"</formula>
    </cfRule>
  </conditionalFormatting>
  <conditionalFormatting sqref="F24:F31 F33 F40:H43 K40:K51 I41:J41 C41:C49 G44:H46 F52:K52">
    <cfRule type="expression" dxfId="41" priority="8" stopIfTrue="1">
      <formula>$I$23="Enterprise value"</formula>
    </cfRule>
  </conditionalFormatting>
  <conditionalFormatting sqref="F35:F38">
    <cfRule type="expression" dxfId="40" priority="9" stopIfTrue="1">
      <formula>$I$23="Share price"</formula>
    </cfRule>
  </conditionalFormatting>
  <conditionalFormatting sqref="F42:F51">
    <cfRule type="expression" dxfId="39" priority="1" stopIfTrue="1">
      <formula>$I$23="Enterprise value"</formula>
    </cfRule>
  </conditionalFormatting>
  <conditionalFormatting sqref="I25:I33">
    <cfRule type="expression" dxfId="38" priority="6" stopIfTrue="1">
      <formula>$I$23="Enterprise value"</formula>
    </cfRule>
  </conditionalFormatting>
  <conditionalFormatting sqref="I36:I38">
    <cfRule type="expression" dxfId="37" priority="5" stopIfTrue="1">
      <formula>$I$23="Share price"</formula>
    </cfRule>
  </conditionalFormatting>
  <conditionalFormatting sqref="I40:J40">
    <cfRule type="expression" dxfId="36" priority="4" stopIfTrue="1">
      <formula>$I$23="Enterprise value"</formula>
    </cfRule>
  </conditionalFormatting>
  <dataValidations count="3">
    <dataValidation type="list" allowBlank="1" showInputMessage="1" showErrorMessage="1" sqref="I23" xr:uid="{00000000-0002-0000-0B00-000000000000}">
      <formula1>"Share price,Enterprise value"</formula1>
    </dataValidation>
    <dataValidation type="list" allowBlank="1" showInputMessage="1" showErrorMessage="1" prompt="Input 1, 2 or 3 to indicate which quarter data has been spread. Leave blank if annual data." sqref="D32" xr:uid="{00000000-0002-0000-0B00-000001000000}">
      <formula1>"1,2,3,,"</formula1>
    </dataValidation>
    <dataValidation type="list" allowBlank="1" showInputMessage="1" showErrorMessage="1" sqref="D31" xr:uid="{00000000-0002-0000-0B00-000002000000}">
      <formula1>"10K,10Q,8K,Annual,Interim"</formula1>
    </dataValidation>
  </dataValidations>
  <pageMargins left="0.74803149606299213" right="0.74803149606299213" top="0.98425196850393704" bottom="0.98425196850393704" header="0.51181102362204722" footer="0.51181102362204722"/>
  <pageSetup paperSize="9" scale="63" orientation="portrait" r:id="rId1"/>
  <headerFooter alignWithMargins="0">
    <oddFooter>&amp;R&amp;8&amp;P of &amp;N</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2">
    <pageSetUpPr fitToPage="1"/>
  </sheetPr>
  <dimension ref="A1:X80"/>
  <sheetViews>
    <sheetView showGridLines="0" zoomScaleNormal="100" workbookViewId="0"/>
  </sheetViews>
  <sheetFormatPr defaultColWidth="9" defaultRowHeight="13.2" x14ac:dyDescent="0.25"/>
  <cols>
    <col min="1" max="2" width="1.77734375" style="40" customWidth="1"/>
    <col min="3" max="3" width="40.77734375" style="40" customWidth="1"/>
    <col min="4" max="4" width="11.77734375" style="40" customWidth="1"/>
    <col min="5" max="8" width="11.21875" style="40" customWidth="1"/>
    <col min="9" max="9" width="15.77734375" style="40" bestFit="1" customWidth="1"/>
    <col min="10" max="11" width="11.44140625" style="40" bestFit="1" customWidth="1"/>
    <col min="12" max="13" width="9" style="40"/>
    <col min="14" max="14" width="19.44140625" style="40" customWidth="1"/>
    <col min="15" max="15" width="11.21875" style="40" bestFit="1" customWidth="1"/>
    <col min="16" max="16" width="9.5546875" style="40" bestFit="1" customWidth="1"/>
    <col min="17" max="19" width="9.21875" style="40" bestFit="1" customWidth="1"/>
    <col min="20" max="20" width="11.21875" style="40" bestFit="1" customWidth="1"/>
    <col min="21" max="21" width="9.5546875" style="40" bestFit="1" customWidth="1"/>
    <col min="22" max="22" width="14.44140625" style="40" bestFit="1" customWidth="1"/>
    <col min="23" max="24" width="14.77734375" style="40" bestFit="1" customWidth="1"/>
    <col min="25" max="16384" width="9" style="40"/>
  </cols>
  <sheetData>
    <row r="1" spans="1:14" s="151" customFormat="1" ht="17.399999999999999" x14ac:dyDescent="0.3">
      <c r="A1" s="120" t="str">
        <f>"Comparable transactions analysis - "&amp;D23&amp;" / "&amp;D24</f>
      </c>
      <c r="B1" s="120"/>
      <c r="C1" s="121"/>
      <c r="D1" s="121"/>
      <c r="E1" s="121"/>
      <c r="F1" s="121"/>
      <c r="G1" s="121"/>
      <c r="H1" s="121"/>
      <c r="I1" s="121"/>
      <c r="J1" s="121"/>
      <c r="K1" s="121"/>
      <c r="L1" s="121"/>
      <c r="M1" s="122"/>
      <c r="N1" s="122"/>
    </row>
    <row r="2" spans="1:14" s="151" customFormat="1" ht="18" thickBot="1" x14ac:dyDescent="0.35">
      <c r="A2" s="128" t="str">
        <f>"Input sheet (all numbers in millions "&amp;D27&amp;" unless otherwise stated)"</f>
      </c>
      <c r="B2" s="127"/>
      <c r="C2" s="127"/>
      <c r="D2" s="127"/>
      <c r="E2" s="127"/>
      <c r="F2" s="127"/>
      <c r="G2" s="127"/>
      <c r="H2" s="127"/>
      <c r="I2" s="127"/>
      <c r="J2" s="127"/>
      <c r="K2" s="127"/>
      <c r="L2" s="127"/>
      <c r="M2" s="127"/>
      <c r="N2" s="152"/>
    </row>
    <row r="3" spans="1:14" ht="13.8" thickTop="1" x14ac:dyDescent="0.25">
      <c r="B3" s="41"/>
    </row>
    <row r="4" spans="1:14" ht="17.399999999999999" x14ac:dyDescent="0.25">
      <c r="A4" s="129" t="s">
        <v>72</v>
      </c>
      <c r="B4" s="129"/>
      <c r="C4" s="130"/>
    </row>
    <row r="5" spans="1:14" ht="13.8" x14ac:dyDescent="0.25">
      <c r="B5" s="131" t="s">
        <v>73</v>
      </c>
      <c r="C5" s="41"/>
    </row>
    <row r="6" spans="1:14" ht="13.8" x14ac:dyDescent="0.25">
      <c r="B6" s="131"/>
      <c r="C6" s="41" t="str">
        <f>F25</f>
      </c>
      <c r="D6" s="37">
        <f>IF(Driver="Enterprise value","na",I25)</f>
      </c>
    </row>
    <row r="7" spans="1:14" ht="13.8" x14ac:dyDescent="0.25">
      <c r="B7" s="131"/>
      <c r="C7" s="41" t="s">
        <v>27</v>
      </c>
      <c r="D7" s="38">
        <f>IF(OR(Driver="Enterprise Value",I25=0),"na",I25/I26-1)</f>
      </c>
    </row>
    <row r="8" spans="1:14" ht="13.8" x14ac:dyDescent="0.25">
      <c r="B8" s="132"/>
      <c r="C8" s="133" t="str">
        <f>C41</f>
      </c>
      <c r="D8" s="39">
        <f>IF(Driver="Enterprise value","na",I33*FX)</f>
      </c>
      <c r="E8" s="41"/>
      <c r="F8" s="134"/>
    </row>
    <row r="9" spans="1:14" ht="13.8" x14ac:dyDescent="0.25">
      <c r="B9" s="132"/>
      <c r="C9" s="133" t="str">
        <f>C50</f>
      </c>
      <c r="D9" s="135">
        <f>D50*FX</f>
      </c>
    </row>
    <row r="10" spans="1:14" ht="13.8" x14ac:dyDescent="0.25">
      <c r="B10" s="132"/>
      <c r="C10" s="133"/>
    </row>
    <row r="11" spans="1:14" ht="13.8" x14ac:dyDescent="0.25">
      <c r="B11" s="131" t="s">
        <v>74</v>
      </c>
      <c r="C11" s="133"/>
      <c r="D11" s="136" t="s">
        <v>16</v>
      </c>
      <c r="E11" s="136" t="s">
        <v>75</v>
      </c>
    </row>
    <row r="12" spans="1:14" ht="13.8" x14ac:dyDescent="0.25">
      <c r="B12" s="132"/>
      <c r="C12" s="41" t="s">
        <v>76</v>
      </c>
      <c r="D12" s="42">
        <f>G65*FX</f>
      </c>
      <c r="E12" s="137" t="s">
        <v>77</v>
      </c>
    </row>
    <row r="13" spans="1:14" ht="13.8" x14ac:dyDescent="0.25">
      <c r="B13" s="132"/>
      <c r="C13" s="43" t="s">
        <v>78</v>
      </c>
      <c r="D13" s="42">
        <f>G76*FX</f>
      </c>
      <c r="E13" s="138">
        <f>D13/D12</f>
      </c>
    </row>
    <row r="14" spans="1:14" ht="13.8" x14ac:dyDescent="0.25">
      <c r="B14" s="132"/>
      <c r="C14" s="43" t="s">
        <v>19</v>
      </c>
      <c r="D14" s="42">
        <f>G79*FX</f>
      </c>
      <c r="E14" s="138">
        <f>D14/D12</f>
      </c>
    </row>
    <row r="15" spans="1:14" ht="13.8" x14ac:dyDescent="0.25">
      <c r="B15" s="139"/>
      <c r="D15" s="140"/>
    </row>
    <row r="16" spans="1:14" ht="13.8" x14ac:dyDescent="0.25">
      <c r="B16" s="131" t="s">
        <v>79</v>
      </c>
    </row>
    <row r="17" spans="1:24" x14ac:dyDescent="0.25">
      <c r="C17" s="40" t="s">
        <v>80</v>
      </c>
      <c r="D17" s="44">
        <f>$D$9/D12</f>
      </c>
    </row>
    <row r="18" spans="1:24" x14ac:dyDescent="0.25">
      <c r="C18" s="40" t="s">
        <v>81</v>
      </c>
      <c r="D18" s="44">
        <f>$D$9/D13</f>
      </c>
    </row>
    <row r="19" spans="1:24" x14ac:dyDescent="0.25">
      <c r="C19" s="40" t="s">
        <v>21</v>
      </c>
      <c r="D19" s="44">
        <f>$D$9/D14</f>
      </c>
    </row>
    <row r="20" spans="1:24" x14ac:dyDescent="0.25">
      <c r="D20" s="140"/>
    </row>
    <row r="21" spans="1:24" ht="17.399999999999999" x14ac:dyDescent="0.25">
      <c r="A21" s="129" t="s">
        <v>82</v>
      </c>
      <c r="B21" s="129"/>
      <c r="C21" s="130"/>
      <c r="I21" s="141"/>
    </row>
    <row r="22" spans="1:24" ht="13.8" x14ac:dyDescent="0.25">
      <c r="A22" s="36"/>
      <c r="B22" s="131" t="s">
        <v>83</v>
      </c>
      <c r="C22" s="41"/>
      <c r="D22" s="41"/>
      <c r="F22" s="131" t="s">
        <v>84</v>
      </c>
    </row>
    <row r="23" spans="1:24" ht="13.8" x14ac:dyDescent="0.25">
      <c r="B23" s="132"/>
      <c r="C23" s="41" t="s">
        <v>85</v>
      </c>
      <c r="D23" s="54" t="s">
        <v>156</v>
      </c>
      <c r="E23" s="41"/>
      <c r="F23" s="40" t="s">
        <v>86</v>
      </c>
      <c r="I23" s="45" t="s">
        <v>87</v>
      </c>
    </row>
    <row r="24" spans="1:24" ht="13.8" x14ac:dyDescent="0.25">
      <c r="B24" s="132"/>
      <c r="C24" s="41" t="s">
        <v>88</v>
      </c>
      <c r="D24" s="54" t="s">
        <v>196</v>
      </c>
      <c r="E24" s="41"/>
      <c r="F24" s="36" t="s">
        <v>90</v>
      </c>
    </row>
    <row r="25" spans="1:24" ht="13.8" x14ac:dyDescent="0.25">
      <c r="B25" s="132"/>
      <c r="C25" s="41" t="s">
        <v>91</v>
      </c>
      <c r="D25" s="46">
        <v>39272</v>
      </c>
      <c r="E25" s="41"/>
      <c r="F25" s="41" t="s">
        <v>92</v>
      </c>
      <c r="I25" s="47">
        <v>55</v>
      </c>
    </row>
    <row r="26" spans="1:24" ht="13.8" x14ac:dyDescent="0.25">
      <c r="B26" s="132"/>
      <c r="C26" s="133" t="s">
        <v>93</v>
      </c>
      <c r="D26" s="46">
        <v>39412</v>
      </c>
      <c r="E26" s="41"/>
      <c r="F26" s="133" t="s">
        <v>94</v>
      </c>
      <c r="I26" s="47">
        <v>39.950000000000003</v>
      </c>
      <c r="W26" s="49"/>
      <c r="X26" s="49"/>
    </row>
    <row r="27" spans="1:24" ht="13.8" x14ac:dyDescent="0.25">
      <c r="B27" s="132"/>
      <c r="C27" s="133" t="s">
        <v>10</v>
      </c>
      <c r="D27" s="50" t="s">
        <v>197</v>
      </c>
      <c r="E27" s="41"/>
      <c r="F27" s="133" t="s">
        <v>95</v>
      </c>
      <c r="I27" s="47">
        <v>38.090000000000003</v>
      </c>
      <c r="W27" s="49"/>
      <c r="X27" s="49"/>
    </row>
    <row r="28" spans="1:24" ht="13.8" x14ac:dyDescent="0.25">
      <c r="B28" s="132"/>
      <c r="C28" s="133" t="s">
        <v>96</v>
      </c>
      <c r="D28" s="51">
        <v>1.4</v>
      </c>
      <c r="E28" s="41"/>
      <c r="F28" s="133" t="s">
        <v>97</v>
      </c>
      <c r="I28" s="47">
        <v>36.99</v>
      </c>
      <c r="W28" s="49"/>
      <c r="X28" s="49"/>
    </row>
    <row r="29" spans="1:24" ht="13.8" x14ac:dyDescent="0.25">
      <c r="B29" s="132"/>
      <c r="C29" s="133" t="s">
        <v>98</v>
      </c>
      <c r="D29" s="53">
        <v>39082</v>
      </c>
      <c r="E29" s="41"/>
      <c r="F29" s="41" t="s">
        <v>99</v>
      </c>
      <c r="I29" s="60">
        <v>194.29807099999999</v>
      </c>
      <c r="W29" s="49"/>
      <c r="X29" s="49"/>
    </row>
    <row r="30" spans="1:24" ht="13.8" x14ac:dyDescent="0.25">
      <c r="B30" s="132"/>
      <c r="C30" s="133" t="s">
        <v>100</v>
      </c>
      <c r="D30" s="53">
        <v>39263</v>
      </c>
      <c r="E30" s="41"/>
      <c r="F30" s="41" t="s">
        <v>101</v>
      </c>
      <c r="I30" s="42">
        <f>K52</f>
      </c>
      <c r="W30" s="49"/>
      <c r="X30" s="49"/>
    </row>
    <row r="31" spans="1:24" ht="13.8" x14ac:dyDescent="0.25">
      <c r="B31" s="132"/>
      <c r="C31" s="133" t="s">
        <v>102</v>
      </c>
      <c r="D31" s="50" t="s">
        <v>198</v>
      </c>
      <c r="E31" s="41"/>
      <c r="F31" s="41" t="s">
        <v>104</v>
      </c>
      <c r="I31" s="42">
        <f>I29+I30</f>
      </c>
      <c r="W31" s="49"/>
      <c r="X31" s="49"/>
    </row>
    <row r="32" spans="1:24" ht="13.8" x14ac:dyDescent="0.25">
      <c r="B32" s="132"/>
      <c r="C32" s="133" t="s">
        <v>105</v>
      </c>
      <c r="D32" s="55"/>
      <c r="E32" s="56"/>
      <c r="F32" s="40" t="s">
        <v>106</v>
      </c>
      <c r="I32" s="143">
        <v>0</v>
      </c>
      <c r="W32" s="49"/>
      <c r="X32" s="49"/>
    </row>
    <row r="33" spans="1:24" ht="13.8" x14ac:dyDescent="0.25">
      <c r="B33" s="132"/>
      <c r="E33" s="56"/>
      <c r="F33" s="49" t="s">
        <v>107</v>
      </c>
      <c r="I33" s="57">
        <f>I25*I31+I32</f>
      </c>
      <c r="W33" s="49"/>
      <c r="X33" s="49"/>
    </row>
    <row r="34" spans="1:24" ht="13.8" x14ac:dyDescent="0.25">
      <c r="B34" s="132"/>
      <c r="C34" s="133" t="s">
        <v>108</v>
      </c>
      <c r="D34" s="145">
        <v>1</v>
      </c>
      <c r="E34" s="56"/>
      <c r="W34" s="49"/>
      <c r="X34" s="49"/>
    </row>
    <row r="35" spans="1:24" ht="13.8" x14ac:dyDescent="0.25">
      <c r="B35" s="132"/>
      <c r="C35" s="133" t="s">
        <v>109</v>
      </c>
      <c r="D35" s="138">
        <f>1-D34</f>
      </c>
      <c r="E35" s="56"/>
      <c r="F35" s="131" t="s">
        <v>90</v>
      </c>
      <c r="W35" s="49"/>
      <c r="X35" s="49"/>
    </row>
    <row r="36" spans="1:24" ht="13.8" x14ac:dyDescent="0.25">
      <c r="B36" s="132"/>
      <c r="E36" s="56"/>
      <c r="F36" s="58" t="s">
        <v>110</v>
      </c>
      <c r="G36" s="59"/>
      <c r="H36" s="49"/>
      <c r="I36" s="60">
        <v>0</v>
      </c>
      <c r="W36" s="49"/>
      <c r="X36" s="49"/>
    </row>
    <row r="37" spans="1:24" ht="13.8" x14ac:dyDescent="0.25">
      <c r="B37" s="132"/>
      <c r="E37" s="56"/>
      <c r="F37" s="58" t="s">
        <v>111</v>
      </c>
      <c r="G37" s="59"/>
      <c r="H37" s="49"/>
      <c r="I37" s="60">
        <v>0</v>
      </c>
      <c r="W37" s="49"/>
      <c r="X37" s="49"/>
    </row>
    <row r="38" spans="1:24" ht="13.8" x14ac:dyDescent="0.25">
      <c r="B38" s="132"/>
      <c r="E38" s="56"/>
      <c r="F38" s="61" t="s">
        <v>112</v>
      </c>
      <c r="G38" s="59"/>
      <c r="H38" s="49"/>
      <c r="I38" s="62">
        <f>SUM(I36:I37)</f>
      </c>
      <c r="W38" s="49"/>
      <c r="X38" s="49"/>
    </row>
    <row r="39" spans="1:24" ht="13.8" x14ac:dyDescent="0.25">
      <c r="B39" s="132"/>
      <c r="E39" s="56"/>
      <c r="F39" s="133"/>
      <c r="G39" s="133"/>
      <c r="I39" s="41"/>
      <c r="W39" s="49"/>
      <c r="X39" s="49"/>
    </row>
    <row r="40" spans="1:24" ht="13.8" x14ac:dyDescent="0.25">
      <c r="B40" s="131" t="s">
        <v>113</v>
      </c>
      <c r="F40" s="131" t="s">
        <v>114</v>
      </c>
      <c r="I40" s="146">
        <f>YEAR($D$29)</f>
      </c>
      <c r="J40" s="146">
        <f>YEAR($D$29)</f>
      </c>
    </row>
    <row r="41" spans="1:24" ht="13.8" x14ac:dyDescent="0.25">
      <c r="A41" s="49"/>
      <c r="B41" s="131"/>
      <c r="C41" s="64" t="s">
        <v>107</v>
      </c>
      <c r="D41" s="57">
        <f>I33</f>
      </c>
      <c r="E41" s="49"/>
      <c r="I41" s="65" t="s">
        <v>115</v>
      </c>
      <c r="J41" s="65" t="s">
        <v>116</v>
      </c>
      <c r="K41" s="65" t="s">
        <v>117</v>
      </c>
    </row>
    <row r="42" spans="1:24" ht="13.8" x14ac:dyDescent="0.25">
      <c r="B42" s="132"/>
      <c r="C42" s="40" t="str">
        <f>F55</f>
      </c>
      <c r="D42" s="42">
        <f>I55-305-2</f>
      </c>
      <c r="F42" s="66" t="s">
        <v>199</v>
      </c>
      <c r="I42" s="67">
        <v>18.110417999999999</v>
      </c>
      <c r="J42" s="68">
        <v>0</v>
      </c>
      <c r="K42" s="147">
        <f t="shared" ref="K42:K51" si="0">MAX(($I$25-J42)/$I$25*I42,0)</f>
      </c>
    </row>
    <row r="43" spans="1:24" ht="13.8" x14ac:dyDescent="0.25">
      <c r="B43" s="132"/>
      <c r="C43" s="41" t="str">
        <f>C55&amp;" and "&amp;LOWER(C56)</f>
      </c>
      <c r="D43" s="42">
        <f>D55</f>
      </c>
      <c r="F43" s="66" t="s">
        <v>200</v>
      </c>
      <c r="I43" s="67">
        <v>8.8985999999999996E-2</v>
      </c>
      <c r="J43" s="68">
        <v>0</v>
      </c>
      <c r="K43" s="147">
        <f t="shared" si="0"/>
      </c>
    </row>
    <row r="44" spans="1:24" ht="13.8" x14ac:dyDescent="0.25">
      <c r="B44" s="132"/>
      <c r="C44" s="69" t="s">
        <v>120</v>
      </c>
      <c r="D44" s="57">
        <f>D42-D43</f>
      </c>
      <c r="F44" s="66" t="s">
        <v>201</v>
      </c>
      <c r="I44" s="67">
        <v>0.23552500000000001</v>
      </c>
      <c r="J44" s="68">
        <v>0</v>
      </c>
      <c r="K44" s="147">
        <f t="shared" si="0"/>
      </c>
    </row>
    <row r="45" spans="1:24" ht="13.8" x14ac:dyDescent="0.25">
      <c r="B45" s="132"/>
      <c r="C45" s="41" t="str">
        <f>F56</f>
      </c>
      <c r="D45" s="92">
        <f>I56</f>
      </c>
      <c r="F45" s="66" t="s">
        <v>202</v>
      </c>
      <c r="G45" s="49"/>
      <c r="H45" s="49"/>
      <c r="I45" s="67">
        <v>6.7790000000000003E-3</v>
      </c>
      <c r="J45" s="68">
        <v>0</v>
      </c>
      <c r="K45" s="147">
        <f t="shared" si="0"/>
      </c>
    </row>
    <row r="46" spans="1:24" ht="13.8" x14ac:dyDescent="0.25">
      <c r="B46" s="132"/>
      <c r="C46" s="41" t="str">
        <f>F59</f>
      </c>
      <c r="D46" s="42">
        <f>I59</f>
      </c>
      <c r="F46" s="66" t="s">
        <v>203</v>
      </c>
      <c r="G46" s="49"/>
      <c r="H46" s="49"/>
      <c r="I46" s="67">
        <v>1.074336</v>
      </c>
      <c r="J46" s="68">
        <v>0</v>
      </c>
      <c r="K46" s="147">
        <f t="shared" si="0"/>
      </c>
    </row>
    <row r="47" spans="1:24" ht="13.8" x14ac:dyDescent="0.25">
      <c r="B47" s="132"/>
      <c r="C47" s="41" t="str">
        <f>F60</f>
      </c>
      <c r="D47" s="42">
        <f>I60</f>
      </c>
      <c r="F47" s="66" t="s">
        <v>204</v>
      </c>
      <c r="I47" s="67">
        <v>0.81103099999999995</v>
      </c>
      <c r="J47" s="68">
        <v>0</v>
      </c>
      <c r="K47" s="147">
        <f t="shared" si="0"/>
      </c>
    </row>
    <row r="48" spans="1:24" ht="15.6" x14ac:dyDescent="0.3">
      <c r="A48" s="35"/>
      <c r="B48" s="132"/>
      <c r="C48" s="41" t="str">
        <f>C57</f>
      </c>
      <c r="D48" s="83">
        <f>8+22</f>
      </c>
      <c r="F48" s="66" t="s">
        <v>205</v>
      </c>
      <c r="G48" s="41"/>
      <c r="H48" s="41"/>
      <c r="I48" s="67">
        <v>3.9836100000000001</v>
      </c>
      <c r="J48" s="68">
        <v>35.11</v>
      </c>
      <c r="K48" s="147">
        <f t="shared" si="0"/>
      </c>
    </row>
    <row r="49" spans="1:22" ht="15.6" x14ac:dyDescent="0.3">
      <c r="A49" s="35"/>
      <c r="B49" s="132"/>
      <c r="C49" s="41" t="str">
        <f>C58</f>
      </c>
      <c r="D49" s="42">
        <f>D58</f>
      </c>
      <c r="F49" s="66" t="s">
        <v>206</v>
      </c>
      <c r="G49" s="41"/>
      <c r="H49" s="41"/>
      <c r="I49" s="67">
        <v>4.8868429999999998</v>
      </c>
      <c r="J49" s="68">
        <v>35</v>
      </c>
      <c r="K49" s="147">
        <f t="shared" si="0"/>
      </c>
    </row>
    <row r="50" spans="1:22" ht="15.6" x14ac:dyDescent="0.3">
      <c r="A50" s="35"/>
      <c r="B50" s="132"/>
      <c r="C50" s="59" t="s">
        <v>110</v>
      </c>
      <c r="D50" s="57">
        <f>IF(I23="Enterprise value",I38,SUM(D41,D44:D47)-SUM(D48:D49))</f>
      </c>
      <c r="F50" s="66" t="s">
        <v>127</v>
      </c>
      <c r="G50" s="41"/>
      <c r="H50" s="41"/>
      <c r="I50" s="67">
        <v>0</v>
      </c>
      <c r="J50" s="68">
        <v>0</v>
      </c>
      <c r="K50" s="147">
        <f t="shared" si="0"/>
      </c>
    </row>
    <row r="51" spans="1:22" ht="15.6" x14ac:dyDescent="0.3">
      <c r="A51" s="35"/>
      <c r="B51" s="132"/>
      <c r="C51" s="70"/>
      <c r="D51" s="56"/>
      <c r="F51" s="66" t="s">
        <v>128</v>
      </c>
      <c r="G51" s="41"/>
      <c r="H51" s="41"/>
      <c r="I51" s="67">
        <v>0</v>
      </c>
      <c r="J51" s="68">
        <v>0</v>
      </c>
      <c r="K51" s="147">
        <f t="shared" si="0"/>
      </c>
    </row>
    <row r="52" spans="1:22" ht="17.399999999999999" x14ac:dyDescent="0.25">
      <c r="A52" s="129" t="s">
        <v>129</v>
      </c>
      <c r="B52" s="129"/>
      <c r="C52" s="130"/>
      <c r="F52" s="56" t="s">
        <v>130</v>
      </c>
      <c r="I52" s="49"/>
      <c r="J52" s="49"/>
      <c r="K52" s="71">
        <f>SUM(K42:K51)</f>
      </c>
    </row>
    <row r="53" spans="1:22" ht="13.8" x14ac:dyDescent="0.25">
      <c r="B53" s="132"/>
    </row>
    <row r="54" spans="1:22" ht="13.8" x14ac:dyDescent="0.25">
      <c r="B54" s="131" t="s">
        <v>131</v>
      </c>
      <c r="D54" s="148">
        <f>D30</f>
      </c>
      <c r="E54" s="100"/>
      <c r="F54" s="100"/>
      <c r="G54" s="100"/>
      <c r="H54" s="100"/>
      <c r="I54" s="148">
        <f>D54</f>
      </c>
    </row>
    <row r="55" spans="1:22" ht="13.8" x14ac:dyDescent="0.25">
      <c r="B55" s="132"/>
      <c r="C55" s="40" t="s">
        <v>28</v>
      </c>
      <c r="D55" s="50">
        <v>215</v>
      </c>
      <c r="F55" s="40" t="s">
        <v>132</v>
      </c>
      <c r="I55" s="50">
        <f>1315+226+1</f>
      </c>
      <c r="M55" s="41"/>
      <c r="N55" s="72"/>
      <c r="O55" s="73"/>
      <c r="P55" s="73"/>
      <c r="Q55" s="73"/>
      <c r="R55" s="73"/>
      <c r="S55" s="41"/>
      <c r="T55" s="74"/>
      <c r="U55" s="74"/>
      <c r="V55" s="74"/>
    </row>
    <row r="56" spans="1:22" ht="13.8" x14ac:dyDescent="0.25">
      <c r="B56" s="132"/>
      <c r="C56" s="40" t="s">
        <v>133</v>
      </c>
      <c r="D56" s="50">
        <v>0</v>
      </c>
      <c r="F56" s="40" t="s">
        <v>134</v>
      </c>
      <c r="I56" s="45">
        <v>0</v>
      </c>
      <c r="M56" s="41"/>
      <c r="N56" s="72"/>
      <c r="O56" s="73"/>
      <c r="P56" s="73"/>
      <c r="Q56" s="73"/>
      <c r="R56" s="73"/>
      <c r="S56" s="41"/>
      <c r="T56" s="74"/>
      <c r="U56" s="74"/>
      <c r="V56" s="74"/>
    </row>
    <row r="57" spans="1:22" ht="13.8" x14ac:dyDescent="0.25">
      <c r="B57" s="132"/>
      <c r="C57" s="40" t="s">
        <v>135</v>
      </c>
      <c r="D57" s="75">
        <v>0</v>
      </c>
      <c r="F57" s="40" t="s">
        <v>136</v>
      </c>
      <c r="I57" s="54">
        <f>2807-I55</f>
      </c>
      <c r="M57" s="41"/>
      <c r="N57" s="41"/>
      <c r="O57" s="41"/>
      <c r="P57" s="41"/>
      <c r="Q57" s="41"/>
      <c r="R57" s="41"/>
      <c r="S57" s="36"/>
    </row>
    <row r="58" spans="1:22" ht="13.8" x14ac:dyDescent="0.25">
      <c r="B58" s="132"/>
      <c r="C58" s="40" t="s">
        <v>137</v>
      </c>
      <c r="D58" s="75">
        <v>0</v>
      </c>
      <c r="F58" s="40" t="s">
        <v>138</v>
      </c>
      <c r="I58" s="45">
        <v>1081</v>
      </c>
      <c r="J58" s="110"/>
      <c r="M58" s="41"/>
      <c r="N58" s="41"/>
      <c r="O58" s="41"/>
      <c r="P58" s="41"/>
      <c r="Q58" s="41"/>
      <c r="R58" s="41"/>
      <c r="S58" s="76"/>
    </row>
    <row r="59" spans="1:22" ht="13.8" x14ac:dyDescent="0.25">
      <c r="B59" s="132"/>
      <c r="C59" s="40" t="s">
        <v>139</v>
      </c>
      <c r="D59" s="75">
        <f>951-D55+2918+22</f>
      </c>
      <c r="F59" s="40" t="s">
        <v>140</v>
      </c>
      <c r="I59" s="45">
        <v>0</v>
      </c>
      <c r="J59" s="77"/>
    </row>
    <row r="60" spans="1:22" ht="13.8" x14ac:dyDescent="0.25">
      <c r="B60" s="132"/>
      <c r="F60" s="40" t="s">
        <v>141</v>
      </c>
      <c r="I60" s="45">
        <v>3</v>
      </c>
      <c r="J60" s="77"/>
    </row>
    <row r="61" spans="1:22" ht="13.8" x14ac:dyDescent="0.25">
      <c r="B61" s="132"/>
      <c r="C61" s="78" t="s">
        <v>142</v>
      </c>
      <c r="D61" s="49">
        <f>SUM(D55:D59)</f>
      </c>
      <c r="F61" s="78" t="s">
        <v>143</v>
      </c>
      <c r="I61" s="49">
        <f>SUM(I55:I60)</f>
      </c>
      <c r="J61" s="77"/>
    </row>
    <row r="62" spans="1:22" ht="13.8" x14ac:dyDescent="0.25">
      <c r="B62" s="132"/>
      <c r="C62" s="79" t="s">
        <v>144</v>
      </c>
      <c r="D62" s="80" t="str">
        <f>IF(D61=I61,"OK",D61-I61)</f>
      </c>
      <c r="J62" s="77"/>
    </row>
    <row r="63" spans="1:22" ht="13.8" x14ac:dyDescent="0.25">
      <c r="B63" s="132"/>
      <c r="J63" s="81"/>
    </row>
    <row r="64" spans="1:22" ht="13.8" x14ac:dyDescent="0.25">
      <c r="B64" s="132" t="s">
        <v>145</v>
      </c>
      <c r="D64" s="149">
        <f>YEAR($D$29)</f>
      </c>
      <c r="E64" s="148" t="str">
        <f>YEAR($D$30)-1&amp;" "&amp;$D$32&amp;"Q"</f>
      </c>
      <c r="F64" s="148" t="str">
        <f>YEAR($D$30)&amp;" "&amp;$D$32&amp;"Q"</f>
      </c>
      <c r="G64" s="148" t="s">
        <v>16</v>
      </c>
    </row>
    <row r="65" spans="2:7" x14ac:dyDescent="0.25">
      <c r="B65" s="41"/>
      <c r="C65" s="41" t="s">
        <v>76</v>
      </c>
      <c r="D65" s="50">
        <v>2644</v>
      </c>
      <c r="E65" s="50">
        <v>1283</v>
      </c>
      <c r="F65" s="50">
        <v>1411</v>
      </c>
      <c r="G65" s="40">
        <f>D65-E65+F65</f>
      </c>
    </row>
    <row r="67" spans="2:7" x14ac:dyDescent="0.25">
      <c r="B67" s="41"/>
      <c r="C67" s="41" t="s">
        <v>146</v>
      </c>
      <c r="D67" s="83">
        <v>429</v>
      </c>
      <c r="E67" s="83">
        <v>207</v>
      </c>
      <c r="F67" s="91">
        <v>259</v>
      </c>
    </row>
    <row r="68" spans="2:7" x14ac:dyDescent="0.25">
      <c r="B68" s="41"/>
      <c r="C68" s="85" t="s">
        <v>207</v>
      </c>
      <c r="D68" s="50">
        <f>19</f>
      </c>
      <c r="E68" s="97">
        <v>4</v>
      </c>
      <c r="F68" s="97">
        <v>0</v>
      </c>
    </row>
    <row r="69" spans="2:7" x14ac:dyDescent="0.25">
      <c r="B69" s="41"/>
      <c r="C69" s="85" t="s">
        <v>208</v>
      </c>
      <c r="D69" s="50">
        <v>-26</v>
      </c>
      <c r="E69" s="50">
        <v>-2</v>
      </c>
      <c r="F69" s="50">
        <v>-8</v>
      </c>
    </row>
    <row r="70" spans="2:7" x14ac:dyDescent="0.25">
      <c r="B70" s="41"/>
      <c r="C70" s="85" t="s">
        <v>164</v>
      </c>
      <c r="D70" s="50">
        <v>0</v>
      </c>
      <c r="E70" s="50">
        <v>0</v>
      </c>
      <c r="F70" s="50">
        <v>0</v>
      </c>
    </row>
    <row r="71" spans="2:7" x14ac:dyDescent="0.25">
      <c r="B71" s="41"/>
      <c r="C71" s="85" t="s">
        <v>165</v>
      </c>
      <c r="D71" s="50">
        <v>0</v>
      </c>
      <c r="E71" s="50">
        <v>0</v>
      </c>
      <c r="F71" s="50">
        <v>0</v>
      </c>
    </row>
    <row r="72" spans="2:7" x14ac:dyDescent="0.25">
      <c r="B72" s="41"/>
      <c r="C72" s="85" t="s">
        <v>166</v>
      </c>
      <c r="D72" s="50">
        <v>0</v>
      </c>
      <c r="E72" s="50">
        <v>0</v>
      </c>
      <c r="F72" s="50">
        <v>0</v>
      </c>
    </row>
    <row r="73" spans="2:7" x14ac:dyDescent="0.25">
      <c r="B73" s="41"/>
      <c r="C73" s="85" t="s">
        <v>152</v>
      </c>
      <c r="D73" s="50">
        <v>0</v>
      </c>
      <c r="E73" s="50">
        <v>0</v>
      </c>
      <c r="F73" s="50">
        <v>0</v>
      </c>
    </row>
    <row r="74" spans="2:7" x14ac:dyDescent="0.25">
      <c r="B74" s="41"/>
      <c r="C74" s="85" t="s">
        <v>153</v>
      </c>
      <c r="D74" s="50">
        <v>0</v>
      </c>
      <c r="E74" s="50">
        <v>0</v>
      </c>
      <c r="F74" s="50">
        <v>0</v>
      </c>
    </row>
    <row r="75" spans="2:7" x14ac:dyDescent="0.25">
      <c r="B75" s="41"/>
      <c r="C75" s="85" t="s">
        <v>154</v>
      </c>
      <c r="D75" s="50">
        <v>0</v>
      </c>
      <c r="E75" s="50">
        <v>0</v>
      </c>
      <c r="F75" s="50">
        <v>0</v>
      </c>
    </row>
    <row r="76" spans="2:7" x14ac:dyDescent="0.25">
      <c r="B76" s="41"/>
      <c r="C76" s="86" t="s">
        <v>78</v>
      </c>
      <c r="D76" s="41">
        <f>SUM(D67:D75)</f>
      </c>
      <c r="E76" s="41">
        <f>SUM(E67:E75)</f>
      </c>
      <c r="F76" s="41">
        <f>SUM(F67:F75)</f>
      </c>
      <c r="G76" s="40">
        <f>D76-E76+F76</f>
      </c>
    </row>
    <row r="77" spans="2:7" x14ac:dyDescent="0.25">
      <c r="B77" s="41"/>
    </row>
    <row r="78" spans="2:7" x14ac:dyDescent="0.25">
      <c r="B78" s="41"/>
      <c r="C78" s="41" t="s">
        <v>155</v>
      </c>
      <c r="D78" s="50">
        <f>39+15</f>
      </c>
      <c r="E78" s="50">
        <f>22+6</f>
      </c>
      <c r="F78" s="50">
        <f>26+9</f>
      </c>
      <c r="G78" s="40">
        <f>D78-E78+F78</f>
      </c>
    </row>
    <row r="79" spans="2:7" x14ac:dyDescent="0.25">
      <c r="B79" s="41"/>
      <c r="C79" s="86" t="s">
        <v>19</v>
      </c>
      <c r="D79" s="41">
        <f>D76+D78</f>
      </c>
      <c r="E79" s="41">
        <f>E76+E78</f>
      </c>
      <c r="F79" s="41">
        <f>F76+F78</f>
      </c>
      <c r="G79" s="40">
        <f>D79-E79+F79</f>
      </c>
    </row>
    <row r="80" spans="2:7" x14ac:dyDescent="0.25">
      <c r="B80" s="41"/>
    </row>
  </sheetData>
  <conditionalFormatting sqref="D41:D49 I42:J51">
    <cfRule type="expression" dxfId="35" priority="6" stopIfTrue="1">
      <formula>$I$23="Enterprise value"</formula>
    </cfRule>
  </conditionalFormatting>
  <conditionalFormatting sqref="F24:F31 F33 F40:H46 K40:K51 I41:J41 C41:C49 F52:K52">
    <cfRule type="expression" dxfId="34" priority="7" stopIfTrue="1">
      <formula>$I$23="Enterprise value"</formula>
    </cfRule>
  </conditionalFormatting>
  <conditionalFormatting sqref="F35:F38">
    <cfRule type="expression" dxfId="33" priority="8" stopIfTrue="1">
      <formula>$I$23="Share price"</formula>
    </cfRule>
  </conditionalFormatting>
  <conditionalFormatting sqref="F47:F51">
    <cfRule type="expression" dxfId="32" priority="1" stopIfTrue="1">
      <formula>$I$23="Enterprise value"</formula>
    </cfRule>
  </conditionalFormatting>
  <conditionalFormatting sqref="I25:I33">
    <cfRule type="expression" dxfId="31" priority="5" stopIfTrue="1">
      <formula>$I$23="Enterprise value"</formula>
    </cfRule>
  </conditionalFormatting>
  <conditionalFormatting sqref="I36:I38">
    <cfRule type="expression" dxfId="30" priority="4" stopIfTrue="1">
      <formula>$I$23="Share price"</formula>
    </cfRule>
  </conditionalFormatting>
  <conditionalFormatting sqref="I40:J40">
    <cfRule type="expression" dxfId="29" priority="3" stopIfTrue="1">
      <formula>$I$23="Enterprise value"</formula>
    </cfRule>
  </conditionalFormatting>
  <dataValidations count="3">
    <dataValidation type="list" allowBlank="1" showInputMessage="1" showErrorMessage="1" sqref="I23" xr:uid="{00000000-0002-0000-0C00-000000000000}">
      <formula1>"Share price,Enterprise value"</formula1>
    </dataValidation>
    <dataValidation type="list" allowBlank="1" showInputMessage="1" showErrorMessage="1" prompt="Input 1, 2 or 3 to indicate which quarter data has been spread. Leave blank if annual data." sqref="D32" xr:uid="{00000000-0002-0000-0C00-000001000000}">
      <formula1>"1,2,3,,"</formula1>
    </dataValidation>
    <dataValidation type="list" allowBlank="1" showInputMessage="1" showErrorMessage="1" sqref="D31" xr:uid="{00000000-0002-0000-0C00-000002000000}">
      <formula1>"10K,10Q,8K,Annual,Interim"</formula1>
    </dataValidation>
  </dataValidations>
  <pageMargins left="0.74803149606299213" right="0.74803149606299213" top="0.98425196850393704" bottom="0.98425196850393704" header="0.51181102362204722" footer="0.51181102362204722"/>
  <pageSetup paperSize="9" scale="63" orientation="portrait" r:id="rId1"/>
  <headerFooter alignWithMargins="0">
    <oddFooter>&amp;R&amp;8&amp;P of &amp;N</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3">
    <pageSetUpPr fitToPage="1"/>
  </sheetPr>
  <dimension ref="A1:X80"/>
  <sheetViews>
    <sheetView showGridLines="0" zoomScaleNormal="100" workbookViewId="0"/>
  </sheetViews>
  <sheetFormatPr defaultColWidth="9" defaultRowHeight="13.2" x14ac:dyDescent="0.25"/>
  <cols>
    <col min="1" max="2" width="1.77734375" style="40" customWidth="1"/>
    <col min="3" max="3" width="40.77734375" style="40" customWidth="1"/>
    <col min="4" max="4" width="12" style="40" customWidth="1"/>
    <col min="5" max="8" width="11.21875" style="40" customWidth="1"/>
    <col min="9" max="9" width="15.77734375" style="40" bestFit="1" customWidth="1"/>
    <col min="10" max="11" width="11.44140625" style="40" bestFit="1" customWidth="1"/>
    <col min="12" max="13" width="9" style="40"/>
    <col min="14" max="14" width="19.44140625" style="40" customWidth="1"/>
    <col min="15" max="15" width="11.21875" style="40" bestFit="1" customWidth="1"/>
    <col min="16" max="16" width="9.5546875" style="40" bestFit="1" customWidth="1"/>
    <col min="17" max="19" width="9.21875" style="40" bestFit="1" customWidth="1"/>
    <col min="20" max="20" width="11.21875" style="40" bestFit="1" customWidth="1"/>
    <col min="21" max="21" width="9.5546875" style="40" bestFit="1" customWidth="1"/>
    <col min="22" max="22" width="14.44140625" style="40" bestFit="1" customWidth="1"/>
    <col min="23" max="24" width="14.77734375" style="40" bestFit="1" customWidth="1"/>
    <col min="25" max="16384" width="9" style="40"/>
  </cols>
  <sheetData>
    <row r="1" spans="1:14" s="151" customFormat="1" ht="17.399999999999999" x14ac:dyDescent="0.3">
      <c r="A1" s="120" t="str">
        <f>"Comparable transactions analysis - "&amp;D23&amp;" / "&amp;D24</f>
      </c>
      <c r="B1" s="120"/>
      <c r="C1" s="121"/>
      <c r="D1" s="121"/>
      <c r="E1" s="121"/>
      <c r="F1" s="121"/>
      <c r="G1" s="121"/>
      <c r="H1" s="121"/>
      <c r="I1" s="121"/>
      <c r="J1" s="121"/>
      <c r="K1" s="121"/>
      <c r="L1" s="121"/>
      <c r="M1" s="122"/>
      <c r="N1" s="122"/>
    </row>
    <row r="2" spans="1:14" s="151" customFormat="1" ht="18" thickBot="1" x14ac:dyDescent="0.35">
      <c r="A2" s="128" t="str">
        <f>"Input sheet (all numbers in millions "&amp;D27&amp;" unless otherwise stated)"</f>
      </c>
      <c r="B2" s="127"/>
      <c r="C2" s="127"/>
      <c r="D2" s="127"/>
      <c r="E2" s="127"/>
      <c r="F2" s="127"/>
      <c r="G2" s="127"/>
      <c r="H2" s="127"/>
      <c r="I2" s="127"/>
      <c r="J2" s="127"/>
      <c r="K2" s="127"/>
      <c r="L2" s="127"/>
      <c r="M2" s="127"/>
      <c r="N2" s="152"/>
    </row>
    <row r="3" spans="1:14" ht="13.8" thickTop="1" x14ac:dyDescent="0.25">
      <c r="B3" s="41"/>
    </row>
    <row r="4" spans="1:14" ht="17.399999999999999" x14ac:dyDescent="0.25">
      <c r="A4" s="129" t="s">
        <v>72</v>
      </c>
      <c r="B4" s="129"/>
      <c r="C4" s="130"/>
    </row>
    <row r="5" spans="1:14" ht="13.8" x14ac:dyDescent="0.25">
      <c r="B5" s="131" t="s">
        <v>73</v>
      </c>
      <c r="C5" s="41"/>
    </row>
    <row r="6" spans="1:14" ht="13.8" x14ac:dyDescent="0.25">
      <c r="B6" s="131"/>
      <c r="C6" s="41" t="str">
        <f>F25</f>
      </c>
      <c r="D6" s="37" t="str">
        <f>IF(Driver="Enterprise value","na",I25)</f>
      </c>
    </row>
    <row r="7" spans="1:14" ht="13.8" x14ac:dyDescent="0.25">
      <c r="B7" s="131"/>
      <c r="C7" s="41" t="s">
        <v>27</v>
      </c>
      <c r="D7" s="38" t="str">
        <f>IF(OR(Driver="Enterprise Value",I25=0),"na",I25/I26-1)</f>
      </c>
    </row>
    <row r="8" spans="1:14" ht="13.8" x14ac:dyDescent="0.25">
      <c r="B8" s="132"/>
      <c r="C8" s="133" t="str">
        <f>C41</f>
      </c>
      <c r="D8" s="39" t="str">
        <f>IF(Driver="Enterprise value","na",I33*FX)</f>
      </c>
      <c r="E8" s="41"/>
      <c r="F8" s="134"/>
    </row>
    <row r="9" spans="1:14" ht="13.8" x14ac:dyDescent="0.25">
      <c r="B9" s="132"/>
      <c r="C9" s="133" t="str">
        <f>C50</f>
      </c>
      <c r="D9" s="135">
        <f>D50*FX</f>
      </c>
    </row>
    <row r="10" spans="1:14" ht="13.8" x14ac:dyDescent="0.25">
      <c r="B10" s="132"/>
      <c r="C10" s="133"/>
    </row>
    <row r="11" spans="1:14" ht="13.8" x14ac:dyDescent="0.25">
      <c r="B11" s="131" t="s">
        <v>74</v>
      </c>
      <c r="C11" s="133"/>
      <c r="D11" s="136" t="s">
        <v>16</v>
      </c>
      <c r="E11" s="136" t="s">
        <v>75</v>
      </c>
    </row>
    <row r="12" spans="1:14" ht="13.8" x14ac:dyDescent="0.25">
      <c r="B12" s="132"/>
      <c r="C12" s="41" t="s">
        <v>76</v>
      </c>
      <c r="D12" s="42">
        <f>G65*FX</f>
      </c>
      <c r="E12" s="137" t="s">
        <v>77</v>
      </c>
    </row>
    <row r="13" spans="1:14" ht="13.8" x14ac:dyDescent="0.25">
      <c r="B13" s="132"/>
      <c r="C13" s="43" t="s">
        <v>78</v>
      </c>
      <c r="D13" s="42">
        <f>G76*FX</f>
      </c>
      <c r="E13" s="138">
        <f>D13/D12</f>
      </c>
    </row>
    <row r="14" spans="1:14" ht="13.8" x14ac:dyDescent="0.25">
      <c r="B14" s="132"/>
      <c r="C14" s="43" t="s">
        <v>19</v>
      </c>
      <c r="D14" s="42">
        <f>G79*FX</f>
      </c>
      <c r="E14" s="138">
        <f>D14/D12</f>
      </c>
    </row>
    <row r="15" spans="1:14" ht="13.8" x14ac:dyDescent="0.25">
      <c r="B15" s="139"/>
      <c r="D15" s="140"/>
    </row>
    <row r="16" spans="1:14" ht="13.8" x14ac:dyDescent="0.25">
      <c r="B16" s="131" t="s">
        <v>79</v>
      </c>
    </row>
    <row r="17" spans="1:24" x14ac:dyDescent="0.25">
      <c r="C17" s="40" t="s">
        <v>80</v>
      </c>
      <c r="D17" s="44">
        <f>$D$9/D12</f>
      </c>
    </row>
    <row r="18" spans="1:24" x14ac:dyDescent="0.25">
      <c r="C18" s="40" t="s">
        <v>81</v>
      </c>
      <c r="D18" s="44" t="e">
        <f>$D$9/D13</f>
      </c>
    </row>
    <row r="19" spans="1:24" x14ac:dyDescent="0.25">
      <c r="C19" s="40" t="s">
        <v>21</v>
      </c>
      <c r="D19" s="44">
        <f>$D$9/D14</f>
      </c>
    </row>
    <row r="20" spans="1:24" x14ac:dyDescent="0.25">
      <c r="D20" s="140"/>
    </row>
    <row r="21" spans="1:24" ht="17.399999999999999" x14ac:dyDescent="0.25">
      <c r="A21" s="129" t="s">
        <v>82</v>
      </c>
      <c r="B21" s="129"/>
      <c r="C21" s="130"/>
      <c r="I21" s="141"/>
    </row>
    <row r="22" spans="1:24" ht="13.8" x14ac:dyDescent="0.25">
      <c r="A22" s="36"/>
      <c r="B22" s="131" t="s">
        <v>83</v>
      </c>
      <c r="C22" s="41"/>
      <c r="D22" s="41"/>
      <c r="F22" s="131" t="s">
        <v>84</v>
      </c>
    </row>
    <row r="23" spans="1:24" ht="13.8" x14ac:dyDescent="0.25">
      <c r="B23" s="132"/>
      <c r="C23" s="41" t="s">
        <v>85</v>
      </c>
      <c r="D23" s="54" t="s">
        <v>167</v>
      </c>
      <c r="E23" s="41"/>
      <c r="F23" s="40" t="s">
        <v>86</v>
      </c>
      <c r="I23" s="45" t="s">
        <v>113</v>
      </c>
    </row>
    <row r="24" spans="1:24" ht="13.8" x14ac:dyDescent="0.25">
      <c r="B24" s="132"/>
      <c r="C24" s="41" t="s">
        <v>88</v>
      </c>
      <c r="D24" s="98" t="s">
        <v>209</v>
      </c>
      <c r="E24" s="41"/>
      <c r="F24" s="36" t="s">
        <v>90</v>
      </c>
    </row>
    <row r="25" spans="1:24" ht="13.8" x14ac:dyDescent="0.25">
      <c r="B25" s="132"/>
      <c r="C25" s="41" t="s">
        <v>91</v>
      </c>
      <c r="D25" s="46">
        <v>39266</v>
      </c>
      <c r="E25" s="41"/>
      <c r="F25" s="41" t="s">
        <v>92</v>
      </c>
      <c r="I25" s="47">
        <v>0</v>
      </c>
    </row>
    <row r="26" spans="1:24" ht="13.8" x14ac:dyDescent="0.25">
      <c r="B26" s="132"/>
      <c r="C26" s="133" t="s">
        <v>93</v>
      </c>
      <c r="D26" s="46">
        <v>39416</v>
      </c>
      <c r="E26" s="41"/>
      <c r="F26" s="133" t="s">
        <v>94</v>
      </c>
      <c r="I26" s="47">
        <v>0</v>
      </c>
      <c r="W26" s="49"/>
      <c r="X26" s="49"/>
    </row>
    <row r="27" spans="1:24" ht="13.8" x14ac:dyDescent="0.25">
      <c r="B27" s="132"/>
      <c r="C27" s="133" t="s">
        <v>10</v>
      </c>
      <c r="D27" s="50" t="s">
        <v>11</v>
      </c>
      <c r="E27" s="41"/>
      <c r="F27" s="133" t="s">
        <v>95</v>
      </c>
      <c r="I27" s="47">
        <v>0</v>
      </c>
      <c r="W27" s="49"/>
      <c r="X27" s="49"/>
    </row>
    <row r="28" spans="1:24" ht="13.8" x14ac:dyDescent="0.25">
      <c r="B28" s="132"/>
      <c r="C28" s="133" t="s">
        <v>96</v>
      </c>
      <c r="D28" s="51">
        <v>1</v>
      </c>
      <c r="E28" s="41"/>
      <c r="F28" s="133" t="s">
        <v>97</v>
      </c>
      <c r="I28" s="47">
        <v>0</v>
      </c>
      <c r="W28" s="49"/>
      <c r="X28" s="49"/>
    </row>
    <row r="29" spans="1:24" ht="13.8" x14ac:dyDescent="0.25">
      <c r="B29" s="132"/>
      <c r="C29" s="133" t="s">
        <v>98</v>
      </c>
      <c r="D29" s="53">
        <v>39082</v>
      </c>
      <c r="E29" s="41"/>
      <c r="F29" s="41" t="s">
        <v>99</v>
      </c>
      <c r="I29" s="60">
        <v>0</v>
      </c>
      <c r="W29" s="49"/>
      <c r="X29" s="49"/>
    </row>
    <row r="30" spans="1:24" ht="13.8" x14ac:dyDescent="0.25">
      <c r="B30" s="132"/>
      <c r="C30" s="133" t="s">
        <v>100</v>
      </c>
      <c r="D30" s="53">
        <v>39082</v>
      </c>
      <c r="E30" s="41"/>
      <c r="F30" s="41" t="s">
        <v>101</v>
      </c>
      <c r="I30" s="42" t="e">
        <f>K52</f>
      </c>
      <c r="W30" s="49"/>
      <c r="X30" s="49"/>
    </row>
    <row r="31" spans="1:24" ht="13.8" x14ac:dyDescent="0.25">
      <c r="B31" s="132"/>
      <c r="C31" s="133" t="s">
        <v>102</v>
      </c>
      <c r="D31" s="50" t="s">
        <v>198</v>
      </c>
      <c r="E31" s="41"/>
      <c r="F31" s="41" t="s">
        <v>104</v>
      </c>
      <c r="I31" s="42" t="e">
        <f>I29+I30</f>
      </c>
      <c r="W31" s="49"/>
      <c r="X31" s="49"/>
    </row>
    <row r="32" spans="1:24" ht="13.8" x14ac:dyDescent="0.25">
      <c r="B32" s="132"/>
      <c r="C32" s="133" t="s">
        <v>105</v>
      </c>
      <c r="D32" s="55"/>
      <c r="E32" s="56"/>
      <c r="F32" s="40" t="s">
        <v>106</v>
      </c>
      <c r="I32" s="143">
        <v>0</v>
      </c>
      <c r="W32" s="49"/>
      <c r="X32" s="49"/>
    </row>
    <row r="33" spans="1:24" ht="13.8" x14ac:dyDescent="0.25">
      <c r="B33" s="132"/>
      <c r="E33" s="56"/>
      <c r="F33" s="49" t="s">
        <v>107</v>
      </c>
      <c r="I33" s="57" t="e">
        <f>I25*I31+I32</f>
      </c>
      <c r="W33" s="49"/>
      <c r="X33" s="49"/>
    </row>
    <row r="34" spans="1:24" ht="13.8" x14ac:dyDescent="0.25">
      <c r="B34" s="132"/>
      <c r="C34" s="133" t="s">
        <v>108</v>
      </c>
      <c r="D34" s="145">
        <v>1</v>
      </c>
      <c r="E34" s="56"/>
      <c r="W34" s="49"/>
      <c r="X34" s="49"/>
    </row>
    <row r="35" spans="1:24" ht="13.8" x14ac:dyDescent="0.25">
      <c r="B35" s="132"/>
      <c r="C35" s="133" t="s">
        <v>109</v>
      </c>
      <c r="D35" s="138">
        <f>1-D34</f>
      </c>
      <c r="E35" s="56"/>
      <c r="F35" s="131" t="s">
        <v>90</v>
      </c>
      <c r="W35" s="49"/>
      <c r="X35" s="49"/>
    </row>
    <row r="36" spans="1:24" ht="13.8" x14ac:dyDescent="0.25">
      <c r="B36" s="132"/>
      <c r="E36" s="56"/>
      <c r="F36" s="58" t="s">
        <v>110</v>
      </c>
      <c r="G36" s="59"/>
      <c r="H36" s="49"/>
      <c r="I36" s="60">
        <v>7200</v>
      </c>
      <c r="W36" s="49"/>
      <c r="X36" s="49"/>
    </row>
    <row r="37" spans="1:24" ht="13.8" x14ac:dyDescent="0.25">
      <c r="B37" s="132"/>
      <c r="E37" s="56"/>
      <c r="F37" s="58" t="s">
        <v>111</v>
      </c>
      <c r="G37" s="59"/>
      <c r="H37" s="49"/>
      <c r="I37" s="60">
        <v>0</v>
      </c>
      <c r="W37" s="49"/>
      <c r="X37" s="49"/>
    </row>
    <row r="38" spans="1:24" ht="13.8" x14ac:dyDescent="0.25">
      <c r="B38" s="132"/>
      <c r="E38" s="56"/>
      <c r="F38" s="61" t="s">
        <v>112</v>
      </c>
      <c r="G38" s="59"/>
      <c r="H38" s="49"/>
      <c r="I38" s="62">
        <f>SUM(I36:I37)</f>
      </c>
      <c r="W38" s="49"/>
      <c r="X38" s="49"/>
    </row>
    <row r="39" spans="1:24" ht="13.8" x14ac:dyDescent="0.25">
      <c r="B39" s="132"/>
      <c r="E39" s="56"/>
      <c r="F39" s="133"/>
      <c r="G39" s="133"/>
      <c r="I39" s="41"/>
      <c r="W39" s="49"/>
      <c r="X39" s="49"/>
    </row>
    <row r="40" spans="1:24" ht="13.8" x14ac:dyDescent="0.25">
      <c r="B40" s="131" t="s">
        <v>113</v>
      </c>
      <c r="F40" s="131" t="s">
        <v>114</v>
      </c>
      <c r="I40" s="146">
        <f>YEAR($D$29)</f>
      </c>
      <c r="J40" s="146">
        <f>YEAR($D$29)</f>
      </c>
    </row>
    <row r="41" spans="1:24" ht="13.8" x14ac:dyDescent="0.25">
      <c r="A41" s="49"/>
      <c r="B41" s="131"/>
      <c r="C41" s="64" t="s">
        <v>107</v>
      </c>
      <c r="D41" s="57" t="e">
        <f>I33</f>
      </c>
      <c r="E41" s="49"/>
      <c r="I41" s="65" t="s">
        <v>115</v>
      </c>
      <c r="J41" s="65" t="s">
        <v>116</v>
      </c>
      <c r="K41" s="65" t="s">
        <v>117</v>
      </c>
    </row>
    <row r="42" spans="1:24" ht="13.8" x14ac:dyDescent="0.25">
      <c r="B42" s="132"/>
      <c r="C42" s="40" t="str">
        <f>F55</f>
      </c>
      <c r="D42" s="42">
        <f>I55</f>
      </c>
      <c r="F42" s="66" t="s">
        <v>187</v>
      </c>
      <c r="I42" s="67">
        <v>0</v>
      </c>
      <c r="J42" s="68">
        <v>0</v>
      </c>
      <c r="K42" s="147" t="e">
        <f t="shared" ref="K42:K51" si="0">MAX(($I$25-J42)/$I$25*I42,0)</f>
      </c>
    </row>
    <row r="43" spans="1:24" ht="13.8" x14ac:dyDescent="0.25">
      <c r="B43" s="132"/>
      <c r="C43" s="41" t="str">
        <f>C55&amp;" and "&amp;LOWER(C56)</f>
      </c>
      <c r="D43" s="42">
        <f>D55+D56</f>
      </c>
      <c r="F43" s="66" t="s">
        <v>188</v>
      </c>
      <c r="I43" s="67">
        <v>0</v>
      </c>
      <c r="J43" s="68">
        <v>0</v>
      </c>
      <c r="K43" s="147" t="e">
        <f t="shared" si="0"/>
      </c>
    </row>
    <row r="44" spans="1:24" ht="13.8" x14ac:dyDescent="0.25">
      <c r="B44" s="132"/>
      <c r="C44" s="69" t="s">
        <v>120</v>
      </c>
      <c r="D44" s="57">
        <f>D42-D43</f>
      </c>
      <c r="F44" s="66" t="s">
        <v>168</v>
      </c>
      <c r="I44" s="67">
        <v>0</v>
      </c>
      <c r="J44" s="68">
        <v>0</v>
      </c>
      <c r="K44" s="147" t="e">
        <f t="shared" si="0"/>
      </c>
    </row>
    <row r="45" spans="1:24" ht="13.8" x14ac:dyDescent="0.25">
      <c r="B45" s="132"/>
      <c r="C45" s="41" t="str">
        <f>F56</f>
      </c>
      <c r="D45" s="92">
        <f>I56</f>
      </c>
      <c r="F45" s="66" t="s">
        <v>161</v>
      </c>
      <c r="G45" s="49"/>
      <c r="H45" s="49"/>
      <c r="I45" s="67">
        <v>0</v>
      </c>
      <c r="J45" s="68">
        <v>0</v>
      </c>
      <c r="K45" s="147" t="e">
        <f t="shared" si="0"/>
      </c>
    </row>
    <row r="46" spans="1:24" ht="13.8" x14ac:dyDescent="0.25">
      <c r="B46" s="132"/>
      <c r="C46" s="41" t="str">
        <f>F59</f>
      </c>
      <c r="D46" s="42">
        <f>I59</f>
      </c>
      <c r="F46" s="66" t="s">
        <v>123</v>
      </c>
      <c r="G46" s="49"/>
      <c r="H46" s="49"/>
      <c r="I46" s="67">
        <v>0</v>
      </c>
      <c r="J46" s="68">
        <v>0</v>
      </c>
      <c r="K46" s="147" t="e">
        <f t="shared" si="0"/>
      </c>
    </row>
    <row r="47" spans="1:24" ht="13.8" x14ac:dyDescent="0.25">
      <c r="B47" s="132"/>
      <c r="C47" s="41" t="str">
        <f>F60</f>
      </c>
      <c r="D47" s="42">
        <f>I60</f>
      </c>
      <c r="F47" s="66" t="s">
        <v>124</v>
      </c>
      <c r="I47" s="67">
        <v>0</v>
      </c>
      <c r="J47" s="68">
        <v>0</v>
      </c>
      <c r="K47" s="147" t="e">
        <f t="shared" si="0"/>
      </c>
    </row>
    <row r="48" spans="1:24" ht="15.6" x14ac:dyDescent="0.3">
      <c r="A48" s="35"/>
      <c r="B48" s="132"/>
      <c r="C48" s="41" t="str">
        <f>C57</f>
      </c>
      <c r="D48" s="83">
        <f>D57</f>
      </c>
      <c r="F48" s="66" t="s">
        <v>125</v>
      </c>
      <c r="G48" s="41"/>
      <c r="H48" s="41"/>
      <c r="I48" s="67">
        <v>0</v>
      </c>
      <c r="J48" s="68">
        <v>0</v>
      </c>
      <c r="K48" s="147" t="e">
        <f t="shared" si="0"/>
      </c>
    </row>
    <row r="49" spans="1:22" ht="15.6" x14ac:dyDescent="0.3">
      <c r="A49" s="35"/>
      <c r="B49" s="132"/>
      <c r="C49" s="41" t="str">
        <f>C58</f>
      </c>
      <c r="D49" s="42">
        <f>D58</f>
      </c>
      <c r="F49" s="66" t="s">
        <v>126</v>
      </c>
      <c r="G49" s="41"/>
      <c r="H49" s="41"/>
      <c r="I49" s="67">
        <v>0</v>
      </c>
      <c r="J49" s="68">
        <v>0</v>
      </c>
      <c r="K49" s="147" t="e">
        <f t="shared" si="0"/>
      </c>
    </row>
    <row r="50" spans="1:22" ht="15.6" x14ac:dyDescent="0.3">
      <c r="A50" s="35"/>
      <c r="B50" s="132"/>
      <c r="C50" s="59" t="s">
        <v>110</v>
      </c>
      <c r="D50" s="57">
        <f>IF(I23="Enterprise value",I38,SUM(D41,D44:D47)-SUM(D48:D49))</f>
      </c>
      <c r="F50" s="66" t="s">
        <v>127</v>
      </c>
      <c r="G50" s="41"/>
      <c r="H50" s="41"/>
      <c r="I50" s="67">
        <v>0</v>
      </c>
      <c r="J50" s="68">
        <v>0</v>
      </c>
      <c r="K50" s="147" t="e">
        <f t="shared" si="0"/>
      </c>
    </row>
    <row r="51" spans="1:22" ht="15.6" x14ac:dyDescent="0.3">
      <c r="A51" s="35"/>
      <c r="B51" s="132"/>
      <c r="C51" s="70"/>
      <c r="D51" s="56"/>
      <c r="F51" s="66" t="s">
        <v>128</v>
      </c>
      <c r="G51" s="41"/>
      <c r="H51" s="41"/>
      <c r="I51" s="67">
        <v>0</v>
      </c>
      <c r="J51" s="68">
        <v>0</v>
      </c>
      <c r="K51" s="147" t="e">
        <f t="shared" si="0"/>
      </c>
    </row>
    <row r="52" spans="1:22" ht="17.399999999999999" x14ac:dyDescent="0.25">
      <c r="A52" s="129" t="s">
        <v>129</v>
      </c>
      <c r="B52" s="129"/>
      <c r="C52" s="130"/>
      <c r="F52" s="56" t="s">
        <v>130</v>
      </c>
      <c r="I52" s="49"/>
      <c r="J52" s="49"/>
      <c r="K52" s="71" t="e">
        <f>SUM(K42:K51)</f>
      </c>
    </row>
    <row r="53" spans="1:22" ht="13.8" x14ac:dyDescent="0.25">
      <c r="B53" s="132"/>
    </row>
    <row r="54" spans="1:22" ht="13.8" x14ac:dyDescent="0.25">
      <c r="B54" s="131" t="s">
        <v>131</v>
      </c>
      <c r="D54" s="148">
        <f>D30</f>
      </c>
      <c r="E54" s="100"/>
      <c r="F54" s="100"/>
      <c r="G54" s="100"/>
      <c r="H54" s="100"/>
      <c r="I54" s="148">
        <f>D54</f>
      </c>
    </row>
    <row r="55" spans="1:22" ht="13.8" x14ac:dyDescent="0.25">
      <c r="B55" s="132"/>
      <c r="C55" s="40" t="s">
        <v>28</v>
      </c>
      <c r="D55" s="50">
        <v>0</v>
      </c>
      <c r="F55" s="40" t="s">
        <v>132</v>
      </c>
      <c r="I55" s="50">
        <v>0</v>
      </c>
      <c r="M55" s="41"/>
      <c r="N55" s="72"/>
      <c r="O55" s="73"/>
      <c r="P55" s="73"/>
      <c r="Q55" s="73"/>
      <c r="R55" s="73"/>
      <c r="S55" s="41"/>
      <c r="T55" s="74"/>
      <c r="U55" s="74"/>
      <c r="V55" s="74"/>
    </row>
    <row r="56" spans="1:22" ht="13.8" x14ac:dyDescent="0.25">
      <c r="B56" s="132"/>
      <c r="C56" s="40" t="s">
        <v>133</v>
      </c>
      <c r="D56" s="50">
        <v>0</v>
      </c>
      <c r="F56" s="40" t="s">
        <v>134</v>
      </c>
      <c r="I56" s="45">
        <v>0</v>
      </c>
      <c r="M56" s="41"/>
      <c r="N56" s="72"/>
      <c r="O56" s="73"/>
      <c r="P56" s="73"/>
      <c r="Q56" s="73"/>
      <c r="R56" s="73"/>
      <c r="S56" s="41"/>
      <c r="T56" s="74"/>
      <c r="U56" s="74"/>
      <c r="V56" s="74"/>
    </row>
    <row r="57" spans="1:22" ht="13.8" x14ac:dyDescent="0.25">
      <c r="B57" s="132"/>
      <c r="C57" s="40" t="s">
        <v>135</v>
      </c>
      <c r="D57" s="75">
        <v>0</v>
      </c>
      <c r="F57" s="40" t="s">
        <v>136</v>
      </c>
      <c r="I57" s="54">
        <v>0</v>
      </c>
      <c r="M57" s="41"/>
      <c r="N57" s="41"/>
      <c r="O57" s="41"/>
      <c r="P57" s="41"/>
      <c r="Q57" s="41"/>
      <c r="R57" s="41"/>
      <c r="S57" s="36"/>
    </row>
    <row r="58" spans="1:22" ht="13.8" x14ac:dyDescent="0.25">
      <c r="B58" s="132"/>
      <c r="C58" s="40" t="s">
        <v>137</v>
      </c>
      <c r="D58" s="75">
        <v>0</v>
      </c>
      <c r="F58" s="40" t="s">
        <v>138</v>
      </c>
      <c r="I58" s="45">
        <v>0</v>
      </c>
      <c r="J58" s="110"/>
      <c r="M58" s="41"/>
      <c r="N58" s="41"/>
      <c r="O58" s="41"/>
      <c r="P58" s="41"/>
      <c r="Q58" s="41"/>
      <c r="R58" s="41"/>
      <c r="S58" s="76"/>
    </row>
    <row r="59" spans="1:22" ht="13.8" x14ac:dyDescent="0.25">
      <c r="B59" s="132"/>
      <c r="C59" s="40" t="s">
        <v>139</v>
      </c>
      <c r="D59" s="75">
        <v>0</v>
      </c>
      <c r="F59" s="40" t="s">
        <v>140</v>
      </c>
      <c r="I59" s="45">
        <v>0</v>
      </c>
      <c r="J59" s="77"/>
    </row>
    <row r="60" spans="1:22" ht="13.8" x14ac:dyDescent="0.25">
      <c r="B60" s="132"/>
      <c r="F60" s="40" t="s">
        <v>141</v>
      </c>
      <c r="I60" s="45">
        <v>0</v>
      </c>
      <c r="J60" s="77"/>
    </row>
    <row r="61" spans="1:22" ht="13.8" x14ac:dyDescent="0.25">
      <c r="B61" s="132"/>
      <c r="C61" s="78" t="s">
        <v>142</v>
      </c>
      <c r="D61" s="49">
        <f>SUM(D55:D59)</f>
      </c>
      <c r="F61" s="78" t="s">
        <v>143</v>
      </c>
      <c r="I61" s="49">
        <f>SUM(I55:I60)</f>
      </c>
      <c r="J61" s="77"/>
    </row>
    <row r="62" spans="1:22" ht="13.8" x14ac:dyDescent="0.25">
      <c r="B62" s="132"/>
      <c r="C62" s="79" t="s">
        <v>144</v>
      </c>
      <c r="D62" s="80" t="str">
        <f>IF(D61=I61,"OK",D61-I61)</f>
      </c>
      <c r="J62" s="77"/>
    </row>
    <row r="63" spans="1:22" ht="13.8" x14ac:dyDescent="0.25">
      <c r="B63" s="132"/>
      <c r="J63" s="81"/>
    </row>
    <row r="64" spans="1:22" ht="13.8" x14ac:dyDescent="0.25">
      <c r="B64" s="132" t="s">
        <v>145</v>
      </c>
      <c r="D64" s="149">
        <f>YEAR($D$29)</f>
      </c>
      <c r="E64" s="148" t="str">
        <f>YEAR($D$30)-1&amp;" "&amp;$D$32&amp;"Q"</f>
      </c>
      <c r="F64" s="148" t="str">
        <f>YEAR($D$30)&amp;" "&amp;$D$32&amp;"Q"</f>
      </c>
      <c r="G64" s="148" t="s">
        <v>16</v>
      </c>
    </row>
    <row r="65" spans="2:7" x14ac:dyDescent="0.25">
      <c r="B65" s="41"/>
      <c r="C65" s="41" t="s">
        <v>76</v>
      </c>
      <c r="D65" s="153">
        <v>2100</v>
      </c>
      <c r="E65" s="50">
        <v>0</v>
      </c>
      <c r="F65" s="50">
        <v>0</v>
      </c>
      <c r="G65" s="40">
        <f>D65-E65+F65</f>
      </c>
    </row>
    <row r="67" spans="2:7" x14ac:dyDescent="0.25">
      <c r="B67" s="41"/>
      <c r="C67" s="41" t="s">
        <v>146</v>
      </c>
      <c r="D67" s="83">
        <v>0</v>
      </c>
      <c r="E67" s="83">
        <v>0</v>
      </c>
      <c r="F67" s="91">
        <v>0</v>
      </c>
    </row>
    <row r="68" spans="2:7" x14ac:dyDescent="0.25">
      <c r="B68" s="41"/>
      <c r="C68" s="85" t="s">
        <v>207</v>
      </c>
      <c r="D68" s="50">
        <v>0</v>
      </c>
      <c r="E68" s="83">
        <v>0</v>
      </c>
      <c r="F68" s="91">
        <v>0</v>
      </c>
    </row>
    <row r="69" spans="2:7" x14ac:dyDescent="0.25">
      <c r="B69" s="41"/>
      <c r="C69" s="85" t="s">
        <v>208</v>
      </c>
      <c r="D69" s="50">
        <v>0</v>
      </c>
      <c r="E69" s="50">
        <v>0</v>
      </c>
      <c r="F69" s="50">
        <v>0</v>
      </c>
    </row>
    <row r="70" spans="2:7" x14ac:dyDescent="0.25">
      <c r="B70" s="41"/>
      <c r="C70" s="85" t="s">
        <v>164</v>
      </c>
      <c r="D70" s="50">
        <v>0</v>
      </c>
      <c r="E70" s="50">
        <v>0</v>
      </c>
      <c r="F70" s="50">
        <v>0</v>
      </c>
    </row>
    <row r="71" spans="2:7" x14ac:dyDescent="0.25">
      <c r="B71" s="41"/>
      <c r="C71" s="85" t="s">
        <v>165</v>
      </c>
      <c r="D71" s="50">
        <v>0</v>
      </c>
      <c r="E71" s="50">
        <v>0</v>
      </c>
      <c r="F71" s="50">
        <v>0</v>
      </c>
    </row>
    <row r="72" spans="2:7" x14ac:dyDescent="0.25">
      <c r="B72" s="41"/>
      <c r="C72" s="85" t="s">
        <v>166</v>
      </c>
      <c r="D72" s="50">
        <v>0</v>
      </c>
      <c r="E72" s="50">
        <v>0</v>
      </c>
      <c r="F72" s="50">
        <v>0</v>
      </c>
    </row>
    <row r="73" spans="2:7" x14ac:dyDescent="0.25">
      <c r="B73" s="41"/>
      <c r="C73" s="85" t="s">
        <v>152</v>
      </c>
      <c r="D73" s="50">
        <v>0</v>
      </c>
      <c r="E73" s="50">
        <v>0</v>
      </c>
      <c r="F73" s="50">
        <v>0</v>
      </c>
    </row>
    <row r="74" spans="2:7" x14ac:dyDescent="0.25">
      <c r="B74" s="41"/>
      <c r="C74" s="85" t="s">
        <v>153</v>
      </c>
      <c r="D74" s="50">
        <v>0</v>
      </c>
      <c r="E74" s="50">
        <v>0</v>
      </c>
      <c r="F74" s="50">
        <v>0</v>
      </c>
    </row>
    <row r="75" spans="2:7" x14ac:dyDescent="0.25">
      <c r="B75" s="41"/>
      <c r="C75" s="85" t="s">
        <v>154</v>
      </c>
      <c r="D75" s="50">
        <v>0</v>
      </c>
      <c r="E75" s="50">
        <v>0</v>
      </c>
      <c r="F75" s="50">
        <v>0</v>
      </c>
    </row>
    <row r="76" spans="2:7" x14ac:dyDescent="0.25">
      <c r="B76" s="41"/>
      <c r="C76" s="86" t="s">
        <v>78</v>
      </c>
      <c r="D76" s="41">
        <f>SUM(D67:D75)</f>
      </c>
      <c r="E76" s="41">
        <f>SUM(E67:E75)</f>
      </c>
      <c r="F76" s="41">
        <f>SUM(F67:F75)</f>
      </c>
      <c r="G76" s="40">
        <f>D76-E76+F76</f>
      </c>
    </row>
    <row r="77" spans="2:7" x14ac:dyDescent="0.25">
      <c r="B77" s="41"/>
    </row>
    <row r="78" spans="2:7" x14ac:dyDescent="0.25">
      <c r="B78" s="41"/>
      <c r="C78" s="41" t="s">
        <v>155</v>
      </c>
      <c r="D78" s="50">
        <v>0</v>
      </c>
      <c r="E78" s="50">
        <v>0</v>
      </c>
      <c r="F78" s="50">
        <v>0</v>
      </c>
      <c r="G78" s="40">
        <f>D78-E78+F78</f>
      </c>
    </row>
    <row r="79" spans="2:7" s="49" customFormat="1" x14ac:dyDescent="0.25">
      <c r="B79" s="56"/>
      <c r="C79" s="86" t="s">
        <v>19</v>
      </c>
      <c r="D79" s="94">
        <v>525</v>
      </c>
      <c r="E79" s="56">
        <f>E76+E78</f>
      </c>
      <c r="F79" s="56">
        <f>F76+F78</f>
      </c>
      <c r="G79" s="49">
        <f>D79-E79+F79</f>
      </c>
    </row>
    <row r="80" spans="2:7" x14ac:dyDescent="0.25">
      <c r="B80" s="41"/>
    </row>
  </sheetData>
  <conditionalFormatting sqref="D41:D49 I42:J51">
    <cfRule type="expression" dxfId="28" priority="8" stopIfTrue="1">
      <formula>$I$23="Enterprise value"</formula>
    </cfRule>
  </conditionalFormatting>
  <conditionalFormatting sqref="F24:F31 F33 F40:H41 K40:K51 I41:J41 C41:C49 G42:H46 F52:K52">
    <cfRule type="expression" dxfId="27" priority="9" stopIfTrue="1">
      <formula>$I$23="Enterprise value"</formula>
    </cfRule>
  </conditionalFormatting>
  <conditionalFormatting sqref="F35:F38">
    <cfRule type="expression" dxfId="26" priority="10" stopIfTrue="1">
      <formula>$I$23="Share price"</formula>
    </cfRule>
  </conditionalFormatting>
  <conditionalFormatting sqref="F42:F51">
    <cfRule type="expression" dxfId="25" priority="1" stopIfTrue="1">
      <formula>$I$23="Enterprise value"</formula>
    </cfRule>
  </conditionalFormatting>
  <conditionalFormatting sqref="I25:I33">
    <cfRule type="expression" dxfId="24" priority="7" stopIfTrue="1">
      <formula>$I$23="Enterprise value"</formula>
    </cfRule>
  </conditionalFormatting>
  <conditionalFormatting sqref="I36:I38">
    <cfRule type="expression" dxfId="23" priority="6" stopIfTrue="1">
      <formula>$I$23="Share price"</formula>
    </cfRule>
  </conditionalFormatting>
  <conditionalFormatting sqref="I40:J40">
    <cfRule type="expression" dxfId="22" priority="5" stopIfTrue="1">
      <formula>$I$23="Enterprise value"</formula>
    </cfRule>
  </conditionalFormatting>
  <dataValidations count="3">
    <dataValidation type="list" allowBlank="1" showInputMessage="1" showErrorMessage="1" sqref="D31" xr:uid="{00000000-0002-0000-0D00-000000000000}">
      <formula1>"10K,10Q,8K,Annual,Interim"</formula1>
    </dataValidation>
    <dataValidation type="list" allowBlank="1" showInputMessage="1" showErrorMessage="1" prompt="Input 1, 2 or 3 to indicate which quarter data has been spread. Leave blank if annual data." sqref="D32" xr:uid="{00000000-0002-0000-0D00-000001000000}">
      <formula1>"1,2,3,,"</formula1>
    </dataValidation>
    <dataValidation type="list" allowBlank="1" showInputMessage="1" showErrorMessage="1" sqref="I23" xr:uid="{00000000-0002-0000-0D00-000002000000}">
      <formula1>"Share price,Enterprise value"</formula1>
    </dataValidation>
  </dataValidations>
  <pageMargins left="0.74803149606299213" right="0.74803149606299213" top="0.98425196850393704" bottom="0.98425196850393704" header="0.51181102362204722" footer="0.51181102362204722"/>
  <pageSetup paperSize="9" scale="63" orientation="portrait" r:id="rId1"/>
  <headerFooter alignWithMargins="0">
    <oddFooter>&amp;R&amp;8&amp;P of &amp;N</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4">
    <pageSetUpPr fitToPage="1"/>
  </sheetPr>
  <dimension ref="A1:X80"/>
  <sheetViews>
    <sheetView showGridLines="0" zoomScaleNormal="100" workbookViewId="0"/>
  </sheetViews>
  <sheetFormatPr defaultColWidth="9" defaultRowHeight="13.2" x14ac:dyDescent="0.25"/>
  <cols>
    <col min="1" max="2" width="1.77734375" style="40" customWidth="1"/>
    <col min="3" max="3" width="40.77734375" style="40" customWidth="1"/>
    <col min="4" max="4" width="12" style="40" customWidth="1"/>
    <col min="5" max="8" width="11.21875" style="40" customWidth="1"/>
    <col min="9" max="9" width="15.77734375" style="40" bestFit="1" customWidth="1"/>
    <col min="10" max="11" width="11.44140625" style="40" bestFit="1" customWidth="1"/>
    <col min="12" max="13" width="9" style="40"/>
    <col min="14" max="14" width="19.44140625" style="40" customWidth="1"/>
    <col min="15" max="15" width="11.21875" style="40" bestFit="1" customWidth="1"/>
    <col min="16" max="16" width="9.5546875" style="40" bestFit="1" customWidth="1"/>
    <col min="17" max="19" width="9.21875" style="40" bestFit="1" customWidth="1"/>
    <col min="20" max="20" width="11.21875" style="40" bestFit="1" customWidth="1"/>
    <col min="21" max="21" width="9.5546875" style="40" bestFit="1" customWidth="1"/>
    <col min="22" max="22" width="14.44140625" style="40" bestFit="1" customWidth="1"/>
    <col min="23" max="24" width="14.77734375" style="40" bestFit="1" customWidth="1"/>
    <col min="25" max="16384" width="9" style="40"/>
  </cols>
  <sheetData>
    <row r="1" spans="1:14" s="151" customFormat="1" ht="17.399999999999999" x14ac:dyDescent="0.3">
      <c r="A1" s="120" t="str">
        <f>"Comparable transactions analysis - "&amp;D23&amp;" / "&amp;D24</f>
      </c>
      <c r="B1" s="120"/>
      <c r="C1" s="121"/>
      <c r="D1" s="121"/>
      <c r="E1" s="121"/>
      <c r="F1" s="121"/>
      <c r="G1" s="121"/>
      <c r="H1" s="121"/>
      <c r="I1" s="121"/>
      <c r="J1" s="121"/>
      <c r="K1" s="121"/>
      <c r="L1" s="121"/>
      <c r="M1" s="122"/>
      <c r="N1" s="122"/>
    </row>
    <row r="2" spans="1:14" s="151" customFormat="1" ht="18" thickBot="1" x14ac:dyDescent="0.35">
      <c r="A2" s="128" t="str">
        <f>"Input sheet (all numbers in millions "&amp;D27&amp;" unless otherwise stated)"</f>
      </c>
      <c r="B2" s="127"/>
      <c r="C2" s="127"/>
      <c r="D2" s="127"/>
      <c r="E2" s="127"/>
      <c r="F2" s="127"/>
      <c r="G2" s="127"/>
      <c r="H2" s="127"/>
      <c r="I2" s="127"/>
      <c r="J2" s="127"/>
      <c r="K2" s="127"/>
      <c r="L2" s="127"/>
      <c r="M2" s="127"/>
      <c r="N2" s="152"/>
    </row>
    <row r="3" spans="1:14" ht="13.8" thickTop="1" x14ac:dyDescent="0.25">
      <c r="B3" s="41"/>
    </row>
    <row r="4" spans="1:14" ht="17.399999999999999" x14ac:dyDescent="0.25">
      <c r="A4" s="129" t="s">
        <v>72</v>
      </c>
      <c r="B4" s="129"/>
      <c r="C4" s="130"/>
    </row>
    <row r="5" spans="1:14" ht="13.8" x14ac:dyDescent="0.25">
      <c r="B5" s="131" t="s">
        <v>210</v>
      </c>
      <c r="C5" s="41"/>
    </row>
    <row r="6" spans="1:14" ht="13.8" x14ac:dyDescent="0.25">
      <c r="B6" s="131"/>
      <c r="C6" s="41" t="str">
        <f>F25</f>
      </c>
      <c r="D6" s="99" t="str">
        <f>IF(Driver="Enterprise value","na",I25)</f>
      </c>
    </row>
    <row r="7" spans="1:14" ht="13.8" x14ac:dyDescent="0.25">
      <c r="B7" s="131"/>
      <c r="C7" s="41" t="s">
        <v>27</v>
      </c>
      <c r="D7" s="38" t="str">
        <f>IF(OR(Driver="Enterprise Value",I26=0),"na",I25/I26-1)</f>
      </c>
    </row>
    <row r="8" spans="1:14" ht="13.8" x14ac:dyDescent="0.25">
      <c r="B8" s="132"/>
      <c r="C8" s="133" t="str">
        <f>C41</f>
      </c>
      <c r="D8" s="99" t="str">
        <f>IF(Driver="Enterprise value","na",I33*FX)</f>
      </c>
      <c r="E8" s="41"/>
      <c r="F8" s="134"/>
    </row>
    <row r="9" spans="1:14" ht="13.8" x14ac:dyDescent="0.25">
      <c r="B9" s="132"/>
      <c r="C9" s="133" t="str">
        <f>C50</f>
      </c>
      <c r="D9" s="135">
        <f>I38*FX</f>
      </c>
    </row>
    <row r="10" spans="1:14" ht="13.8" x14ac:dyDescent="0.25">
      <c r="B10" s="132"/>
      <c r="C10" s="133"/>
    </row>
    <row r="11" spans="1:14" ht="13.8" x14ac:dyDescent="0.25">
      <c r="B11" s="131" t="s">
        <v>74</v>
      </c>
      <c r="C11" s="133"/>
      <c r="D11" s="136" t="s">
        <v>16</v>
      </c>
      <c r="E11" s="136" t="s">
        <v>75</v>
      </c>
    </row>
    <row r="12" spans="1:14" ht="13.8" x14ac:dyDescent="0.25">
      <c r="B12" s="132"/>
      <c r="C12" s="41" t="s">
        <v>76</v>
      </c>
      <c r="D12" s="42">
        <f>G65*FX</f>
      </c>
      <c r="E12" s="137" t="s">
        <v>77</v>
      </c>
    </row>
    <row r="13" spans="1:14" ht="13.8" x14ac:dyDescent="0.25">
      <c r="B13" s="132"/>
      <c r="C13" s="43" t="s">
        <v>78</v>
      </c>
      <c r="D13" s="42">
        <f>G76*FX</f>
      </c>
      <c r="E13" s="138">
        <f>D13/D12</f>
      </c>
    </row>
    <row r="14" spans="1:14" ht="13.8" x14ac:dyDescent="0.25">
      <c r="B14" s="132"/>
      <c r="C14" s="43" t="s">
        <v>19</v>
      </c>
      <c r="D14" s="42">
        <f>G79*FX</f>
      </c>
      <c r="E14" s="138">
        <f>D14/D12</f>
      </c>
    </row>
    <row r="15" spans="1:14" ht="13.8" x14ac:dyDescent="0.25">
      <c r="B15" s="139"/>
      <c r="D15" s="140"/>
    </row>
    <row r="16" spans="1:14" ht="13.8" x14ac:dyDescent="0.25">
      <c r="B16" s="131" t="s">
        <v>79</v>
      </c>
    </row>
    <row r="17" spans="1:24" x14ac:dyDescent="0.25">
      <c r="C17" s="40" t="s">
        <v>80</v>
      </c>
      <c r="D17" s="44">
        <f>$D$9/D12</f>
      </c>
    </row>
    <row r="18" spans="1:24" x14ac:dyDescent="0.25">
      <c r="C18" s="40" t="s">
        <v>81</v>
      </c>
      <c r="D18" s="44">
        <f>$D$9/D13</f>
      </c>
    </row>
    <row r="19" spans="1:24" x14ac:dyDescent="0.25">
      <c r="C19" s="40" t="s">
        <v>21</v>
      </c>
      <c r="D19" s="44">
        <f>$D$9/D14</f>
      </c>
    </row>
    <row r="20" spans="1:24" x14ac:dyDescent="0.25">
      <c r="D20" s="140"/>
    </row>
    <row r="21" spans="1:24" ht="17.399999999999999" x14ac:dyDescent="0.25">
      <c r="A21" s="129" t="s">
        <v>82</v>
      </c>
      <c r="B21" s="129"/>
      <c r="C21" s="130"/>
      <c r="I21" s="141"/>
    </row>
    <row r="22" spans="1:24" ht="13.8" x14ac:dyDescent="0.25">
      <c r="A22" s="36"/>
      <c r="B22" s="131" t="s">
        <v>83</v>
      </c>
      <c r="C22" s="41"/>
      <c r="D22" s="41"/>
      <c r="F22" s="131" t="s">
        <v>84</v>
      </c>
    </row>
    <row r="23" spans="1:24" ht="13.8" x14ac:dyDescent="0.25">
      <c r="B23" s="132"/>
      <c r="C23" s="41" t="s">
        <v>85</v>
      </c>
      <c r="D23" s="45" t="s">
        <v>34</v>
      </c>
      <c r="E23" s="41"/>
      <c r="F23" s="40" t="s">
        <v>86</v>
      </c>
      <c r="I23" s="45" t="s">
        <v>113</v>
      </c>
    </row>
    <row r="24" spans="1:24" ht="13.8" x14ac:dyDescent="0.25">
      <c r="B24" s="132"/>
      <c r="C24" s="41" t="s">
        <v>88</v>
      </c>
      <c r="D24" s="45" t="s">
        <v>211</v>
      </c>
      <c r="E24" s="41"/>
      <c r="F24" s="36" t="s">
        <v>90</v>
      </c>
    </row>
    <row r="25" spans="1:24" ht="13.8" x14ac:dyDescent="0.25">
      <c r="B25" s="132"/>
      <c r="C25" s="41" t="s">
        <v>91</v>
      </c>
      <c r="D25" s="46">
        <v>38406</v>
      </c>
      <c r="E25" s="41"/>
      <c r="F25" s="41" t="s">
        <v>92</v>
      </c>
      <c r="I25" s="47">
        <v>0</v>
      </c>
    </row>
    <row r="26" spans="1:24" ht="13.8" x14ac:dyDescent="0.25">
      <c r="B26" s="132"/>
      <c r="C26" s="133" t="s">
        <v>93</v>
      </c>
      <c r="D26" s="46">
        <v>38531</v>
      </c>
      <c r="E26" s="41"/>
      <c r="F26" s="133" t="s">
        <v>94</v>
      </c>
      <c r="I26" s="47">
        <v>0</v>
      </c>
      <c r="W26" s="49"/>
      <c r="X26" s="49"/>
    </row>
    <row r="27" spans="1:24" ht="13.8" x14ac:dyDescent="0.25">
      <c r="B27" s="132"/>
      <c r="C27" s="133" t="s">
        <v>10</v>
      </c>
      <c r="D27" s="50" t="s">
        <v>11</v>
      </c>
      <c r="E27" s="41"/>
      <c r="F27" s="133" t="s">
        <v>95</v>
      </c>
      <c r="I27" s="47">
        <v>0</v>
      </c>
      <c r="W27" s="49"/>
      <c r="X27" s="49"/>
    </row>
    <row r="28" spans="1:24" ht="13.8" x14ac:dyDescent="0.25">
      <c r="B28" s="132"/>
      <c r="C28" s="133" t="s">
        <v>96</v>
      </c>
      <c r="D28" s="51">
        <v>1</v>
      </c>
      <c r="E28" s="41"/>
      <c r="F28" s="133" t="s">
        <v>97</v>
      </c>
      <c r="I28" s="47">
        <v>0</v>
      </c>
      <c r="W28" s="49"/>
      <c r="X28" s="49"/>
    </row>
    <row r="29" spans="1:24" ht="13.8" x14ac:dyDescent="0.25">
      <c r="B29" s="132"/>
      <c r="C29" s="133" t="s">
        <v>98</v>
      </c>
      <c r="D29" s="53">
        <v>38352</v>
      </c>
      <c r="E29" s="41"/>
      <c r="F29" s="41" t="s">
        <v>99</v>
      </c>
      <c r="I29" s="60">
        <v>0</v>
      </c>
      <c r="W29" s="49"/>
      <c r="X29" s="49"/>
    </row>
    <row r="30" spans="1:24" ht="13.8" x14ac:dyDescent="0.25">
      <c r="B30" s="132"/>
      <c r="C30" s="133" t="s">
        <v>100</v>
      </c>
      <c r="D30" s="53">
        <v>38352</v>
      </c>
      <c r="E30" s="41"/>
      <c r="F30" s="41" t="s">
        <v>101</v>
      </c>
      <c r="I30" s="42" t="e">
        <f>K47</f>
      </c>
      <c r="W30" s="49"/>
      <c r="X30" s="49"/>
    </row>
    <row r="31" spans="1:24" ht="13.8" x14ac:dyDescent="0.25">
      <c r="B31" s="132"/>
      <c r="C31" s="133" t="s">
        <v>102</v>
      </c>
      <c r="D31" s="50" t="s">
        <v>198</v>
      </c>
      <c r="E31" s="41"/>
      <c r="F31" s="41" t="s">
        <v>104</v>
      </c>
      <c r="I31" s="42" t="e">
        <f>I29+I30</f>
      </c>
      <c r="W31" s="49"/>
      <c r="X31" s="49"/>
    </row>
    <row r="32" spans="1:24" ht="13.8" x14ac:dyDescent="0.25">
      <c r="B32" s="132"/>
      <c r="C32" s="133" t="s">
        <v>105</v>
      </c>
      <c r="D32" s="55"/>
      <c r="E32" s="56"/>
      <c r="F32" s="41" t="s">
        <v>106</v>
      </c>
      <c r="I32" s="143">
        <f>(7.4/2.2*1.6)*I25</f>
      </c>
      <c r="W32" s="49"/>
      <c r="X32" s="49"/>
    </row>
    <row r="33" spans="1:24" ht="13.8" x14ac:dyDescent="0.25">
      <c r="B33" s="132"/>
      <c r="E33" s="56"/>
      <c r="F33" s="49" t="s">
        <v>107</v>
      </c>
      <c r="I33" s="57" t="e">
        <f>I25*I31+I32</f>
      </c>
      <c r="W33" s="49"/>
      <c r="X33" s="49"/>
    </row>
    <row r="34" spans="1:24" ht="13.8" x14ac:dyDescent="0.25">
      <c r="B34" s="132"/>
      <c r="C34" s="133" t="s">
        <v>108</v>
      </c>
      <c r="D34" s="145">
        <v>1</v>
      </c>
      <c r="E34" s="56"/>
      <c r="W34" s="49"/>
      <c r="X34" s="49"/>
    </row>
    <row r="35" spans="1:24" ht="13.8" x14ac:dyDescent="0.25">
      <c r="B35" s="132"/>
      <c r="C35" s="133" t="s">
        <v>109</v>
      </c>
      <c r="D35" s="138">
        <f>1-D34</f>
      </c>
      <c r="E35" s="56"/>
      <c r="F35" s="131" t="s">
        <v>90</v>
      </c>
      <c r="W35" s="49"/>
      <c r="X35" s="49"/>
    </row>
    <row r="36" spans="1:24" ht="13.8" x14ac:dyDescent="0.25">
      <c r="B36" s="132"/>
      <c r="E36" s="56"/>
      <c r="F36" s="58" t="s">
        <v>110</v>
      </c>
      <c r="G36" s="59"/>
      <c r="H36" s="49"/>
      <c r="I36" s="60">
        <v>855</v>
      </c>
      <c r="W36" s="49"/>
      <c r="X36" s="49"/>
    </row>
    <row r="37" spans="1:24" ht="13.8" x14ac:dyDescent="0.25">
      <c r="B37" s="132"/>
      <c r="E37" s="56"/>
      <c r="F37" s="58" t="s">
        <v>111</v>
      </c>
      <c r="G37" s="59"/>
      <c r="H37" s="49"/>
      <c r="I37" s="60">
        <v>0</v>
      </c>
      <c r="W37" s="49"/>
      <c r="X37" s="49"/>
    </row>
    <row r="38" spans="1:24" ht="13.8" x14ac:dyDescent="0.25">
      <c r="B38" s="132"/>
      <c r="E38" s="56"/>
      <c r="F38" s="61" t="s">
        <v>112</v>
      </c>
      <c r="G38" s="59"/>
      <c r="H38" s="49"/>
      <c r="I38" s="62">
        <f>SUM(I36:I37)</f>
      </c>
      <c r="W38" s="49"/>
      <c r="X38" s="49"/>
    </row>
    <row r="39" spans="1:24" ht="13.8" x14ac:dyDescent="0.25">
      <c r="B39" s="132"/>
      <c r="E39" s="56"/>
      <c r="F39" s="133"/>
      <c r="G39" s="133"/>
      <c r="I39" s="41"/>
      <c r="W39" s="49"/>
      <c r="X39" s="49"/>
    </row>
    <row r="40" spans="1:24" ht="13.8" x14ac:dyDescent="0.25">
      <c r="B40" s="131" t="s">
        <v>113</v>
      </c>
      <c r="F40" s="131" t="s">
        <v>114</v>
      </c>
      <c r="I40" s="146">
        <f>YEAR($D$29)</f>
      </c>
      <c r="J40" s="146">
        <f>YEAR($D$29)</f>
      </c>
    </row>
    <row r="41" spans="1:24" ht="13.8" x14ac:dyDescent="0.25">
      <c r="A41" s="49"/>
      <c r="B41" s="131"/>
      <c r="C41" s="64" t="s">
        <v>107</v>
      </c>
      <c r="D41" s="57" t="e">
        <f>I33</f>
      </c>
      <c r="E41" s="49"/>
      <c r="I41" s="65" t="s">
        <v>115</v>
      </c>
      <c r="J41" s="65" t="s">
        <v>116</v>
      </c>
      <c r="K41" s="65" t="s">
        <v>117</v>
      </c>
    </row>
    <row r="42" spans="1:24" ht="13.8" x14ac:dyDescent="0.25">
      <c r="B42" s="132"/>
      <c r="C42" s="40" t="str">
        <f>F55</f>
      </c>
      <c r="D42" s="42">
        <f>I55</f>
      </c>
      <c r="F42" s="66" t="s">
        <v>187</v>
      </c>
      <c r="I42" s="67">
        <v>0</v>
      </c>
      <c r="J42" s="68">
        <v>0</v>
      </c>
      <c r="K42" s="154" t="e">
        <f>MAX(($I$25-J42)/$I$25*I42,0)</f>
      </c>
    </row>
    <row r="43" spans="1:24" ht="13.8" x14ac:dyDescent="0.25">
      <c r="B43" s="132"/>
      <c r="C43" s="41" t="str">
        <f>C55&amp;" and "&amp;LOWER(C56)</f>
      </c>
      <c r="D43" s="42">
        <f>D55</f>
      </c>
      <c r="F43" s="66" t="s">
        <v>188</v>
      </c>
      <c r="I43" s="67">
        <v>0</v>
      </c>
      <c r="J43" s="68">
        <v>0</v>
      </c>
      <c r="K43" s="154" t="e">
        <f>MAX(($I$25-J43)/$I$25*I43,0)</f>
      </c>
    </row>
    <row r="44" spans="1:24" ht="13.8" x14ac:dyDescent="0.25">
      <c r="B44" s="132"/>
      <c r="C44" s="69" t="s">
        <v>120</v>
      </c>
      <c r="D44" s="57">
        <f>D42-D43</f>
      </c>
      <c r="F44" s="66" t="s">
        <v>168</v>
      </c>
      <c r="I44" s="67">
        <v>0</v>
      </c>
      <c r="J44" s="68">
        <v>0</v>
      </c>
      <c r="K44" s="154" t="e">
        <f>MAX(($I$25-J44)/$I$25*I44,0)</f>
      </c>
    </row>
    <row r="45" spans="1:24" ht="13.8" x14ac:dyDescent="0.25">
      <c r="B45" s="132"/>
      <c r="C45" s="41" t="str">
        <f>F56</f>
      </c>
      <c r="D45" s="92">
        <f>I56</f>
      </c>
      <c r="F45" s="66" t="s">
        <v>161</v>
      </c>
      <c r="G45" s="49"/>
      <c r="H45" s="49"/>
      <c r="I45" s="67">
        <v>0</v>
      </c>
      <c r="J45" s="68">
        <v>0</v>
      </c>
      <c r="K45" s="154" t="e">
        <f>MAX(($I$25-J45)/$I$25*I45,0)</f>
      </c>
    </row>
    <row r="46" spans="1:24" ht="13.8" x14ac:dyDescent="0.25">
      <c r="B46" s="132"/>
      <c r="C46" s="41" t="str">
        <f>F59</f>
      </c>
      <c r="D46" s="42">
        <f>I59</f>
      </c>
      <c r="F46" s="66" t="s">
        <v>123</v>
      </c>
      <c r="G46" s="49"/>
      <c r="H46" s="49"/>
      <c r="I46" s="67">
        <v>0</v>
      </c>
      <c r="J46" s="68">
        <v>0</v>
      </c>
      <c r="K46" s="154" t="e">
        <f>MAX(($I$25-J46)/$I$25*I46,0)</f>
      </c>
    </row>
    <row r="47" spans="1:24" ht="13.8" x14ac:dyDescent="0.25">
      <c r="B47" s="132"/>
      <c r="C47" s="41" t="str">
        <f>F60</f>
      </c>
      <c r="D47" s="42">
        <f>I60</f>
      </c>
      <c r="F47" s="56" t="s">
        <v>130</v>
      </c>
      <c r="I47" s="49"/>
      <c r="J47" s="49"/>
      <c r="K47" s="49" t="e">
        <f>SUM(K42:K46)</f>
      </c>
    </row>
    <row r="48" spans="1:24" ht="15.6" x14ac:dyDescent="0.3">
      <c r="A48" s="35"/>
      <c r="B48" s="132"/>
      <c r="C48" s="41" t="str">
        <f>C57</f>
      </c>
      <c r="D48" s="42">
        <f>D57</f>
      </c>
      <c r="G48" s="41"/>
      <c r="H48" s="41"/>
    </row>
    <row r="49" spans="1:22" ht="15.6" x14ac:dyDescent="0.3">
      <c r="A49" s="35"/>
      <c r="B49" s="132"/>
      <c r="C49" s="41" t="str">
        <f>C58</f>
      </c>
      <c r="D49" s="42">
        <f>D58</f>
      </c>
      <c r="G49" s="41"/>
      <c r="H49" s="41"/>
    </row>
    <row r="50" spans="1:22" ht="15.6" x14ac:dyDescent="0.3">
      <c r="A50" s="35"/>
      <c r="B50" s="132"/>
      <c r="C50" s="59" t="s">
        <v>110</v>
      </c>
      <c r="D50" s="57">
        <f>IF(I23="Enterprise value",I38,SUM(D41,D44:D47)-SUM(D48:D49))</f>
      </c>
      <c r="G50" s="41"/>
      <c r="H50" s="41"/>
    </row>
    <row r="51" spans="1:22" ht="15.6" x14ac:dyDescent="0.3">
      <c r="A51" s="35"/>
      <c r="B51" s="132"/>
      <c r="C51" s="70"/>
      <c r="D51" s="56"/>
      <c r="G51" s="41"/>
      <c r="H51" s="41"/>
    </row>
    <row r="52" spans="1:22" ht="17.399999999999999" x14ac:dyDescent="0.25">
      <c r="A52" s="129" t="s">
        <v>129</v>
      </c>
      <c r="B52" s="129"/>
      <c r="C52" s="130"/>
    </row>
    <row r="53" spans="1:22" ht="13.8" x14ac:dyDescent="0.25">
      <c r="B53" s="132"/>
    </row>
    <row r="54" spans="1:22" ht="13.8" x14ac:dyDescent="0.25">
      <c r="B54" s="131" t="s">
        <v>131</v>
      </c>
      <c r="D54" s="148">
        <f>D30</f>
      </c>
      <c r="E54" s="100"/>
      <c r="F54" s="100"/>
      <c r="G54" s="100"/>
      <c r="H54" s="100"/>
      <c r="I54" s="148">
        <f>D54</f>
      </c>
    </row>
    <row r="55" spans="1:22" ht="13.8" x14ac:dyDescent="0.25">
      <c r="B55" s="132"/>
      <c r="C55" s="40" t="s">
        <v>28</v>
      </c>
      <c r="D55" s="50"/>
      <c r="F55" s="40" t="s">
        <v>132</v>
      </c>
      <c r="I55" s="45"/>
      <c r="M55" s="41"/>
      <c r="N55" s="72"/>
      <c r="O55" s="73"/>
      <c r="P55" s="73"/>
      <c r="Q55" s="73"/>
      <c r="R55" s="73"/>
      <c r="S55" s="41"/>
      <c r="T55" s="74"/>
      <c r="U55" s="74"/>
      <c r="V55" s="74"/>
    </row>
    <row r="56" spans="1:22" ht="13.8" x14ac:dyDescent="0.25">
      <c r="B56" s="132"/>
      <c r="C56" s="40" t="s">
        <v>133</v>
      </c>
      <c r="D56" s="50"/>
      <c r="F56" s="40" t="s">
        <v>134</v>
      </c>
      <c r="I56" s="45"/>
      <c r="M56" s="41"/>
      <c r="N56" s="72"/>
      <c r="O56" s="73"/>
      <c r="P56" s="73"/>
      <c r="Q56" s="73"/>
      <c r="R56" s="73"/>
      <c r="S56" s="41"/>
      <c r="T56" s="74"/>
      <c r="U56" s="74"/>
      <c r="V56" s="74"/>
    </row>
    <row r="57" spans="1:22" ht="13.8" x14ac:dyDescent="0.25">
      <c r="B57" s="132"/>
      <c r="C57" s="40" t="s">
        <v>135</v>
      </c>
      <c r="D57" s="75"/>
      <c r="F57" s="40" t="s">
        <v>136</v>
      </c>
      <c r="I57" s="50"/>
      <c r="M57" s="41"/>
      <c r="N57" s="41"/>
      <c r="O57" s="41"/>
      <c r="P57" s="41"/>
      <c r="Q57" s="41"/>
      <c r="R57" s="41"/>
      <c r="S57" s="36"/>
    </row>
    <row r="58" spans="1:22" ht="13.8" x14ac:dyDescent="0.25">
      <c r="B58" s="132"/>
      <c r="C58" s="40" t="s">
        <v>137</v>
      </c>
      <c r="D58" s="75"/>
      <c r="F58" s="40" t="s">
        <v>138</v>
      </c>
      <c r="I58" s="45"/>
      <c r="J58" s="110"/>
      <c r="M58" s="41"/>
      <c r="N58" s="41"/>
      <c r="O58" s="41"/>
      <c r="P58" s="41"/>
      <c r="Q58" s="41"/>
      <c r="R58" s="41"/>
      <c r="S58" s="76"/>
    </row>
    <row r="59" spans="1:22" ht="13.8" x14ac:dyDescent="0.25">
      <c r="B59" s="132"/>
      <c r="C59" s="40" t="s">
        <v>139</v>
      </c>
      <c r="D59" s="75"/>
      <c r="F59" s="40" t="s">
        <v>140</v>
      </c>
      <c r="I59" s="45"/>
      <c r="J59" s="77"/>
    </row>
    <row r="60" spans="1:22" ht="13.8" x14ac:dyDescent="0.25">
      <c r="B60" s="132"/>
      <c r="F60" s="40" t="s">
        <v>141</v>
      </c>
      <c r="I60" s="45"/>
      <c r="J60" s="77"/>
    </row>
    <row r="61" spans="1:22" ht="13.8" x14ac:dyDescent="0.25">
      <c r="B61" s="132"/>
      <c r="C61" s="78" t="s">
        <v>142</v>
      </c>
      <c r="D61" s="49">
        <f>SUM(D55:D59)</f>
      </c>
      <c r="F61" s="78" t="s">
        <v>143</v>
      </c>
      <c r="I61" s="49">
        <f>SUM(I55:I60)</f>
      </c>
      <c r="J61" s="77"/>
    </row>
    <row r="62" spans="1:22" ht="13.8" x14ac:dyDescent="0.25">
      <c r="B62" s="132"/>
      <c r="C62" s="79" t="s">
        <v>144</v>
      </c>
      <c r="D62" s="80" t="str">
        <f>IF(D61=I61,"OK",D61-I61)</f>
      </c>
      <c r="J62" s="77"/>
    </row>
    <row r="63" spans="1:22" ht="13.8" x14ac:dyDescent="0.25">
      <c r="B63" s="132"/>
      <c r="J63" s="81"/>
    </row>
    <row r="64" spans="1:22" ht="13.8" x14ac:dyDescent="0.25">
      <c r="B64" s="132" t="s">
        <v>145</v>
      </c>
      <c r="D64" s="149">
        <f>YEAR($D$29)</f>
      </c>
      <c r="E64" s="148" t="str">
        <f>YEAR($D$30)-1&amp;" "&amp;$D$32&amp;"Q"</f>
      </c>
      <c r="F64" s="148" t="str">
        <f>YEAR($D$30)&amp;" "&amp;$D$32&amp;"Q"</f>
      </c>
      <c r="G64" s="148" t="s">
        <v>16</v>
      </c>
    </row>
    <row r="65" spans="2:7" x14ac:dyDescent="0.25">
      <c r="B65" s="41"/>
      <c r="C65" s="41" t="s">
        <v>76</v>
      </c>
      <c r="D65" s="50">
        <v>975.84500000000003</v>
      </c>
      <c r="E65" s="97">
        <v>0</v>
      </c>
      <c r="F65" s="50">
        <v>0</v>
      </c>
      <c r="G65" s="40">
        <f>D65-E65+F65</f>
      </c>
    </row>
    <row r="67" spans="2:7" x14ac:dyDescent="0.25">
      <c r="B67" s="41"/>
      <c r="C67" s="41" t="s">
        <v>146</v>
      </c>
      <c r="D67" s="92">
        <v>0</v>
      </c>
      <c r="E67" s="92">
        <v>0</v>
      </c>
      <c r="F67" s="96">
        <v>0</v>
      </c>
    </row>
    <row r="68" spans="2:7" x14ac:dyDescent="0.25">
      <c r="B68" s="41"/>
      <c r="C68" s="85" t="s">
        <v>189</v>
      </c>
      <c r="D68" s="50">
        <v>0</v>
      </c>
      <c r="E68" s="50">
        <v>0</v>
      </c>
      <c r="F68" s="50">
        <v>0</v>
      </c>
    </row>
    <row r="69" spans="2:7" x14ac:dyDescent="0.25">
      <c r="B69" s="41"/>
      <c r="C69" s="85" t="s">
        <v>163</v>
      </c>
      <c r="D69" s="50">
        <v>0</v>
      </c>
      <c r="E69" s="50">
        <v>0</v>
      </c>
      <c r="F69" s="50">
        <v>0</v>
      </c>
    </row>
    <row r="70" spans="2:7" x14ac:dyDescent="0.25">
      <c r="B70" s="41"/>
      <c r="C70" s="85" t="s">
        <v>164</v>
      </c>
      <c r="D70" s="50">
        <v>0</v>
      </c>
      <c r="E70" s="50">
        <v>0</v>
      </c>
      <c r="F70" s="50">
        <v>0</v>
      </c>
    </row>
    <row r="71" spans="2:7" x14ac:dyDescent="0.25">
      <c r="B71" s="41"/>
      <c r="C71" s="85" t="s">
        <v>165</v>
      </c>
      <c r="D71" s="50">
        <v>0</v>
      </c>
      <c r="E71" s="50">
        <v>0</v>
      </c>
      <c r="F71" s="50">
        <v>0</v>
      </c>
    </row>
    <row r="72" spans="2:7" x14ac:dyDescent="0.25">
      <c r="B72" s="41"/>
      <c r="C72" s="85" t="s">
        <v>166</v>
      </c>
      <c r="D72" s="50">
        <v>0</v>
      </c>
      <c r="E72" s="50">
        <v>0</v>
      </c>
      <c r="F72" s="50">
        <v>0</v>
      </c>
    </row>
    <row r="73" spans="2:7" x14ac:dyDescent="0.25">
      <c r="B73" s="41"/>
      <c r="C73" s="85" t="s">
        <v>152</v>
      </c>
      <c r="D73" s="50">
        <v>0</v>
      </c>
      <c r="E73" s="50">
        <v>0</v>
      </c>
      <c r="F73" s="50">
        <v>0</v>
      </c>
    </row>
    <row r="74" spans="2:7" x14ac:dyDescent="0.25">
      <c r="B74" s="41"/>
      <c r="C74" s="85" t="s">
        <v>153</v>
      </c>
      <c r="D74" s="50">
        <v>0</v>
      </c>
      <c r="E74" s="50">
        <v>0</v>
      </c>
      <c r="F74" s="50">
        <v>0</v>
      </c>
    </row>
    <row r="75" spans="2:7" x14ac:dyDescent="0.25">
      <c r="B75" s="41"/>
      <c r="C75" s="85" t="s">
        <v>154</v>
      </c>
      <c r="D75" s="50">
        <v>0</v>
      </c>
      <c r="E75" s="50">
        <v>0</v>
      </c>
      <c r="F75" s="50">
        <v>0</v>
      </c>
    </row>
    <row r="76" spans="2:7" x14ac:dyDescent="0.25">
      <c r="B76" s="41"/>
      <c r="C76" s="86" t="s">
        <v>78</v>
      </c>
      <c r="D76" s="41">
        <f>D79-D78</f>
      </c>
      <c r="E76" s="41">
        <f>SUM(E67:E75)</f>
      </c>
      <c r="F76" s="41">
        <f>SUM(F67:F75)</f>
      </c>
      <c r="G76" s="40">
        <f>D76-E76+F76</f>
      </c>
    </row>
    <row r="77" spans="2:7" x14ac:dyDescent="0.25">
      <c r="B77" s="41"/>
    </row>
    <row r="78" spans="2:7" x14ac:dyDescent="0.25">
      <c r="B78" s="41"/>
      <c r="C78" s="41" t="s">
        <v>155</v>
      </c>
      <c r="D78" s="50">
        <f>29.212+4.491</f>
      </c>
      <c r="E78" s="50">
        <v>0</v>
      </c>
      <c r="F78" s="50">
        <v>0</v>
      </c>
      <c r="G78" s="40">
        <f>D78-E78+F78</f>
      </c>
    </row>
    <row r="79" spans="2:7" x14ac:dyDescent="0.25">
      <c r="B79" s="41"/>
      <c r="C79" s="86" t="s">
        <v>19</v>
      </c>
      <c r="D79" s="155">
        <v>90.7</v>
      </c>
      <c r="E79" s="41">
        <f>E76+E78</f>
      </c>
      <c r="F79" s="41">
        <f>F76+F78</f>
      </c>
      <c r="G79" s="40">
        <f>D79-E79+F79</f>
      </c>
    </row>
    <row r="80" spans="2:7" x14ac:dyDescent="0.25">
      <c r="B80" s="41"/>
    </row>
  </sheetData>
  <conditionalFormatting sqref="D41:D49 I42:J46">
    <cfRule type="expression" dxfId="21" priority="6" stopIfTrue="1">
      <formula>$I$23="Enterprise value"</formula>
    </cfRule>
  </conditionalFormatting>
  <conditionalFormatting sqref="F24:F33 K40:K47 I41:J41 C41:C49 F47:J47">
    <cfRule type="expression" dxfId="20" priority="7" stopIfTrue="1">
      <formula>$I$23="Enterprise value"</formula>
    </cfRule>
  </conditionalFormatting>
  <conditionalFormatting sqref="F35:F38">
    <cfRule type="expression" dxfId="19" priority="8" stopIfTrue="1">
      <formula>$I$23="Share price"</formula>
    </cfRule>
  </conditionalFormatting>
  <conditionalFormatting sqref="F40:H46">
    <cfRule type="expression" dxfId="18" priority="1" stopIfTrue="1">
      <formula>$I$23="Enterprise value"</formula>
    </cfRule>
  </conditionalFormatting>
  <conditionalFormatting sqref="I25:I33">
    <cfRule type="expression" dxfId="17" priority="5" stopIfTrue="1">
      <formula>$I$23="Enterprise value"</formula>
    </cfRule>
  </conditionalFormatting>
  <conditionalFormatting sqref="I36:I38">
    <cfRule type="expression" dxfId="16" priority="4" stopIfTrue="1">
      <formula>$I$23="Share price"</formula>
    </cfRule>
  </conditionalFormatting>
  <conditionalFormatting sqref="I40:J40">
    <cfRule type="expression" dxfId="15" priority="3" stopIfTrue="1">
      <formula>$I$23="Enterprise value"</formula>
    </cfRule>
  </conditionalFormatting>
  <dataValidations count="3">
    <dataValidation type="list" allowBlank="1" showInputMessage="1" showErrorMessage="1" sqref="D31" xr:uid="{00000000-0002-0000-0E00-000000000000}">
      <formula1>"10K,10Q,8K,Annual,Interim"</formula1>
    </dataValidation>
    <dataValidation type="list" allowBlank="1" showInputMessage="1" showErrorMessage="1" prompt="Input 1, 2 or 3 to indicate which quarter data has been spread. Leave blank if annual data." sqref="D32" xr:uid="{00000000-0002-0000-0E00-000001000000}">
      <formula1>"1,2,3,,"</formula1>
    </dataValidation>
    <dataValidation type="list" allowBlank="1" showInputMessage="1" showErrorMessage="1" sqref="I23" xr:uid="{00000000-0002-0000-0E00-000002000000}">
      <formula1>"Share price,Enterprise value"</formula1>
    </dataValidation>
  </dataValidations>
  <pageMargins left="0.74803149606299213" right="0.74803149606299213" top="0.98425196850393704" bottom="0.98425196850393704" header="0.51181102362204722" footer="0.51181102362204722"/>
  <pageSetup paperSize="9" scale="63" orientation="portrait" r:id="rId1"/>
  <headerFooter alignWithMargins="0">
    <oddFooter>&amp;R&amp;8&amp;P of &amp;N</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pageSetUpPr fitToPage="1"/>
  </sheetPr>
  <dimension ref="A1:X80"/>
  <sheetViews>
    <sheetView showGridLines="0" zoomScaleNormal="100" workbookViewId="0"/>
  </sheetViews>
  <sheetFormatPr defaultColWidth="9" defaultRowHeight="13.2" x14ac:dyDescent="0.25"/>
  <cols>
    <col min="1" max="2" width="1.77734375" style="40" customWidth="1"/>
    <col min="3" max="3" width="40.77734375" style="40" customWidth="1"/>
    <col min="4" max="4" width="10.5546875" style="40" customWidth="1"/>
    <col min="5" max="8" width="11.21875" style="40" customWidth="1"/>
    <col min="9" max="9" width="15.77734375" style="40" bestFit="1" customWidth="1"/>
    <col min="10" max="11" width="11.44140625" style="40" bestFit="1" customWidth="1"/>
    <col min="12" max="13" width="9" style="40"/>
    <col min="14" max="14" width="19.44140625" style="40" customWidth="1"/>
    <col min="15" max="15" width="11.21875" style="40" bestFit="1" customWidth="1"/>
    <col min="16" max="16" width="9.5546875" style="40" bestFit="1" customWidth="1"/>
    <col min="17" max="19" width="9.21875" style="40" bestFit="1" customWidth="1"/>
    <col min="20" max="20" width="11.21875" style="40" bestFit="1" customWidth="1"/>
    <col min="21" max="21" width="9.5546875" style="40" bestFit="1" customWidth="1"/>
    <col min="22" max="22" width="14.44140625" style="40" bestFit="1" customWidth="1"/>
    <col min="23" max="24" width="14.77734375" style="40" bestFit="1" customWidth="1"/>
    <col min="25" max="16384" width="9" style="40"/>
  </cols>
  <sheetData>
    <row r="1" spans="1:14" s="151" customFormat="1" ht="17.399999999999999" x14ac:dyDescent="0.3">
      <c r="A1" s="120" t="str">
        <f>"Comparable transactions analysis - "&amp;D23&amp;" / "&amp;D24</f>
      </c>
      <c r="B1" s="120"/>
      <c r="C1" s="121"/>
      <c r="D1" s="121"/>
      <c r="E1" s="121"/>
      <c r="F1" s="121"/>
      <c r="G1" s="121"/>
      <c r="H1" s="121"/>
      <c r="I1" s="121"/>
      <c r="J1" s="121"/>
      <c r="K1" s="121"/>
      <c r="L1" s="121"/>
      <c r="M1" s="122"/>
      <c r="N1" s="122"/>
    </row>
    <row r="2" spans="1:14" s="151" customFormat="1" ht="18" thickBot="1" x14ac:dyDescent="0.35">
      <c r="A2" s="128" t="str">
        <f>"Input sheet (all numbers in millions "&amp;D27&amp;" unless otherwise stated)"</f>
      </c>
      <c r="B2" s="127"/>
      <c r="C2" s="127"/>
      <c r="D2" s="127"/>
      <c r="E2" s="127"/>
      <c r="F2" s="127"/>
      <c r="G2" s="127"/>
      <c r="H2" s="127"/>
      <c r="I2" s="127"/>
      <c r="J2" s="127"/>
      <c r="K2" s="127"/>
      <c r="L2" s="127"/>
      <c r="M2" s="127"/>
      <c r="N2" s="152"/>
    </row>
    <row r="3" spans="1:14" ht="13.8" thickTop="1" x14ac:dyDescent="0.25">
      <c r="B3" s="41"/>
    </row>
    <row r="4" spans="1:14" ht="17.399999999999999" x14ac:dyDescent="0.25">
      <c r="A4" s="129" t="s">
        <v>72</v>
      </c>
      <c r="B4" s="129"/>
      <c r="C4" s="130"/>
    </row>
    <row r="5" spans="1:14" ht="13.8" x14ac:dyDescent="0.25">
      <c r="B5" s="131" t="s">
        <v>73</v>
      </c>
      <c r="C5" s="41"/>
    </row>
    <row r="6" spans="1:14" ht="13.8" x14ac:dyDescent="0.25">
      <c r="B6" s="131"/>
      <c r="C6" s="41" t="str">
        <f>F25</f>
      </c>
      <c r="D6" s="37" t="str">
        <f>IF(Driver="Enterprise value","na",I25)</f>
      </c>
    </row>
    <row r="7" spans="1:14" ht="13.8" x14ac:dyDescent="0.25">
      <c r="B7" s="131"/>
      <c r="C7" s="41" t="s">
        <v>27</v>
      </c>
      <c r="D7" s="38" t="str">
        <f>IF(OR(Driver="Enterprise Value",I25=0),"na",I25/I26-1)</f>
      </c>
    </row>
    <row r="8" spans="1:14" ht="13.8" x14ac:dyDescent="0.25">
      <c r="B8" s="132"/>
      <c r="C8" s="133" t="str">
        <f>C41</f>
      </c>
      <c r="D8" s="39" t="str">
        <f>IF(Driver="Enterprise value","na",I33*FX)</f>
      </c>
      <c r="E8" s="41"/>
      <c r="F8" s="134"/>
    </row>
    <row r="9" spans="1:14" ht="13.8" x14ac:dyDescent="0.25">
      <c r="B9" s="132"/>
      <c r="C9" s="133" t="str">
        <f>C50</f>
      </c>
      <c r="D9" s="135">
        <f>I38*FX</f>
      </c>
    </row>
    <row r="10" spans="1:14" ht="13.8" x14ac:dyDescent="0.25">
      <c r="B10" s="132"/>
      <c r="C10" s="133"/>
    </row>
    <row r="11" spans="1:14" ht="13.8" x14ac:dyDescent="0.25">
      <c r="B11" s="131" t="s">
        <v>74</v>
      </c>
      <c r="C11" s="133"/>
      <c r="D11" s="136" t="s">
        <v>16</v>
      </c>
      <c r="E11" s="136" t="s">
        <v>75</v>
      </c>
    </row>
    <row r="12" spans="1:14" ht="13.8" x14ac:dyDescent="0.25">
      <c r="B12" s="132"/>
      <c r="C12" s="41" t="s">
        <v>76</v>
      </c>
      <c r="D12" s="42">
        <f>G65*FX</f>
      </c>
      <c r="E12" s="137" t="s">
        <v>77</v>
      </c>
    </row>
    <row r="13" spans="1:14" ht="13.8" x14ac:dyDescent="0.25">
      <c r="B13" s="132"/>
      <c r="C13" s="43" t="s">
        <v>78</v>
      </c>
      <c r="D13" s="42">
        <f>G76*FX</f>
      </c>
      <c r="E13" s="138">
        <f>D13/D12</f>
      </c>
    </row>
    <row r="14" spans="1:14" ht="13.8" x14ac:dyDescent="0.25">
      <c r="B14" s="132"/>
      <c r="C14" s="43" t="s">
        <v>19</v>
      </c>
      <c r="D14" s="42">
        <f>G79*FX</f>
      </c>
      <c r="E14" s="138">
        <f>D14/D12</f>
      </c>
    </row>
    <row r="15" spans="1:14" ht="13.8" x14ac:dyDescent="0.25">
      <c r="B15" s="139"/>
      <c r="D15" s="140"/>
    </row>
    <row r="16" spans="1:14" ht="13.8" x14ac:dyDescent="0.25">
      <c r="B16" s="131" t="s">
        <v>79</v>
      </c>
    </row>
    <row r="17" spans="1:24" x14ac:dyDescent="0.25">
      <c r="C17" s="40" t="s">
        <v>80</v>
      </c>
      <c r="D17" s="44">
        <f>$D$9/D12</f>
      </c>
    </row>
    <row r="18" spans="1:24" x14ac:dyDescent="0.25">
      <c r="C18" s="40" t="s">
        <v>81</v>
      </c>
      <c r="D18" s="44">
        <f>$D$9/D13</f>
      </c>
    </row>
    <row r="19" spans="1:24" x14ac:dyDescent="0.25">
      <c r="C19" s="40" t="s">
        <v>21</v>
      </c>
      <c r="D19" s="44">
        <f>$D$9/D14</f>
      </c>
    </row>
    <row r="20" spans="1:24" x14ac:dyDescent="0.25">
      <c r="D20" s="140"/>
    </row>
    <row r="21" spans="1:24" ht="17.399999999999999" x14ac:dyDescent="0.25">
      <c r="A21" s="129" t="s">
        <v>82</v>
      </c>
      <c r="B21" s="129"/>
      <c r="C21" s="130"/>
      <c r="I21" s="141"/>
    </row>
    <row r="22" spans="1:24" ht="13.8" x14ac:dyDescent="0.25">
      <c r="A22" s="36"/>
      <c r="B22" s="131" t="s">
        <v>83</v>
      </c>
      <c r="C22" s="41"/>
      <c r="D22" s="41"/>
      <c r="F22" s="131" t="s">
        <v>84</v>
      </c>
    </row>
    <row r="23" spans="1:24" ht="13.8" x14ac:dyDescent="0.25">
      <c r="B23" s="132"/>
      <c r="C23" s="41" t="s">
        <v>85</v>
      </c>
      <c r="D23" s="45" t="s">
        <v>33</v>
      </c>
      <c r="E23" s="41"/>
      <c r="F23" s="40" t="s">
        <v>86</v>
      </c>
      <c r="I23" s="45" t="s">
        <v>113</v>
      </c>
    </row>
    <row r="24" spans="1:24" ht="13.8" x14ac:dyDescent="0.25">
      <c r="B24" s="132"/>
      <c r="C24" s="41" t="s">
        <v>88</v>
      </c>
      <c r="D24" s="45" t="s">
        <v>212</v>
      </c>
      <c r="E24" s="41"/>
      <c r="F24" s="36" t="s">
        <v>90</v>
      </c>
    </row>
    <row r="25" spans="1:24" ht="13.8" x14ac:dyDescent="0.25">
      <c r="B25" s="132"/>
      <c r="C25" s="41" t="s">
        <v>91</v>
      </c>
      <c r="D25" s="46">
        <v>38337</v>
      </c>
      <c r="E25" s="41"/>
      <c r="F25" s="41" t="s">
        <v>92</v>
      </c>
      <c r="I25" s="47">
        <v>0</v>
      </c>
    </row>
    <row r="26" spans="1:24" ht="13.8" x14ac:dyDescent="0.25">
      <c r="B26" s="132"/>
      <c r="C26" s="133" t="s">
        <v>93</v>
      </c>
      <c r="D26" s="46">
        <v>38418</v>
      </c>
      <c r="E26" s="41"/>
      <c r="F26" s="133" t="s">
        <v>94</v>
      </c>
      <c r="I26" s="47">
        <v>0</v>
      </c>
      <c r="L26" s="66"/>
      <c r="W26" s="49"/>
      <c r="X26" s="49"/>
    </row>
    <row r="27" spans="1:24" ht="13.8" x14ac:dyDescent="0.25">
      <c r="B27" s="132"/>
      <c r="C27" s="133" t="s">
        <v>10</v>
      </c>
      <c r="D27" s="50" t="s">
        <v>197</v>
      </c>
      <c r="E27" s="41"/>
      <c r="F27" s="133" t="s">
        <v>95</v>
      </c>
      <c r="I27" s="47">
        <v>0</v>
      </c>
      <c r="L27" s="66"/>
      <c r="W27" s="49"/>
      <c r="X27" s="49"/>
    </row>
    <row r="28" spans="1:24" ht="13.8" x14ac:dyDescent="0.25">
      <c r="B28" s="132"/>
      <c r="C28" s="133" t="s">
        <v>96</v>
      </c>
      <c r="D28" s="51">
        <v>1.3408</v>
      </c>
      <c r="E28" s="41"/>
      <c r="F28" s="133" t="s">
        <v>97</v>
      </c>
      <c r="I28" s="47">
        <v>0</v>
      </c>
      <c r="L28" s="66"/>
      <c r="W28" s="49"/>
      <c r="X28" s="49"/>
    </row>
    <row r="29" spans="1:24" ht="13.8" x14ac:dyDescent="0.25">
      <c r="B29" s="132"/>
      <c r="C29" s="133" t="s">
        <v>98</v>
      </c>
      <c r="D29" s="53">
        <v>38352</v>
      </c>
      <c r="E29" s="41"/>
      <c r="F29" s="41" t="s">
        <v>99</v>
      </c>
      <c r="I29" s="60">
        <v>0</v>
      </c>
      <c r="L29" s="66"/>
      <c r="W29" s="49"/>
      <c r="X29" s="49"/>
    </row>
    <row r="30" spans="1:24" ht="13.8" x14ac:dyDescent="0.25">
      <c r="B30" s="132"/>
      <c r="C30" s="133" t="s">
        <v>100</v>
      </c>
      <c r="D30" s="53">
        <v>38352</v>
      </c>
      <c r="E30" s="41"/>
      <c r="F30" s="41" t="s">
        <v>101</v>
      </c>
      <c r="I30" s="42" t="e">
        <f>K47</f>
      </c>
      <c r="L30" s="66"/>
      <c r="W30" s="49"/>
      <c r="X30" s="49"/>
    </row>
    <row r="31" spans="1:24" ht="13.8" x14ac:dyDescent="0.25">
      <c r="B31" s="132"/>
      <c r="C31" s="133" t="s">
        <v>102</v>
      </c>
      <c r="D31" s="50" t="s">
        <v>186</v>
      </c>
      <c r="E31" s="41"/>
      <c r="F31" s="41" t="s">
        <v>104</v>
      </c>
      <c r="I31" s="42" t="e">
        <f>I29+I30</f>
      </c>
      <c r="L31" s="66"/>
      <c r="W31" s="49"/>
      <c r="X31" s="49"/>
    </row>
    <row r="32" spans="1:24" ht="13.8" x14ac:dyDescent="0.25">
      <c r="B32" s="132"/>
      <c r="C32" s="133" t="s">
        <v>105</v>
      </c>
      <c r="D32" s="55"/>
      <c r="E32" s="56"/>
      <c r="F32" s="41" t="s">
        <v>106</v>
      </c>
      <c r="I32" s="143">
        <f>(7.4/2.2*1.6)*I25</f>
      </c>
      <c r="L32" s="66"/>
      <c r="W32" s="49"/>
      <c r="X32" s="49"/>
    </row>
    <row r="33" spans="1:24" ht="13.8" x14ac:dyDescent="0.25">
      <c r="B33" s="132"/>
      <c r="E33" s="56"/>
      <c r="F33" s="49" t="s">
        <v>107</v>
      </c>
      <c r="I33" s="57" t="e">
        <f>I25*I31+I32</f>
      </c>
      <c r="L33" s="66"/>
      <c r="W33" s="49"/>
      <c r="X33" s="49"/>
    </row>
    <row r="34" spans="1:24" ht="13.8" x14ac:dyDescent="0.25">
      <c r="B34" s="132"/>
      <c r="C34" s="133" t="s">
        <v>108</v>
      </c>
      <c r="D34" s="145">
        <v>1</v>
      </c>
      <c r="E34" s="56"/>
      <c r="L34" s="66"/>
      <c r="W34" s="49"/>
      <c r="X34" s="49"/>
    </row>
    <row r="35" spans="1:24" ht="13.8" x14ac:dyDescent="0.25">
      <c r="B35" s="132"/>
      <c r="C35" s="133" t="s">
        <v>109</v>
      </c>
      <c r="D35" s="138">
        <f>1-D34</f>
      </c>
      <c r="E35" s="56"/>
      <c r="F35" s="131" t="s">
        <v>90</v>
      </c>
      <c r="L35" s="66"/>
      <c r="W35" s="49"/>
      <c r="X35" s="49"/>
    </row>
    <row r="36" spans="1:24" ht="13.8" x14ac:dyDescent="0.25">
      <c r="B36" s="132"/>
      <c r="E36" s="56"/>
      <c r="F36" s="58" t="s">
        <v>110</v>
      </c>
      <c r="G36" s="59"/>
      <c r="H36" s="49"/>
      <c r="I36" s="60">
        <v>778.2</v>
      </c>
      <c r="W36" s="49"/>
      <c r="X36" s="49"/>
    </row>
    <row r="37" spans="1:24" ht="13.8" x14ac:dyDescent="0.25">
      <c r="B37" s="132"/>
      <c r="E37" s="56"/>
      <c r="F37" s="58" t="s">
        <v>111</v>
      </c>
      <c r="G37" s="59"/>
      <c r="H37" s="49"/>
      <c r="I37" s="60">
        <v>0</v>
      </c>
      <c r="W37" s="49"/>
      <c r="X37" s="49"/>
    </row>
    <row r="38" spans="1:24" ht="13.8" x14ac:dyDescent="0.25">
      <c r="B38" s="132"/>
      <c r="E38" s="56"/>
      <c r="F38" s="61" t="s">
        <v>112</v>
      </c>
      <c r="G38" s="59"/>
      <c r="H38" s="49"/>
      <c r="I38" s="62">
        <f>SUM(I36:I37)</f>
      </c>
      <c r="W38" s="49"/>
      <c r="X38" s="49"/>
    </row>
    <row r="39" spans="1:24" ht="13.8" x14ac:dyDescent="0.25">
      <c r="B39" s="132"/>
      <c r="E39" s="56"/>
      <c r="F39" s="156"/>
      <c r="G39" s="133"/>
      <c r="W39" s="49"/>
      <c r="X39" s="49"/>
    </row>
    <row r="40" spans="1:24" ht="13.8" x14ac:dyDescent="0.25">
      <c r="B40" s="131" t="s">
        <v>113</v>
      </c>
      <c r="F40" s="36" t="s">
        <v>114</v>
      </c>
      <c r="I40" s="63">
        <f>YEAR($D$29)</f>
      </c>
      <c r="J40" s="63">
        <f>YEAR($D$29)</f>
      </c>
    </row>
    <row r="41" spans="1:24" ht="13.8" x14ac:dyDescent="0.25">
      <c r="A41" s="49"/>
      <c r="B41" s="131"/>
      <c r="C41" s="64" t="s">
        <v>107</v>
      </c>
      <c r="D41" s="57" t="e">
        <f>I33</f>
      </c>
      <c r="E41" s="49"/>
      <c r="I41" s="65" t="s">
        <v>115</v>
      </c>
      <c r="J41" s="65" t="s">
        <v>116</v>
      </c>
      <c r="K41" s="65" t="s">
        <v>117</v>
      </c>
    </row>
    <row r="42" spans="1:24" ht="13.8" x14ac:dyDescent="0.25">
      <c r="B42" s="132"/>
      <c r="C42" s="40" t="str">
        <f>F55</f>
      </c>
      <c r="D42" s="42">
        <f>I55</f>
      </c>
      <c r="F42" s="66" t="s">
        <v>187</v>
      </c>
      <c r="I42" s="67">
        <v>0</v>
      </c>
      <c r="J42" s="68">
        <v>0</v>
      </c>
      <c r="K42" s="154" t="e">
        <f>MAX(($I$25-J42)/$I$25*I42,0)</f>
      </c>
    </row>
    <row r="43" spans="1:24" ht="13.8" x14ac:dyDescent="0.25">
      <c r="B43" s="132"/>
      <c r="C43" s="41" t="str">
        <f>C55&amp;" and "&amp;LOWER(C56)</f>
      </c>
      <c r="D43" s="42">
        <f>D55</f>
      </c>
      <c r="F43" s="66" t="s">
        <v>188</v>
      </c>
      <c r="I43" s="67">
        <v>0</v>
      </c>
      <c r="J43" s="68">
        <v>0</v>
      </c>
      <c r="K43" s="154" t="e">
        <f>MAX(($I$25-J43)/$I$25*I43,0)</f>
      </c>
    </row>
    <row r="44" spans="1:24" ht="13.8" x14ac:dyDescent="0.25">
      <c r="B44" s="132"/>
      <c r="C44" s="69" t="s">
        <v>120</v>
      </c>
      <c r="D44" s="57">
        <f>D42-D43</f>
      </c>
      <c r="F44" s="66" t="s">
        <v>168</v>
      </c>
      <c r="I44" s="67">
        <v>0</v>
      </c>
      <c r="J44" s="68">
        <v>0</v>
      </c>
      <c r="K44" s="154" t="e">
        <f>MAX(($I$25-J44)/$I$25*I44,0)</f>
      </c>
    </row>
    <row r="45" spans="1:24" ht="13.8" x14ac:dyDescent="0.25">
      <c r="B45" s="132"/>
      <c r="C45" s="41" t="str">
        <f>F56</f>
      </c>
      <c r="D45" s="92">
        <f>I56</f>
      </c>
      <c r="F45" s="66" t="s">
        <v>161</v>
      </c>
      <c r="G45" s="49"/>
      <c r="H45" s="49"/>
      <c r="I45" s="67">
        <v>0</v>
      </c>
      <c r="J45" s="68">
        <v>0</v>
      </c>
      <c r="K45" s="154" t="e">
        <f>MAX(($I$25-J45)/$I$25*I45,0)</f>
      </c>
    </row>
    <row r="46" spans="1:24" ht="13.8" x14ac:dyDescent="0.25">
      <c r="B46" s="132"/>
      <c r="C46" s="41" t="str">
        <f>F59</f>
      </c>
      <c r="D46" s="42">
        <f>I59</f>
      </c>
      <c r="F46" s="66" t="s">
        <v>123</v>
      </c>
      <c r="G46" s="49"/>
      <c r="H46" s="49"/>
      <c r="I46" s="67">
        <v>0</v>
      </c>
      <c r="J46" s="68">
        <v>0</v>
      </c>
      <c r="K46" s="154" t="e">
        <f>MAX(($I$25-J46)/$I$25*I46,0)</f>
      </c>
    </row>
    <row r="47" spans="1:24" ht="13.8" x14ac:dyDescent="0.25">
      <c r="B47" s="132"/>
      <c r="C47" s="41" t="str">
        <f>F60</f>
      </c>
      <c r="D47" s="42">
        <f>I60</f>
      </c>
      <c r="F47" s="56" t="s">
        <v>130</v>
      </c>
      <c r="I47" s="49"/>
      <c r="J47" s="49"/>
      <c r="K47" s="49" t="e">
        <f>SUM(K42:K46)</f>
      </c>
    </row>
    <row r="48" spans="1:24" ht="15.6" x14ac:dyDescent="0.3">
      <c r="A48" s="35"/>
      <c r="B48" s="132"/>
      <c r="C48" s="41" t="str">
        <f>C57</f>
      </c>
      <c r="D48" s="42">
        <f>D57</f>
      </c>
      <c r="G48" s="41"/>
      <c r="H48" s="41"/>
    </row>
    <row r="49" spans="1:22" ht="15.6" x14ac:dyDescent="0.3">
      <c r="A49" s="35"/>
      <c r="B49" s="132"/>
      <c r="C49" s="41" t="str">
        <f>C58</f>
      </c>
      <c r="D49" s="42">
        <f>D58</f>
      </c>
      <c r="G49" s="41"/>
      <c r="H49" s="41"/>
    </row>
    <row r="50" spans="1:22" ht="15.6" x14ac:dyDescent="0.3">
      <c r="A50" s="35"/>
      <c r="B50" s="132"/>
      <c r="C50" s="59" t="s">
        <v>110</v>
      </c>
      <c r="D50" s="57">
        <f>IF(I23="Enterprise value",I38,SUM(D41,D44:D47)-SUM(D48:D49))</f>
      </c>
      <c r="G50" s="41"/>
      <c r="H50" s="41"/>
    </row>
    <row r="51" spans="1:22" ht="17.399999999999999" x14ac:dyDescent="0.25">
      <c r="A51" s="157"/>
      <c r="B51" s="157"/>
      <c r="C51" s="157"/>
      <c r="D51" s="56"/>
      <c r="G51" s="41"/>
      <c r="H51" s="41"/>
    </row>
    <row r="52" spans="1:22" ht="17.399999999999999" x14ac:dyDescent="0.25">
      <c r="A52" s="129" t="s">
        <v>129</v>
      </c>
      <c r="B52" s="129"/>
      <c r="C52" s="129"/>
    </row>
    <row r="54" spans="1:22" ht="13.8" x14ac:dyDescent="0.25">
      <c r="B54" s="131" t="s">
        <v>131</v>
      </c>
      <c r="D54" s="148">
        <f>D30</f>
      </c>
      <c r="I54" s="148">
        <f>D54</f>
      </c>
    </row>
    <row r="55" spans="1:22" ht="13.8" x14ac:dyDescent="0.25">
      <c r="B55" s="132"/>
      <c r="C55" s="40" t="s">
        <v>28</v>
      </c>
      <c r="D55" s="50"/>
      <c r="F55" s="40" t="s">
        <v>132</v>
      </c>
      <c r="I55" s="45"/>
      <c r="M55" s="41"/>
      <c r="N55" s="72"/>
      <c r="O55" s="73"/>
      <c r="P55" s="73"/>
      <c r="Q55" s="73"/>
      <c r="R55" s="73"/>
      <c r="S55" s="41"/>
      <c r="T55" s="74"/>
      <c r="U55" s="74"/>
      <c r="V55" s="74"/>
    </row>
    <row r="56" spans="1:22" ht="13.8" x14ac:dyDescent="0.25">
      <c r="B56" s="132"/>
      <c r="C56" s="40" t="s">
        <v>133</v>
      </c>
      <c r="D56" s="50"/>
      <c r="F56" s="40" t="s">
        <v>134</v>
      </c>
      <c r="I56" s="45"/>
      <c r="M56" s="41"/>
      <c r="N56" s="72"/>
      <c r="O56" s="73"/>
      <c r="P56" s="73"/>
      <c r="Q56" s="73"/>
      <c r="R56" s="73"/>
      <c r="S56" s="41"/>
      <c r="T56" s="74"/>
      <c r="U56" s="74"/>
      <c r="V56" s="74"/>
    </row>
    <row r="57" spans="1:22" ht="13.8" x14ac:dyDescent="0.25">
      <c r="B57" s="132"/>
      <c r="C57" s="40" t="s">
        <v>135</v>
      </c>
      <c r="D57" s="75"/>
      <c r="F57" s="40" t="s">
        <v>136</v>
      </c>
      <c r="I57" s="50"/>
      <c r="M57" s="41"/>
      <c r="N57" s="41"/>
      <c r="O57" s="41"/>
      <c r="P57" s="41"/>
      <c r="Q57" s="41"/>
      <c r="R57" s="41"/>
      <c r="S57" s="36"/>
    </row>
    <row r="58" spans="1:22" ht="13.8" x14ac:dyDescent="0.25">
      <c r="B58" s="132"/>
      <c r="C58" s="40" t="s">
        <v>137</v>
      </c>
      <c r="D58" s="75"/>
      <c r="F58" s="40" t="s">
        <v>138</v>
      </c>
      <c r="I58" s="45"/>
      <c r="J58" s="110"/>
      <c r="M58" s="41"/>
      <c r="N58" s="41"/>
      <c r="O58" s="41"/>
      <c r="P58" s="41"/>
      <c r="Q58" s="41"/>
      <c r="R58" s="41"/>
      <c r="S58" s="76"/>
    </row>
    <row r="59" spans="1:22" ht="13.8" x14ac:dyDescent="0.25">
      <c r="B59" s="132"/>
      <c r="C59" s="40" t="s">
        <v>139</v>
      </c>
      <c r="D59" s="75"/>
      <c r="F59" s="40" t="s">
        <v>140</v>
      </c>
      <c r="I59" s="45"/>
      <c r="J59" s="77"/>
    </row>
    <row r="60" spans="1:22" ht="13.8" x14ac:dyDescent="0.25">
      <c r="B60" s="132"/>
      <c r="F60" s="40" t="s">
        <v>141</v>
      </c>
      <c r="I60" s="45"/>
      <c r="J60" s="77"/>
    </row>
    <row r="61" spans="1:22" ht="13.8" x14ac:dyDescent="0.25">
      <c r="B61" s="132"/>
      <c r="C61" s="78" t="s">
        <v>142</v>
      </c>
      <c r="D61" s="49">
        <f>SUM(D55:D59)</f>
      </c>
      <c r="F61" s="78" t="s">
        <v>143</v>
      </c>
      <c r="I61" s="49">
        <f>SUM(I55:I60)</f>
      </c>
      <c r="J61" s="77"/>
    </row>
    <row r="62" spans="1:22" ht="13.8" x14ac:dyDescent="0.25">
      <c r="B62" s="132"/>
      <c r="C62" s="79" t="s">
        <v>144</v>
      </c>
      <c r="D62" s="80" t="str">
        <f>IF(D61=I61,"OK",D61-I61)</f>
      </c>
      <c r="J62" s="77"/>
    </row>
    <row r="63" spans="1:22" ht="13.8" x14ac:dyDescent="0.25">
      <c r="B63" s="132"/>
      <c r="J63" s="81"/>
    </row>
    <row r="64" spans="1:22" ht="13.8" x14ac:dyDescent="0.25">
      <c r="B64" s="82" t="s">
        <v>145</v>
      </c>
      <c r="D64" s="149">
        <f>YEAR($D$29)</f>
      </c>
      <c r="E64" s="148" t="str">
        <f>YEAR($D$30)-1&amp;" "&amp;$D$32&amp;"Q"</f>
      </c>
      <c r="F64" s="148" t="str">
        <f>YEAR($D$30)&amp;" "&amp;$D$32&amp;"Q"</f>
      </c>
      <c r="G64" s="148" t="s">
        <v>16</v>
      </c>
    </row>
    <row r="65" spans="2:7" x14ac:dyDescent="0.25">
      <c r="B65" s="41"/>
      <c r="C65" s="41" t="s">
        <v>76</v>
      </c>
      <c r="D65" s="50">
        <v>743.3</v>
      </c>
      <c r="E65" s="97">
        <v>0</v>
      </c>
      <c r="F65" s="50">
        <v>0</v>
      </c>
      <c r="G65" s="40">
        <f>D65-E65+F65</f>
      </c>
    </row>
    <row r="66" spans="2:7" x14ac:dyDescent="0.25">
      <c r="C66" s="40" t="s">
        <v>146</v>
      </c>
    </row>
    <row r="67" spans="2:7" x14ac:dyDescent="0.25">
      <c r="B67" s="41"/>
      <c r="C67" s="41" t="s">
        <v>213</v>
      </c>
      <c r="D67" s="92">
        <v>69.3</v>
      </c>
      <c r="E67" s="92">
        <v>0</v>
      </c>
      <c r="F67" s="96">
        <v>0</v>
      </c>
    </row>
    <row r="68" spans="2:7" x14ac:dyDescent="0.25">
      <c r="B68" s="41"/>
      <c r="C68" s="85" t="s">
        <v>189</v>
      </c>
      <c r="D68" s="50">
        <v>0</v>
      </c>
      <c r="E68" s="50">
        <v>0</v>
      </c>
      <c r="F68" s="50">
        <v>0</v>
      </c>
    </row>
    <row r="69" spans="2:7" x14ac:dyDescent="0.25">
      <c r="B69" s="41"/>
      <c r="C69" s="85" t="s">
        <v>163</v>
      </c>
      <c r="D69" s="50">
        <v>0</v>
      </c>
      <c r="E69" s="50">
        <v>0</v>
      </c>
      <c r="F69" s="50">
        <v>0</v>
      </c>
    </row>
    <row r="70" spans="2:7" x14ac:dyDescent="0.25">
      <c r="B70" s="41"/>
      <c r="C70" s="85" t="s">
        <v>164</v>
      </c>
      <c r="D70" s="50">
        <v>0</v>
      </c>
      <c r="E70" s="50">
        <v>0</v>
      </c>
      <c r="F70" s="50">
        <v>0</v>
      </c>
    </row>
    <row r="71" spans="2:7" x14ac:dyDescent="0.25">
      <c r="B71" s="41"/>
      <c r="C71" s="85" t="s">
        <v>165</v>
      </c>
      <c r="D71" s="50">
        <v>0</v>
      </c>
      <c r="E71" s="50">
        <v>0</v>
      </c>
      <c r="F71" s="50">
        <v>0</v>
      </c>
    </row>
    <row r="72" spans="2:7" x14ac:dyDescent="0.25">
      <c r="B72" s="41"/>
      <c r="C72" s="85" t="s">
        <v>166</v>
      </c>
      <c r="D72" s="50">
        <v>0</v>
      </c>
      <c r="E72" s="50">
        <v>0</v>
      </c>
      <c r="F72" s="50">
        <v>0</v>
      </c>
    </row>
    <row r="73" spans="2:7" x14ac:dyDescent="0.25">
      <c r="B73" s="41"/>
      <c r="C73" s="85" t="s">
        <v>152</v>
      </c>
      <c r="D73" s="50">
        <v>0</v>
      </c>
      <c r="E73" s="50">
        <v>0</v>
      </c>
      <c r="F73" s="50">
        <v>0</v>
      </c>
    </row>
    <row r="74" spans="2:7" x14ac:dyDescent="0.25">
      <c r="B74" s="41"/>
      <c r="C74" s="85" t="s">
        <v>153</v>
      </c>
      <c r="D74" s="50">
        <v>0</v>
      </c>
      <c r="E74" s="50">
        <v>0</v>
      </c>
      <c r="F74" s="50">
        <v>0</v>
      </c>
    </row>
    <row r="75" spans="2:7" x14ac:dyDescent="0.25">
      <c r="B75" s="41"/>
      <c r="C75" s="85" t="s">
        <v>154</v>
      </c>
      <c r="D75" s="50">
        <v>0</v>
      </c>
      <c r="E75" s="50">
        <v>0</v>
      </c>
      <c r="F75" s="50">
        <v>0</v>
      </c>
    </row>
    <row r="76" spans="2:7" x14ac:dyDescent="0.25">
      <c r="B76" s="41"/>
      <c r="C76" s="86" t="s">
        <v>78</v>
      </c>
      <c r="D76" s="41">
        <f>SUM(D67:D75)</f>
      </c>
      <c r="E76" s="41">
        <f>SUM(E67:E75)</f>
      </c>
      <c r="F76" s="41">
        <f>SUM(F67:F75)</f>
      </c>
      <c r="G76" s="40">
        <f>D76-E76+F76</f>
      </c>
    </row>
    <row r="77" spans="2:7" x14ac:dyDescent="0.25">
      <c r="B77" s="41"/>
    </row>
    <row r="78" spans="2:7" x14ac:dyDescent="0.25">
      <c r="B78" s="41"/>
      <c r="C78" s="41" t="s">
        <v>155</v>
      </c>
      <c r="D78" s="50">
        <v>27</v>
      </c>
      <c r="E78" s="50">
        <v>0</v>
      </c>
      <c r="F78" s="50">
        <v>0</v>
      </c>
      <c r="G78" s="40">
        <f>D78-E78+F78</f>
      </c>
    </row>
    <row r="79" spans="2:7" x14ac:dyDescent="0.25">
      <c r="B79" s="41"/>
      <c r="C79" s="86" t="s">
        <v>19</v>
      </c>
      <c r="D79" s="41">
        <f>D76+D78</f>
      </c>
      <c r="E79" s="41">
        <f>E76+E78</f>
      </c>
      <c r="F79" s="41">
        <f>F76+F78</f>
      </c>
      <c r="G79" s="40">
        <f>D79-E79+F79</f>
      </c>
    </row>
    <row r="80" spans="2:7" x14ac:dyDescent="0.25">
      <c r="B80" s="41"/>
    </row>
  </sheetData>
  <conditionalFormatting sqref="D41:D49 I42:J46">
    <cfRule type="expression" dxfId="14" priority="10" stopIfTrue="1">
      <formula>$I$23="Enterprise value"</formula>
    </cfRule>
  </conditionalFormatting>
  <conditionalFormatting sqref="F24:F33 K40:K47 I41:J41 C41:C49 F47:J47">
    <cfRule type="expression" dxfId="13" priority="11" stopIfTrue="1">
      <formula>$I$23="Enterprise value"</formula>
    </cfRule>
  </conditionalFormatting>
  <conditionalFormatting sqref="F35:F38">
    <cfRule type="expression" dxfId="12" priority="12" stopIfTrue="1">
      <formula>$I$23="Share price"</formula>
    </cfRule>
  </conditionalFormatting>
  <conditionalFormatting sqref="F40:H46">
    <cfRule type="expression" dxfId="11" priority="1" stopIfTrue="1">
      <formula>$I$23="Enterprise value"</formula>
    </cfRule>
  </conditionalFormatting>
  <conditionalFormatting sqref="I25:I33">
    <cfRule type="expression" dxfId="10" priority="9" stopIfTrue="1">
      <formula>$I$23="Enterprise value"</formula>
    </cfRule>
  </conditionalFormatting>
  <conditionalFormatting sqref="I36:I38">
    <cfRule type="expression" dxfId="9" priority="8" stopIfTrue="1">
      <formula>$I$23="Share price"</formula>
    </cfRule>
  </conditionalFormatting>
  <conditionalFormatting sqref="I40:J40">
    <cfRule type="expression" dxfId="8" priority="7" stopIfTrue="1">
      <formula>$I$23="Enterprise value"</formula>
    </cfRule>
  </conditionalFormatting>
  <conditionalFormatting sqref="L26:L35">
    <cfRule type="expression" dxfId="7" priority="3" stopIfTrue="1">
      <formula>$I$23="Enterprise value"</formula>
    </cfRule>
  </conditionalFormatting>
  <dataValidations count="3">
    <dataValidation type="list" allowBlank="1" showInputMessage="1" showErrorMessage="1" sqref="I23" xr:uid="{00000000-0002-0000-0F00-000000000000}">
      <formula1>"Share price,Enterprise value"</formula1>
    </dataValidation>
    <dataValidation type="list" allowBlank="1" showInputMessage="1" showErrorMessage="1" prompt="Input 1, 2 or 3 to indicate which quarter data has been spread. Leave blank if annual data." sqref="D32" xr:uid="{00000000-0002-0000-0F00-000001000000}">
      <formula1>"1,2,3,,"</formula1>
    </dataValidation>
    <dataValidation type="list" allowBlank="1" showInputMessage="1" showErrorMessage="1" sqref="D31" xr:uid="{00000000-0002-0000-0F00-000002000000}">
      <formula1>"10K,10Q,8K,Annual,Interim"</formula1>
    </dataValidation>
  </dataValidations>
  <pageMargins left="0.74803149606299213" right="0.74803149606299213" top="0.98425196850393704" bottom="0.98425196850393704" header="0.51181102362204722" footer="0.51181102362204722"/>
  <pageSetup paperSize="9" scale="63" orientation="portrait" r:id="rId1"/>
  <headerFooter alignWithMargins="0">
    <oddFooter>&amp;R&amp;8&amp;P of &amp;N</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6">
    <pageSetUpPr fitToPage="1"/>
  </sheetPr>
  <dimension ref="A1:X80"/>
  <sheetViews>
    <sheetView showGridLines="0" zoomScaleNormal="100" workbookViewId="0"/>
  </sheetViews>
  <sheetFormatPr defaultColWidth="9" defaultRowHeight="13.2" x14ac:dyDescent="0.25"/>
  <cols>
    <col min="1" max="2" width="1.77734375" style="40" customWidth="1"/>
    <col min="3" max="3" width="40.77734375" style="40" customWidth="1"/>
    <col min="4" max="4" width="12.44140625" style="40" customWidth="1"/>
    <col min="5" max="8" width="11.21875" style="40" customWidth="1"/>
    <col min="9" max="9" width="15.77734375" style="40" bestFit="1" customWidth="1"/>
    <col min="10" max="11" width="11.44140625" style="40" bestFit="1" customWidth="1"/>
    <col min="12" max="13" width="9" style="40"/>
    <col min="14" max="14" width="19.44140625" style="40" customWidth="1"/>
    <col min="15" max="15" width="11.21875" style="40" bestFit="1" customWidth="1"/>
    <col min="16" max="16" width="9.5546875" style="40" bestFit="1" customWidth="1"/>
    <col min="17" max="19" width="9.21875" style="40" bestFit="1" customWidth="1"/>
    <col min="20" max="20" width="11.21875" style="40" bestFit="1" customWidth="1"/>
    <col min="21" max="21" width="9.5546875" style="40" bestFit="1" customWidth="1"/>
    <col min="22" max="22" width="14.44140625" style="40" bestFit="1" customWidth="1"/>
    <col min="23" max="24" width="14.77734375" style="40" bestFit="1" customWidth="1"/>
    <col min="25" max="16384" width="9" style="40"/>
  </cols>
  <sheetData>
    <row r="1" spans="1:14" s="151" customFormat="1" ht="17.399999999999999" x14ac:dyDescent="0.3">
      <c r="A1" s="120" t="str">
        <f>"Comparable transactions analysis - "&amp;D23&amp;" / "&amp;D24</f>
      </c>
      <c r="B1" s="120"/>
      <c r="C1" s="121"/>
      <c r="D1" s="121"/>
      <c r="E1" s="121"/>
      <c r="F1" s="121"/>
      <c r="G1" s="121"/>
      <c r="H1" s="121"/>
      <c r="I1" s="121"/>
      <c r="J1" s="121"/>
      <c r="K1" s="121"/>
      <c r="L1" s="121"/>
      <c r="M1" s="122"/>
      <c r="N1" s="122"/>
    </row>
    <row r="2" spans="1:14" s="151" customFormat="1" ht="18" thickBot="1" x14ac:dyDescent="0.35">
      <c r="A2" s="128" t="str">
        <f>"Input sheet (all numbers in millions "&amp;D27&amp;" unless otherwise stated)"</f>
      </c>
      <c r="B2" s="127"/>
      <c r="C2" s="127"/>
      <c r="D2" s="127"/>
      <c r="E2" s="127"/>
      <c r="F2" s="127"/>
      <c r="G2" s="127"/>
      <c r="H2" s="127"/>
      <c r="I2" s="127"/>
      <c r="J2" s="127"/>
      <c r="K2" s="127"/>
      <c r="L2" s="127"/>
      <c r="M2" s="127"/>
      <c r="N2" s="152"/>
    </row>
    <row r="3" spans="1:14" ht="13.8" thickTop="1" x14ac:dyDescent="0.25">
      <c r="B3" s="41"/>
    </row>
    <row r="4" spans="1:14" ht="17.399999999999999" x14ac:dyDescent="0.25">
      <c r="A4" s="129" t="s">
        <v>72</v>
      </c>
      <c r="B4" s="129"/>
      <c r="C4" s="130"/>
    </row>
    <row r="5" spans="1:14" ht="13.8" x14ac:dyDescent="0.25">
      <c r="B5" s="131" t="s">
        <v>210</v>
      </c>
      <c r="C5" s="41"/>
    </row>
    <row r="6" spans="1:14" ht="13.8" x14ac:dyDescent="0.25">
      <c r="B6" s="131"/>
      <c r="C6" s="41" t="str">
        <f>F25</f>
      </c>
      <c r="D6" s="39" t="str">
        <f>IF(Driver="Enterprise value","na",I25)</f>
      </c>
    </row>
    <row r="7" spans="1:14" ht="13.8" x14ac:dyDescent="0.25">
      <c r="B7" s="131"/>
      <c r="C7" s="41" t="s">
        <v>27</v>
      </c>
      <c r="D7" s="38" t="str">
        <f>IF(OR(Driver="Enterprise Value",I26=0),"na",I25/I26-1)</f>
      </c>
    </row>
    <row r="8" spans="1:14" ht="13.8" x14ac:dyDescent="0.25">
      <c r="B8" s="132"/>
      <c r="C8" s="133" t="str">
        <f>C41</f>
      </c>
      <c r="D8" s="39" t="str">
        <f>IF(Driver="Enterprise value","na",I33*FX)</f>
      </c>
      <c r="E8" s="41"/>
      <c r="F8" s="134"/>
    </row>
    <row r="9" spans="1:14" ht="13.8" x14ac:dyDescent="0.25">
      <c r="B9" s="132"/>
      <c r="C9" s="133" t="str">
        <f>C50</f>
      </c>
      <c r="D9" s="135">
        <f>D50</f>
      </c>
    </row>
    <row r="10" spans="1:14" ht="13.8" x14ac:dyDescent="0.25">
      <c r="B10" s="132"/>
      <c r="C10" s="133"/>
    </row>
    <row r="11" spans="1:14" ht="13.8" x14ac:dyDescent="0.25">
      <c r="B11" s="131" t="s">
        <v>214</v>
      </c>
      <c r="C11" s="133"/>
      <c r="D11" s="136" t="s">
        <v>16</v>
      </c>
      <c r="E11" s="136" t="s">
        <v>75</v>
      </c>
    </row>
    <row r="12" spans="1:14" ht="13.8" x14ac:dyDescent="0.25">
      <c r="B12" s="132"/>
      <c r="C12" s="41" t="s">
        <v>76</v>
      </c>
      <c r="D12" s="42">
        <f>G65*FX</f>
      </c>
      <c r="E12" s="137" t="s">
        <v>77</v>
      </c>
    </row>
    <row r="13" spans="1:14" ht="13.8" x14ac:dyDescent="0.25">
      <c r="B13" s="132"/>
      <c r="C13" s="43" t="s">
        <v>78</v>
      </c>
      <c r="D13" s="42">
        <f>G76*FX</f>
      </c>
      <c r="E13" s="138">
        <f>D13/D12</f>
      </c>
    </row>
    <row r="14" spans="1:14" ht="13.8" x14ac:dyDescent="0.25">
      <c r="B14" s="132"/>
      <c r="C14" s="43" t="s">
        <v>19</v>
      </c>
      <c r="D14" s="42">
        <f>G79*FX</f>
      </c>
      <c r="E14" s="138">
        <f>D14/D12</f>
      </c>
    </row>
    <row r="15" spans="1:14" ht="13.8" x14ac:dyDescent="0.25">
      <c r="B15" s="139"/>
      <c r="D15" s="140"/>
    </row>
    <row r="16" spans="1:14" ht="13.8" x14ac:dyDescent="0.25">
      <c r="B16" s="131" t="s">
        <v>79</v>
      </c>
    </row>
    <row r="17" spans="1:24" x14ac:dyDescent="0.25">
      <c r="C17" s="40" t="s">
        <v>80</v>
      </c>
      <c r="D17" s="44">
        <f>$D$9/D12</f>
      </c>
    </row>
    <row r="18" spans="1:24" x14ac:dyDescent="0.25">
      <c r="C18" s="40" t="s">
        <v>81</v>
      </c>
      <c r="D18" s="44">
        <f>$D$9/D13</f>
      </c>
    </row>
    <row r="19" spans="1:24" x14ac:dyDescent="0.25">
      <c r="C19" s="40" t="s">
        <v>21</v>
      </c>
      <c r="D19" s="44">
        <f>$D$9/D14</f>
      </c>
    </row>
    <row r="20" spans="1:24" x14ac:dyDescent="0.25">
      <c r="D20" s="140"/>
    </row>
    <row r="21" spans="1:24" ht="17.399999999999999" x14ac:dyDescent="0.25">
      <c r="A21" s="129" t="s">
        <v>82</v>
      </c>
      <c r="B21" s="129"/>
      <c r="C21" s="130"/>
      <c r="I21" s="141"/>
    </row>
    <row r="22" spans="1:24" ht="13.8" x14ac:dyDescent="0.25">
      <c r="A22" s="36"/>
      <c r="B22" s="131" t="s">
        <v>83</v>
      </c>
      <c r="C22" s="41"/>
      <c r="D22" s="41"/>
      <c r="F22" s="131" t="s">
        <v>84</v>
      </c>
    </row>
    <row r="23" spans="1:24" ht="13.8" x14ac:dyDescent="0.25">
      <c r="B23" s="132"/>
      <c r="C23" s="41" t="s">
        <v>85</v>
      </c>
      <c r="D23" s="45" t="s">
        <v>32</v>
      </c>
      <c r="E23" s="41"/>
      <c r="F23" s="40" t="s">
        <v>86</v>
      </c>
      <c r="I23" s="45" t="s">
        <v>113</v>
      </c>
    </row>
    <row r="24" spans="1:24" ht="13.8" x14ac:dyDescent="0.25">
      <c r="B24" s="132"/>
      <c r="C24" s="41" t="s">
        <v>88</v>
      </c>
      <c r="D24" s="45" t="s">
        <v>192</v>
      </c>
      <c r="E24" s="41"/>
      <c r="F24" s="36" t="s">
        <v>90</v>
      </c>
    </row>
    <row r="25" spans="1:24" ht="13.8" x14ac:dyDescent="0.25">
      <c r="B25" s="132"/>
      <c r="C25" s="41" t="s">
        <v>91</v>
      </c>
      <c r="D25" s="46">
        <v>38306</v>
      </c>
      <c r="E25" s="41"/>
      <c r="F25" s="41" t="s">
        <v>92</v>
      </c>
      <c r="I25" s="47">
        <v>0</v>
      </c>
    </row>
    <row r="26" spans="1:24" ht="13.8" x14ac:dyDescent="0.25">
      <c r="B26" s="132"/>
      <c r="C26" s="133" t="s">
        <v>93</v>
      </c>
      <c r="D26" s="46">
        <v>38532</v>
      </c>
      <c r="E26" s="41"/>
      <c r="F26" s="133" t="s">
        <v>94</v>
      </c>
      <c r="I26" s="47">
        <v>0</v>
      </c>
      <c r="W26" s="49"/>
      <c r="X26" s="49"/>
    </row>
    <row r="27" spans="1:24" ht="13.8" x14ac:dyDescent="0.25">
      <c r="B27" s="132"/>
      <c r="C27" s="133" t="s">
        <v>10</v>
      </c>
      <c r="D27" s="50" t="s">
        <v>11</v>
      </c>
      <c r="E27" s="41"/>
      <c r="F27" s="133" t="s">
        <v>95</v>
      </c>
      <c r="I27" s="47">
        <v>0</v>
      </c>
      <c r="W27" s="49"/>
      <c r="X27" s="49"/>
    </row>
    <row r="28" spans="1:24" ht="13.8" x14ac:dyDescent="0.25">
      <c r="B28" s="132"/>
      <c r="C28" s="133" t="s">
        <v>96</v>
      </c>
      <c r="D28" s="51">
        <v>1</v>
      </c>
      <c r="E28" s="41"/>
      <c r="F28" s="133" t="s">
        <v>97</v>
      </c>
      <c r="I28" s="47">
        <v>0</v>
      </c>
      <c r="W28" s="49"/>
      <c r="X28" s="49"/>
    </row>
    <row r="29" spans="1:24" ht="13.8" x14ac:dyDescent="0.25">
      <c r="B29" s="132"/>
      <c r="C29" s="133" t="s">
        <v>98</v>
      </c>
      <c r="D29" s="53">
        <v>38346</v>
      </c>
      <c r="E29" s="41"/>
      <c r="F29" s="41" t="s">
        <v>99</v>
      </c>
      <c r="I29" s="60">
        <v>0</v>
      </c>
      <c r="W29" s="49"/>
      <c r="X29" s="49"/>
    </row>
    <row r="30" spans="1:24" ht="13.8" x14ac:dyDescent="0.25">
      <c r="B30" s="132"/>
      <c r="C30" s="133" t="s">
        <v>100</v>
      </c>
      <c r="D30" s="53">
        <v>38437</v>
      </c>
      <c r="E30" s="41"/>
      <c r="F30" s="41" t="s">
        <v>101</v>
      </c>
      <c r="I30" s="42" t="e">
        <f>K47</f>
      </c>
      <c r="W30" s="49"/>
      <c r="X30" s="49"/>
    </row>
    <row r="31" spans="1:24" ht="13.8" x14ac:dyDescent="0.25">
      <c r="B31" s="132"/>
      <c r="C31" s="133" t="s">
        <v>102</v>
      </c>
      <c r="D31" s="50" t="s">
        <v>158</v>
      </c>
      <c r="E31" s="41"/>
      <c r="F31" s="41" t="s">
        <v>104</v>
      </c>
      <c r="I31" s="42" t="e">
        <f>I29+I30</f>
      </c>
      <c r="W31" s="49"/>
      <c r="X31" s="49"/>
    </row>
    <row r="32" spans="1:24" ht="13.8" x14ac:dyDescent="0.25">
      <c r="B32" s="132"/>
      <c r="C32" s="133" t="s">
        <v>105</v>
      </c>
      <c r="D32" s="55">
        <v>1</v>
      </c>
      <c r="E32" s="56"/>
      <c r="F32" s="41" t="s">
        <v>106</v>
      </c>
      <c r="I32" s="143">
        <f>(7.4/2.2*1.6)*I25</f>
      </c>
      <c r="W32" s="49"/>
      <c r="X32" s="49"/>
    </row>
    <row r="33" spans="1:24" ht="13.8" x14ac:dyDescent="0.25">
      <c r="B33" s="132"/>
      <c r="E33" s="56"/>
      <c r="F33" s="49" t="s">
        <v>107</v>
      </c>
      <c r="I33" s="57" t="e">
        <f>I25*I31+I32</f>
      </c>
      <c r="W33" s="49"/>
      <c r="X33" s="49"/>
    </row>
    <row r="34" spans="1:24" ht="13.8" x14ac:dyDescent="0.25">
      <c r="B34" s="132"/>
      <c r="C34" s="133" t="s">
        <v>108</v>
      </c>
      <c r="D34" s="145">
        <v>1</v>
      </c>
      <c r="E34" s="56"/>
      <c r="W34" s="49"/>
      <c r="X34" s="49"/>
    </row>
    <row r="35" spans="1:24" ht="13.8" x14ac:dyDescent="0.25">
      <c r="B35" s="132"/>
      <c r="C35" s="133" t="s">
        <v>109</v>
      </c>
      <c r="D35" s="138">
        <f>1-D34</f>
      </c>
      <c r="E35" s="56"/>
      <c r="F35" s="131" t="s">
        <v>90</v>
      </c>
      <c r="W35" s="49"/>
      <c r="X35" s="49"/>
    </row>
    <row r="36" spans="1:24" ht="13.8" x14ac:dyDescent="0.25">
      <c r="B36" s="132"/>
      <c r="E36" s="56"/>
      <c r="F36" s="58" t="s">
        <v>110</v>
      </c>
      <c r="G36" s="59"/>
      <c r="H36" s="49"/>
      <c r="I36" s="60">
        <v>1460</v>
      </c>
      <c r="W36" s="49"/>
      <c r="X36" s="49"/>
    </row>
    <row r="37" spans="1:24" ht="13.8" x14ac:dyDescent="0.25">
      <c r="B37" s="132"/>
      <c r="E37" s="56"/>
      <c r="F37" s="58" t="s">
        <v>111</v>
      </c>
      <c r="G37" s="59"/>
      <c r="H37" s="49"/>
      <c r="I37" s="60">
        <v>-300</v>
      </c>
      <c r="W37" s="49"/>
      <c r="X37" s="49"/>
    </row>
    <row r="38" spans="1:24" ht="13.8" x14ac:dyDescent="0.25">
      <c r="B38" s="132"/>
      <c r="E38" s="56"/>
      <c r="F38" s="61" t="s">
        <v>112</v>
      </c>
      <c r="G38" s="59"/>
      <c r="H38" s="49"/>
      <c r="I38" s="62">
        <f>SUM(I36:I37)</f>
      </c>
      <c r="W38" s="49"/>
      <c r="X38" s="49"/>
    </row>
    <row r="39" spans="1:24" ht="13.8" x14ac:dyDescent="0.25">
      <c r="B39" s="132"/>
      <c r="E39" s="56"/>
      <c r="F39" s="133"/>
      <c r="G39" s="133"/>
      <c r="I39" s="41"/>
      <c r="W39" s="49"/>
      <c r="X39" s="49"/>
    </row>
    <row r="40" spans="1:24" ht="13.8" x14ac:dyDescent="0.25">
      <c r="B40" s="131" t="s">
        <v>113</v>
      </c>
      <c r="F40" s="131" t="s">
        <v>114</v>
      </c>
      <c r="I40" s="146">
        <f>YEAR($D$29)</f>
      </c>
      <c r="J40" s="146">
        <f>YEAR($D$29)</f>
      </c>
    </row>
    <row r="41" spans="1:24" ht="13.8" x14ac:dyDescent="0.25">
      <c r="A41" s="49"/>
      <c r="B41" s="131"/>
      <c r="C41" s="64" t="s">
        <v>107</v>
      </c>
      <c r="D41" s="57" t="e">
        <f>I33</f>
      </c>
      <c r="E41" s="49"/>
      <c r="I41" s="65" t="s">
        <v>115</v>
      </c>
      <c r="J41" s="65" t="s">
        <v>116</v>
      </c>
      <c r="K41" s="65" t="s">
        <v>117</v>
      </c>
    </row>
    <row r="42" spans="1:24" ht="13.8" x14ac:dyDescent="0.25">
      <c r="B42" s="132"/>
      <c r="C42" s="40" t="str">
        <f>F55</f>
      </c>
      <c r="D42" s="42">
        <f>I55</f>
      </c>
      <c r="F42" s="66" t="s">
        <v>187</v>
      </c>
      <c r="I42" s="67">
        <v>0</v>
      </c>
      <c r="J42" s="68">
        <v>0</v>
      </c>
      <c r="K42" s="154" t="e">
        <f>MAX(($I$25-J42)/$I$25*I42,0)</f>
      </c>
    </row>
    <row r="43" spans="1:24" ht="13.8" x14ac:dyDescent="0.25">
      <c r="B43" s="132"/>
      <c r="C43" s="41" t="str">
        <f>C55&amp;" and "&amp;LOWER(C56)</f>
      </c>
      <c r="D43" s="42">
        <f>D55</f>
      </c>
      <c r="F43" s="66" t="s">
        <v>188</v>
      </c>
      <c r="I43" s="67">
        <v>0</v>
      </c>
      <c r="J43" s="68">
        <v>0</v>
      </c>
      <c r="K43" s="154" t="e">
        <f>MAX(($I$25-J43)/$I$25*I43,0)</f>
      </c>
    </row>
    <row r="44" spans="1:24" ht="13.8" x14ac:dyDescent="0.25">
      <c r="B44" s="132"/>
      <c r="C44" s="69" t="s">
        <v>120</v>
      </c>
      <c r="D44" s="57">
        <f>D42-D43</f>
      </c>
      <c r="F44" s="66" t="s">
        <v>168</v>
      </c>
      <c r="I44" s="67">
        <v>0</v>
      </c>
      <c r="J44" s="68">
        <v>0</v>
      </c>
      <c r="K44" s="154" t="e">
        <f>MAX(($I$25-J44)/$I$25*I44,0)</f>
      </c>
    </row>
    <row r="45" spans="1:24" ht="13.8" x14ac:dyDescent="0.25">
      <c r="B45" s="132"/>
      <c r="C45" s="41" t="str">
        <f>F56</f>
      </c>
      <c r="D45" s="92">
        <f>I56</f>
      </c>
      <c r="F45" s="66" t="s">
        <v>161</v>
      </c>
      <c r="G45" s="49"/>
      <c r="H45" s="49"/>
      <c r="I45" s="67">
        <v>0</v>
      </c>
      <c r="J45" s="68">
        <v>0</v>
      </c>
      <c r="K45" s="154" t="e">
        <f>MAX(($I$25-J45)/$I$25*I45,0)</f>
      </c>
    </row>
    <row r="46" spans="1:24" ht="13.8" x14ac:dyDescent="0.25">
      <c r="B46" s="132"/>
      <c r="C46" s="41" t="str">
        <f>F59</f>
      </c>
      <c r="D46" s="42">
        <f>I59</f>
      </c>
      <c r="F46" s="66" t="s">
        <v>123</v>
      </c>
      <c r="G46" s="49"/>
      <c r="H46" s="49"/>
      <c r="I46" s="67">
        <v>0</v>
      </c>
      <c r="J46" s="68">
        <v>0</v>
      </c>
      <c r="K46" s="154" t="e">
        <f>MAX(($I$25-J46)/$I$25*I46,0)</f>
      </c>
    </row>
    <row r="47" spans="1:24" ht="13.8" x14ac:dyDescent="0.25">
      <c r="B47" s="132"/>
      <c r="C47" s="41" t="str">
        <f>F60</f>
      </c>
      <c r="D47" s="42">
        <f>I60</f>
      </c>
      <c r="F47" s="56" t="s">
        <v>130</v>
      </c>
      <c r="I47" s="49"/>
      <c r="J47" s="49"/>
      <c r="K47" s="49" t="e">
        <f>SUM(K42:K46)</f>
      </c>
    </row>
    <row r="48" spans="1:24" ht="15.6" x14ac:dyDescent="0.3">
      <c r="A48" s="35"/>
      <c r="B48" s="132"/>
      <c r="C48" s="41" t="str">
        <f>C57</f>
      </c>
      <c r="D48" s="42">
        <f>D57</f>
      </c>
      <c r="G48" s="41"/>
      <c r="H48" s="41"/>
    </row>
    <row r="49" spans="1:22" ht="15.6" x14ac:dyDescent="0.3">
      <c r="A49" s="35"/>
      <c r="B49" s="132"/>
      <c r="C49" s="41" t="str">
        <f>C58</f>
      </c>
      <c r="D49" s="42">
        <f>D58</f>
      </c>
      <c r="G49" s="41"/>
      <c r="H49" s="41"/>
    </row>
    <row r="50" spans="1:22" ht="15.6" x14ac:dyDescent="0.3">
      <c r="A50" s="35"/>
      <c r="B50" s="132"/>
      <c r="C50" s="59" t="s">
        <v>110</v>
      </c>
      <c r="D50" s="57">
        <f>IF(I23="Enterprise value",I38,SUM(D41,D44:D47)-SUM(D48:D49))</f>
      </c>
      <c r="G50" s="41"/>
      <c r="H50" s="41"/>
    </row>
    <row r="51" spans="1:22" ht="15.6" x14ac:dyDescent="0.3">
      <c r="A51" s="35"/>
      <c r="B51" s="132"/>
      <c r="C51" s="70"/>
      <c r="D51" s="56"/>
      <c r="G51" s="41"/>
      <c r="H51" s="41"/>
    </row>
    <row r="52" spans="1:22" ht="17.399999999999999" x14ac:dyDescent="0.25">
      <c r="A52" s="129" t="s">
        <v>129</v>
      </c>
      <c r="B52" s="129"/>
      <c r="C52" s="130"/>
    </row>
    <row r="53" spans="1:22" ht="13.8" x14ac:dyDescent="0.25">
      <c r="B53" s="132"/>
    </row>
    <row r="54" spans="1:22" ht="13.8" x14ac:dyDescent="0.25">
      <c r="B54" s="131" t="s">
        <v>131</v>
      </c>
      <c r="D54" s="148">
        <f>D30</f>
      </c>
      <c r="E54" s="100"/>
      <c r="F54" s="100"/>
      <c r="G54" s="100"/>
      <c r="H54" s="100"/>
      <c r="I54" s="148">
        <f>D54</f>
      </c>
    </row>
    <row r="55" spans="1:22" ht="13.8" x14ac:dyDescent="0.25">
      <c r="B55" s="132"/>
      <c r="C55" s="40" t="s">
        <v>28</v>
      </c>
      <c r="D55" s="50"/>
      <c r="F55" s="40" t="s">
        <v>132</v>
      </c>
      <c r="I55" s="45"/>
      <c r="M55" s="41"/>
      <c r="N55" s="72"/>
      <c r="O55" s="73"/>
      <c r="P55" s="73"/>
      <c r="Q55" s="73"/>
      <c r="R55" s="73"/>
      <c r="S55" s="41"/>
      <c r="T55" s="74"/>
      <c r="U55" s="74"/>
      <c r="V55" s="74"/>
    </row>
    <row r="56" spans="1:22" ht="13.8" x14ac:dyDescent="0.25">
      <c r="B56" s="132"/>
      <c r="C56" s="40" t="s">
        <v>133</v>
      </c>
      <c r="D56" s="50"/>
      <c r="F56" s="40" t="s">
        <v>134</v>
      </c>
      <c r="I56" s="45"/>
      <c r="M56" s="41"/>
      <c r="N56" s="72"/>
      <c r="O56" s="73"/>
      <c r="P56" s="73"/>
      <c r="Q56" s="73"/>
      <c r="R56" s="73"/>
      <c r="S56" s="41"/>
      <c r="T56" s="74"/>
      <c r="U56" s="74"/>
      <c r="V56" s="74"/>
    </row>
    <row r="57" spans="1:22" ht="13.8" x14ac:dyDescent="0.25">
      <c r="B57" s="132"/>
      <c r="C57" s="40" t="s">
        <v>135</v>
      </c>
      <c r="D57" s="75"/>
      <c r="F57" s="40" t="s">
        <v>136</v>
      </c>
      <c r="I57" s="50"/>
      <c r="M57" s="41"/>
      <c r="N57" s="41"/>
      <c r="O57" s="41"/>
      <c r="P57" s="41"/>
      <c r="Q57" s="41"/>
      <c r="R57" s="41"/>
      <c r="S57" s="36"/>
    </row>
    <row r="58" spans="1:22" ht="13.8" x14ac:dyDescent="0.25">
      <c r="B58" s="132"/>
      <c r="C58" s="40" t="s">
        <v>137</v>
      </c>
      <c r="D58" s="75"/>
      <c r="F58" s="40" t="s">
        <v>138</v>
      </c>
      <c r="I58" s="45"/>
      <c r="J58" s="110"/>
      <c r="M58" s="41"/>
      <c r="N58" s="41"/>
      <c r="O58" s="41"/>
      <c r="P58" s="41"/>
      <c r="Q58" s="41"/>
      <c r="R58" s="41"/>
      <c r="S58" s="76"/>
    </row>
    <row r="59" spans="1:22" ht="13.8" x14ac:dyDescent="0.25">
      <c r="B59" s="132"/>
      <c r="C59" s="40" t="s">
        <v>139</v>
      </c>
      <c r="D59" s="75"/>
      <c r="F59" s="40" t="s">
        <v>140</v>
      </c>
      <c r="I59" s="45"/>
      <c r="J59" s="77"/>
    </row>
    <row r="60" spans="1:22" ht="13.8" x14ac:dyDescent="0.25">
      <c r="B60" s="132"/>
      <c r="F60" s="40" t="s">
        <v>141</v>
      </c>
      <c r="I60" s="45"/>
      <c r="J60" s="77"/>
    </row>
    <row r="61" spans="1:22" ht="13.8" x14ac:dyDescent="0.25">
      <c r="B61" s="132"/>
      <c r="C61" s="78" t="s">
        <v>142</v>
      </c>
      <c r="D61" s="49">
        <f>SUM(D55:D59)</f>
      </c>
      <c r="F61" s="78" t="s">
        <v>143</v>
      </c>
      <c r="I61" s="49">
        <f>SUM(I55:I60)</f>
      </c>
      <c r="J61" s="77"/>
    </row>
    <row r="62" spans="1:22" ht="13.8" x14ac:dyDescent="0.25">
      <c r="B62" s="132"/>
      <c r="C62" s="79" t="s">
        <v>144</v>
      </c>
      <c r="D62" s="80" t="str">
        <f>IF(D61=I61,"OK",D61-I61)</f>
      </c>
      <c r="J62" s="77"/>
    </row>
    <row r="63" spans="1:22" ht="13.8" x14ac:dyDescent="0.25">
      <c r="B63" s="132"/>
      <c r="J63" s="81"/>
    </row>
    <row r="64" spans="1:22" ht="13.8" x14ac:dyDescent="0.25">
      <c r="B64" s="132" t="s">
        <v>145</v>
      </c>
      <c r="D64" s="149">
        <f>YEAR($D$29)</f>
      </c>
      <c r="E64" s="148" t="str">
        <f>YEAR($D$30)-1&amp;" "&amp;$D$32&amp;"Q"</f>
      </c>
      <c r="F64" s="148" t="str">
        <f>YEAR($D$30)&amp;" "&amp;$D$32&amp;"Q"</f>
      </c>
      <c r="G64" s="148" t="s">
        <v>16</v>
      </c>
    </row>
    <row r="65" spans="2:7" x14ac:dyDescent="0.25">
      <c r="B65" s="41"/>
      <c r="C65" s="41" t="s">
        <v>76</v>
      </c>
      <c r="D65" s="50">
        <f>464.942+2</f>
      </c>
      <c r="E65" s="97">
        <v>116.901</v>
      </c>
      <c r="F65" s="50">
        <v>116.074</v>
      </c>
      <c r="G65" s="40">
        <f>D65-E65+F65</f>
      </c>
    </row>
    <row r="67" spans="2:7" x14ac:dyDescent="0.25">
      <c r="B67" s="41"/>
      <c r="C67" s="41" t="s">
        <v>146</v>
      </c>
      <c r="D67" s="50">
        <v>54.32</v>
      </c>
      <c r="E67" s="92">
        <v>1.222</v>
      </c>
      <c r="F67" s="96">
        <v>13.526</v>
      </c>
    </row>
    <row r="68" spans="2:7" x14ac:dyDescent="0.25">
      <c r="B68" s="41"/>
      <c r="C68" s="85" t="s">
        <v>215</v>
      </c>
      <c r="D68" s="50">
        <v>16.899999999999999</v>
      </c>
      <c r="E68" s="50">
        <v>16.899999999999999</v>
      </c>
      <c r="F68" s="50">
        <v>0</v>
      </c>
    </row>
    <row r="69" spans="2:7" x14ac:dyDescent="0.25">
      <c r="B69" s="41"/>
      <c r="C69" s="85" t="s">
        <v>216</v>
      </c>
      <c r="D69" s="50">
        <v>8</v>
      </c>
      <c r="E69" s="50">
        <v>0</v>
      </c>
      <c r="F69" s="50">
        <v>0</v>
      </c>
    </row>
    <row r="70" spans="2:7" x14ac:dyDescent="0.25">
      <c r="B70" s="41"/>
      <c r="C70" s="85" t="s">
        <v>164</v>
      </c>
      <c r="D70" s="50">
        <v>0</v>
      </c>
      <c r="E70" s="50">
        <v>0</v>
      </c>
      <c r="F70" s="50">
        <v>0</v>
      </c>
    </row>
    <row r="71" spans="2:7" x14ac:dyDescent="0.25">
      <c r="B71" s="41"/>
      <c r="C71" s="85" t="s">
        <v>165</v>
      </c>
      <c r="D71" s="50">
        <v>0</v>
      </c>
      <c r="E71" s="50">
        <v>0</v>
      </c>
      <c r="F71" s="50">
        <v>0</v>
      </c>
    </row>
    <row r="72" spans="2:7" x14ac:dyDescent="0.25">
      <c r="B72" s="41"/>
      <c r="C72" s="85" t="s">
        <v>166</v>
      </c>
      <c r="D72" s="50">
        <v>0</v>
      </c>
      <c r="E72" s="50">
        <v>0</v>
      </c>
      <c r="F72" s="50">
        <v>0</v>
      </c>
    </row>
    <row r="73" spans="2:7" x14ac:dyDescent="0.25">
      <c r="B73" s="41"/>
      <c r="C73" s="85" t="s">
        <v>152</v>
      </c>
      <c r="D73" s="50">
        <v>0</v>
      </c>
      <c r="E73" s="50">
        <v>0</v>
      </c>
      <c r="F73" s="50">
        <v>0</v>
      </c>
    </row>
    <row r="74" spans="2:7" x14ac:dyDescent="0.25">
      <c r="B74" s="41"/>
      <c r="C74" s="85" t="s">
        <v>153</v>
      </c>
      <c r="D74" s="50">
        <v>0</v>
      </c>
      <c r="E74" s="50">
        <v>0</v>
      </c>
      <c r="F74" s="50">
        <v>0</v>
      </c>
    </row>
    <row r="75" spans="2:7" x14ac:dyDescent="0.25">
      <c r="B75" s="41"/>
      <c r="C75" s="85" t="s">
        <v>154</v>
      </c>
      <c r="D75" s="50">
        <v>0</v>
      </c>
      <c r="E75" s="50">
        <v>0</v>
      </c>
      <c r="F75" s="50">
        <v>0</v>
      </c>
    </row>
    <row r="76" spans="2:7" x14ac:dyDescent="0.25">
      <c r="B76" s="41"/>
      <c r="C76" s="86" t="s">
        <v>78</v>
      </c>
      <c r="D76" s="41">
        <f>SUM(D67:D75)</f>
      </c>
      <c r="E76" s="41">
        <f>SUM(E67:E75)</f>
      </c>
      <c r="F76" s="41">
        <f>SUM(F67:F75)</f>
      </c>
      <c r="G76" s="40">
        <f>D76-E76+F76</f>
      </c>
    </row>
    <row r="77" spans="2:7" x14ac:dyDescent="0.25">
      <c r="B77" s="41"/>
    </row>
    <row r="78" spans="2:7" x14ac:dyDescent="0.25">
      <c r="B78" s="41"/>
      <c r="C78" s="41" t="s">
        <v>155</v>
      </c>
      <c r="D78" s="50">
        <v>13</v>
      </c>
      <c r="E78" s="50">
        <v>3</v>
      </c>
      <c r="F78" s="50">
        <v>3</v>
      </c>
      <c r="G78" s="40">
        <f>D78-E78+F78</f>
      </c>
    </row>
    <row r="79" spans="2:7" x14ac:dyDescent="0.25">
      <c r="B79" s="41"/>
      <c r="C79" s="86" t="s">
        <v>19</v>
      </c>
      <c r="D79" s="41">
        <f>D76+D78</f>
      </c>
      <c r="E79" s="41">
        <f>E76+E78</f>
      </c>
      <c r="F79" s="41">
        <f>F76+F78</f>
      </c>
      <c r="G79" s="40">
        <f>D79-E79+F79</f>
      </c>
    </row>
    <row r="80" spans="2:7" x14ac:dyDescent="0.25">
      <c r="B80" s="41"/>
    </row>
  </sheetData>
  <conditionalFormatting sqref="D41:D49 I42:J46">
    <cfRule type="expression" dxfId="6" priority="6" stopIfTrue="1">
      <formula>$I$23="Enterprise value"</formula>
    </cfRule>
  </conditionalFormatting>
  <conditionalFormatting sqref="F24:F33 K40:K47 I41:J41 C41:C49 F47:J47">
    <cfRule type="expression" dxfId="5" priority="5" stopIfTrue="1">
      <formula>$I$23="Enterprise value"</formula>
    </cfRule>
  </conditionalFormatting>
  <conditionalFormatting sqref="F35:F38">
    <cfRule type="expression" dxfId="4" priority="4" stopIfTrue="1">
      <formula>$I$23="Share price"</formula>
    </cfRule>
  </conditionalFormatting>
  <conditionalFormatting sqref="F40:H46">
    <cfRule type="expression" dxfId="3" priority="1" stopIfTrue="1">
      <formula>$I$23="Enterprise value"</formula>
    </cfRule>
  </conditionalFormatting>
  <conditionalFormatting sqref="I25:I33">
    <cfRule type="expression" dxfId="2" priority="7" stopIfTrue="1">
      <formula>$I$23="Enterprise value"</formula>
    </cfRule>
  </conditionalFormatting>
  <conditionalFormatting sqref="I36:I38">
    <cfRule type="expression" dxfId="1" priority="3" stopIfTrue="1">
      <formula>$I$23="Share price"</formula>
    </cfRule>
  </conditionalFormatting>
  <conditionalFormatting sqref="I40:J40">
    <cfRule type="expression" dxfId="0" priority="9" stopIfTrue="1">
      <formula>$I$23="Enterprise value"</formula>
    </cfRule>
  </conditionalFormatting>
  <dataValidations count="3">
    <dataValidation type="list" allowBlank="1" showInputMessage="1" showErrorMessage="1" sqref="D31" xr:uid="{00000000-0002-0000-1000-000000000000}">
      <formula1>"10K,10Q,8K,Annual,Interim"</formula1>
    </dataValidation>
    <dataValidation type="list" allowBlank="1" showInputMessage="1" showErrorMessage="1" sqref="I23" xr:uid="{00000000-0002-0000-1000-000001000000}">
      <formula1>"Share price,Enterprise value"</formula1>
    </dataValidation>
    <dataValidation type="list" allowBlank="1" showInputMessage="1" showErrorMessage="1" prompt="Input 1, 2 or 3 to indicate which quarter data has been spread. Leave blank if annual data." sqref="D32" xr:uid="{00000000-0002-0000-1000-000002000000}">
      <formula1>"1,2,3,,"</formula1>
    </dataValidation>
  </dataValidations>
  <pageMargins left="0.74803149606299213" right="0.74803149606299213" top="0.98425196850393704" bottom="0.98425196850393704" header="0.51181102362204722" footer="0.51181102362204722"/>
  <pageSetup paperSize="9" scale="63" orientation="portrait" r:id="rId1"/>
  <headerFooter alignWithMargins="0">
    <oddFooter>&amp;R&amp;8&amp;P of &amp;N</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242</vt:i4>
      </vt:variant>
    </vt:vector>
  </HeadingPairs>
  <TitlesOfParts>
    <vt:vector size="259" baseType="lpstr">
      <vt:lpstr>Inputs</vt:lpstr>
      <vt:lpstr>Summary</vt:lpstr>
      <vt:lpstr>Company0650</vt:lpstr>
      <vt:lpstr>Company0777_2</vt:lpstr>
      <vt:lpstr>Heinz</vt:lpstr>
      <vt:lpstr>Company0382</vt:lpstr>
      <vt:lpstr>ConAgra</vt:lpstr>
      <vt:lpstr>Company1507</vt:lpstr>
      <vt:lpstr>Company1930_2</vt:lpstr>
      <vt:lpstr>Company1930_1</vt:lpstr>
      <vt:lpstr>Company1522_2</vt:lpstr>
      <vt:lpstr>Mars</vt:lpstr>
      <vt:lpstr>Company0777_1</vt:lpstr>
      <vt:lpstr>Company1522_1</vt:lpstr>
      <vt:lpstr>Company0676</vt:lpstr>
      <vt:lpstr>CVC</vt:lpstr>
      <vt:lpstr>Company3003</vt:lpstr>
      <vt:lpstr>Company0382!Announce</vt:lpstr>
      <vt:lpstr>Company0650!Announce</vt:lpstr>
      <vt:lpstr>Company0676!Announce</vt:lpstr>
      <vt:lpstr>ConAgra!Announce</vt:lpstr>
      <vt:lpstr>CVC!Announce</vt:lpstr>
      <vt:lpstr>Company0777_1!Announce</vt:lpstr>
      <vt:lpstr>Company0777_2!Announce</vt:lpstr>
      <vt:lpstr>Heinz!Announce</vt:lpstr>
      <vt:lpstr>Company1507!Announce</vt:lpstr>
      <vt:lpstr>Company1522_1!Announce</vt:lpstr>
      <vt:lpstr>Company1522_2!Announce</vt:lpstr>
      <vt:lpstr>Mars!Announce</vt:lpstr>
      <vt:lpstr>Company1930_1!Announce</vt:lpstr>
      <vt:lpstr>Company1930_2!Announce</vt:lpstr>
      <vt:lpstr>Company3003!Announce</vt:lpstr>
      <vt:lpstr>Company0382!Cash</vt:lpstr>
      <vt:lpstr>Company0650!Cash</vt:lpstr>
      <vt:lpstr>Company0676!Cash</vt:lpstr>
      <vt:lpstr>ConAgra!Cash</vt:lpstr>
      <vt:lpstr>CVC!Cash</vt:lpstr>
      <vt:lpstr>Company0777_1!Cash</vt:lpstr>
      <vt:lpstr>Company0777_2!Cash</vt:lpstr>
      <vt:lpstr>Heinz!Cash</vt:lpstr>
      <vt:lpstr>Company1507!Cash</vt:lpstr>
      <vt:lpstr>Company1522_1!Cash</vt:lpstr>
      <vt:lpstr>Company1522_2!Cash</vt:lpstr>
      <vt:lpstr>Mars!Cash</vt:lpstr>
      <vt:lpstr>Company1930_1!Cash</vt:lpstr>
      <vt:lpstr>Company1930_2!Cash</vt:lpstr>
      <vt:lpstr>Company3003!Cash</vt:lpstr>
      <vt:lpstr>Ccy</vt:lpstr>
      <vt:lpstr>Company0382!Complete</vt:lpstr>
      <vt:lpstr>Company0650!Complete</vt:lpstr>
      <vt:lpstr>Company0676!Complete</vt:lpstr>
      <vt:lpstr>ConAgra!Complete</vt:lpstr>
      <vt:lpstr>CVC!Complete</vt:lpstr>
      <vt:lpstr>Company0777_1!Complete</vt:lpstr>
      <vt:lpstr>Company0777_2!Complete</vt:lpstr>
      <vt:lpstr>Heinz!Complete</vt:lpstr>
      <vt:lpstr>Company1507!Complete</vt:lpstr>
      <vt:lpstr>Company1522_1!Complete</vt:lpstr>
      <vt:lpstr>Company1522_2!Complete</vt:lpstr>
      <vt:lpstr>Mars!Complete</vt:lpstr>
      <vt:lpstr>Company1930_1!Complete</vt:lpstr>
      <vt:lpstr>Company1930_2!Complete</vt:lpstr>
      <vt:lpstr>Company3003!Complete</vt:lpstr>
      <vt:lpstr>Company0382!Currency</vt:lpstr>
      <vt:lpstr>Company0650!Currency</vt:lpstr>
      <vt:lpstr>Company0676!Currency</vt:lpstr>
      <vt:lpstr>ConAgra!Currency</vt:lpstr>
      <vt:lpstr>CVC!Currency</vt:lpstr>
      <vt:lpstr>Company0777_1!Currency</vt:lpstr>
      <vt:lpstr>Company0777_2!Currency</vt:lpstr>
      <vt:lpstr>Heinz!Currency</vt:lpstr>
      <vt:lpstr>Company1507!Currency</vt:lpstr>
      <vt:lpstr>Company1522_1!Currency</vt:lpstr>
      <vt:lpstr>Company1522_2!Currency</vt:lpstr>
      <vt:lpstr>Mars!Currency</vt:lpstr>
      <vt:lpstr>Company1930_1!Currency</vt:lpstr>
      <vt:lpstr>Company1930_2!Currency</vt:lpstr>
      <vt:lpstr>Company3003!Currency</vt:lpstr>
      <vt:lpstr>Company0382!Driver</vt:lpstr>
      <vt:lpstr>Company0650!Driver</vt:lpstr>
      <vt:lpstr>Company0676!Driver</vt:lpstr>
      <vt:lpstr>ConAgra!Driver</vt:lpstr>
      <vt:lpstr>CVC!Driver</vt:lpstr>
      <vt:lpstr>Company0777_1!Driver</vt:lpstr>
      <vt:lpstr>Company0777_2!Driver</vt:lpstr>
      <vt:lpstr>Heinz!Driver</vt:lpstr>
      <vt:lpstr>Company1507!Driver</vt:lpstr>
      <vt:lpstr>Company1522_1!Driver</vt:lpstr>
      <vt:lpstr>Company1522_2!Driver</vt:lpstr>
      <vt:lpstr>Mars!Driver</vt:lpstr>
      <vt:lpstr>Company1930_1!Driver</vt:lpstr>
      <vt:lpstr>Company1930_2!Driver</vt:lpstr>
      <vt:lpstr>Company3003!Driver</vt:lpstr>
      <vt:lpstr>Company0382!EBITDAMargin</vt:lpstr>
      <vt:lpstr>Company0650!EBITDAMargin</vt:lpstr>
      <vt:lpstr>Company0676!EBITDAMargin</vt:lpstr>
      <vt:lpstr>ConAgra!EBITDAMargin</vt:lpstr>
      <vt:lpstr>CVC!EBITDAMargin</vt:lpstr>
      <vt:lpstr>Company0777_1!EBITDAMargin</vt:lpstr>
      <vt:lpstr>Company0777_2!EBITDAMargin</vt:lpstr>
      <vt:lpstr>Heinz!EBITDAMargin</vt:lpstr>
      <vt:lpstr>Company1507!EBITDAMargin</vt:lpstr>
      <vt:lpstr>Company1522_1!EBITDAMargin</vt:lpstr>
      <vt:lpstr>Company1522_2!EBITDAMargin</vt:lpstr>
      <vt:lpstr>Mars!EBITDAMargin</vt:lpstr>
      <vt:lpstr>Company1930_1!EBITDAMargin</vt:lpstr>
      <vt:lpstr>Company1930_2!EBITDAMargin</vt:lpstr>
      <vt:lpstr>Company3003!EBITDAMargin</vt:lpstr>
      <vt:lpstr>Company0382!EBITDAMultiple</vt:lpstr>
      <vt:lpstr>Company0650!EBITDAMultiple</vt:lpstr>
      <vt:lpstr>Company0676!EBITDAMultiple</vt:lpstr>
      <vt:lpstr>ConAgra!EBITDAMultiple</vt:lpstr>
      <vt:lpstr>CVC!EBITDAMultiple</vt:lpstr>
      <vt:lpstr>Company0777_1!EBITDAMultiple</vt:lpstr>
      <vt:lpstr>Company0777_2!EBITDAMultiple</vt:lpstr>
      <vt:lpstr>Heinz!EBITDAMultiple</vt:lpstr>
      <vt:lpstr>Company1507!EBITDAMultiple</vt:lpstr>
      <vt:lpstr>Company1522_1!EBITDAMultiple</vt:lpstr>
      <vt:lpstr>Company1522_2!EBITDAMultiple</vt:lpstr>
      <vt:lpstr>Mars!EBITDAMultiple</vt:lpstr>
      <vt:lpstr>Company1930_1!EBITDAMultiple</vt:lpstr>
      <vt:lpstr>Company1930_2!EBITDAMultiple</vt:lpstr>
      <vt:lpstr>Company3003!EBITDAMultiple</vt:lpstr>
      <vt:lpstr>Company0382!Equity</vt:lpstr>
      <vt:lpstr>Company0650!Equity</vt:lpstr>
      <vt:lpstr>Company0676!Equity</vt:lpstr>
      <vt:lpstr>ConAgra!Equity</vt:lpstr>
      <vt:lpstr>CVC!Equity</vt:lpstr>
      <vt:lpstr>Company0777_1!Equity</vt:lpstr>
      <vt:lpstr>Company0777_2!Equity</vt:lpstr>
      <vt:lpstr>Heinz!Equity</vt:lpstr>
      <vt:lpstr>Company1507!Equity</vt:lpstr>
      <vt:lpstr>Company1522_1!Equity</vt:lpstr>
      <vt:lpstr>Company1522_2!Equity</vt:lpstr>
      <vt:lpstr>Mars!Equity</vt:lpstr>
      <vt:lpstr>Company1930_1!Equity</vt:lpstr>
      <vt:lpstr>Company1930_2!Equity</vt:lpstr>
      <vt:lpstr>Company3003!Equity</vt:lpstr>
      <vt:lpstr>Company0382!EV</vt:lpstr>
      <vt:lpstr>Company0650!EV</vt:lpstr>
      <vt:lpstr>Company0676!EV</vt:lpstr>
      <vt:lpstr>ConAgra!EV</vt:lpstr>
      <vt:lpstr>CVC!EV</vt:lpstr>
      <vt:lpstr>Company0777_1!EV</vt:lpstr>
      <vt:lpstr>Company0777_2!EV</vt:lpstr>
      <vt:lpstr>Heinz!EV</vt:lpstr>
      <vt:lpstr>Company1507!EV</vt:lpstr>
      <vt:lpstr>Company1522_1!EV</vt:lpstr>
      <vt:lpstr>Company1522_2!EV</vt:lpstr>
      <vt:lpstr>Mars!EV</vt:lpstr>
      <vt:lpstr>Company1930_1!EV</vt:lpstr>
      <vt:lpstr>Company1930_2!EV</vt:lpstr>
      <vt:lpstr>Company3003!EV</vt:lpstr>
      <vt:lpstr>Company0382!FX</vt:lpstr>
      <vt:lpstr>Company0650!FX</vt:lpstr>
      <vt:lpstr>Company0676!FX</vt:lpstr>
      <vt:lpstr>ConAgra!FX</vt:lpstr>
      <vt:lpstr>CVC!FX</vt:lpstr>
      <vt:lpstr>Company0777_1!FX</vt:lpstr>
      <vt:lpstr>Company0777_2!FX</vt:lpstr>
      <vt:lpstr>Heinz!FX</vt:lpstr>
      <vt:lpstr>Company1507!FX</vt:lpstr>
      <vt:lpstr>Company1522_1!FX</vt:lpstr>
      <vt:lpstr>Company1522_2!FX</vt:lpstr>
      <vt:lpstr>Mars!FX</vt:lpstr>
      <vt:lpstr>Company1930_1!FX</vt:lpstr>
      <vt:lpstr>Company1930_2!FX</vt:lpstr>
      <vt:lpstr>Company3003!FX</vt:lpstr>
      <vt:lpstr>Company0382!OfferPrice</vt:lpstr>
      <vt:lpstr>Company0650!OfferPrice</vt:lpstr>
      <vt:lpstr>Company0676!OfferPrice</vt:lpstr>
      <vt:lpstr>ConAgra!OfferPrice</vt:lpstr>
      <vt:lpstr>CVC!OfferPrice</vt:lpstr>
      <vt:lpstr>Company0777_1!OfferPrice</vt:lpstr>
      <vt:lpstr>Company0777_2!OfferPrice</vt:lpstr>
      <vt:lpstr>Heinz!OfferPrice</vt:lpstr>
      <vt:lpstr>Company1507!OfferPrice</vt:lpstr>
      <vt:lpstr>Company1522_1!OfferPrice</vt:lpstr>
      <vt:lpstr>Company1522_2!OfferPrice</vt:lpstr>
      <vt:lpstr>Mars!OfferPrice</vt:lpstr>
      <vt:lpstr>Company1930_1!OfferPrice</vt:lpstr>
      <vt:lpstr>Company1930_2!OfferPrice</vt:lpstr>
      <vt:lpstr>Company3003!OfferPrice</vt:lpstr>
      <vt:lpstr>Company0382!Premium</vt:lpstr>
      <vt:lpstr>Company0650!Premium</vt:lpstr>
      <vt:lpstr>Company0676!Premium</vt:lpstr>
      <vt:lpstr>ConAgra!Premium</vt:lpstr>
      <vt:lpstr>CVC!Premium</vt:lpstr>
      <vt:lpstr>Company0777_1!Premium</vt:lpstr>
      <vt:lpstr>Company0777_2!Premium</vt:lpstr>
      <vt:lpstr>Heinz!Premium</vt:lpstr>
      <vt:lpstr>Company1507!Premium</vt:lpstr>
      <vt:lpstr>Company1522_1!Premium</vt:lpstr>
      <vt:lpstr>Company1522_2!Premium</vt:lpstr>
      <vt:lpstr>Mars!Premium</vt:lpstr>
      <vt:lpstr>Company1930_1!Premium</vt:lpstr>
      <vt:lpstr>Company1930_2!Premium</vt:lpstr>
      <vt:lpstr>Company3003!Premium</vt:lpstr>
      <vt:lpstr>Company0382!Print_Area</vt:lpstr>
      <vt:lpstr>Company0650!Print_Area</vt:lpstr>
      <vt:lpstr>Company0676!Print_Area</vt:lpstr>
      <vt:lpstr>ConAgra!Print_Area</vt:lpstr>
      <vt:lpstr>CVC!Print_Area</vt:lpstr>
      <vt:lpstr>Company0777_1!Print_Area</vt:lpstr>
      <vt:lpstr>Company0777_2!Print_Area</vt:lpstr>
      <vt:lpstr>Heinz!Print_Area</vt:lpstr>
      <vt:lpstr>Company1507!Print_Area</vt:lpstr>
      <vt:lpstr>Company1522_1!Print_Area</vt:lpstr>
      <vt:lpstr>Company1522_2!Print_Area</vt:lpstr>
      <vt:lpstr>Mars!Print_Area</vt:lpstr>
      <vt:lpstr>Company1930_1!Print_Area</vt:lpstr>
      <vt:lpstr>Company1930_2!Print_Area</vt:lpstr>
      <vt:lpstr>Company3003!Print_Area</vt:lpstr>
      <vt:lpstr>Company0382!SalesMultiple</vt:lpstr>
      <vt:lpstr>Company0650!SalesMultiple</vt:lpstr>
      <vt:lpstr>Company0676!SalesMultiple</vt:lpstr>
      <vt:lpstr>ConAgra!SalesMultiple</vt:lpstr>
      <vt:lpstr>CVC!SalesMultiple</vt:lpstr>
      <vt:lpstr>Company0777_1!SalesMultiple</vt:lpstr>
      <vt:lpstr>Company0777_2!SalesMultiple</vt:lpstr>
      <vt:lpstr>Heinz!SalesMultiple</vt:lpstr>
      <vt:lpstr>Company1507!SalesMultiple</vt:lpstr>
      <vt:lpstr>Company1522_1!SalesMultiple</vt:lpstr>
      <vt:lpstr>Company1522_2!SalesMultiple</vt:lpstr>
      <vt:lpstr>Mars!SalesMultiple</vt:lpstr>
      <vt:lpstr>Company1930_1!SalesMultiple</vt:lpstr>
      <vt:lpstr>Company1930_2!SalesMultiple</vt:lpstr>
      <vt:lpstr>Company3003!SalesMultiple</vt:lpstr>
      <vt:lpstr>Company0382!Share</vt:lpstr>
      <vt:lpstr>Company0650!Share</vt:lpstr>
      <vt:lpstr>Company0676!Share</vt:lpstr>
      <vt:lpstr>ConAgra!Share</vt:lpstr>
      <vt:lpstr>CVC!Share</vt:lpstr>
      <vt:lpstr>Company0777_1!Share</vt:lpstr>
      <vt:lpstr>Company0777_2!Share</vt:lpstr>
      <vt:lpstr>Heinz!Share</vt:lpstr>
      <vt:lpstr>Company1507!Share</vt:lpstr>
      <vt:lpstr>Company1522_1!Share</vt:lpstr>
      <vt:lpstr>Company1522_2!Share</vt:lpstr>
      <vt:lpstr>Mars!Share</vt:lpstr>
      <vt:lpstr>Company1930_1!Share</vt:lpstr>
      <vt:lpstr>Company1930_2!Share</vt:lpstr>
      <vt:lpstr>Company3003!Share</vt:lpstr>
      <vt:lpstr>Company0382!TargetName</vt:lpstr>
      <vt:lpstr>Company0650!TargetName</vt:lpstr>
      <vt:lpstr>Company0676!TargetName</vt:lpstr>
      <vt:lpstr>ConAgra!TargetName</vt:lpstr>
      <vt:lpstr>CVC!TargetName</vt:lpstr>
      <vt:lpstr>Company0777_1!TargetName</vt:lpstr>
      <vt:lpstr>Company0777_2!TargetName</vt:lpstr>
      <vt:lpstr>Heinz!TargetName</vt:lpstr>
      <vt:lpstr>Company1507!TargetName</vt:lpstr>
      <vt:lpstr>Company1522_1!TargetName</vt:lpstr>
      <vt:lpstr>Company1522_2!TargetName</vt:lpstr>
      <vt:lpstr>Mars!TargetName</vt:lpstr>
      <vt:lpstr>Company1930_1!TargetName</vt:lpstr>
      <vt:lpstr>Company1930_2!TargetName</vt:lpstr>
      <vt:lpstr>Company3003!TargetName</vt:lpstr>
      <vt:lpstr>Units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Anonymous</dc:creator>
  <cp:lastModifiedBy>Anonymous</cp:lastModifiedBy>
  <cp:revision/>
  <dcterms:created xsi:type="dcterms:W3CDTF">2026-01-01T00:00:00Z</dcterms:created>
  <dcterms:modified xsi:type="dcterms:W3CDTF">2026-01-01T00:00:00Z</dcterms:modified>
</cp:coreProperties>
</file>