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bookViews>
    <workbookView xWindow="0" yWindow="760" windowWidth="34200" windowHeight="21120" xr2:uid="{95BD7ECA-5AA9-445F-85B7-7EA3AAF91091}"/>
  </bookViews>
  <sheets>
    <sheet name="Operations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Z154" i="1" l="1"/>
  <c r="BY154" i="1"/>
  <c r="BX154" i="1"/>
  <c r="BW154" i="1"/>
  <c r="BV154" i="1"/>
  <c r="CB154" i="1"/>
  <c r="CA154" i="1"/>
  <c r="CC115" i="1" l="1"/>
  <c r="CD115" i="1" s="1"/>
  <c r="CE115" i="1" s="1"/>
  <c r="CC95" i="1"/>
  <c r="CD95" i="1" s="1"/>
  <c r="CE95" i="1" s="1"/>
  <c r="CC103" i="1"/>
  <c r="CD103" i="1" s="1"/>
  <c r="CE103" i="1" s="1"/>
  <c r="CB104" i="1"/>
  <c r="CC104" i="1" s="1"/>
  <c r="CD104" i="1" s="1"/>
  <c r="CE104" i="1" s="1"/>
  <c r="CA104" i="1"/>
  <c r="BZ104" i="1"/>
  <c r="CC108" i="1"/>
  <c r="CD108" i="1" s="1"/>
  <c r="CE108" i="1" s="1"/>
  <c r="BZ109" i="1"/>
  <c r="CA109" i="1"/>
  <c r="CB109" i="1"/>
  <c r="CC109" i="1" s="1"/>
  <c r="CD109" i="1" s="1"/>
  <c r="CE109" i="1" s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CD130" i="1"/>
  <c r="CE130" i="1" s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CC145" i="1"/>
  <c r="CB159" i="1"/>
  <c r="CA159" i="1"/>
  <c r="BZ159" i="1"/>
  <c r="CB161" i="1"/>
  <c r="CA161" i="1"/>
  <c r="BZ161" i="1"/>
  <c r="BZ146" i="1"/>
  <c r="CA146" i="1"/>
  <c r="CB146" i="1"/>
  <c r="CC117" i="1"/>
  <c r="CD117" i="1" s="1"/>
  <c r="CE117" i="1" s="1"/>
  <c r="CC116" i="1"/>
  <c r="CD116" i="1" s="1"/>
  <c r="CE116" i="1" s="1"/>
  <c r="CC113" i="1"/>
  <c r="CD113" i="1" s="1"/>
  <c r="CE113" i="1" s="1"/>
  <c r="CC112" i="1"/>
  <c r="CC107" i="1"/>
  <c r="CD107" i="1" s="1"/>
  <c r="CE107" i="1" s="1"/>
  <c r="CC102" i="1"/>
  <c r="CD102" i="1" s="1"/>
  <c r="CE102" i="1" s="1"/>
  <c r="CC98" i="1"/>
  <c r="CD98" i="1" s="1"/>
  <c r="CE98" i="1" s="1"/>
  <c r="CC96" i="1"/>
  <c r="CD96" i="1" s="1"/>
  <c r="CE96" i="1" s="1"/>
  <c r="CC140" i="1"/>
  <c r="CC138" i="1"/>
  <c r="CD138" i="1" s="1"/>
  <c r="CD159" i="1" s="1"/>
  <c r="CC91" i="1"/>
  <c r="CD91" i="1" s="1"/>
  <c r="CE91" i="1" s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U154" i="1"/>
  <c r="BT154" i="1"/>
  <c r="BS154" i="1"/>
  <c r="BR154" i="1"/>
  <c r="BQ154" i="1"/>
  <c r="BP154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C41" i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F31" i="1"/>
  <c r="BJ31" i="1" s="1"/>
  <c r="BN31" i="1" s="1"/>
  <c r="BE31" i="1"/>
  <c r="BI31" i="1" s="1"/>
  <c r="BM31" i="1" s="1"/>
  <c r="BD31" i="1"/>
  <c r="BH31" i="1" s="1"/>
  <c r="BL31" i="1" s="1"/>
  <c r="BC31" i="1"/>
  <c r="BG31" i="1" s="1"/>
  <c r="BK31" i="1" s="1"/>
  <c r="BF32" i="1"/>
  <c r="BJ32" i="1" s="1"/>
  <c r="BN32" i="1" s="1"/>
  <c r="BE32" i="1"/>
  <c r="BI32" i="1" s="1"/>
  <c r="BM32" i="1" s="1"/>
  <c r="BD32" i="1"/>
  <c r="BH32" i="1" s="1"/>
  <c r="BL32" i="1" s="1"/>
  <c r="BC32" i="1"/>
  <c r="BG32" i="1" s="1"/>
  <c r="BK32" i="1" s="1"/>
  <c r="BF35" i="1"/>
  <c r="BJ35" i="1" s="1"/>
  <c r="BN35" i="1" s="1"/>
  <c r="BE35" i="1"/>
  <c r="BI35" i="1" s="1"/>
  <c r="BM35" i="1" s="1"/>
  <c r="BD35" i="1"/>
  <c r="BH35" i="1" s="1"/>
  <c r="BL35" i="1" s="1"/>
  <c r="BF34" i="1"/>
  <c r="BJ34" i="1" s="1"/>
  <c r="BN34" i="1" s="1"/>
  <c r="BE34" i="1"/>
  <c r="BI34" i="1" s="1"/>
  <c r="BM34" i="1" s="1"/>
  <c r="BD34" i="1"/>
  <c r="BH34" i="1" s="1"/>
  <c r="BL34" i="1" s="1"/>
  <c r="BC35" i="1"/>
  <c r="BG35" i="1" s="1"/>
  <c r="BK35" i="1" s="1"/>
  <c r="BC34" i="1"/>
  <c r="BG34" i="1" s="1"/>
  <c r="BK34" i="1" s="1"/>
  <c r="BF33" i="1"/>
  <c r="BJ33" i="1" s="1"/>
  <c r="BN33" i="1" s="1"/>
  <c r="BE33" i="1"/>
  <c r="BI33" i="1" s="1"/>
  <c r="BM33" i="1" s="1"/>
  <c r="BD33" i="1"/>
  <c r="BH33" i="1" s="1"/>
  <c r="BL33" i="1" s="1"/>
  <c r="BC33" i="1"/>
  <c r="BG33" i="1" s="1"/>
  <c r="BK33" i="1" s="1"/>
  <c r="BF75" i="1"/>
  <c r="BJ75" i="1" s="1"/>
  <c r="BN75" i="1" s="1"/>
  <c r="BE75" i="1"/>
  <c r="BI75" i="1" s="1"/>
  <c r="BM75" i="1" s="1"/>
  <c r="BD75" i="1"/>
  <c r="BH75" i="1" s="1"/>
  <c r="BL75" i="1" s="1"/>
  <c r="BC75" i="1"/>
  <c r="BG75" i="1" s="1"/>
  <c r="BK75" i="1" s="1"/>
  <c r="BF76" i="1"/>
  <c r="BJ76" i="1" s="1"/>
  <c r="BN76" i="1" s="1"/>
  <c r="BE76" i="1"/>
  <c r="BI76" i="1" s="1"/>
  <c r="BM76" i="1" s="1"/>
  <c r="BD76" i="1"/>
  <c r="BH76" i="1" s="1"/>
  <c r="BL76" i="1" s="1"/>
  <c r="BC76" i="1"/>
  <c r="BG76" i="1" s="1"/>
  <c r="BK76" i="1" s="1"/>
  <c r="CC161" i="1" l="1"/>
  <c r="CD112" i="1"/>
  <c r="CE112" i="1" s="1"/>
  <c r="CD140" i="1"/>
  <c r="CE140" i="1" s="1"/>
  <c r="BZ160" i="1"/>
  <c r="CA160" i="1"/>
  <c r="CB160" i="1"/>
  <c r="CD145" i="1"/>
  <c r="CC159" i="1"/>
  <c r="CE138" i="1"/>
  <c r="CE159" i="1" l="1"/>
  <c r="CE145" i="1"/>
  <c r="CD161" i="1"/>
  <c r="CC94" i="1"/>
  <c r="CD94" i="1" s="1"/>
  <c r="CE94" i="1" l="1"/>
  <c r="CE161" i="1"/>
  <c r="BJ79" i="1" l="1"/>
  <c r="BN79" i="1" s="1"/>
  <c r="BF54" i="1" l="1"/>
  <c r="BE54" i="1"/>
  <c r="BD54" i="1"/>
  <c r="BC54" i="1"/>
  <c r="BF53" i="1"/>
  <c r="BE53" i="1"/>
  <c r="BD53" i="1"/>
  <c r="BC53" i="1"/>
  <c r="BF52" i="1"/>
  <c r="BE52" i="1"/>
  <c r="BD52" i="1"/>
  <c r="BC52" i="1"/>
  <c r="BF50" i="1"/>
  <c r="BF72" i="1" s="1"/>
  <c r="BE50" i="1"/>
  <c r="BE72" i="1" s="1"/>
  <c r="BD50" i="1"/>
  <c r="BD72" i="1" s="1"/>
  <c r="BC50" i="1"/>
  <c r="BC72" i="1" s="1"/>
  <c r="BF49" i="1"/>
  <c r="BE49" i="1"/>
  <c r="BD49" i="1"/>
  <c r="BC49" i="1"/>
  <c r="BF48" i="1"/>
  <c r="BE48" i="1"/>
  <c r="BI48" i="1" s="1"/>
  <c r="BD48" i="1"/>
  <c r="BC48" i="1"/>
  <c r="BG48" i="1" s="1"/>
  <c r="BF47" i="1"/>
  <c r="BF69" i="1" s="1"/>
  <c r="BE47" i="1"/>
  <c r="BE69" i="1" s="1"/>
  <c r="BD47" i="1"/>
  <c r="BD69" i="1" s="1"/>
  <c r="BC47" i="1"/>
  <c r="BF51" i="1"/>
  <c r="BE51" i="1"/>
  <c r="BD51" i="1"/>
  <c r="BC51" i="1"/>
  <c r="BF46" i="1"/>
  <c r="BE46" i="1"/>
  <c r="BD46" i="1"/>
  <c r="BC46" i="1"/>
  <c r="BG46" i="1" s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BB59" i="1"/>
  <c r="BA59" i="1"/>
  <c r="AZ59" i="1"/>
  <c r="AY59" i="1"/>
  <c r="AP59" i="1"/>
  <c r="AO59" i="1"/>
  <c r="AN59" i="1"/>
  <c r="AM59" i="1"/>
  <c r="AL59" i="1"/>
  <c r="AK59" i="1"/>
  <c r="AJ59" i="1"/>
  <c r="AI59" i="1"/>
  <c r="AH59" i="1"/>
  <c r="AG59" i="1"/>
  <c r="AF59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65" i="1"/>
  <c r="AE64" i="1"/>
  <c r="AE62" i="1"/>
  <c r="AE61" i="1"/>
  <c r="AE60" i="1"/>
  <c r="AE59" i="1"/>
  <c r="AE63" i="1"/>
  <c r="AE58" i="1"/>
  <c r="B65" i="1"/>
  <c r="B64" i="1"/>
  <c r="B62" i="1"/>
  <c r="B61" i="1"/>
  <c r="B60" i="1"/>
  <c r="B59" i="1"/>
  <c r="B63" i="1"/>
  <c r="B58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B3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BI51" i="1" l="1"/>
  <c r="BM51" i="1" s="1"/>
  <c r="BH51" i="1"/>
  <c r="BL51" i="1" s="1"/>
  <c r="BI52" i="1"/>
  <c r="BH50" i="1"/>
  <c r="BH72" i="1" s="1"/>
  <c r="BG54" i="1"/>
  <c r="BK54" i="1" s="1"/>
  <c r="AV40" i="1"/>
  <c r="BI50" i="1"/>
  <c r="BI72" i="1" s="1"/>
  <c r="BJ47" i="1"/>
  <c r="BN47" i="1" s="1"/>
  <c r="BN69" i="1" s="1"/>
  <c r="BJ49" i="1"/>
  <c r="BI53" i="1"/>
  <c r="BJ53" i="1"/>
  <c r="BH53" i="1"/>
  <c r="BG53" i="1"/>
  <c r="BH47" i="1"/>
  <c r="BJ50" i="1"/>
  <c r="BJ72" i="1" s="1"/>
  <c r="BH54" i="1"/>
  <c r="BH46" i="1"/>
  <c r="BI47" i="1"/>
  <c r="BG50" i="1"/>
  <c r="BG72" i="1" s="1"/>
  <c r="BI54" i="1"/>
  <c r="BI46" i="1"/>
  <c r="BJ46" i="1"/>
  <c r="BF68" i="1"/>
  <c r="BK48" i="1"/>
  <c r="BH52" i="1"/>
  <c r="BD55" i="1"/>
  <c r="BD6" i="1" s="1"/>
  <c r="BC55" i="1"/>
  <c r="BC6" i="1" s="1"/>
  <c r="BH48" i="1"/>
  <c r="BE55" i="1"/>
  <c r="BE6" i="1" s="1"/>
  <c r="BG47" i="1"/>
  <c r="BC69" i="1"/>
  <c r="BJ54" i="1"/>
  <c r="BK46" i="1"/>
  <c r="BM48" i="1"/>
  <c r="BF55" i="1"/>
  <c r="BF6" i="1" s="1"/>
  <c r="BH49" i="1"/>
  <c r="BI49" i="1"/>
  <c r="BJ51" i="1"/>
  <c r="BJ48" i="1"/>
  <c r="BG52" i="1"/>
  <c r="BG51" i="1"/>
  <c r="BG49" i="1"/>
  <c r="BJ52" i="1"/>
  <c r="BA40" i="1"/>
  <c r="BB40" i="1"/>
  <c r="AU40" i="1"/>
  <c r="AW40" i="1"/>
  <c r="AX40" i="1"/>
  <c r="AY40" i="1"/>
  <c r="AZ40" i="1"/>
  <c r="BM50" i="1" l="1"/>
  <c r="BM72" i="1" s="1"/>
  <c r="BL50" i="1"/>
  <c r="BL72" i="1" s="1"/>
  <c r="BG55" i="1"/>
  <c r="BG6" i="1" s="1"/>
  <c r="BJ69" i="1"/>
  <c r="BM52" i="1"/>
  <c r="BN46" i="1"/>
  <c r="BN68" i="1" s="1"/>
  <c r="BJ68" i="1"/>
  <c r="BK49" i="1"/>
  <c r="BM46" i="1"/>
  <c r="BK52" i="1"/>
  <c r="BM54" i="1"/>
  <c r="BI55" i="1"/>
  <c r="BI6" i="1" s="1"/>
  <c r="BL48" i="1"/>
  <c r="BL53" i="1"/>
  <c r="BL46" i="1"/>
  <c r="BM53" i="1"/>
  <c r="BM49" i="1"/>
  <c r="BN50" i="1"/>
  <c r="BN72" i="1" s="1"/>
  <c r="BK47" i="1"/>
  <c r="BK69" i="1" s="1"/>
  <c r="BG69" i="1"/>
  <c r="BH69" i="1"/>
  <c r="BL47" i="1"/>
  <c r="BL69" i="1" s="1"/>
  <c r="BN52" i="1"/>
  <c r="BK53" i="1"/>
  <c r="BN53" i="1"/>
  <c r="BI69" i="1"/>
  <c r="BM47" i="1"/>
  <c r="BM69" i="1" s="1"/>
  <c r="BL54" i="1"/>
  <c r="BH55" i="1"/>
  <c r="BH6" i="1" s="1"/>
  <c r="BN49" i="1"/>
  <c r="BL49" i="1"/>
  <c r="BK51" i="1"/>
  <c r="BK50" i="1"/>
  <c r="BK72" i="1" s="1"/>
  <c r="BN48" i="1"/>
  <c r="BN51" i="1"/>
  <c r="BN54" i="1"/>
  <c r="BJ55" i="1"/>
  <c r="BJ6" i="1" s="1"/>
  <c r="BL52" i="1"/>
  <c r="BB85" i="1"/>
  <c r="BF85" i="1" s="1"/>
  <c r="BA85" i="1"/>
  <c r="BE85" i="1" s="1"/>
  <c r="AZ85" i="1"/>
  <c r="BD85" i="1" s="1"/>
  <c r="AY85" i="1"/>
  <c r="BC85" i="1" s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BB82" i="1"/>
  <c r="BF82" i="1" s="1"/>
  <c r="BA82" i="1"/>
  <c r="BE82" i="1" s="1"/>
  <c r="AZ82" i="1"/>
  <c r="BD82" i="1" s="1"/>
  <c r="AY82" i="1"/>
  <c r="BC82" i="1" s="1"/>
  <c r="AX82" i="1"/>
  <c r="AW82" i="1"/>
  <c r="AV82" i="1"/>
  <c r="AU82" i="1"/>
  <c r="AT82" i="1"/>
  <c r="AS82" i="1"/>
  <c r="AR82" i="1"/>
  <c r="AQ82" i="1"/>
  <c r="BB81" i="1"/>
  <c r="BF81" i="1" s="1"/>
  <c r="BA81" i="1"/>
  <c r="BE81" i="1" s="1"/>
  <c r="AZ81" i="1"/>
  <c r="BD81" i="1" s="1"/>
  <c r="AY81" i="1"/>
  <c r="BC81" i="1" s="1"/>
  <c r="AX81" i="1"/>
  <c r="AW81" i="1"/>
  <c r="AV81" i="1"/>
  <c r="AU81" i="1"/>
  <c r="AT81" i="1"/>
  <c r="AS81" i="1"/>
  <c r="AR81" i="1"/>
  <c r="AQ81" i="1"/>
  <c r="BB80" i="1"/>
  <c r="BA80" i="1"/>
  <c r="AZ80" i="1"/>
  <c r="AY80" i="1"/>
  <c r="AX80" i="1"/>
  <c r="AW80" i="1"/>
  <c r="AV80" i="1"/>
  <c r="AU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BB84" i="1"/>
  <c r="BA84" i="1"/>
  <c r="AZ84" i="1"/>
  <c r="AY84" i="1"/>
  <c r="AX84" i="1"/>
  <c r="BF84" i="1" s="1"/>
  <c r="BF73" i="1" s="1"/>
  <c r="AW84" i="1"/>
  <c r="BE84" i="1" s="1"/>
  <c r="BE73" i="1" s="1"/>
  <c r="AV84" i="1"/>
  <c r="BD84" i="1" s="1"/>
  <c r="BD73" i="1" s="1"/>
  <c r="AU84" i="1"/>
  <c r="BC84" i="1" s="1"/>
  <c r="BC73" i="1" s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BB79" i="1"/>
  <c r="BA79" i="1"/>
  <c r="BE79" i="1" s="1"/>
  <c r="AZ79" i="1"/>
  <c r="BD79" i="1" s="1"/>
  <c r="AY79" i="1"/>
  <c r="BC79" i="1" s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85" i="1"/>
  <c r="AA83" i="1"/>
  <c r="AA80" i="1"/>
  <c r="AA84" i="1"/>
  <c r="AA79" i="1"/>
  <c r="B71" i="1"/>
  <c r="B82" i="1" s="1"/>
  <c r="B70" i="1"/>
  <c r="B81" i="1" s="1"/>
  <c r="AT47" i="1"/>
  <c r="AS47" i="1"/>
  <c r="AR47" i="1"/>
  <c r="AQ47" i="1"/>
  <c r="B76" i="1"/>
  <c r="B75" i="1"/>
  <c r="B74" i="1"/>
  <c r="B85" i="1" s="1"/>
  <c r="B72" i="1"/>
  <c r="B83" i="1" s="1"/>
  <c r="B69" i="1"/>
  <c r="B80" i="1" s="1"/>
  <c r="B73" i="1"/>
  <c r="B84" i="1" s="1"/>
  <c r="B68" i="1"/>
  <c r="B79" i="1" s="1"/>
  <c r="AP39" i="1"/>
  <c r="AO39" i="1"/>
  <c r="AS40" i="1" s="1"/>
  <c r="AN39" i="1"/>
  <c r="AR40" i="1" s="1"/>
  <c r="AM39" i="1"/>
  <c r="AQ40" i="1" s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P10" i="1"/>
  <c r="AP12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G85" i="1" l="1"/>
  <c r="BC74" i="1"/>
  <c r="BH85" i="1"/>
  <c r="BD74" i="1"/>
  <c r="BI85" i="1"/>
  <c r="BE74" i="1"/>
  <c r="BC71" i="1"/>
  <c r="BG82" i="1"/>
  <c r="BJ85" i="1"/>
  <c r="BF74" i="1"/>
  <c r="BH82" i="1"/>
  <c r="BD71" i="1"/>
  <c r="BI82" i="1"/>
  <c r="BE71" i="1"/>
  <c r="BF71" i="1"/>
  <c r="BJ82" i="1"/>
  <c r="BL55" i="1"/>
  <c r="BL6" i="1" s="1"/>
  <c r="BJ84" i="1"/>
  <c r="BJ73" i="1" s="1"/>
  <c r="BI79" i="1"/>
  <c r="BE68" i="1"/>
  <c r="BM55" i="1"/>
  <c r="BM6" i="1" s="1"/>
  <c r="BJ81" i="1"/>
  <c r="BF70" i="1"/>
  <c r="BI84" i="1"/>
  <c r="BI73" i="1" s="1"/>
  <c r="BG84" i="1"/>
  <c r="BG73" i="1" s="1"/>
  <c r="BH84" i="1"/>
  <c r="BH73" i="1" s="1"/>
  <c r="BC70" i="1"/>
  <c r="BG81" i="1"/>
  <c r="BN55" i="1"/>
  <c r="BN6" i="1" s="1"/>
  <c r="BH81" i="1"/>
  <c r="BD70" i="1"/>
  <c r="BH79" i="1"/>
  <c r="BD68" i="1"/>
  <c r="BK55" i="1"/>
  <c r="BK6" i="1" s="1"/>
  <c r="BG79" i="1"/>
  <c r="BC68" i="1"/>
  <c r="BE70" i="1"/>
  <c r="BI81" i="1"/>
  <c r="AQ80" i="1"/>
  <c r="AU59" i="1"/>
  <c r="AQ59" i="1"/>
  <c r="AR80" i="1"/>
  <c r="AV59" i="1"/>
  <c r="AR59" i="1"/>
  <c r="AS80" i="1"/>
  <c r="AW59" i="1"/>
  <c r="AS59" i="1"/>
  <c r="AT80" i="1"/>
  <c r="AX59" i="1"/>
  <c r="AT59" i="1"/>
  <c r="T40" i="1"/>
  <c r="S40" i="1"/>
  <c r="R40" i="1"/>
  <c r="J40" i="1"/>
  <c r="Z40" i="1"/>
  <c r="AP40" i="1"/>
  <c r="AT40" i="1"/>
  <c r="AA40" i="1"/>
  <c r="AH40" i="1"/>
  <c r="K40" i="1"/>
  <c r="V40" i="1"/>
  <c r="W40" i="1"/>
  <c r="AM40" i="1"/>
  <c r="H40" i="1"/>
  <c r="X40" i="1"/>
  <c r="AN40" i="1"/>
  <c r="I40" i="1"/>
  <c r="Y40" i="1"/>
  <c r="AO40" i="1"/>
  <c r="M40" i="1"/>
  <c r="AC40" i="1"/>
  <c r="O40" i="1"/>
  <c r="AE40" i="1"/>
  <c r="AI40" i="1"/>
  <c r="N40" i="1"/>
  <c r="P40" i="1"/>
  <c r="AF40" i="1"/>
  <c r="AJ40" i="1"/>
  <c r="AD40" i="1"/>
  <c r="Q40" i="1"/>
  <c r="AG40" i="1"/>
  <c r="L40" i="1"/>
  <c r="U40" i="1"/>
  <c r="AK40" i="1"/>
  <c r="AL40" i="1"/>
  <c r="AB40" i="1"/>
  <c r="BD37" i="1" l="1"/>
  <c r="BD30" i="1" s="1"/>
  <c r="BD15" i="1" s="1"/>
  <c r="BD21" i="1" s="1"/>
  <c r="BG74" i="1"/>
  <c r="BK85" i="1"/>
  <c r="BK74" i="1" s="1"/>
  <c r="BF37" i="1"/>
  <c r="BF30" i="1" s="1"/>
  <c r="BF15" i="1" s="1"/>
  <c r="BI74" i="1"/>
  <c r="BM85" i="1"/>
  <c r="BM74" i="1" s="1"/>
  <c r="BC37" i="1"/>
  <c r="BC30" i="1" s="1"/>
  <c r="BC15" i="1" s="1"/>
  <c r="BE37" i="1"/>
  <c r="BE30" i="1" s="1"/>
  <c r="BE15" i="1" s="1"/>
  <c r="BJ74" i="1"/>
  <c r="BN85" i="1"/>
  <c r="BN74" i="1" s="1"/>
  <c r="BH74" i="1"/>
  <c r="BL85" i="1"/>
  <c r="BL74" i="1" s="1"/>
  <c r="BN82" i="1"/>
  <c r="BN71" i="1" s="1"/>
  <c r="BJ71" i="1"/>
  <c r="BM82" i="1"/>
  <c r="BM71" i="1" s="1"/>
  <c r="BI71" i="1"/>
  <c r="BL82" i="1"/>
  <c r="BL71" i="1" s="1"/>
  <c r="BH71" i="1"/>
  <c r="BK82" i="1"/>
  <c r="BK71" i="1" s="1"/>
  <c r="BG71" i="1"/>
  <c r="BL79" i="1"/>
  <c r="BL68" i="1" s="1"/>
  <c r="BH68" i="1"/>
  <c r="BN81" i="1"/>
  <c r="BN70" i="1" s="1"/>
  <c r="BJ70" i="1"/>
  <c r="BL81" i="1"/>
  <c r="BL70" i="1" s="1"/>
  <c r="BH70" i="1"/>
  <c r="BM79" i="1"/>
  <c r="BM68" i="1" s="1"/>
  <c r="BI68" i="1"/>
  <c r="BK81" i="1"/>
  <c r="BK70" i="1" s="1"/>
  <c r="BG70" i="1"/>
  <c r="BN84" i="1"/>
  <c r="BN73" i="1" s="1"/>
  <c r="BK79" i="1"/>
  <c r="BK68" i="1" s="1"/>
  <c r="BG68" i="1"/>
  <c r="BK84" i="1"/>
  <c r="BK73" i="1" s="1"/>
  <c r="BM81" i="1"/>
  <c r="BM70" i="1" s="1"/>
  <c r="BI70" i="1"/>
  <c r="BL84" i="1"/>
  <c r="BL73" i="1" s="1"/>
  <c r="BM84" i="1"/>
  <c r="BM73" i="1" s="1"/>
  <c r="CE4" i="1"/>
  <c r="CD4" i="1"/>
  <c r="CC4" i="1"/>
  <c r="BN8" i="1"/>
  <c r="BM8" i="1"/>
  <c r="BL8" i="1"/>
  <c r="BK8" i="1"/>
  <c r="BN7" i="1"/>
  <c r="BM7" i="1"/>
  <c r="BL7" i="1"/>
  <c r="BK7" i="1"/>
  <c r="BB24" i="1"/>
  <c r="BA24" i="1"/>
  <c r="AZ24" i="1"/>
  <c r="AY24" i="1"/>
  <c r="AX24" i="1"/>
  <c r="AW24" i="1"/>
  <c r="BB8" i="1"/>
  <c r="BA8" i="1"/>
  <c r="AZ8" i="1"/>
  <c r="AY8" i="1"/>
  <c r="AX8" i="1"/>
  <c r="AW8" i="1"/>
  <c r="BB7" i="1"/>
  <c r="BA7" i="1"/>
  <c r="AZ7" i="1"/>
  <c r="AY7" i="1"/>
  <c r="AX7" i="1"/>
  <c r="AW7" i="1"/>
  <c r="BL37" i="1" l="1"/>
  <c r="BL30" i="1" s="1"/>
  <c r="BL15" i="1" s="1"/>
  <c r="BL21" i="1" s="1"/>
  <c r="BL23" i="1" s="1"/>
  <c r="BL27" i="1" s="1"/>
  <c r="BL39" i="1" s="1"/>
  <c r="BI37" i="1"/>
  <c r="BI30" i="1" s="1"/>
  <c r="BI15" i="1" s="1"/>
  <c r="BI21" i="1" s="1"/>
  <c r="BN37" i="1"/>
  <c r="BN30" i="1" s="1"/>
  <c r="BN15" i="1" s="1"/>
  <c r="BH37" i="1"/>
  <c r="BH30" i="1" s="1"/>
  <c r="BH15" i="1" s="1"/>
  <c r="BH16" i="1" s="1"/>
  <c r="BD23" i="1"/>
  <c r="BD27" i="1" s="1"/>
  <c r="BD39" i="1" s="1"/>
  <c r="BE21" i="1"/>
  <c r="BF21" i="1"/>
  <c r="BC21" i="1"/>
  <c r="BM37" i="1"/>
  <c r="BM30" i="1" s="1"/>
  <c r="BM15" i="1" s="1"/>
  <c r="BG37" i="1"/>
  <c r="BG30" i="1" s="1"/>
  <c r="BG15" i="1" s="1"/>
  <c r="BK37" i="1"/>
  <c r="BK30" i="1" s="1"/>
  <c r="BK15" i="1" s="1"/>
  <c r="BJ37" i="1"/>
  <c r="BJ30" i="1" s="1"/>
  <c r="BJ15" i="1" s="1"/>
  <c r="BJ16" i="1" s="1"/>
  <c r="BJ8" i="1"/>
  <c r="BI8" i="1"/>
  <c r="BH8" i="1"/>
  <c r="BG8" i="1"/>
  <c r="BJ7" i="1"/>
  <c r="BI7" i="1"/>
  <c r="BH7" i="1"/>
  <c r="BG7" i="1"/>
  <c r="BI17" i="1" l="1"/>
  <c r="BI12" i="1" s="1"/>
  <c r="BI11" i="1" s="1"/>
  <c r="BI10" i="1" s="1"/>
  <c r="BL17" i="1"/>
  <c r="BL12" i="1" s="1"/>
  <c r="BL11" i="1" s="1"/>
  <c r="BI16" i="1"/>
  <c r="BH17" i="1"/>
  <c r="BH12" i="1" s="1"/>
  <c r="BH11" i="1" s="1"/>
  <c r="BH10" i="1" s="1"/>
  <c r="BJ17" i="1"/>
  <c r="BJ12" i="1" s="1"/>
  <c r="BJ11" i="1" s="1"/>
  <c r="BJ10" i="1" s="1"/>
  <c r="BD40" i="1"/>
  <c r="BM21" i="1"/>
  <c r="BM23" i="1" s="1"/>
  <c r="BM27" i="1" s="1"/>
  <c r="BM39" i="1" s="1"/>
  <c r="BM17" i="1"/>
  <c r="BM12" i="1" s="1"/>
  <c r="BM11" i="1" s="1"/>
  <c r="BM16" i="1"/>
  <c r="BF23" i="1"/>
  <c r="BF27" i="1" s="1"/>
  <c r="BF39" i="1" s="1"/>
  <c r="BF40" i="1" s="1"/>
  <c r="BN21" i="1"/>
  <c r="BN23" i="1" s="1"/>
  <c r="BN27" i="1" s="1"/>
  <c r="BN39" i="1" s="1"/>
  <c r="BN16" i="1"/>
  <c r="BN17" i="1"/>
  <c r="BN12" i="1" s="1"/>
  <c r="BN11" i="1" s="1"/>
  <c r="BG21" i="1"/>
  <c r="BC23" i="1"/>
  <c r="BC27" i="1" s="1"/>
  <c r="BC39" i="1" s="1"/>
  <c r="BJ21" i="1"/>
  <c r="BK21" i="1"/>
  <c r="BK16" i="1"/>
  <c r="BK17" i="1"/>
  <c r="BK12" i="1" s="1"/>
  <c r="BK11" i="1" s="1"/>
  <c r="BK10" i="1" s="1"/>
  <c r="BG17" i="1"/>
  <c r="BG12" i="1" s="1"/>
  <c r="BG11" i="1" s="1"/>
  <c r="BG10" i="1" s="1"/>
  <c r="BE23" i="1"/>
  <c r="BE27" i="1" s="1"/>
  <c r="BE39" i="1" s="1"/>
  <c r="BH21" i="1"/>
  <c r="BL16" i="1"/>
  <c r="BG16" i="1"/>
  <c r="BI23" i="1"/>
  <c r="BI27" i="1" s="1"/>
  <c r="BI39" i="1" s="1"/>
  <c r="G40" i="1"/>
  <c r="AV24" i="1"/>
  <c r="AU24" i="1"/>
  <c r="AT24" i="1"/>
  <c r="AS24" i="1"/>
  <c r="AV8" i="1"/>
  <c r="AU8" i="1"/>
  <c r="AT8" i="1"/>
  <c r="AS8" i="1"/>
  <c r="AV7" i="1"/>
  <c r="AU7" i="1"/>
  <c r="AT7" i="1"/>
  <c r="AS7" i="1"/>
  <c r="G2" i="1"/>
  <c r="K2" i="1" s="1"/>
  <c r="G7" i="1"/>
  <c r="H7" i="1"/>
  <c r="I7" i="1"/>
  <c r="J7" i="1"/>
  <c r="K7" i="1"/>
  <c r="L7" i="1"/>
  <c r="M7" i="1"/>
  <c r="N7" i="1"/>
  <c r="G8" i="1"/>
  <c r="H8" i="1"/>
  <c r="I8" i="1"/>
  <c r="J8" i="1"/>
  <c r="K8" i="1"/>
  <c r="L8" i="1"/>
  <c r="M8" i="1"/>
  <c r="N8" i="1"/>
  <c r="G16" i="1"/>
  <c r="H16" i="1"/>
  <c r="I16" i="1"/>
  <c r="J16" i="1"/>
  <c r="K16" i="1"/>
  <c r="L16" i="1"/>
  <c r="M16" i="1"/>
  <c r="N16" i="1"/>
  <c r="G17" i="1"/>
  <c r="H17" i="1"/>
  <c r="I17" i="1"/>
  <c r="J17" i="1"/>
  <c r="K17" i="1"/>
  <c r="L17" i="1"/>
  <c r="M17" i="1"/>
  <c r="N17" i="1"/>
  <c r="G24" i="1"/>
  <c r="H24" i="1"/>
  <c r="I24" i="1"/>
  <c r="J24" i="1"/>
  <c r="K24" i="1"/>
  <c r="L24" i="1"/>
  <c r="M24" i="1"/>
  <c r="N24" i="1"/>
  <c r="BF17" i="1"/>
  <c r="BF12" i="1" s="1"/>
  <c r="BF11" i="1" s="1"/>
  <c r="BE17" i="1"/>
  <c r="BE12" i="1" s="1"/>
  <c r="BE11" i="1" s="1"/>
  <c r="BD17" i="1"/>
  <c r="BD12" i="1" s="1"/>
  <c r="BD11" i="1" s="1"/>
  <c r="BC17" i="1"/>
  <c r="BC12" i="1" s="1"/>
  <c r="BC11" i="1" s="1"/>
  <c r="BF8" i="1"/>
  <c r="BE8" i="1"/>
  <c r="BD8" i="1"/>
  <c r="BC8" i="1"/>
  <c r="BF7" i="1"/>
  <c r="BE7" i="1"/>
  <c r="BD7" i="1"/>
  <c r="BC7" i="1"/>
  <c r="C5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AR24" i="1"/>
  <c r="AQ24" i="1"/>
  <c r="AP24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F17" i="1"/>
  <c r="E17" i="1"/>
  <c r="D17" i="1"/>
  <c r="C17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F7" i="1"/>
  <c r="E7" i="1"/>
  <c r="D7" i="1"/>
  <c r="BI14" i="1" l="1"/>
  <c r="BL14" i="1"/>
  <c r="BL10" i="1"/>
  <c r="BJ14" i="1"/>
  <c r="BH14" i="1"/>
  <c r="BG14" i="1"/>
  <c r="BC40" i="1"/>
  <c r="BG23" i="1"/>
  <c r="BG27" i="1" s="1"/>
  <c r="BG39" i="1" s="1"/>
  <c r="BG40" i="1" s="1"/>
  <c r="BN14" i="1"/>
  <c r="BN10" i="1"/>
  <c r="BH23" i="1"/>
  <c r="BH27" i="1" s="1"/>
  <c r="BH39" i="1" s="1"/>
  <c r="BC10" i="1"/>
  <c r="BC14" i="1"/>
  <c r="BM40" i="1"/>
  <c r="BJ23" i="1"/>
  <c r="BJ27" i="1" s="1"/>
  <c r="BJ39" i="1" s="1"/>
  <c r="BJ40" i="1" s="1"/>
  <c r="BF10" i="1"/>
  <c r="BF14" i="1"/>
  <c r="BK23" i="1"/>
  <c r="BK27" i="1" s="1"/>
  <c r="BK39" i="1" s="1"/>
  <c r="BI40" i="1"/>
  <c r="BE40" i="1"/>
  <c r="BE10" i="1"/>
  <c r="BE14" i="1"/>
  <c r="BM14" i="1"/>
  <c r="BM10" i="1"/>
  <c r="BD10" i="1"/>
  <c r="BD14" i="1"/>
  <c r="BK14" i="1"/>
  <c r="G5" i="1"/>
  <c r="H5" i="1" s="1"/>
  <c r="I5" i="1" s="1"/>
  <c r="J5" i="1" s="1"/>
  <c r="O2" i="1"/>
  <c r="S2" i="1" s="1"/>
  <c r="W2" i="1" s="1"/>
  <c r="AA2" i="1" s="1"/>
  <c r="AE2" i="1" s="1"/>
  <c r="AI2" i="1" s="1"/>
  <c r="AM2" i="1" s="1"/>
  <c r="AQ2" i="1" s="1"/>
  <c r="AU2" i="1" s="1"/>
  <c r="AY2" i="1" s="1"/>
  <c r="BC2" i="1" s="1"/>
  <c r="K5" i="1"/>
  <c r="L5" i="1" s="1"/>
  <c r="M5" i="1" s="1"/>
  <c r="N5" i="1" s="1"/>
  <c r="BK40" i="1" l="1"/>
  <c r="BL40" i="1"/>
  <c r="BH40" i="1"/>
  <c r="BN40" i="1"/>
  <c r="BC5" i="1"/>
  <c r="BD5" i="1" s="1"/>
  <c r="BE5" i="1" s="1"/>
  <c r="BF5" i="1" s="1"/>
  <c r="BG2" i="1"/>
  <c r="BG5" i="1" l="1"/>
  <c r="BH5" i="1" s="1"/>
  <c r="BI5" i="1" s="1"/>
  <c r="BJ5" i="1" s="1"/>
  <c r="BK2" i="1"/>
  <c r="BK5" i="1" s="1"/>
  <c r="BL5" i="1" s="1"/>
  <c r="BM5" i="1" s="1"/>
  <c r="BN5" i="1" s="1"/>
  <c r="AY5" i="1"/>
  <c r="AZ5" i="1" s="1"/>
  <c r="BA5" i="1" s="1"/>
  <c r="BB5" i="1" s="1"/>
  <c r="AU5" i="1"/>
  <c r="AV5" i="1" s="1"/>
  <c r="AW5" i="1" s="1"/>
  <c r="AX5" i="1" s="1"/>
  <c r="E24" i="1" l="1"/>
  <c r="U24" i="1"/>
  <c r="AC24" i="1"/>
  <c r="AK24" i="1"/>
  <c r="F24" i="1"/>
  <c r="V24" i="1"/>
  <c r="AD24" i="1"/>
  <c r="AL24" i="1"/>
  <c r="O24" i="1"/>
  <c r="W24" i="1"/>
  <c r="AE24" i="1"/>
  <c r="AM24" i="1"/>
  <c r="C24" i="1"/>
  <c r="AF24" i="1"/>
  <c r="AJ24" i="1"/>
  <c r="Q24" i="1"/>
  <c r="Y24" i="1"/>
  <c r="AG24" i="1"/>
  <c r="Z24" i="1" l="1"/>
  <c r="T24" i="1"/>
  <c r="AB24" i="1"/>
  <c r="D24" i="1"/>
  <c r="AA24" i="1"/>
  <c r="AI24" i="1"/>
  <c r="S24" i="1"/>
  <c r="AH24" i="1"/>
  <c r="R24" i="1"/>
  <c r="AN24" i="1"/>
  <c r="X24" i="1"/>
  <c r="P24" i="1"/>
  <c r="T16" i="1"/>
  <c r="S16" i="1"/>
  <c r="AD16" i="1"/>
  <c r="Y16" i="1"/>
  <c r="AH16" i="1"/>
  <c r="Q16" i="1"/>
  <c r="AC16" i="1"/>
  <c r="Z16" i="1"/>
  <c r="AM16" i="1"/>
  <c r="R16" i="1"/>
  <c r="AE16" i="1"/>
  <c r="U16" i="1"/>
  <c r="V16" i="1"/>
  <c r="AL16" i="1"/>
  <c r="AN16" i="1"/>
  <c r="W16" i="1"/>
  <c r="AF16" i="1"/>
  <c r="O16" i="1"/>
  <c r="AJ16" i="1"/>
  <c r="AA16" i="1"/>
  <c r="X16" i="1"/>
  <c r="AG16" i="1"/>
  <c r="P16" i="1"/>
  <c r="AK16" i="1"/>
  <c r="AI16" i="1"/>
  <c r="AB16" i="1"/>
  <c r="AP16" i="1" l="1"/>
  <c r="AQ5" i="1" l="1"/>
  <c r="AR5" i="1" s="1"/>
  <c r="AS5" i="1" s="1"/>
  <c r="AT5" i="1" s="1"/>
  <c r="AM5" i="1"/>
  <c r="AN5" i="1" s="1"/>
  <c r="AO5" i="1" s="1"/>
  <c r="AP5" i="1" s="1"/>
  <c r="AI5" i="1"/>
  <c r="AJ5" i="1" s="1"/>
  <c r="AK5" i="1" s="1"/>
  <c r="AL5" i="1" s="1"/>
  <c r="AE5" i="1"/>
  <c r="AF5" i="1" s="1"/>
  <c r="AG5" i="1" s="1"/>
  <c r="AH5" i="1" s="1"/>
  <c r="AA5" i="1"/>
  <c r="AB5" i="1" s="1"/>
  <c r="AC5" i="1" s="1"/>
  <c r="AD5" i="1" s="1"/>
  <c r="W5" i="1"/>
  <c r="X5" i="1" s="1"/>
  <c r="Y5" i="1" s="1"/>
  <c r="Z5" i="1" s="1"/>
  <c r="S5" i="1"/>
  <c r="T5" i="1" s="1"/>
  <c r="U5" i="1" s="1"/>
  <c r="V5" i="1" s="1"/>
  <c r="O5" i="1"/>
  <c r="P5" i="1" s="1"/>
  <c r="Q5" i="1" s="1"/>
  <c r="R5" i="1" s="1"/>
  <c r="D4" i="1"/>
  <c r="E4" i="1" s="1"/>
  <c r="F4" i="1" s="1"/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D5" i="1"/>
  <c r="E5" i="1" l="1"/>
  <c r="F5" i="1" l="1"/>
  <c r="BZ35" i="1" l="1"/>
  <c r="BY39" i="1"/>
  <c r="BP11" i="1"/>
  <c r="CC39" i="1"/>
  <c r="CC42" i="1" s="1"/>
  <c r="BZ11" i="1"/>
  <c r="BT39" i="1"/>
  <c r="BW11" i="1"/>
  <c r="CC30" i="1"/>
  <c r="CA36" i="1"/>
  <c r="BQ39" i="1"/>
  <c r="CE30" i="1"/>
  <c r="CB30" i="1"/>
  <c r="BV39" i="1"/>
  <c r="CD39" i="1"/>
  <c r="CD42" i="1" s="1"/>
  <c r="CD37" i="1"/>
  <c r="BQ11" i="1"/>
  <c r="CC33" i="1"/>
  <c r="BR11" i="1"/>
  <c r="CA32" i="1"/>
  <c r="CB33" i="1"/>
  <c r="CA39" i="1"/>
  <c r="CD11" i="1"/>
  <c r="BZ37" i="1"/>
  <c r="CA30" i="1"/>
  <c r="BZ33" i="1"/>
  <c r="CB34" i="1"/>
  <c r="CE37" i="1"/>
  <c r="CA11" i="1"/>
  <c r="CE35" i="1"/>
  <c r="CA31" i="1"/>
  <c r="CB32" i="1"/>
  <c r="CD30" i="1"/>
  <c r="BZ39" i="1"/>
  <c r="CB39" i="1"/>
  <c r="CA33" i="1"/>
  <c r="BV11" i="1"/>
  <c r="BZ30" i="1"/>
  <c r="BP39" i="1"/>
  <c r="BT11" i="1"/>
  <c r="CB11" i="1"/>
  <c r="CB36" i="1"/>
  <c r="CD34" i="1"/>
  <c r="CE34" i="1"/>
  <c r="BY11" i="1"/>
  <c r="CD36" i="1"/>
  <c r="CD35" i="1"/>
  <c r="BZ32" i="1"/>
  <c r="CE31" i="1"/>
  <c r="BX39" i="1"/>
  <c r="CD31" i="1"/>
  <c r="CC36" i="1"/>
  <c r="BW39" i="1"/>
  <c r="CB37" i="1"/>
  <c r="BR39" i="1"/>
  <c r="CE32" i="1"/>
  <c r="BU11" i="1"/>
  <c r="CE33" i="1"/>
  <c r="BX11" i="1"/>
  <c r="CB35" i="1"/>
  <c r="CC32" i="1"/>
  <c r="CC35" i="1"/>
  <c r="BZ34" i="1"/>
  <c r="CE36" i="1"/>
  <c r="CC11" i="1"/>
  <c r="CB31" i="1"/>
  <c r="BS11" i="1"/>
  <c r="CA35" i="1"/>
  <c r="CE11" i="1"/>
  <c r="CD33" i="1"/>
  <c r="CC31" i="1"/>
  <c r="CD32" i="1"/>
  <c r="BS39" i="1"/>
  <c r="CC34" i="1"/>
  <c r="CA37" i="1"/>
  <c r="BZ36" i="1"/>
  <c r="BZ31" i="1"/>
  <c r="CC37" i="1"/>
  <c r="CE39" i="1"/>
  <c r="BU39" i="1"/>
  <c r="CA34" i="1"/>
  <c r="BV96" i="1"/>
  <c r="BT96" i="1"/>
  <c r="BS96" i="1"/>
  <c r="BY95" i="1"/>
  <c r="BQ96" i="1"/>
  <c r="BY96" i="1"/>
  <c r="BR95" i="1"/>
  <c r="BU96" i="1"/>
  <c r="BQ95" i="1"/>
  <c r="BP95" i="1"/>
  <c r="BP96" i="1"/>
  <c r="BX95" i="1"/>
  <c r="BX73" i="1"/>
  <c r="BX96" i="1"/>
  <c r="BV95" i="1"/>
  <c r="BU95" i="1"/>
  <c r="BS95" i="1"/>
  <c r="BW96" i="1"/>
  <c r="BR96" i="1"/>
  <c r="BT95" i="1"/>
  <c r="BW95" i="1"/>
  <c r="CC72" i="1"/>
  <c r="CC74" i="1"/>
  <c r="CC76" i="1"/>
  <c r="CE69" i="1"/>
  <c r="CA76" i="1"/>
  <c r="BZ75" i="1"/>
  <c r="CE70" i="1"/>
  <c r="CD69" i="1"/>
  <c r="CC68" i="1"/>
  <c r="BZ73" i="1"/>
  <c r="CD75" i="1"/>
  <c r="CD76" i="1"/>
  <c r="CE74" i="1"/>
  <c r="BW70" i="1"/>
  <c r="CD68" i="1"/>
  <c r="CC73" i="1"/>
  <c r="BW76" i="1"/>
  <c r="CE49" i="1"/>
  <c r="CE48" i="1"/>
  <c r="BY70" i="1"/>
  <c r="CD50" i="1"/>
  <c r="CB77" i="1"/>
  <c r="CA69" i="1"/>
  <c r="CE68" i="1"/>
  <c r="CA68" i="1"/>
  <c r="BX69" i="1"/>
  <c r="CD71" i="1"/>
  <c r="BW50" i="1"/>
  <c r="CB74" i="1"/>
  <c r="BY73" i="1"/>
  <c r="CB71" i="1"/>
  <c r="BZ69" i="1"/>
  <c r="CA73" i="1"/>
  <c r="CD72" i="1"/>
  <c r="BY49" i="1"/>
  <c r="CB50" i="1"/>
  <c r="CC77" i="1"/>
  <c r="BX76" i="1"/>
  <c r="CC75" i="1"/>
  <c r="BX49" i="1"/>
  <c r="CE50" i="1"/>
  <c r="BZ71" i="1"/>
  <c r="BZ50" i="1"/>
  <c r="CB69" i="1"/>
  <c r="CA74" i="1"/>
  <c r="BW48" i="1"/>
  <c r="CB73" i="1"/>
  <c r="BW71" i="1"/>
  <c r="BW73" i="1"/>
  <c r="CA75" i="1"/>
  <c r="BY76" i="1"/>
  <c r="CE71" i="1"/>
  <c r="CC71" i="1"/>
  <c r="CC50" i="1"/>
  <c r="CE77" i="1"/>
  <c r="BY71" i="1"/>
  <c r="CC48" i="1"/>
  <c r="BZ72" i="1"/>
  <c r="CB68" i="1"/>
  <c r="BZ70" i="1"/>
  <c r="BX50" i="1"/>
  <c r="BZ74" i="1"/>
  <c r="BX77" i="1"/>
  <c r="BY50" i="1"/>
  <c r="CA70" i="1"/>
  <c r="BX72" i="1"/>
  <c r="CB70" i="1"/>
  <c r="BW75" i="1"/>
  <c r="CD70" i="1"/>
  <c r="CD77" i="1"/>
  <c r="BW77" i="1"/>
  <c r="BW72" i="1"/>
  <c r="CA49" i="1"/>
  <c r="BW74" i="1"/>
  <c r="CE76" i="1"/>
  <c r="CB72" i="1"/>
  <c r="BX75" i="1"/>
  <c r="CE73" i="1"/>
  <c r="BY77" i="1"/>
  <c r="CB48" i="1"/>
  <c r="CE75" i="1"/>
  <c r="CD74" i="1"/>
  <c r="BV71" i="1"/>
  <c r="BX74" i="1"/>
  <c r="BX68" i="1"/>
  <c r="BY69" i="1"/>
  <c r="BW69" i="1"/>
  <c r="CA72" i="1"/>
  <c r="CB76" i="1"/>
  <c r="BZ68" i="1"/>
  <c r="BY48" i="1"/>
  <c r="CC49" i="1"/>
  <c r="CD49" i="1"/>
  <c r="BV48" i="1"/>
  <c r="BW49" i="1"/>
  <c r="CB49" i="1"/>
  <c r="BZ77" i="1"/>
  <c r="BX70" i="1"/>
  <c r="CD48" i="1"/>
  <c r="BY74" i="1"/>
  <c r="CB75" i="1"/>
  <c r="CE72" i="1"/>
  <c r="BV49" i="1"/>
  <c r="BX48" i="1"/>
  <c r="CC69" i="1"/>
  <c r="BV50" i="1"/>
  <c r="BY75" i="1"/>
  <c r="CC70" i="1"/>
  <c r="CD73" i="1"/>
  <c r="CA77" i="1"/>
  <c r="CA71" i="1"/>
  <c r="BY72" i="1"/>
  <c r="BX71" i="1"/>
  <c r="BY68" i="1"/>
  <c r="CA48" i="1"/>
  <c r="BW68" i="1"/>
  <c r="BZ76" i="1"/>
  <c r="CA50" i="1"/>
  <c r="BS70" i="1"/>
  <c r="BV70" i="1"/>
  <c r="BU70" i="1"/>
  <c r="BQ70" i="1"/>
  <c r="BR70" i="1"/>
  <c r="BT70" i="1"/>
  <c r="BP70" i="1"/>
  <c r="CD10" i="1"/>
  <c r="CD27" i="1"/>
  <c r="CE166" i="1" s="1"/>
  <c r="CE148" i="1" s="1"/>
  <c r="CE150" i="1" s="1"/>
  <c r="CD26" i="1"/>
  <c r="CE23" i="1"/>
  <c r="CE134" i="1" s="1"/>
  <c r="CE26" i="1"/>
  <c r="CC21" i="1"/>
  <c r="CC128" i="1" s="1"/>
  <c r="CC19" i="1"/>
  <c r="CC10" i="1"/>
  <c r="CD54" i="1"/>
  <c r="CD21" i="1"/>
  <c r="CD128" i="1" s="1"/>
  <c r="CD152" i="1"/>
  <c r="CD52" i="1"/>
  <c r="CD47" i="1"/>
  <c r="CE19" i="1"/>
  <c r="CE46" i="1"/>
  <c r="CE21" i="1"/>
  <c r="CE128" i="1" s="1"/>
  <c r="CC141" i="1"/>
  <c r="CE10" i="1"/>
  <c r="CC26" i="1"/>
  <c r="CE14" i="1"/>
  <c r="CC54" i="1"/>
  <c r="CD142" i="1"/>
  <c r="CC27" i="1"/>
  <c r="CD51" i="1"/>
  <c r="CC47" i="1"/>
  <c r="CE141" i="1"/>
  <c r="CD141" i="1"/>
  <c r="CC51" i="1"/>
  <c r="CE53" i="1"/>
  <c r="CD46" i="1"/>
  <c r="CC6" i="1"/>
  <c r="CC52" i="1"/>
  <c r="CC53" i="1"/>
  <c r="CE152" i="1"/>
  <c r="CE142" i="1"/>
  <c r="CC15" i="1"/>
  <c r="CE51" i="1"/>
  <c r="CC14" i="1"/>
  <c r="CE54" i="1"/>
  <c r="CC142" i="1"/>
  <c r="CD19" i="1"/>
  <c r="CE6" i="1"/>
  <c r="CD6" i="1"/>
  <c r="CC46" i="1"/>
  <c r="CE47" i="1"/>
  <c r="CC152" i="1"/>
  <c r="CE52" i="1"/>
  <c r="CC23" i="1"/>
  <c r="CC134" i="1" s="1"/>
  <c r="CD14" i="1"/>
  <c r="CD53" i="1"/>
  <c r="CE15" i="1"/>
  <c r="CD15" i="1"/>
  <c r="CD23" i="1"/>
  <c r="CD134" i="1" s="1"/>
  <c r="CE27" i="1"/>
  <c r="BR6" i="1"/>
  <c r="BQ6" i="1"/>
  <c r="BP6" i="1"/>
  <c r="BV51" i="1"/>
  <c r="BT21" i="1"/>
  <c r="BR27" i="1"/>
  <c r="BR167" i="1" s="1"/>
  <c r="BS21" i="1"/>
  <c r="BQ27" i="1"/>
  <c r="BQ167" i="1" s="1"/>
  <c r="BU14" i="1"/>
  <c r="BR14" i="1"/>
  <c r="BU26" i="1"/>
  <c r="BQ14" i="1"/>
  <c r="BP21" i="1"/>
  <c r="BS19" i="1"/>
  <c r="BV53" i="1"/>
  <c r="BT69" i="1"/>
  <c r="BX54" i="1"/>
  <c r="BP68" i="1"/>
  <c r="BW15" i="1"/>
  <c r="BV14" i="1"/>
  <c r="BV15" i="1"/>
  <c r="BX14" i="1"/>
  <c r="BV21" i="1"/>
  <c r="BV23" i="1"/>
  <c r="BS15" i="1"/>
  <c r="BT14" i="1"/>
  <c r="BP26" i="1"/>
  <c r="BX15" i="1"/>
  <c r="BQ15" i="1"/>
  <c r="BX21" i="1"/>
  <c r="BU21" i="1"/>
  <c r="BT15" i="1"/>
  <c r="BX27" i="1"/>
  <c r="BX167" i="1" s="1"/>
  <c r="BU6" i="1"/>
  <c r="CA10" i="1"/>
  <c r="CA123" i="1" s="1"/>
  <c r="BT75" i="1"/>
  <c r="BP77" i="1"/>
  <c r="BU23" i="1"/>
  <c r="BZ53" i="1"/>
  <c r="BV27" i="1"/>
  <c r="BV167" i="1" s="1"/>
  <c r="BW21" i="1"/>
  <c r="BU85" i="1"/>
  <c r="BS76" i="1"/>
  <c r="BT68" i="1"/>
  <c r="BW51" i="1"/>
  <c r="BP15" i="1"/>
  <c r="BW27" i="1"/>
  <c r="BW167" i="1" s="1"/>
  <c r="BR21" i="1"/>
  <c r="BU15" i="1"/>
  <c r="BT23" i="1"/>
  <c r="BW23" i="1"/>
  <c r="BX23" i="1"/>
  <c r="BU27" i="1"/>
  <c r="BU167" i="1" s="1"/>
  <c r="BQ21" i="1"/>
  <c r="BS23" i="1"/>
  <c r="BY26" i="1"/>
  <c r="BR85" i="1"/>
  <c r="BQ77" i="1"/>
  <c r="BX47" i="1"/>
  <c r="BQ23" i="1"/>
  <c r="BT26" i="1"/>
  <c r="BU19" i="1"/>
  <c r="BV52" i="1"/>
  <c r="BQ85" i="1"/>
  <c r="BW46" i="1"/>
  <c r="BR75" i="1"/>
  <c r="BT72" i="1"/>
  <c r="CA46" i="1"/>
  <c r="BU68" i="1"/>
  <c r="BU75" i="1"/>
  <c r="CB51" i="1"/>
  <c r="CA54" i="1"/>
  <c r="BT77" i="1"/>
  <c r="CA47" i="1"/>
  <c r="BP72" i="1"/>
  <c r="BR77" i="1"/>
  <c r="BT73" i="1"/>
  <c r="CB52" i="1"/>
  <c r="BS74" i="1"/>
  <c r="BW54" i="1"/>
  <c r="BR68" i="1"/>
  <c r="BU69" i="1"/>
  <c r="BS69" i="1"/>
  <c r="BU73" i="1"/>
  <c r="BP85" i="1"/>
  <c r="BS73" i="1"/>
  <c r="BY52" i="1"/>
  <c r="CA51" i="1"/>
  <c r="BT27" i="1"/>
  <c r="BT167" i="1" s="1"/>
  <c r="BZ26" i="1"/>
  <c r="BZ52" i="1"/>
  <c r="BY47" i="1"/>
  <c r="CB47" i="1"/>
  <c r="BP76" i="1"/>
  <c r="BQ69" i="1"/>
  <c r="BP69" i="1"/>
  <c r="BR74" i="1"/>
  <c r="BU77" i="1"/>
  <c r="BQ73" i="1"/>
  <c r="BY53" i="1"/>
  <c r="CB53" i="1"/>
  <c r="BS68" i="1"/>
  <c r="BX53" i="1"/>
  <c r="BV77" i="1"/>
  <c r="BR76" i="1"/>
  <c r="BU76" i="1"/>
  <c r="BR72" i="1"/>
  <c r="BW53" i="1"/>
  <c r="BV75" i="1"/>
  <c r="BX51" i="1"/>
  <c r="BX52" i="1"/>
  <c r="BW47" i="1"/>
  <c r="BV68" i="1"/>
  <c r="BV73" i="1"/>
  <c r="CB54" i="1"/>
  <c r="BZ46" i="1"/>
  <c r="BT74" i="1"/>
  <c r="BX46" i="1"/>
  <c r="CB46" i="1"/>
  <c r="BP75" i="1"/>
  <c r="BZ54" i="1"/>
  <c r="BS77" i="1"/>
  <c r="BV72" i="1"/>
  <c r="BS72" i="1"/>
  <c r="BQ72" i="1"/>
  <c r="BS75" i="1"/>
  <c r="BV47" i="1"/>
  <c r="BV54" i="1"/>
  <c r="BY54" i="1"/>
  <c r="CA53" i="1"/>
  <c r="BT6" i="1"/>
  <c r="BQ19" i="1"/>
  <c r="BS26" i="1"/>
  <c r="BV76" i="1"/>
  <c r="CA52" i="1"/>
  <c r="BQ74" i="1"/>
  <c r="BY51" i="1"/>
  <c r="BU74" i="1"/>
  <c r="BU72" i="1"/>
  <c r="BW52" i="1"/>
  <c r="BP74" i="1"/>
  <c r="BY46" i="1"/>
  <c r="BZ51" i="1"/>
  <c r="BZ47" i="1"/>
  <c r="BV74" i="1"/>
  <c r="BQ68" i="1"/>
  <c r="BQ76" i="1"/>
  <c r="BQ75" i="1"/>
  <c r="BT85" i="1"/>
  <c r="BR69" i="1"/>
  <c r="BS85" i="1"/>
  <c r="BR73" i="1"/>
  <c r="BV69" i="1"/>
  <c r="BV46" i="1"/>
  <c r="BT76" i="1"/>
  <c r="BP73" i="1"/>
  <c r="BS14" i="1"/>
  <c r="CB6" i="1"/>
  <c r="BY6" i="1"/>
  <c r="BR19" i="1"/>
  <c r="BQ10" i="1"/>
  <c r="BQ123" i="1" s="1"/>
  <c r="BR26" i="1"/>
  <c r="BV26" i="1"/>
  <c r="BP23" i="1"/>
  <c r="BZ6" i="1"/>
  <c r="BT19" i="1"/>
  <c r="BV6" i="1"/>
  <c r="BU10" i="1"/>
  <c r="BU123" i="1" s="1"/>
  <c r="BP10" i="1"/>
  <c r="BP123" i="1" s="1"/>
  <c r="BW10" i="1"/>
  <c r="BW123" i="1" s="1"/>
  <c r="BW6" i="1"/>
  <c r="BS6" i="1"/>
  <c r="BX6" i="1"/>
  <c r="BP27" i="1"/>
  <c r="BP167" i="1" s="1"/>
  <c r="BX26" i="1"/>
  <c r="BQ26" i="1"/>
  <c r="BT10" i="1"/>
  <c r="BT123" i="1" s="1"/>
  <c r="BR10" i="1"/>
  <c r="BR123" i="1" s="1"/>
  <c r="BW26" i="1"/>
  <c r="BP19" i="1"/>
  <c r="BY10" i="1"/>
  <c r="BY123" i="1" s="1"/>
  <c r="BX10" i="1"/>
  <c r="BX123" i="1" s="1"/>
  <c r="CB26" i="1"/>
  <c r="BX19" i="1"/>
  <c r="BV19" i="1"/>
  <c r="BS10" i="1"/>
  <c r="BS123" i="1" s="1"/>
  <c r="CB10" i="1"/>
  <c r="CB123" i="1" s="1"/>
  <c r="CC123" i="1" s="1"/>
  <c r="BW14" i="1"/>
  <c r="BS27" i="1"/>
  <c r="BS167" i="1" s="1"/>
  <c r="BR15" i="1"/>
  <c r="BR23" i="1"/>
  <c r="BW19" i="1"/>
  <c r="BZ10" i="1"/>
  <c r="BZ123" i="1" s="1"/>
  <c r="CA26" i="1"/>
  <c r="BY19" i="1"/>
  <c r="BP14" i="1"/>
  <c r="BV10" i="1"/>
  <c r="BV123" i="1" s="1"/>
  <c r="CA6" i="1"/>
  <c r="CE40" i="1" l="1"/>
  <c r="CE42" i="1"/>
  <c r="CD157" i="1"/>
  <c r="CD160" i="1" s="1"/>
  <c r="CD8" i="1"/>
  <c r="CE157" i="1"/>
  <c r="CE160" i="1" s="1"/>
  <c r="CE8" i="1"/>
  <c r="CC157" i="1"/>
  <c r="CC160" i="1" s="1"/>
  <c r="CC97" i="1" s="1"/>
  <c r="CD97" i="1" s="1"/>
  <c r="CE97" i="1" s="1"/>
  <c r="CC8" i="1"/>
  <c r="CD143" i="1"/>
  <c r="CE143" i="1"/>
  <c r="BZ40" i="1"/>
  <c r="CD16" i="1"/>
  <c r="CE16" i="1"/>
  <c r="CD166" i="1"/>
  <c r="CD148" i="1" s="1"/>
  <c r="CD150" i="1" s="1"/>
  <c r="CC143" i="1"/>
  <c r="BX40" i="1"/>
  <c r="BU40" i="1"/>
  <c r="CD40" i="1"/>
  <c r="CD123" i="1"/>
  <c r="CC101" i="1"/>
  <c r="BW83" i="1"/>
  <c r="BQ40" i="1"/>
  <c r="CB122" i="1"/>
  <c r="CC122" i="1" s="1"/>
  <c r="CB158" i="1"/>
  <c r="BQ12" i="1"/>
  <c r="BQ122" i="1"/>
  <c r="BQ158" i="1"/>
  <c r="BR122" i="1"/>
  <c r="BR158" i="1"/>
  <c r="BS122" i="1"/>
  <c r="BS158" i="1"/>
  <c r="BV122" i="1"/>
  <c r="BV158" i="1"/>
  <c r="BY122" i="1"/>
  <c r="BY158" i="1"/>
  <c r="CA122" i="1"/>
  <c r="CA158" i="1"/>
  <c r="BT122" i="1"/>
  <c r="BT158" i="1"/>
  <c r="BP122" i="1"/>
  <c r="BP158" i="1"/>
  <c r="BU122" i="1"/>
  <c r="BU158" i="1"/>
  <c r="BW122" i="1"/>
  <c r="BW158" i="1"/>
  <c r="BZ122" i="1"/>
  <c r="BZ158" i="1"/>
  <c r="BX122" i="1"/>
  <c r="BX158" i="1"/>
  <c r="CC41" i="1"/>
  <c r="CE41" i="1"/>
  <c r="CB40" i="1"/>
  <c r="BR12" i="1"/>
  <c r="BY12" i="1"/>
  <c r="CA63" i="1"/>
  <c r="BS40" i="1"/>
  <c r="CB12" i="1"/>
  <c r="BX12" i="1"/>
  <c r="CA12" i="1"/>
  <c r="CD41" i="1"/>
  <c r="BS12" i="1"/>
  <c r="BW40" i="1"/>
  <c r="CA64" i="1"/>
  <c r="BT124" i="1"/>
  <c r="BT41" i="1"/>
  <c r="CC12" i="1"/>
  <c r="BV41" i="1"/>
  <c r="BV124" i="1"/>
  <c r="BQ124" i="1"/>
  <c r="BQ41" i="1"/>
  <c r="BR41" i="1"/>
  <c r="BR124" i="1"/>
  <c r="BV40" i="1"/>
  <c r="BT12" i="1"/>
  <c r="BW12" i="1"/>
  <c r="BU124" i="1"/>
  <c r="BU41" i="1"/>
  <c r="BW41" i="1"/>
  <c r="BW124" i="1"/>
  <c r="BR40" i="1"/>
  <c r="CD12" i="1"/>
  <c r="BT40" i="1"/>
  <c r="BX41" i="1"/>
  <c r="BX124" i="1"/>
  <c r="CA40" i="1"/>
  <c r="BZ12" i="1"/>
  <c r="BS41" i="1"/>
  <c r="BS124" i="1"/>
  <c r="CE12" i="1"/>
  <c r="BV12" i="1"/>
  <c r="CC40" i="1"/>
  <c r="BY40" i="1"/>
  <c r="BU12" i="1"/>
  <c r="BP124" i="1"/>
  <c r="BP41" i="1"/>
  <c r="BP12" i="1"/>
  <c r="BW63" i="1"/>
  <c r="BX64" i="1"/>
  <c r="CB65" i="1"/>
  <c r="CE64" i="1"/>
  <c r="BZ62" i="1"/>
  <c r="CE62" i="1"/>
  <c r="CA61" i="1"/>
  <c r="CC60" i="1"/>
  <c r="BZ55" i="1"/>
  <c r="CD58" i="1"/>
  <c r="BX63" i="1"/>
  <c r="CC63" i="1"/>
  <c r="CD65" i="1"/>
  <c r="BX60" i="1"/>
  <c r="BY65" i="1"/>
  <c r="BZ63" i="1"/>
  <c r="BX55" i="1"/>
  <c r="CE82" i="1"/>
  <c r="CD64" i="1"/>
  <c r="BX83" i="1"/>
  <c r="CE81" i="1"/>
  <c r="CB64" i="1"/>
  <c r="BZ60" i="1"/>
  <c r="CE65" i="1"/>
  <c r="BY62" i="1"/>
  <c r="CC55" i="1"/>
  <c r="CD55" i="1"/>
  <c r="BW65" i="1"/>
  <c r="BV55" i="1"/>
  <c r="CA55" i="1"/>
  <c r="CE60" i="1"/>
  <c r="CB58" i="1"/>
  <c r="CA65" i="1"/>
  <c r="CD60" i="1"/>
  <c r="BY58" i="1"/>
  <c r="CB55" i="1"/>
  <c r="CE55" i="1"/>
  <c r="CB60" i="1"/>
  <c r="BY63" i="1"/>
  <c r="CB63" i="1"/>
  <c r="CC65" i="1"/>
  <c r="BZ65" i="1"/>
  <c r="BY64" i="1"/>
  <c r="CA60" i="1"/>
  <c r="BY55" i="1"/>
  <c r="CD63" i="1"/>
  <c r="BY59" i="1"/>
  <c r="CC64" i="1"/>
  <c r="BY60" i="1"/>
  <c r="BW60" i="1"/>
  <c r="CA59" i="1"/>
  <c r="BW64" i="1"/>
  <c r="BW55" i="1"/>
  <c r="BX65" i="1"/>
  <c r="BZ64" i="1"/>
  <c r="CE63" i="1"/>
  <c r="BX61" i="1"/>
  <c r="CB61" i="1"/>
  <c r="BY61" i="1"/>
  <c r="BW61" i="1"/>
  <c r="BZ61" i="1"/>
  <c r="CD61" i="1"/>
  <c r="CC61" i="1"/>
  <c r="CE61" i="1"/>
  <c r="CC62" i="1"/>
  <c r="CB62" i="1"/>
  <c r="CD62" i="1"/>
  <c r="BW62" i="1"/>
  <c r="BX62" i="1"/>
  <c r="CA62" i="1"/>
  <c r="BW58" i="1"/>
  <c r="CE85" i="1"/>
  <c r="BX58" i="1"/>
  <c r="CC58" i="1"/>
  <c r="BX84" i="1"/>
  <c r="CA58" i="1"/>
  <c r="CE58" i="1"/>
  <c r="BZ58" i="1"/>
  <c r="CC85" i="1"/>
  <c r="CC83" i="1"/>
  <c r="BY83" i="1"/>
  <c r="CD59" i="1"/>
  <c r="BW59" i="1"/>
  <c r="CC59" i="1"/>
  <c r="BX59" i="1"/>
  <c r="CE80" i="1"/>
  <c r="CE59" i="1"/>
  <c r="BZ59" i="1"/>
  <c r="CB59" i="1"/>
  <c r="CD80" i="1"/>
  <c r="CB83" i="1"/>
  <c r="CC84" i="1"/>
  <c r="CB82" i="1"/>
  <c r="BV85" i="1"/>
  <c r="CC79" i="1"/>
  <c r="CA81" i="1"/>
  <c r="BZ84" i="1"/>
  <c r="CD85" i="1"/>
  <c r="CC81" i="1"/>
  <c r="BZ85" i="1"/>
  <c r="CD79" i="1"/>
  <c r="BZ81" i="1"/>
  <c r="BW81" i="1"/>
  <c r="CE79" i="1"/>
  <c r="BW84" i="1"/>
  <c r="CD83" i="1"/>
  <c r="BY84" i="1"/>
  <c r="BV83" i="1"/>
  <c r="BZ82" i="1"/>
  <c r="BY82" i="1"/>
  <c r="BW85" i="1"/>
  <c r="BV80" i="1"/>
  <c r="CD84" i="1"/>
  <c r="CE84" i="1"/>
  <c r="CC82" i="1"/>
  <c r="CD82" i="1"/>
  <c r="BX80" i="1"/>
  <c r="BV84" i="1"/>
  <c r="BV81" i="1"/>
  <c r="BZ79" i="1"/>
  <c r="CA79" i="1"/>
  <c r="CB85" i="1"/>
  <c r="CA83" i="1"/>
  <c r="BV79" i="1"/>
  <c r="CE83" i="1"/>
  <c r="BW80" i="1"/>
  <c r="CB79" i="1"/>
  <c r="BW82" i="1"/>
  <c r="CA84" i="1"/>
  <c r="BW79" i="1"/>
  <c r="BY80" i="1"/>
  <c r="CB84" i="1"/>
  <c r="BZ80" i="1"/>
  <c r="CA82" i="1"/>
  <c r="CA80" i="1"/>
  <c r="BY85" i="1"/>
  <c r="BX79" i="1"/>
  <c r="CD81" i="1"/>
  <c r="BZ83" i="1"/>
  <c r="BY81" i="1"/>
  <c r="BY79" i="1"/>
  <c r="BX85" i="1"/>
  <c r="CA85" i="1"/>
  <c r="CC80" i="1"/>
  <c r="BX82" i="1"/>
  <c r="BX81" i="1"/>
  <c r="BV82" i="1"/>
  <c r="CB81" i="1"/>
  <c r="CB80" i="1"/>
  <c r="CE24" i="1"/>
  <c r="CD24" i="1"/>
  <c r="BP17" i="1"/>
  <c r="CC17" i="1"/>
  <c r="CE17" i="1"/>
  <c r="CD17" i="1"/>
  <c r="CC24" i="1"/>
  <c r="BW16" i="1"/>
  <c r="BR24" i="1"/>
  <c r="BT24" i="1"/>
  <c r="BQ17" i="1"/>
  <c r="BV17" i="1"/>
  <c r="BS24" i="1"/>
  <c r="BX17" i="1"/>
  <c r="BU16" i="1"/>
  <c r="BS16" i="1"/>
  <c r="BV24" i="1"/>
  <c r="BT16" i="1"/>
  <c r="BX16" i="1"/>
  <c r="BP24" i="1"/>
  <c r="BX24" i="1"/>
  <c r="BQ16" i="1"/>
  <c r="BR8" i="1"/>
  <c r="BT17" i="1"/>
  <c r="BV16" i="1"/>
  <c r="BR16" i="1"/>
  <c r="BW24" i="1"/>
  <c r="BU8" i="1"/>
  <c r="BQ24" i="1"/>
  <c r="BU24" i="1"/>
  <c r="BT8" i="1"/>
  <c r="BU17" i="1"/>
  <c r="BY8" i="1"/>
  <c r="CA8" i="1"/>
  <c r="BZ8" i="1"/>
  <c r="BQ8" i="1"/>
  <c r="BS17" i="1"/>
  <c r="BX8" i="1"/>
  <c r="BW17" i="1"/>
  <c r="BW8" i="1"/>
  <c r="BV8" i="1"/>
  <c r="BS8" i="1"/>
  <c r="BR17" i="1"/>
  <c r="CB8" i="1"/>
  <c r="CD129" i="1" l="1"/>
  <c r="CE129" i="1"/>
  <c r="CC129" i="1"/>
  <c r="CC105" i="1"/>
  <c r="CC110" i="1" s="1"/>
  <c r="CE123" i="1"/>
  <c r="CE101" i="1" s="1"/>
  <c r="CE105" i="1" s="1"/>
  <c r="CE110" i="1" s="1"/>
  <c r="CD101" i="1"/>
  <c r="CD105" i="1" s="1"/>
  <c r="CD110" i="1" s="1"/>
  <c r="CC90" i="1"/>
  <c r="CC131" i="1" s="1"/>
  <c r="CC136" i="1" s="1"/>
  <c r="CD122" i="1"/>
  <c r="AO24" i="1"/>
  <c r="BY15" i="1"/>
  <c r="AO16" i="1"/>
  <c r="CC154" i="1" l="1"/>
  <c r="CE122" i="1"/>
  <c r="CE90" i="1" s="1"/>
  <c r="CD90" i="1"/>
  <c r="BY17" i="1"/>
  <c r="BY16" i="1"/>
  <c r="BY21" i="1"/>
  <c r="CE131" i="1" l="1"/>
  <c r="CE136" i="1" s="1"/>
  <c r="CE154" i="1" s="1"/>
  <c r="CD131" i="1"/>
  <c r="CD136" i="1" s="1"/>
  <c r="CD154" i="1" s="1"/>
  <c r="BY23" i="1"/>
  <c r="BY24" i="1" s="1"/>
  <c r="CE155" i="1" l="1"/>
  <c r="CD155" i="1"/>
  <c r="BY27" i="1"/>
  <c r="BY167" i="1" s="1"/>
  <c r="BY124" i="1" l="1"/>
  <c r="BY41" i="1"/>
  <c r="BZ21" i="1"/>
  <c r="BZ23" i="1"/>
  <c r="BZ27" i="1" l="1"/>
  <c r="BZ167" i="1" s="1"/>
  <c r="BZ24" i="1"/>
  <c r="BZ124" i="1" l="1"/>
  <c r="BZ41" i="1"/>
  <c r="BY14" i="1"/>
  <c r="CA21" i="1"/>
  <c r="CB21" i="1"/>
  <c r="CA23" i="1"/>
  <c r="CB27" i="1" l="1"/>
  <c r="CA24" i="1"/>
  <c r="CA27" i="1"/>
  <c r="CA167" i="1" s="1"/>
  <c r="CB23" i="1"/>
  <c r="CB24" i="1" s="1"/>
  <c r="CB15" i="1"/>
  <c r="AY19" i="1"/>
  <c r="AQ19" i="1"/>
  <c r="AW19" i="1"/>
  <c r="AW17" i="1"/>
  <c r="AW14" i="1"/>
  <c r="AW16" i="1"/>
  <c r="AX16" i="1"/>
  <c r="AX19" i="1"/>
  <c r="AX14" i="1"/>
  <c r="AX17" i="1"/>
  <c r="AQ16" i="1"/>
  <c r="AQ17" i="1"/>
  <c r="BC16" i="1"/>
  <c r="AY16" i="1"/>
  <c r="AY17" i="1"/>
  <c r="AY14" i="1"/>
  <c r="CA15" i="1"/>
  <c r="BA16" i="1"/>
  <c r="BA19" i="1"/>
  <c r="BE16" i="1"/>
  <c r="BA14" i="1"/>
  <c r="BA17" i="1"/>
  <c r="AU16" i="1"/>
  <c r="AU17" i="1"/>
  <c r="AS16" i="1"/>
  <c r="AS17" i="1"/>
  <c r="AS14" i="1"/>
  <c r="AS19" i="1"/>
  <c r="BD16" i="1"/>
  <c r="AZ17" i="1"/>
  <c r="AZ16" i="1"/>
  <c r="AZ14" i="1"/>
  <c r="AZ19" i="1"/>
  <c r="AT16" i="1"/>
  <c r="AT19" i="1"/>
  <c r="AT14" i="1"/>
  <c r="AT17" i="1"/>
  <c r="AR16" i="1"/>
  <c r="AR19" i="1"/>
  <c r="AR14" i="1"/>
  <c r="AR17" i="1"/>
  <c r="AQ14" i="1"/>
  <c r="BZ15" i="1"/>
  <c r="BZ17" i="1" s="1"/>
  <c r="AU14" i="1"/>
  <c r="AU19" i="1"/>
  <c r="AV19" i="1"/>
  <c r="AV17" i="1"/>
  <c r="AV14" i="1"/>
  <c r="AV16" i="1"/>
  <c r="BB19" i="1"/>
  <c r="BF16" i="1"/>
  <c r="BB17" i="1"/>
  <c r="BB14" i="1"/>
  <c r="BB16" i="1"/>
  <c r="CB17" i="1" l="1"/>
  <c r="CC16" i="1"/>
  <c r="CB167" i="1"/>
  <c r="CC166" i="1"/>
  <c r="CC148" i="1" s="1"/>
  <c r="CA124" i="1"/>
  <c r="CA41" i="1"/>
  <c r="CB124" i="1"/>
  <c r="CB41" i="1"/>
  <c r="CA19" i="1"/>
  <c r="BZ14" i="1"/>
  <c r="CA14" i="1"/>
  <c r="BZ19" i="1"/>
  <c r="CB19" i="1"/>
  <c r="CA16" i="1"/>
  <c r="CB14" i="1"/>
  <c r="BZ16" i="1"/>
  <c r="CA17" i="1"/>
  <c r="CB16" i="1"/>
  <c r="CC150" i="1" l="1"/>
  <c r="CC155" i="1" s="1"/>
  <c r="CC89" i="1" s="1"/>
  <c r="CC114" i="1"/>
  <c r="CC118" i="1" s="1"/>
  <c r="CD114" i="1" l="1"/>
  <c r="CE114" i="1" s="1"/>
  <c r="CD89" i="1"/>
  <c r="CC92" i="1"/>
  <c r="CC99" i="1" s="1"/>
  <c r="CC120" i="1" l="1"/>
  <c r="CC121" i="1" s="1"/>
  <c r="CC124" i="1"/>
  <c r="CE89" i="1"/>
  <c r="CE92" i="1" s="1"/>
  <c r="CE99" i="1" s="1"/>
  <c r="CD92" i="1"/>
  <c r="CD99" i="1" s="1"/>
  <c r="CE118" i="1"/>
  <c r="CD118" i="1"/>
  <c r="CE120" i="1" l="1"/>
  <c r="CE121" i="1" s="1"/>
  <c r="CE124" i="1"/>
  <c r="CD120" i="1"/>
  <c r="CD121" i="1" s="1"/>
  <c r="CD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4" authorId="0" shapeId="0" xr:uid="{E36A7E67-B153-4FD7-ABCA-5CC5AEA896AA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FY3/23 JGAAP -&gt; IFRS</t>
        </r>
      </text>
    </comment>
    <comment ref="B43" authorId="0" shapeId="0" xr:uid="{D1BE0D03-698F-41CC-A632-0A8219E53DFC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as part of IFRS change Company2159 made a few meaningful changes in disclosure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Professional Outsurcing now split into Technology + BPO
</t>
        </r>
        <r>
          <rPr>
            <sz val="9"/>
            <color rgb="FF000000"/>
            <rFont val="Tahoma"/>
            <family val="2"/>
          </rPr>
          <t xml:space="preserve">Solution SBU is now folder into Tech SBU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order to improve coherency, certain lines have been merged, though note that FY3/22 -&gt; FY3/23 is not directly apples to apples</t>
        </r>
      </text>
    </comment>
    <comment ref="BC49" authorId="0" shapeId="0" xr:uid="{31D3AB9A-8054-4ADE-A37C-83A5713805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Company1046 Communication Services consolidation</t>
        </r>
      </text>
    </comment>
    <comment ref="B67" authorId="0" shapeId="0" xr:uid="{EA755AA2-CADC-4403-8F51-ED566B0A17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 from before FY3/22, Adjusted EBITDA after FY3/23</t>
        </r>
      </text>
    </comment>
  </commentList>
</comments>
</file>

<file path=xl/sharedStrings.xml><?xml version="1.0" encoding="utf-8"?>
<sst xmlns="http://schemas.openxmlformats.org/spreadsheetml/2006/main" count="259" uniqueCount="108">
  <si>
    <t>Q1</t>
  </si>
  <si>
    <t>Q2</t>
  </si>
  <si>
    <t>Q3</t>
  </si>
  <si>
    <t>Q4</t>
  </si>
  <si>
    <t>Historical</t>
  </si>
  <si>
    <t>Forecast</t>
  </si>
  <si>
    <t>Index</t>
  </si>
  <si>
    <t>Revenue</t>
  </si>
  <si>
    <t>Total Opex</t>
  </si>
  <si>
    <t>Operating Profit</t>
  </si>
  <si>
    <t>OPM %</t>
  </si>
  <si>
    <t>Pre-tax Profit</t>
  </si>
  <si>
    <t>Taxes</t>
  </si>
  <si>
    <t>ETR %</t>
  </si>
  <si>
    <t>NCI</t>
  </si>
  <si>
    <t>Net Income to S/H</t>
  </si>
  <si>
    <t>Cash Flows</t>
  </si>
  <si>
    <t>Other</t>
  </si>
  <si>
    <t>Fiscal Year end March</t>
  </si>
  <si>
    <t>COGS</t>
  </si>
  <si>
    <t>q/q</t>
  </si>
  <si>
    <t>y/y</t>
  </si>
  <si>
    <t>EPS</t>
  </si>
  <si>
    <t>Shares O/S</t>
  </si>
  <si>
    <t>Balance Sheet</t>
  </si>
  <si>
    <t>Receivable Days</t>
  </si>
  <si>
    <t>Payable Days</t>
  </si>
  <si>
    <t>Free Cash Flow</t>
  </si>
  <si>
    <t>Total Cash Flow</t>
  </si>
  <si>
    <t>D&amp;A</t>
  </si>
  <si>
    <t>Depreciation</t>
  </si>
  <si>
    <t>Amortization</t>
  </si>
  <si>
    <t>as % of prev period intangibles</t>
  </si>
  <si>
    <t>Dividend</t>
  </si>
  <si>
    <t>Payout Ratio (%)</t>
  </si>
  <si>
    <t>Shareholder Returns</t>
  </si>
  <si>
    <t>Buybacks</t>
  </si>
  <si>
    <t>2181 JT Equity</t>
  </si>
  <si>
    <t>Company2159 (Yen mn)</t>
  </si>
  <si>
    <t>JGAAP</t>
  </si>
  <si>
    <t>IFRS</t>
  </si>
  <si>
    <t>Gross Profit</t>
  </si>
  <si>
    <t>GPM %</t>
  </si>
  <si>
    <t>Staffing</t>
  </si>
  <si>
    <t>Career</t>
  </si>
  <si>
    <t>Professional Outsourcing</t>
  </si>
  <si>
    <t xml:space="preserve">Solution </t>
  </si>
  <si>
    <t>APAC</t>
  </si>
  <si>
    <t>Adjustment</t>
  </si>
  <si>
    <t>Operations - Read Comment</t>
  </si>
  <si>
    <t>Profits</t>
  </si>
  <si>
    <t>Technology</t>
  </si>
  <si>
    <t>BPO</t>
  </si>
  <si>
    <t>OPM / EBITDA Margin</t>
  </si>
  <si>
    <t>Adjusted EBITDA Waterfall</t>
  </si>
  <si>
    <t>Accured paid leave</t>
  </si>
  <si>
    <t>SBC</t>
  </si>
  <si>
    <t>Other Income</t>
  </si>
  <si>
    <t>Other Expense</t>
  </si>
  <si>
    <t>Adjustments</t>
  </si>
  <si>
    <t>Adjusted EBITDA (reported)</t>
  </si>
  <si>
    <t>% y/y</t>
  </si>
  <si>
    <t>Total</t>
  </si>
  <si>
    <t>Company0945 BPO Consolidation</t>
  </si>
  <si>
    <t>Cash &amp; deposits</t>
  </si>
  <si>
    <t>Account receivable</t>
  </si>
  <si>
    <t>Total current assets</t>
  </si>
  <si>
    <t>Tangible fixed assets</t>
  </si>
  <si>
    <t>Right-of-use assets</t>
  </si>
  <si>
    <t>Goodwill</t>
  </si>
  <si>
    <t>Intangible fixed assets</t>
  </si>
  <si>
    <t>Total assets</t>
  </si>
  <si>
    <t>Account payable</t>
  </si>
  <si>
    <t>Short-term debt</t>
  </si>
  <si>
    <t>Total current liabilities</t>
  </si>
  <si>
    <t>Long-term debt</t>
  </si>
  <si>
    <t>Total fixed liabilities</t>
  </si>
  <si>
    <t xml:space="preserve">Capital </t>
  </si>
  <si>
    <t>Capital surplus</t>
  </si>
  <si>
    <t>Earned surplus</t>
  </si>
  <si>
    <t>Treasury stock</t>
  </si>
  <si>
    <t>Other components of equity</t>
  </si>
  <si>
    <t>Minority interest</t>
  </si>
  <si>
    <t>Net assets</t>
  </si>
  <si>
    <t>Total liabilities and equities</t>
  </si>
  <si>
    <t>ROE %</t>
  </si>
  <si>
    <t>Pretax profits</t>
  </si>
  <si>
    <t>Changes in Receivables/Payables</t>
  </si>
  <si>
    <t xml:space="preserve">Interest &amp; dividend income </t>
  </si>
  <si>
    <t>Interest expense</t>
  </si>
  <si>
    <t>Income taxes, paid</t>
  </si>
  <si>
    <t>Cash flow from operating activities</t>
  </si>
  <si>
    <t>Purchase of PP&amp;E</t>
  </si>
  <si>
    <t>Sales of fixed assets</t>
  </si>
  <si>
    <t>Purchase of intangible assets</t>
  </si>
  <si>
    <t>Acquisitions</t>
  </si>
  <si>
    <t>Others</t>
  </si>
  <si>
    <t>Cash flow from investment activities</t>
  </si>
  <si>
    <t>Net Change In Borrowings</t>
  </si>
  <si>
    <t>Purchase of treasury shares</t>
  </si>
  <si>
    <t>Dividends paid to owners of the Company</t>
  </si>
  <si>
    <t>Cash flow from financing activities</t>
  </si>
  <si>
    <t>Effect of exchange rate changes on cash and cash equivalents</t>
  </si>
  <si>
    <t>Repayment of Lease Liabilities</t>
  </si>
  <si>
    <t>Lease</t>
  </si>
  <si>
    <t>ROU Liabilities</t>
  </si>
  <si>
    <t>ROU liabilities</t>
  </si>
  <si>
    <t>ROU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</si>
</sst>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m/yy"/>
    <numFmt numFmtId="166" formatCode="0&quot;E&quot;"/>
    <numFmt numFmtId="167" formatCode="#,##0_);\(#,##0\);\–_);&quot;–&quot;_)"/>
    <numFmt numFmtId="168" formatCode="_(* #,##0_);_(* \(#,##0\);_(* &quot;-&quot;??_);_(@_)"/>
    <numFmt numFmtId="169" formatCode="0.0%"/>
    <numFmt numFmtId="170" formatCode="_(* #,##0.00_);_(* \(#,##0.00\);_(* &quot;-&quot;_);_(@_)"/>
    <numFmt numFmtId="171" formatCode="_-[$¥-411]* #,##0.00_-;\-[$¥-411]* #,##0.00_-;_-[$¥-411]* &quot;-&quot;??_-;_-@_-"/>
    <numFmt numFmtId="172" formatCode="&quot;FY3/&quot;0"/>
    <numFmt numFmtId="173" formatCode="&quot;FY3/&quot;0&quot;E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sz val="9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4" fillId="0" borderId="2" xfId="0" applyFont="1" applyBorder="1"/>
    <xf numFmtId="0" fontId="4" fillId="0" borderId="0" xfId="0" applyFont="1"/>
    <xf numFmtId="0" fontId="3" fillId="3" borderId="0" xfId="0" applyFont="1" applyFill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41" fontId="3" fillId="0" borderId="0" xfId="0" applyNumberFormat="1" applyFont="1"/>
    <xf numFmtId="167" fontId="3" fillId="0" borderId="0" xfId="1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9" fontId="3" fillId="2" borderId="0" xfId="2" applyFont="1" applyFill="1" applyBorder="1"/>
    <xf numFmtId="169" fontId="3" fillId="0" borderId="0" xfId="2" applyFont="1" applyBorder="1"/>
    <xf numFmtId="169" fontId="3" fillId="0" borderId="0" xfId="2" applyFont="1" applyFill="1" applyBorder="1"/>
    <xf numFmtId="169" fontId="3" fillId="0" borderId="0" xfId="2" applyFont="1"/>
    <xf numFmtId="169" fontId="3" fillId="2" borderId="0" xfId="2" applyFont="1" applyFill="1"/>
    <xf numFmtId="41" fontId="3" fillId="0" borderId="0" xfId="1" applyFont="1" applyBorder="1"/>
    <xf numFmtId="0" fontId="3" fillId="0" borderId="0" xfId="0" applyFont="1" applyAlignment="1">
      <alignment horizontal="left" indent="2"/>
    </xf>
    <xf numFmtId="168" fontId="3" fillId="0" borderId="2" xfId="0" applyNumberFormat="1" applyFont="1" applyBorder="1"/>
    <xf numFmtId="168" fontId="3" fillId="0" borderId="0" xfId="0" applyNumberFormat="1" applyFont="1"/>
    <xf numFmtId="167" fontId="3" fillId="0" borderId="2" xfId="1" applyNumberFormat="1" applyFont="1" applyBorder="1"/>
    <xf numFmtId="41" fontId="3" fillId="0" borderId="0" xfId="1" applyFont="1" applyFill="1" applyBorder="1"/>
    <xf numFmtId="41" fontId="3" fillId="0" borderId="0" xfId="1" applyFont="1"/>
    <xf numFmtId="167" fontId="3" fillId="0" borderId="0" xfId="0" applyNumberFormat="1" applyFont="1"/>
    <xf numFmtId="43" fontId="3" fillId="0" borderId="0" xfId="0" applyNumberFormat="1" applyFont="1"/>
    <xf numFmtId="41" fontId="3" fillId="3" borderId="0" xfId="0" applyNumberFormat="1" applyFont="1" applyFill="1"/>
    <xf numFmtId="37" fontId="3" fillId="0" borderId="0" xfId="0" applyNumberFormat="1" applyFont="1"/>
    <xf numFmtId="41" fontId="3" fillId="3" borderId="0" xfId="1" applyFont="1" applyFill="1" applyBorder="1"/>
    <xf numFmtId="0" fontId="4" fillId="0" borderId="3" xfId="0" applyFont="1" applyBorder="1"/>
    <xf numFmtId="0" fontId="3" fillId="0" borderId="3" xfId="0" applyFont="1" applyBorder="1"/>
    <xf numFmtId="168" fontId="3" fillId="0" borderId="0" xfId="1" applyNumberFormat="1" applyFont="1" applyBorder="1"/>
    <xf numFmtId="168" fontId="3" fillId="0" borderId="0" xfId="1" applyNumberFormat="1" applyFont="1" applyFill="1" applyBorder="1"/>
    <xf numFmtId="43" fontId="3" fillId="0" borderId="0" xfId="1" applyNumberFormat="1" applyFont="1" applyBorder="1"/>
    <xf numFmtId="43" fontId="3" fillId="0" borderId="0" xfId="1" applyNumberFormat="1" applyFont="1" applyFill="1" applyBorder="1"/>
    <xf numFmtId="169" fontId="3" fillId="0" borderId="0" xfId="1" applyNumberFormat="1" applyFont="1" applyFill="1" applyBorder="1"/>
    <xf numFmtId="164" fontId="3" fillId="0" borderId="0" xfId="3" applyFont="1" applyFill="1" applyBorder="1"/>
    <xf numFmtId="41" fontId="4" fillId="0" borderId="0" xfId="1" applyFont="1" applyBorder="1"/>
    <xf numFmtId="41" fontId="4" fillId="0" borderId="0" xfId="1" applyFont="1" applyFill="1" applyBorder="1"/>
    <xf numFmtId="41" fontId="4" fillId="0" borderId="0" xfId="0" applyNumberFormat="1" applyFont="1"/>
    <xf numFmtId="170" fontId="4" fillId="0" borderId="0" xfId="0" applyNumberFormat="1" applyFont="1"/>
    <xf numFmtId="169" fontId="3" fillId="0" borderId="0" xfId="2" applyFont="1" applyAlignment="1">
      <alignment horizontal="left" indent="1"/>
    </xf>
    <xf numFmtId="171" fontId="3" fillId="0" borderId="0" xfId="0" applyNumberFormat="1" applyFont="1"/>
    <xf numFmtId="41" fontId="3" fillId="2" borderId="0" xfId="1" applyFont="1" applyFill="1" applyBorder="1"/>
    <xf numFmtId="0" fontId="7" fillId="0" borderId="0" xfId="0" applyFont="1"/>
    <xf numFmtId="169" fontId="3" fillId="3" borderId="0" xfId="2" applyFont="1" applyFill="1" applyBorder="1"/>
    <xf numFmtId="41" fontId="3" fillId="0" borderId="1" xfId="1" applyFont="1" applyBorder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7" fontId="3" fillId="0" borderId="0" xfId="1" applyNumberFormat="1" applyFont="1" applyFill="1" applyBorder="1"/>
    <xf numFmtId="41" fontId="3" fillId="0" borderId="1" xfId="1" applyFont="1" applyFill="1" applyBorder="1"/>
    <xf numFmtId="43" fontId="3" fillId="2" borderId="0" xfId="1" applyNumberFormat="1" applyFont="1" applyFill="1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1" fontId="3" fillId="0" borderId="1" xfId="0" applyNumberFormat="1" applyFont="1" applyBorder="1"/>
    <xf numFmtId="41" fontId="3" fillId="2" borderId="0" xfId="0" applyNumberFormat="1" applyFont="1" applyFill="1"/>
    <xf numFmtId="43" fontId="3" fillId="0" borderId="1" xfId="1" applyNumberFormat="1" applyFont="1" applyBorder="1"/>
    <xf numFmtId="167" fontId="3" fillId="0" borderId="1" xfId="1" applyNumberFormat="1" applyFont="1" applyBorder="1"/>
    <xf numFmtId="0" fontId="8" fillId="0" borderId="0" xfId="0" applyFont="1"/>
    <xf numFmtId="168" fontId="3" fillId="3" borderId="0" xfId="1" applyNumberFormat="1" applyFont="1" applyFill="1" applyBorder="1"/>
    <xf numFmtId="167" fontId="9" fillId="0" borderId="0" xfId="1" applyNumberFormat="1" applyFont="1" applyBorder="1"/>
    <xf numFmtId="167" fontId="3" fillId="0" borderId="1" xfId="0" applyNumberFormat="1" applyFont="1" applyBorder="1"/>
    <xf numFmtId="167" fontId="3" fillId="2" borderId="0" xfId="0" applyNumberFormat="1" applyFont="1" applyFill="1"/>
    <xf numFmtId="167" fontId="3" fillId="2" borderId="0" xfId="1" applyNumberFormat="1" applyFont="1" applyFill="1" applyBorder="1"/>
    <xf numFmtId="167" fontId="3" fillId="3" borderId="0" xfId="1" applyNumberFormat="1" applyFont="1" applyFill="1" applyBorder="1"/>
    <xf numFmtId="169" fontId="3" fillId="3" borderId="0" xfId="2" applyFont="1" applyFill="1"/>
    <xf numFmtId="172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73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67" fontId="3" fillId="0" borderId="5" xfId="1" applyNumberFormat="1" applyFont="1" applyBorder="1"/>
    <xf numFmtId="169" fontId="3" fillId="2" borderId="5" xfId="2" applyFont="1" applyFill="1" applyBorder="1"/>
    <xf numFmtId="169" fontId="3" fillId="0" borderId="5" xfId="2" applyFont="1" applyBorder="1"/>
    <xf numFmtId="167" fontId="9" fillId="0" borderId="5" xfId="1" applyNumberFormat="1" applyFont="1" applyBorder="1"/>
    <xf numFmtId="167" fontId="3" fillId="0" borderId="4" xfId="1" applyNumberFormat="1" applyFont="1" applyBorder="1"/>
    <xf numFmtId="169" fontId="3" fillId="0" borderId="5" xfId="2" applyFont="1" applyFill="1" applyBorder="1"/>
    <xf numFmtId="167" fontId="3" fillId="0" borderId="5" xfId="1" applyNumberFormat="1" applyFont="1" applyFill="1" applyBorder="1"/>
    <xf numFmtId="167" fontId="3" fillId="0" borderId="6" xfId="1" applyNumberFormat="1" applyFont="1" applyBorder="1"/>
    <xf numFmtId="167" fontId="3" fillId="0" borderId="5" xfId="0" applyNumberFormat="1" applyFont="1" applyBorder="1"/>
    <xf numFmtId="167" fontId="3" fillId="0" borderId="4" xfId="0" applyNumberFormat="1" applyFont="1" applyBorder="1"/>
    <xf numFmtId="171" fontId="3" fillId="0" borderId="5" xfId="0" applyNumberFormat="1" applyFont="1" applyBorder="1"/>
    <xf numFmtId="41" fontId="3" fillId="0" borderId="5" xfId="1" applyFont="1" applyBorder="1"/>
    <xf numFmtId="0" fontId="3" fillId="0" borderId="7" xfId="0" applyFont="1" applyBorder="1"/>
    <xf numFmtId="41" fontId="3" fillId="0" borderId="5" xfId="0" applyNumberFormat="1" applyFont="1" applyBorder="1"/>
    <xf numFmtId="41" fontId="3" fillId="3" borderId="5" xfId="0" applyNumberFormat="1" applyFont="1" applyFill="1" applyBorder="1"/>
    <xf numFmtId="41" fontId="3" fillId="0" borderId="4" xfId="0" applyNumberFormat="1" applyFont="1" applyBorder="1"/>
    <xf numFmtId="167" fontId="3" fillId="3" borderId="5" xfId="1" applyNumberFormat="1" applyFont="1" applyFill="1" applyBorder="1"/>
    <xf numFmtId="169" fontId="3" fillId="3" borderId="5" xfId="2" applyFont="1" applyFill="1" applyBorder="1"/>
    <xf numFmtId="41" fontId="9" fillId="0" borderId="1" xfId="1" applyFont="1" applyBorder="1"/>
    <xf numFmtId="41" fontId="9" fillId="0" borderId="4" xfId="1" applyFont="1" applyBorder="1"/>
    <xf numFmtId="41" fontId="3" fillId="0" borderId="5" xfId="1" applyFont="1" applyFill="1" applyBorder="1"/>
    <xf numFmtId="41" fontId="3" fillId="0" borderId="0" xfId="1" applyFont="1" applyFill="1"/>
    <xf numFmtId="168" fontId="3" fillId="5" borderId="0" xfId="1" applyNumberFormat="1" applyFont="1" applyFill="1" applyBorder="1"/>
    <xf numFmtId="41" fontId="3" fillId="5" borderId="0" xfId="1" applyFont="1" applyFill="1" applyBorder="1"/>
    <xf numFmtId="43" fontId="3" fillId="5" borderId="0" xfId="1" applyNumberFormat="1" applyFont="1" applyFill="1" applyBorder="1"/>
    <xf numFmtId="41" fontId="3" fillId="5" borderId="1" xfId="1" applyFont="1" applyFill="1" applyBorder="1"/>
    <xf numFmtId="41" fontId="3" fillId="5" borderId="0" xfId="0" applyNumberFormat="1" applyFont="1" applyFill="1"/>
    <xf numFmtId="169" fontId="3" fillId="5" borderId="0" xfId="2" applyFont="1" applyFill="1" applyBorder="1"/>
    <xf numFmtId="168" fontId="3" fillId="5" borderId="0" xfId="0" applyNumberFormat="1" applyFont="1" applyFill="1"/>
    <xf numFmtId="168" fontId="3" fillId="5" borderId="2" xfId="0" applyNumberFormat="1" applyFont="1" applyFill="1" applyBorder="1"/>
    <xf numFmtId="0" fontId="3" fillId="5" borderId="0" xfId="0" applyFont="1" applyFill="1"/>
    <xf numFmtId="41" fontId="3" fillId="5" borderId="0" xfId="1" applyFont="1" applyFill="1"/>
    <xf numFmtId="41" fontId="3" fillId="5" borderId="1" xfId="0" applyNumberFormat="1" applyFont="1" applyFill="1" applyBorder="1"/>
  </cellXfs>
  <cellStyles count="7">
    <cellStyle name="Comma" xfId="1" builtinId="3" customBuiltin="1"/>
    <cellStyle name="Comma [0] 2" xfId="5" xr:uid="{55B22A5A-9404-4A92-9C82-530905703415}"/>
    <cellStyle name="Comma 2" xfId="6" xr:uid="{22C86D66-0717-4742-B736-A8776EAAB3B5}"/>
    <cellStyle name="Currency" xfId="3" builtinId="4"/>
    <cellStyle name="Normal" xfId="0" builtinId="0"/>
    <cellStyle name="Normal 2" xfId="4" xr:uid="{5445DDBE-2CF7-4280-BF74-B68A8FDB0B30}"/>
    <cellStyle name="Per cent" xfId="2" builtinId="5" customBuiltin="1"/>
  </cellStyles>
  <dxfs count="0"/>
  <tableStyles count="0" defaultTableStyle="TableStyleMedium2" defaultPivotStyle="PivotStyleLight16"/>
  <colors>
    <mruColors>
      <color rgb="FFFFFFCC"/>
      <color rgb="FF0000FF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Revenue (mn)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Operations!$B$46</c:f>
              <c:strCache>
                <c:ptCount val="1"/>
                <c:pt idx="0">
                  <c:v>Staffing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Operations!$BV$46:$CE$46</c:f>
              <c:numCache>
                <c:formatCode>#,##0_);\(#,##0\);\–_);"–"_)</c:formatCode>
                <c:ptCount val="10"/>
                <c:pt idx="0">
                  <c:v>473245</c:v>
                </c:pt>
                <c:pt idx="1">
                  <c:v>510176</c:v>
                </c:pt>
                <c:pt idx="2">
                  <c:v>530240</c:v>
                </c:pt>
                <c:pt idx="3">
                  <c:v>575743</c:v>
                </c:pt>
                <c:pt idx="4">
                  <c:v>544740</c:v>
                </c:pt>
                <c:pt idx="5">
                  <c:v>575797</c:v>
                </c:pt>
                <c:pt idx="6">
                  <c:v>602438</c:v>
                </c:pt>
                <c:pt idx="7">
                  <c:v>632559.9</c:v>
                </c:pt>
                <c:pt idx="8">
                  <c:v>664187.89500000002</c:v>
                </c:pt>
                <c:pt idx="9">
                  <c:v>697397.28975000011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C-46B3-96F3-D5367CDAA646}"/>
            </c:ext>
          </c:extLst>
        </c:ser>
        <c:ser>
          <c:idx val="1"/>
          <c:order val="1"/>
          <c:tx>
            <c:strRef>
              <c:f>Operations!$B$47</c:f>
              <c:strCache>
                <c:ptCount val="1"/>
                <c:pt idx="0">
                  <c:v>Professional Outsourcing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Operations!$BV$47:$CE$47</c:f>
            </c:numRef>
          </c:val>
          <c:extLst>
            <c:ext xmlns:c16="http://schemas.microsoft.com/office/drawing/2014/chart" uri="{C3380CC4-5D6E-409C-BE32-E72D297353CC}">
              <c16:uniqueId val="{0000000A-B4EC-46B3-96F3-D5367CDAA646}"/>
            </c:ext>
          </c:extLst>
        </c:ser>
        <c:ser>
          <c:idx val="2"/>
          <c:order val="2"/>
          <c:tx>
            <c:strRef>
              <c:f>Operations!$B$48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Operations!$BV$48:$CE$48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102380</c:v>
                </c:pt>
                <c:pt idx="6">
                  <c:v>114705</c:v>
                </c:pt>
                <c:pt idx="7">
                  <c:v>129616.65</c:v>
                </c:pt>
                <c:pt idx="8">
                  <c:v>146466.81449999998</c:v>
                </c:pt>
                <c:pt idx="9">
                  <c:v>165507.50038499996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4EC-46B3-96F3-D5367CDAA646}"/>
            </c:ext>
          </c:extLst>
        </c:ser>
        <c:ser>
          <c:idx val="3"/>
          <c:order val="3"/>
          <c:tx>
            <c:strRef>
              <c:f>Operations!$B$49</c:f>
              <c:strCache>
                <c:ptCount val="1"/>
                <c:pt idx="0">
                  <c:v>BPO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Operations!$BV$49:$CE$49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110795</c:v>
                </c:pt>
                <c:pt idx="6">
                  <c:v>117233</c:v>
                </c:pt>
                <c:pt idx="7">
                  <c:v>147329.29999999999</c:v>
                </c:pt>
                <c:pt idx="8">
                  <c:v>159115.64400000003</c:v>
                </c:pt>
                <c:pt idx="9">
                  <c:v>167071.42620000005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EC-46B3-96F3-D5367CDAA646}"/>
            </c:ext>
          </c:extLst>
        </c:ser>
        <c:ser>
          <c:idx val="4"/>
          <c:order val="4"/>
          <c:tx>
            <c:strRef>
              <c:f>Operations!$B$50</c:f>
              <c:strCache>
                <c:ptCount val="1"/>
                <c:pt idx="0">
                  <c:v>Solution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Operations!$BV$50:$CE$50</c:f>
            </c:numRef>
          </c:val>
          <c:extLst>
            <c:ext xmlns:c16="http://schemas.microsoft.com/office/drawing/2014/chart" uri="{C3380CC4-5D6E-409C-BE32-E72D297353CC}">
              <c16:uniqueId val="{0000000D-B4EC-46B3-96F3-D5367CDAA646}"/>
            </c:ext>
          </c:extLst>
        </c:ser>
        <c:ser>
          <c:idx val="5"/>
          <c:order val="5"/>
          <c:tx>
            <c:strRef>
              <c:f>Operations!$B$51</c:f>
              <c:strCache>
                <c:ptCount val="1"/>
                <c:pt idx="0">
                  <c:v>Career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Operations!$BV$51:$CE$51</c:f>
              <c:numCache>
                <c:formatCode>#,##0_);\(#,##0\);\–_);"–"_)</c:formatCode>
                <c:ptCount val="10"/>
                <c:pt idx="0">
                  <c:v>85825</c:v>
                </c:pt>
                <c:pt idx="1">
                  <c:v>83448</c:v>
                </c:pt>
                <c:pt idx="2">
                  <c:v>59568</c:v>
                </c:pt>
                <c:pt idx="3">
                  <c:v>75279</c:v>
                </c:pt>
                <c:pt idx="4">
                  <c:v>104466</c:v>
                </c:pt>
                <c:pt idx="5">
                  <c:v>128284</c:v>
                </c:pt>
                <c:pt idx="6">
                  <c:v>144645</c:v>
                </c:pt>
                <c:pt idx="7">
                  <c:v>156216.60000000003</c:v>
                </c:pt>
                <c:pt idx="8">
                  <c:v>171838.26</c:v>
                </c:pt>
                <c:pt idx="9">
                  <c:v>190740.46860000002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4EC-46B3-96F3-D5367CDAA646}"/>
            </c:ext>
          </c:extLst>
        </c:ser>
        <c:ser>
          <c:idx val="6"/>
          <c:order val="6"/>
          <c:tx>
            <c:strRef>
              <c:f>Operations!$B$52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Operations!$BV$52:$CE$52</c:f>
              <c:numCache>
                <c:formatCode>#,##0_);\(#,##0\);\–_);"–"_)</c:formatCode>
                <c:ptCount val="10"/>
                <c:pt idx="0">
                  <c:v>277581</c:v>
                </c:pt>
                <c:pt idx="1">
                  <c:v>273239</c:v>
                </c:pt>
                <c:pt idx="2">
                  <c:v>251447</c:v>
                </c:pt>
                <c:pt idx="3">
                  <c:v>290138</c:v>
                </c:pt>
                <c:pt idx="4">
                  <c:v>386409</c:v>
                </c:pt>
                <c:pt idx="5">
                  <c:v>412770</c:v>
                </c:pt>
                <c:pt idx="6">
                  <c:v>476103</c:v>
                </c:pt>
                <c:pt idx="7">
                  <c:v>476103</c:v>
                </c:pt>
                <c:pt idx="8">
                  <c:v>476103</c:v>
                </c:pt>
                <c:pt idx="9">
                  <c:v>476103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4EC-46B3-96F3-D5367CDAA646}"/>
            </c:ext>
          </c:extLst>
        </c:ser>
        <c:ser>
          <c:idx val="7"/>
          <c:order val="7"/>
          <c:tx>
            <c:strRef>
              <c:f>Operations!$B$53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Operations!$BV$53:$CE$53</c:f>
              <c:numCache>
                <c:formatCode>#,##0_);\(#,##0\);\–_);"–"_)</c:formatCode>
                <c:ptCount val="10"/>
                <c:pt idx="0">
                  <c:v>5748</c:v>
                </c:pt>
                <c:pt idx="1">
                  <c:v>10108</c:v>
                </c:pt>
                <c:pt idx="2">
                  <c:v>11464</c:v>
                </c:pt>
                <c:pt idx="3">
                  <c:v>13755</c:v>
                </c:pt>
                <c:pt idx="4">
                  <c:v>32212</c:v>
                </c:pt>
                <c:pt idx="5">
                  <c:v>34650</c:v>
                </c:pt>
                <c:pt idx="6">
                  <c:v>38415</c:v>
                </c:pt>
                <c:pt idx="7">
                  <c:v>41488.200000000004</c:v>
                </c:pt>
                <c:pt idx="8">
                  <c:v>44807.256000000008</c:v>
                </c:pt>
                <c:pt idx="9">
                  <c:v>48391.836480000013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4EC-46B3-96F3-D5367CDAA646}"/>
            </c:ext>
          </c:extLst>
        </c:ser>
        <c:ser>
          <c:idx val="8"/>
          <c:order val="8"/>
          <c:tx>
            <c:strRef>
              <c:f>Operations!$B$54</c:f>
              <c:strCache>
                <c:ptCount val="1"/>
                <c:pt idx="0">
                  <c:v>Adjustment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Operations!$BV$54:$CE$54</c:f>
              <c:numCache>
                <c:formatCode>#,##0_);\(#,##0\);\–_);"–"_)</c:formatCode>
                <c:ptCount val="10"/>
                <c:pt idx="0">
                  <c:v>-15608</c:v>
                </c:pt>
                <c:pt idx="1">
                  <c:v>-19245</c:v>
                </c:pt>
                <c:pt idx="2">
                  <c:v>-20795</c:v>
                </c:pt>
                <c:pt idx="3">
                  <c:v>-26302</c:v>
                </c:pt>
                <c:pt idx="4">
                  <c:v>-33295</c:v>
                </c:pt>
                <c:pt idx="5">
                  <c:v>-37558</c:v>
                </c:pt>
                <c:pt idx="6">
                  <c:v>-42302</c:v>
                </c:pt>
                <c:pt idx="7">
                  <c:v>-47302</c:v>
                </c:pt>
                <c:pt idx="8">
                  <c:v>-52302</c:v>
                </c:pt>
                <c:pt idx="9">
                  <c:v>-57302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4EC-46B3-96F3-D5367CDAA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415312"/>
        <c:axId val="1508416752"/>
      </c:barChart>
      <c:catAx>
        <c:axId val="1508415312"/>
        <c:scaling>
          <c:orientation val="minMax"/>
        </c:scaling>
        <c:delete val="0"/>
        <c:axPos val="b"/>
        <c:numFmt formatCode="&quot;FY3/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6752"/>
        <c:crosses val="autoZero"/>
        <c:auto val="1"/>
        <c:lblAlgn val="ctr"/>
        <c:lblOffset val="100"/>
        <c:noMultiLvlLbl val="0"/>
      </c:catAx>
      <c:valAx>
        <c:axId val="1508416752"/>
        <c:scaling>
          <c:orientation val="minMax"/>
          <c:max val="1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\–_);&quot;–&quot;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OP (to</a:t>
            </a:r>
            <a:r>
              <a:rPr lang="en-US" baseline="0"/>
              <a:t> FY3/22), Adjusted EBITDA (FY3/23+, (mn)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Operations!$B$68</c:f>
              <c:strCache>
                <c:ptCount val="1"/>
                <c:pt idx="0">
                  <c:v>Staffing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Operations!$BV$68:$CE$68</c:f>
              <c:numCache>
                <c:formatCode>#,##0_);\(#,##0\);\–_);"–"_)</c:formatCode>
                <c:ptCount val="10"/>
                <c:pt idx="0">
                  <c:v>21435</c:v>
                </c:pt>
                <c:pt idx="1">
                  <c:v>23867</c:v>
                </c:pt>
                <c:pt idx="2">
                  <c:v>29123</c:v>
                </c:pt>
                <c:pt idx="3">
                  <c:v>39359</c:v>
                </c:pt>
                <c:pt idx="4">
                  <c:v>26726</c:v>
                </c:pt>
                <c:pt idx="5">
                  <c:v>30632</c:v>
                </c:pt>
                <c:pt idx="6">
                  <c:v>31317</c:v>
                </c:pt>
                <c:pt idx="7">
                  <c:v>35489.859299999996</c:v>
                </c:pt>
                <c:pt idx="8">
                  <c:v>38592.728055000007</c:v>
                </c:pt>
                <c:pt idx="9">
                  <c:v>41917.159037250014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CDB-95F1-8A52EF02D084}"/>
            </c:ext>
          </c:extLst>
        </c:ser>
        <c:ser>
          <c:idx val="1"/>
          <c:order val="1"/>
          <c:tx>
            <c:strRef>
              <c:f>Operations!$B$69</c:f>
              <c:strCache>
                <c:ptCount val="1"/>
                <c:pt idx="0">
                  <c:v>Professional Outsourcing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Operations!$BV$69:$CE$69</c:f>
            </c:numRef>
          </c:val>
          <c:extLst>
            <c:ext xmlns:c16="http://schemas.microsoft.com/office/drawing/2014/chart" uri="{C3380CC4-5D6E-409C-BE32-E72D297353CC}">
              <c16:uniqueId val="{00000001-2E8B-4CDB-95F1-8A52EF02D084}"/>
            </c:ext>
          </c:extLst>
        </c:ser>
        <c:ser>
          <c:idx val="2"/>
          <c:order val="2"/>
          <c:tx>
            <c:strRef>
              <c:f>Operations!$B$70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Operations!$BV$70:$CE$70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6342</c:v>
                </c:pt>
                <c:pt idx="5">
                  <c:v>6930</c:v>
                </c:pt>
                <c:pt idx="6">
                  <c:v>8640</c:v>
                </c:pt>
                <c:pt idx="7">
                  <c:v>10022.433299999999</c:v>
                </c:pt>
                <c:pt idx="8">
                  <c:v>12057.683701499998</c:v>
                </c:pt>
                <c:pt idx="9">
                  <c:v>14452.720084619998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B-4CDB-95F1-8A52EF02D084}"/>
            </c:ext>
          </c:extLst>
        </c:ser>
        <c:ser>
          <c:idx val="3"/>
          <c:order val="3"/>
          <c:tx>
            <c:strRef>
              <c:f>Operations!$B$71</c:f>
              <c:strCache>
                <c:ptCount val="1"/>
                <c:pt idx="0">
                  <c:v>BPO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Operations!$BV$71:$CE$71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17827</c:v>
                </c:pt>
                <c:pt idx="5">
                  <c:v>8907</c:v>
                </c:pt>
                <c:pt idx="6">
                  <c:v>6667</c:v>
                </c:pt>
                <c:pt idx="7">
                  <c:v>9989.0722999999998</c:v>
                </c:pt>
                <c:pt idx="8">
                  <c:v>11583.776304000001</c:v>
                </c:pt>
                <c:pt idx="9">
                  <c:v>12998.322250200004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8B-4CDB-95F1-8A52EF02D084}"/>
            </c:ext>
          </c:extLst>
        </c:ser>
        <c:ser>
          <c:idx val="4"/>
          <c:order val="4"/>
          <c:tx>
            <c:strRef>
              <c:f>Operations!$B$72</c:f>
              <c:strCache>
                <c:ptCount val="1"/>
                <c:pt idx="0">
                  <c:v>Solution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Operations!$BV$72:$CE$72</c:f>
            </c:numRef>
          </c:val>
          <c:extLst>
            <c:ext xmlns:c16="http://schemas.microsoft.com/office/drawing/2014/chart" uri="{C3380CC4-5D6E-409C-BE32-E72D297353CC}">
              <c16:uniqueId val="{00000004-2E8B-4CDB-95F1-8A52EF02D084}"/>
            </c:ext>
          </c:extLst>
        </c:ser>
        <c:ser>
          <c:idx val="5"/>
          <c:order val="5"/>
          <c:tx>
            <c:strRef>
              <c:f>Operations!$B$73</c:f>
              <c:strCache>
                <c:ptCount val="1"/>
                <c:pt idx="0">
                  <c:v>Career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Operations!$BV$73:$CE$73</c:f>
              <c:numCache>
                <c:formatCode>#,##0_);\(#,##0\);\–_);"–"_)</c:formatCode>
                <c:ptCount val="10"/>
                <c:pt idx="0">
                  <c:v>15554</c:v>
                </c:pt>
                <c:pt idx="1">
                  <c:v>13267</c:v>
                </c:pt>
                <c:pt idx="2">
                  <c:v>331</c:v>
                </c:pt>
                <c:pt idx="3">
                  <c:v>7264</c:v>
                </c:pt>
                <c:pt idx="4">
                  <c:v>20141</c:v>
                </c:pt>
                <c:pt idx="5">
                  <c:v>25001</c:v>
                </c:pt>
                <c:pt idx="6">
                  <c:v>30369</c:v>
                </c:pt>
                <c:pt idx="7">
                  <c:v>31987.401271262759</c:v>
                </c:pt>
                <c:pt idx="8">
                  <c:v>36045.332698389037</c:v>
                </c:pt>
                <c:pt idx="9">
                  <c:v>40964.021638211838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8B-4CDB-95F1-8A52EF02D084}"/>
            </c:ext>
          </c:extLst>
        </c:ser>
        <c:ser>
          <c:idx val="6"/>
          <c:order val="6"/>
          <c:tx>
            <c:strRef>
              <c:f>Operations!$B$74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Operations!$BV$74:$CE$74</c:f>
              <c:numCache>
                <c:formatCode>#,##0_);\(#,##0\);\–_);"–"_)</c:formatCode>
                <c:ptCount val="10"/>
                <c:pt idx="0">
                  <c:v>1388</c:v>
                </c:pt>
                <c:pt idx="1">
                  <c:v>-406</c:v>
                </c:pt>
                <c:pt idx="2">
                  <c:v>-2235</c:v>
                </c:pt>
                <c:pt idx="3">
                  <c:v>1042</c:v>
                </c:pt>
                <c:pt idx="4">
                  <c:v>7659</c:v>
                </c:pt>
                <c:pt idx="5">
                  <c:v>9831</c:v>
                </c:pt>
                <c:pt idx="6">
                  <c:v>11704</c:v>
                </c:pt>
                <c:pt idx="7">
                  <c:v>11704</c:v>
                </c:pt>
                <c:pt idx="8">
                  <c:v>11704</c:v>
                </c:pt>
                <c:pt idx="9">
                  <c:v>11704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8B-4CDB-95F1-8A52EF02D084}"/>
            </c:ext>
          </c:extLst>
        </c:ser>
        <c:ser>
          <c:idx val="7"/>
          <c:order val="7"/>
          <c:tx>
            <c:strRef>
              <c:f>Operations!$B$75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Operations!$BV$75:$CE$75</c:f>
              <c:numCache>
                <c:formatCode>#,##0_);\(#,##0\);\–_);"–"_)</c:formatCode>
                <c:ptCount val="10"/>
                <c:pt idx="0">
                  <c:v>-393</c:v>
                </c:pt>
                <c:pt idx="1">
                  <c:v>-426</c:v>
                </c:pt>
                <c:pt idx="2">
                  <c:v>-1156</c:v>
                </c:pt>
                <c:pt idx="3">
                  <c:v>-801</c:v>
                </c:pt>
                <c:pt idx="4">
                  <c:v>-1460</c:v>
                </c:pt>
                <c:pt idx="5">
                  <c:v>-1665</c:v>
                </c:pt>
                <c:pt idx="6">
                  <c:v>-3412</c:v>
                </c:pt>
                <c:pt idx="7">
                  <c:v>-3412</c:v>
                </c:pt>
                <c:pt idx="8">
                  <c:v>-3412</c:v>
                </c:pt>
                <c:pt idx="9">
                  <c:v>-3412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8B-4CDB-95F1-8A52EF02D084}"/>
            </c:ext>
          </c:extLst>
        </c:ser>
        <c:ser>
          <c:idx val="8"/>
          <c:order val="8"/>
          <c:tx>
            <c:strRef>
              <c:f>Operations!$B$76</c:f>
              <c:strCache>
                <c:ptCount val="1"/>
                <c:pt idx="0">
                  <c:v>Adjustment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Operations!$BV$76:$CE$76</c:f>
              <c:numCache>
                <c:formatCode>#,##0_);\(#,##0\);\–_);"–"_)</c:formatCode>
                <c:ptCount val="10"/>
                <c:pt idx="0">
                  <c:v>-757</c:v>
                </c:pt>
                <c:pt idx="1">
                  <c:v>-1908</c:v>
                </c:pt>
                <c:pt idx="2">
                  <c:v>442</c:v>
                </c:pt>
                <c:pt idx="3">
                  <c:v>-2598</c:v>
                </c:pt>
                <c:pt idx="4">
                  <c:v>-1961</c:v>
                </c:pt>
                <c:pt idx="5">
                  <c:v>-7349</c:v>
                </c:pt>
                <c:pt idx="6">
                  <c:v>-6947</c:v>
                </c:pt>
                <c:pt idx="7">
                  <c:v>-7347</c:v>
                </c:pt>
                <c:pt idx="8">
                  <c:v>-7747</c:v>
                </c:pt>
                <c:pt idx="9">
                  <c:v>-8147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8B-4CDB-95F1-8A52EF02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415312"/>
        <c:axId val="1508416752"/>
      </c:barChart>
      <c:catAx>
        <c:axId val="1508415312"/>
        <c:scaling>
          <c:orientation val="minMax"/>
        </c:scaling>
        <c:delete val="0"/>
        <c:axPos val="b"/>
        <c:numFmt formatCode="&quot;FY3/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6752"/>
        <c:crosses val="autoZero"/>
        <c:auto val="1"/>
        <c:lblAlgn val="ctr"/>
        <c:lblOffset val="100"/>
        <c:noMultiLvlLbl val="0"/>
      </c:catAx>
      <c:valAx>
        <c:axId val="1508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\–_);&quot;–&quot;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105</xdr:col>
      <xdr:colOff>154460</xdr:colOff>
      <xdr:row>27</xdr:row>
      <xdr:rowOff>154460</xdr:rowOff>
    </xdr:from>
    <xdr:to>
      <xdr:col>124</xdr:col>
      <xdr:colOff>386858</xdr:colOff>
      <xdr:row>78</xdr:row>
      <xdr:rowOff>86786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38FEC-4F94-5127-74DA-6CE73A0C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18987" y="4556555"/>
          <a:ext cx="12460439" cy="7259063"/>
        </a:xfrm>
        <a:prstGeom prst="rect">
          <a:avLst/>
        </a:prstGeom>
      </xdr:spPr>
    </xdr:pic>
    <xdr:clientData/>
  </xdr:twoCellAnchor>
  <xdr:twoCellAnchor editAs="oneCell">
    <xdr:from>
      <xdr:col>84</xdr:col>
      <xdr:colOff>163040</xdr:colOff>
      <xdr:row>1</xdr:row>
      <xdr:rowOff>42905</xdr:rowOff>
    </xdr:from>
    <xdr:to>
      <xdr:col>103</xdr:col>
      <xdr:colOff>509754</xdr:colOff>
      <xdr:row>45</xdr:row>
      <xdr:rowOff>118659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A5B728-CCD4-8FD7-9A86-56C607D0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12364" y="205946"/>
          <a:ext cx="12574755" cy="7249537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47</xdr:row>
      <xdr:rowOff>0</xdr:rowOff>
    </xdr:from>
    <xdr:to>
      <xdr:col>104</xdr:col>
      <xdr:colOff>70450</xdr:colOff>
      <xdr:row>94</xdr:row>
      <xdr:rowOff>99738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AF6AB-CB75-0BAA-A9FC-FB5100F2F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92905" y="7825946"/>
          <a:ext cx="12298491" cy="6611273"/>
        </a:xfrm>
        <a:prstGeom prst="rect">
          <a:avLst/>
        </a:prstGeom>
      </xdr:spPr>
    </xdr:pic>
    <xdr:clientData/>
  </xdr:twoCellAnchor>
  <xdr:twoCellAnchor>
    <xdr:from>
      <xdr:col>83</xdr:col>
      <xdr:colOff>84488</xdr:colOff>
      <xdr:row>106</xdr:row>
      <xdr:rowOff>97510</xdr:rowOff>
    </xdr:from>
    <xdr:to>
      <xdr:col>90</xdr:col>
      <xdr:colOff>173819</xdr:colOff>
      <xdr:row>123</xdr:row>
      <xdr:rowOff>74693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3F301A-FB77-FEC6-437F-D9C97734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83</xdr:col>
      <xdr:colOff>317500</xdr:colOff>
      <xdr:row>90</xdr:row>
      <xdr:rowOff>43051</xdr:rowOff>
    </xdr:from>
    <xdr:to>
      <xdr:col>90</xdr:col>
      <xdr:colOff>406831</xdr:colOff>
      <xdr:row>107</xdr:row>
      <xdr:rowOff>30997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611868-2E29-4400-976F-BDD3BBFA2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CB3A-F2D4-4BEC-BF9A-754904198AE2}">
  <dimension ref="A1:CF168"/>
  <sheetViews>
    <sheetView tabSelected="1" zoomScale="70" zoomScaleNormal="70" workbookViewId="0">
      <pane xSplit="2" ySplit="4" topLeftCell="AA5" activePane="bottomRight" state="frozen"/>
      <selection pane="topRight" activeCell="C1" sqref="C1"/>
      <selection pane="bottomLeft" activeCell="A5" sqref="A5"/>
      <selection pane="bottomRight" activeCell="AG54" sqref="AG54"/>
    </sheetView>
  </sheetViews>
  <sheetFormatPr baseColWidth="10" defaultColWidth="9.1640625" defaultRowHeight="13" outlineLevelRow="1" outlineLevelCol="1" x14ac:dyDescent="0.15"/>
  <cols>
    <col min="1" max="1" width="3.6640625" style="1" customWidth="1"/>
    <col min="2" max="2" width="24.5" style="1" customWidth="1"/>
    <col min="3" max="66" width="9.6640625" style="1" customWidth="1" outlineLevel="1"/>
    <col min="67" max="67" width="3.6640625" style="1" customWidth="1"/>
    <col min="68" max="73" width="9.1640625" style="1" hidden="1" customWidth="1" outlineLevel="1"/>
    <col min="74" max="74" width="9.1640625" style="1" customWidth="1" collapsed="1"/>
    <col min="75" max="83" width="9.1640625" style="1" customWidth="1"/>
    <col min="84" max="16384" width="9.1640625" style="1"/>
  </cols>
  <sheetData>
    <row r="1" spans="1:83" x14ac:dyDescent="0.15">
      <c r="C1" s="51" t="s">
        <v>39</v>
      </c>
      <c r="D1" s="51" t="s">
        <v>39</v>
      </c>
      <c r="E1" s="51" t="s">
        <v>39</v>
      </c>
      <c r="F1" s="51" t="s">
        <v>39</v>
      </c>
      <c r="G1" s="51" t="s">
        <v>39</v>
      </c>
      <c r="H1" s="51" t="s">
        <v>39</v>
      </c>
      <c r="I1" s="51" t="s">
        <v>39</v>
      </c>
      <c r="J1" s="51" t="s">
        <v>39</v>
      </c>
      <c r="K1" s="51" t="s">
        <v>39</v>
      </c>
      <c r="L1" s="51" t="s">
        <v>39</v>
      </c>
      <c r="M1" s="51" t="s">
        <v>39</v>
      </c>
      <c r="N1" s="51" t="s">
        <v>39</v>
      </c>
      <c r="O1" s="51" t="s">
        <v>39</v>
      </c>
      <c r="P1" s="51" t="s">
        <v>39</v>
      </c>
      <c r="Q1" s="51" t="s">
        <v>39</v>
      </c>
      <c r="R1" s="51" t="s">
        <v>39</v>
      </c>
      <c r="S1" s="51" t="s">
        <v>39</v>
      </c>
      <c r="T1" s="51" t="s">
        <v>39</v>
      </c>
      <c r="U1" s="51" t="s">
        <v>39</v>
      </c>
      <c r="V1" s="51" t="s">
        <v>39</v>
      </c>
      <c r="W1" s="51" t="s">
        <v>39</v>
      </c>
      <c r="X1" s="51" t="s">
        <v>39</v>
      </c>
      <c r="Y1" s="51" t="s">
        <v>39</v>
      </c>
      <c r="Z1" s="51" t="s">
        <v>39</v>
      </c>
      <c r="AA1" s="51" t="s">
        <v>39</v>
      </c>
      <c r="AB1" s="51" t="s">
        <v>39</v>
      </c>
      <c r="AC1" s="51" t="s">
        <v>39</v>
      </c>
      <c r="AD1" s="51" t="s">
        <v>39</v>
      </c>
      <c r="AE1" s="51" t="s">
        <v>39</v>
      </c>
      <c r="AF1" s="51" t="s">
        <v>39</v>
      </c>
      <c r="AG1" s="51" t="s">
        <v>39</v>
      </c>
      <c r="AH1" s="51" t="s">
        <v>39</v>
      </c>
      <c r="AI1" s="51" t="s">
        <v>39</v>
      </c>
      <c r="AJ1" s="51" t="s">
        <v>39</v>
      </c>
      <c r="AK1" s="51" t="s">
        <v>39</v>
      </c>
      <c r="AL1" s="51" t="s">
        <v>39</v>
      </c>
      <c r="AM1" s="51" t="s">
        <v>39</v>
      </c>
      <c r="AN1" s="51" t="s">
        <v>39</v>
      </c>
      <c r="AO1" s="51" t="s">
        <v>39</v>
      </c>
      <c r="AP1" s="51" t="s">
        <v>39</v>
      </c>
      <c r="AQ1" s="52" t="s">
        <v>40</v>
      </c>
      <c r="AR1" s="52" t="s">
        <v>40</v>
      </c>
      <c r="AS1" s="52" t="s">
        <v>40</v>
      </c>
      <c r="AT1" s="52" t="s">
        <v>40</v>
      </c>
      <c r="AU1" s="52" t="s">
        <v>40</v>
      </c>
      <c r="AV1" s="52" t="s">
        <v>40</v>
      </c>
      <c r="AW1" s="52" t="s">
        <v>40</v>
      </c>
      <c r="AX1" s="52" t="s">
        <v>40</v>
      </c>
      <c r="AY1" s="52" t="s">
        <v>40</v>
      </c>
      <c r="AZ1" s="52" t="s">
        <v>40</v>
      </c>
      <c r="BA1" s="52" t="s">
        <v>40</v>
      </c>
      <c r="BB1" s="52" t="s">
        <v>40</v>
      </c>
      <c r="BC1" s="52" t="s">
        <v>40</v>
      </c>
      <c r="BD1" s="52" t="s">
        <v>40</v>
      </c>
      <c r="BE1" s="52" t="s">
        <v>40</v>
      </c>
      <c r="BF1" s="52" t="s">
        <v>40</v>
      </c>
      <c r="BG1" s="52" t="s">
        <v>40</v>
      </c>
      <c r="BH1" s="52" t="s">
        <v>40</v>
      </c>
      <c r="BI1" s="52" t="s">
        <v>40</v>
      </c>
      <c r="BJ1" s="52" t="s">
        <v>40</v>
      </c>
      <c r="BK1" s="52" t="s">
        <v>40</v>
      </c>
      <c r="BL1" s="52" t="s">
        <v>40</v>
      </c>
      <c r="BM1" s="52" t="s">
        <v>40</v>
      </c>
      <c r="BN1" s="52" t="s">
        <v>40</v>
      </c>
      <c r="BP1" s="51" t="s">
        <v>39</v>
      </c>
      <c r="BQ1" s="51" t="s">
        <v>39</v>
      </c>
      <c r="BR1" s="51" t="s">
        <v>39</v>
      </c>
      <c r="BS1" s="51" t="s">
        <v>39</v>
      </c>
      <c r="BT1" s="51" t="s">
        <v>39</v>
      </c>
      <c r="BU1" s="51" t="s">
        <v>39</v>
      </c>
      <c r="BV1" s="51" t="s">
        <v>39</v>
      </c>
      <c r="BW1" s="51" t="s">
        <v>39</v>
      </c>
      <c r="BX1" s="51" t="s">
        <v>39</v>
      </c>
      <c r="BY1" s="51" t="s">
        <v>39</v>
      </c>
      <c r="BZ1" s="52" t="s">
        <v>40</v>
      </c>
      <c r="CA1" s="52" t="s">
        <v>40</v>
      </c>
      <c r="CB1" s="52" t="s">
        <v>40</v>
      </c>
      <c r="CC1" s="52" t="s">
        <v>40</v>
      </c>
      <c r="CD1" s="52" t="s">
        <v>40</v>
      </c>
      <c r="CE1" s="52" t="s">
        <v>40</v>
      </c>
    </row>
    <row r="2" spans="1:83" x14ac:dyDescent="0.15">
      <c r="B2" s="2" t="s">
        <v>37</v>
      </c>
      <c r="C2" s="4">
        <v>2013</v>
      </c>
      <c r="D2" s="5"/>
      <c r="E2" s="5"/>
      <c r="F2" s="5"/>
      <c r="G2" s="5">
        <f>C2+1</f>
        <v>2014</v>
      </c>
      <c r="H2" s="5"/>
      <c r="I2" s="5"/>
      <c r="J2" s="5"/>
      <c r="K2" s="5">
        <f>G2+1</f>
        <v>2015</v>
      </c>
      <c r="L2" s="5"/>
      <c r="M2" s="5"/>
      <c r="N2" s="5"/>
      <c r="O2" s="5">
        <f>K2+1</f>
        <v>2016</v>
      </c>
      <c r="P2" s="5"/>
      <c r="Q2" s="5"/>
      <c r="R2" s="5"/>
      <c r="S2" s="5">
        <f>O2+1</f>
        <v>2017</v>
      </c>
      <c r="T2" s="5"/>
      <c r="U2" s="5"/>
      <c r="V2" s="5"/>
      <c r="W2" s="5">
        <f>S2+1</f>
        <v>2018</v>
      </c>
      <c r="X2" s="5"/>
      <c r="Y2" s="5"/>
      <c r="Z2" s="5"/>
      <c r="AA2" s="5">
        <f>W2+1</f>
        <v>2019</v>
      </c>
      <c r="AB2" s="5"/>
      <c r="AC2" s="5"/>
      <c r="AD2" s="5"/>
      <c r="AE2" s="5">
        <f>AA2+1</f>
        <v>2020</v>
      </c>
      <c r="AF2" s="5"/>
      <c r="AG2" s="5"/>
      <c r="AH2" s="5"/>
      <c r="AI2" s="5">
        <f>AE2+1</f>
        <v>2021</v>
      </c>
      <c r="AJ2" s="5"/>
      <c r="AK2" s="5"/>
      <c r="AL2" s="5"/>
      <c r="AM2" s="5">
        <f>AI2+1</f>
        <v>2022</v>
      </c>
      <c r="AN2" s="5"/>
      <c r="AO2" s="5"/>
      <c r="AP2" s="5"/>
      <c r="AQ2" s="5">
        <f>AM2+1</f>
        <v>2023</v>
      </c>
      <c r="AR2" s="5"/>
      <c r="AS2" s="5"/>
      <c r="AT2" s="5"/>
      <c r="AU2" s="5">
        <f>AQ2+1</f>
        <v>2024</v>
      </c>
      <c r="AV2" s="5"/>
      <c r="AW2" s="5"/>
      <c r="AX2" s="5"/>
      <c r="AY2" s="5">
        <f>AU2+1</f>
        <v>2025</v>
      </c>
      <c r="AZ2" s="5"/>
      <c r="BA2" s="5"/>
      <c r="BB2" s="5"/>
      <c r="BC2" s="5">
        <f>AY2+1</f>
        <v>2026</v>
      </c>
      <c r="BD2" s="5"/>
      <c r="BE2" s="5"/>
      <c r="BF2" s="5"/>
      <c r="BG2" s="5">
        <f>BC2+1</f>
        <v>2027</v>
      </c>
      <c r="BH2" s="5"/>
      <c r="BI2" s="5"/>
      <c r="BJ2" s="5"/>
      <c r="BK2" s="5">
        <f>BG2+1</f>
        <v>2028</v>
      </c>
      <c r="BL2" s="5"/>
      <c r="BM2" s="5"/>
      <c r="BN2" s="5"/>
      <c r="BP2" s="6" t="s">
        <v>4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 t="s">
        <v>5</v>
      </c>
      <c r="CD2" s="6"/>
      <c r="CE2" s="6"/>
    </row>
    <row r="3" spans="1:83" x14ac:dyDescent="0.15">
      <c r="B3" s="3" t="s">
        <v>38</v>
      </c>
      <c r="C3" s="7" t="s">
        <v>0</v>
      </c>
      <c r="D3" s="7" t="s">
        <v>1</v>
      </c>
      <c r="E3" s="7" t="s">
        <v>2</v>
      </c>
      <c r="F3" s="7" t="s">
        <v>3</v>
      </c>
      <c r="G3" s="7" t="s">
        <v>0</v>
      </c>
      <c r="H3" s="7" t="s">
        <v>1</v>
      </c>
      <c r="I3" s="7" t="s">
        <v>2</v>
      </c>
      <c r="J3" s="7" t="s">
        <v>3</v>
      </c>
      <c r="K3" s="7" t="s">
        <v>0</v>
      </c>
      <c r="L3" s="7" t="s">
        <v>1</v>
      </c>
      <c r="M3" s="7" t="s">
        <v>2</v>
      </c>
      <c r="N3" s="7" t="s">
        <v>3</v>
      </c>
      <c r="O3" s="7" t="s">
        <v>0</v>
      </c>
      <c r="P3" s="7" t="s">
        <v>1</v>
      </c>
      <c r="Q3" s="7" t="s">
        <v>2</v>
      </c>
      <c r="R3" s="7" t="s">
        <v>3</v>
      </c>
      <c r="S3" s="7" t="s">
        <v>0</v>
      </c>
      <c r="T3" s="7" t="s">
        <v>1</v>
      </c>
      <c r="U3" s="7" t="s">
        <v>2</v>
      </c>
      <c r="V3" s="7" t="s">
        <v>3</v>
      </c>
      <c r="W3" s="7" t="s">
        <v>0</v>
      </c>
      <c r="X3" s="7" t="s">
        <v>1</v>
      </c>
      <c r="Y3" s="7" t="s">
        <v>2</v>
      </c>
      <c r="Z3" s="7" t="s">
        <v>3</v>
      </c>
      <c r="AA3" s="7" t="s">
        <v>0</v>
      </c>
      <c r="AB3" s="7" t="s">
        <v>1</v>
      </c>
      <c r="AC3" s="7" t="s">
        <v>2</v>
      </c>
      <c r="AD3" s="7" t="s">
        <v>3</v>
      </c>
      <c r="AE3" s="7" t="s">
        <v>0</v>
      </c>
      <c r="AF3" s="7" t="s">
        <v>1</v>
      </c>
      <c r="AG3" s="7" t="s">
        <v>2</v>
      </c>
      <c r="AH3" s="7" t="s">
        <v>3</v>
      </c>
      <c r="AI3" s="7" t="s">
        <v>0</v>
      </c>
      <c r="AJ3" s="7" t="s">
        <v>1</v>
      </c>
      <c r="AK3" s="7" t="s">
        <v>2</v>
      </c>
      <c r="AL3" s="7" t="s">
        <v>3</v>
      </c>
      <c r="AM3" s="7" t="s">
        <v>0</v>
      </c>
      <c r="AN3" s="7" t="s">
        <v>1</v>
      </c>
      <c r="AO3" s="7" t="s">
        <v>2</v>
      </c>
      <c r="AP3" s="7" t="s">
        <v>3</v>
      </c>
      <c r="AQ3" s="7" t="s">
        <v>0</v>
      </c>
      <c r="AR3" s="7" t="s">
        <v>1</v>
      </c>
      <c r="AS3" s="7" t="s">
        <v>2</v>
      </c>
      <c r="AT3" s="7" t="s">
        <v>3</v>
      </c>
      <c r="AU3" s="7" t="s">
        <v>0</v>
      </c>
      <c r="AV3" s="7" t="s">
        <v>1</v>
      </c>
      <c r="AW3" s="7" t="s">
        <v>2</v>
      </c>
      <c r="AX3" s="7" t="s">
        <v>3</v>
      </c>
      <c r="AY3" s="7" t="s">
        <v>0</v>
      </c>
      <c r="AZ3" s="7" t="s">
        <v>1</v>
      </c>
      <c r="BA3" s="7" t="s">
        <v>2</v>
      </c>
      <c r="BB3" s="7" t="s">
        <v>3</v>
      </c>
      <c r="BC3" s="7" t="s">
        <v>0</v>
      </c>
      <c r="BD3" s="7" t="s">
        <v>1</v>
      </c>
      <c r="BE3" s="7" t="s">
        <v>2</v>
      </c>
      <c r="BF3" s="7" t="s">
        <v>3</v>
      </c>
      <c r="BG3" s="7" t="s">
        <v>0</v>
      </c>
      <c r="BH3" s="7" t="s">
        <v>1</v>
      </c>
      <c r="BI3" s="7" t="s">
        <v>2</v>
      </c>
      <c r="BJ3" s="7" t="s">
        <v>3</v>
      </c>
      <c r="BK3" s="7" t="s">
        <v>0</v>
      </c>
      <c r="BL3" s="7" t="s">
        <v>1</v>
      </c>
      <c r="BM3" s="7" t="s">
        <v>2</v>
      </c>
      <c r="BN3" s="7" t="s">
        <v>3</v>
      </c>
      <c r="BO3" s="8"/>
      <c r="BP3" s="8">
        <v>2013</v>
      </c>
      <c r="BQ3" s="8">
        <v>2014</v>
      </c>
      <c r="BR3" s="8">
        <v>2015</v>
      </c>
      <c r="BS3" s="8">
        <v>2016</v>
      </c>
      <c r="BT3" s="8">
        <v>2017</v>
      </c>
      <c r="BU3" s="8">
        <v>2018</v>
      </c>
      <c r="BV3" s="8">
        <v>2019</v>
      </c>
      <c r="BW3" s="8">
        <v>2020</v>
      </c>
      <c r="BX3" s="8">
        <v>2021</v>
      </c>
      <c r="BY3" s="8">
        <v>2022</v>
      </c>
      <c r="BZ3" s="8">
        <v>2023</v>
      </c>
      <c r="CA3" s="8">
        <v>2024</v>
      </c>
      <c r="CB3" s="8">
        <v>2025</v>
      </c>
      <c r="CC3" s="72">
        <v>2026</v>
      </c>
      <c r="CD3" s="9">
        <v>2027</v>
      </c>
      <c r="CE3" s="9">
        <v>2028</v>
      </c>
    </row>
    <row r="4" spans="1:83" x14ac:dyDescent="0.15">
      <c r="B4" s="1" t="s">
        <v>18</v>
      </c>
      <c r="C4" s="10">
        <v>41090</v>
      </c>
      <c r="D4" s="11">
        <f t="shared" ref="D4:AH4" si="0">+EOMONTH(C4,3)</f>
        <v>41182</v>
      </c>
      <c r="E4" s="11">
        <f t="shared" si="0"/>
        <v>41274</v>
      </c>
      <c r="F4" s="11">
        <f t="shared" si="0"/>
        <v>41364</v>
      </c>
      <c r="G4" s="11">
        <f t="shared" si="0"/>
        <v>41455</v>
      </c>
      <c r="H4" s="11">
        <f t="shared" si="0"/>
        <v>41547</v>
      </c>
      <c r="I4" s="11">
        <f t="shared" si="0"/>
        <v>41639</v>
      </c>
      <c r="J4" s="11">
        <f t="shared" si="0"/>
        <v>41729</v>
      </c>
      <c r="K4" s="11">
        <f t="shared" si="0"/>
        <v>41820</v>
      </c>
      <c r="L4" s="11">
        <f t="shared" si="0"/>
        <v>41912</v>
      </c>
      <c r="M4" s="11">
        <f t="shared" si="0"/>
        <v>42004</v>
      </c>
      <c r="N4" s="11">
        <f t="shared" si="0"/>
        <v>42094</v>
      </c>
      <c r="O4" s="11">
        <f>+EOMONTH(N4,3)</f>
        <v>42185</v>
      </c>
      <c r="P4" s="11">
        <f t="shared" si="0"/>
        <v>42277</v>
      </c>
      <c r="Q4" s="11">
        <f t="shared" si="0"/>
        <v>42369</v>
      </c>
      <c r="R4" s="11">
        <f t="shared" si="0"/>
        <v>42460</v>
      </c>
      <c r="S4" s="11">
        <f t="shared" si="0"/>
        <v>42551</v>
      </c>
      <c r="T4" s="11">
        <f t="shared" si="0"/>
        <v>42643</v>
      </c>
      <c r="U4" s="11">
        <f t="shared" si="0"/>
        <v>42735</v>
      </c>
      <c r="V4" s="11">
        <f t="shared" si="0"/>
        <v>42825</v>
      </c>
      <c r="W4" s="11">
        <f t="shared" si="0"/>
        <v>42916</v>
      </c>
      <c r="X4" s="11">
        <f t="shared" si="0"/>
        <v>43008</v>
      </c>
      <c r="Y4" s="11">
        <f t="shared" si="0"/>
        <v>43100</v>
      </c>
      <c r="Z4" s="11">
        <f t="shared" si="0"/>
        <v>43190</v>
      </c>
      <c r="AA4" s="11">
        <f t="shared" si="0"/>
        <v>43281</v>
      </c>
      <c r="AB4" s="11">
        <f t="shared" si="0"/>
        <v>43373</v>
      </c>
      <c r="AC4" s="11">
        <f t="shared" si="0"/>
        <v>43465</v>
      </c>
      <c r="AD4" s="11">
        <f t="shared" si="0"/>
        <v>43555</v>
      </c>
      <c r="AE4" s="11">
        <f t="shared" si="0"/>
        <v>43646</v>
      </c>
      <c r="AF4" s="11">
        <f t="shared" si="0"/>
        <v>43738</v>
      </c>
      <c r="AG4" s="11">
        <f t="shared" si="0"/>
        <v>43830</v>
      </c>
      <c r="AH4" s="11">
        <f t="shared" si="0"/>
        <v>43921</v>
      </c>
      <c r="AI4" s="11">
        <f t="shared" ref="AI4" si="1">+EOMONTH(AH4,3)</f>
        <v>44012</v>
      </c>
      <c r="AJ4" s="11">
        <f t="shared" ref="AJ4" si="2">+EOMONTH(AI4,3)</f>
        <v>44104</v>
      </c>
      <c r="AK4" s="11">
        <f t="shared" ref="AK4" si="3">+EOMONTH(AJ4,3)</f>
        <v>44196</v>
      </c>
      <c r="AL4" s="11">
        <f t="shared" ref="AL4" si="4">+EOMONTH(AK4,3)</f>
        <v>44286</v>
      </c>
      <c r="AM4" s="11">
        <f t="shared" ref="AM4" si="5">+EOMONTH(AL4,3)</f>
        <v>44377</v>
      </c>
      <c r="AN4" s="11">
        <f t="shared" ref="AN4" si="6">+EOMONTH(AM4,3)</f>
        <v>44469</v>
      </c>
      <c r="AO4" s="11">
        <f t="shared" ref="AO4" si="7">+EOMONTH(AN4,3)</f>
        <v>44561</v>
      </c>
      <c r="AP4" s="11">
        <f>+EOMONTH(AO4,3)</f>
        <v>44651</v>
      </c>
      <c r="AQ4" s="11">
        <f>+EOMONTH(AP4,3)</f>
        <v>44742</v>
      </c>
      <c r="AR4" s="11">
        <f t="shared" ref="AR4" si="8">+EOMONTH(AQ4,3)</f>
        <v>44834</v>
      </c>
      <c r="AS4" s="11">
        <f t="shared" ref="AS4" si="9">+EOMONTH(AR4,3)</f>
        <v>44926</v>
      </c>
      <c r="AT4" s="11">
        <f t="shared" ref="AT4" si="10">+EOMONTH(AS4,3)</f>
        <v>45016</v>
      </c>
      <c r="AU4" s="11">
        <f t="shared" ref="AU4" si="11">+EOMONTH(AT4,3)</f>
        <v>45107</v>
      </c>
      <c r="AV4" s="11">
        <f t="shared" ref="AV4" si="12">+EOMONTH(AU4,3)</f>
        <v>45199</v>
      </c>
      <c r="AW4" s="11">
        <f t="shared" ref="AW4" si="13">+EOMONTH(AV4,3)</f>
        <v>45291</v>
      </c>
      <c r="AX4" s="11">
        <f t="shared" ref="AX4" si="14">+EOMONTH(AW4,3)</f>
        <v>45382</v>
      </c>
      <c r="AY4" s="11">
        <f t="shared" ref="AY4" si="15">+EOMONTH(AX4,3)</f>
        <v>45473</v>
      </c>
      <c r="AZ4" s="11">
        <f t="shared" ref="AZ4" si="16">+EOMONTH(AY4,3)</f>
        <v>45565</v>
      </c>
      <c r="BA4" s="11">
        <f t="shared" ref="BA4" si="17">+EOMONTH(AZ4,3)</f>
        <v>45657</v>
      </c>
      <c r="BB4" s="11">
        <f t="shared" ref="BB4" si="18">+EOMONTH(BA4,3)</f>
        <v>45747</v>
      </c>
      <c r="BC4" s="11">
        <f t="shared" ref="BC4" si="19">+EOMONTH(BB4,3)</f>
        <v>45838</v>
      </c>
      <c r="BD4" s="11">
        <f t="shared" ref="BD4" si="20">+EOMONTH(BC4,3)</f>
        <v>45930</v>
      </c>
      <c r="BE4" s="11">
        <f t="shared" ref="BE4" si="21">+EOMONTH(BD4,3)</f>
        <v>46022</v>
      </c>
      <c r="BF4" s="11">
        <f t="shared" ref="BF4" si="22">+EOMONTH(BE4,3)</f>
        <v>46112</v>
      </c>
      <c r="BG4" s="11">
        <f t="shared" ref="BG4" si="23">+EOMONTH(BF4,3)</f>
        <v>46203</v>
      </c>
      <c r="BH4" s="11">
        <f t="shared" ref="BH4" si="24">+EOMONTH(BG4,3)</f>
        <v>46295</v>
      </c>
      <c r="BI4" s="11">
        <f t="shared" ref="BI4" si="25">+EOMONTH(BH4,3)</f>
        <v>46387</v>
      </c>
      <c r="BJ4" s="11">
        <f t="shared" ref="BJ4" si="26">+EOMONTH(BI4,3)</f>
        <v>46477</v>
      </c>
      <c r="BK4" s="11">
        <f t="shared" ref="BK4" si="27">+EOMONTH(BJ4,3)</f>
        <v>46568</v>
      </c>
      <c r="BL4" s="11">
        <f t="shared" ref="BL4" si="28">+EOMONTH(BK4,3)</f>
        <v>46660</v>
      </c>
      <c r="BM4" s="11">
        <f t="shared" ref="BM4" si="29">+EOMONTH(BL4,3)</f>
        <v>46752</v>
      </c>
      <c r="BN4" s="11">
        <f t="shared" ref="BN4" si="30">+EOMONTH(BM4,3)</f>
        <v>46843</v>
      </c>
      <c r="BO4" s="11"/>
      <c r="BP4" s="70">
        <f>BP3-2000</f>
        <v>13</v>
      </c>
      <c r="BQ4" s="70">
        <f t="shared" ref="BQ4:BY4" si="31">BQ3-2000</f>
        <v>14</v>
      </c>
      <c r="BR4" s="70">
        <f t="shared" si="31"/>
        <v>15</v>
      </c>
      <c r="BS4" s="70">
        <f t="shared" si="31"/>
        <v>16</v>
      </c>
      <c r="BT4" s="70">
        <f t="shared" si="31"/>
        <v>17</v>
      </c>
      <c r="BU4" s="70">
        <f t="shared" si="31"/>
        <v>18</v>
      </c>
      <c r="BV4" s="70">
        <f t="shared" si="31"/>
        <v>19</v>
      </c>
      <c r="BW4" s="70">
        <f t="shared" si="31"/>
        <v>20</v>
      </c>
      <c r="BX4" s="70">
        <f t="shared" si="31"/>
        <v>21</v>
      </c>
      <c r="BY4" s="70">
        <f t="shared" si="31"/>
        <v>22</v>
      </c>
      <c r="BZ4" s="70">
        <f t="shared" ref="BZ4" si="32">BZ3-2000</f>
        <v>23</v>
      </c>
      <c r="CA4" s="70">
        <f t="shared" ref="CA4" si="33">CA3-2000</f>
        <v>24</v>
      </c>
      <c r="CB4" s="70">
        <f t="shared" ref="CB4" si="34">CB3-2000</f>
        <v>25</v>
      </c>
      <c r="CC4" s="73">
        <f t="shared" ref="CC4:CE4" si="35">CC3-2000</f>
        <v>26</v>
      </c>
      <c r="CD4" s="71">
        <f t="shared" si="35"/>
        <v>27</v>
      </c>
      <c r="CE4" s="71">
        <f t="shared" si="35"/>
        <v>28</v>
      </c>
    </row>
    <row r="5" spans="1:83" x14ac:dyDescent="0.15">
      <c r="B5" s="48" t="s">
        <v>6</v>
      </c>
      <c r="C5" s="1">
        <f>C2</f>
        <v>2013</v>
      </c>
      <c r="D5" s="1">
        <f>C5</f>
        <v>2013</v>
      </c>
      <c r="E5" s="1">
        <f t="shared" ref="E5:F5" si="36">D5</f>
        <v>2013</v>
      </c>
      <c r="F5" s="1">
        <f t="shared" si="36"/>
        <v>2013</v>
      </c>
      <c r="G5" s="1">
        <f t="shared" ref="G5" si="37">G2</f>
        <v>2014</v>
      </c>
      <c r="H5" s="1">
        <f t="shared" ref="H5:AT5" si="38">G5</f>
        <v>2014</v>
      </c>
      <c r="I5" s="1">
        <f t="shared" si="38"/>
        <v>2014</v>
      </c>
      <c r="J5" s="1">
        <f t="shared" si="38"/>
        <v>2014</v>
      </c>
      <c r="K5" s="1">
        <f t="shared" ref="K5" si="39">K2</f>
        <v>2015</v>
      </c>
      <c r="L5" s="1">
        <f t="shared" ref="L5" si="40">K5</f>
        <v>2015</v>
      </c>
      <c r="M5" s="1">
        <f t="shared" si="38"/>
        <v>2015</v>
      </c>
      <c r="N5" s="1">
        <f t="shared" si="38"/>
        <v>2015</v>
      </c>
      <c r="O5" s="1">
        <f t="shared" ref="O5" si="41">O2</f>
        <v>2016</v>
      </c>
      <c r="P5" s="1">
        <f t="shared" ref="P5" si="42">O5</f>
        <v>2016</v>
      </c>
      <c r="Q5" s="1">
        <f t="shared" si="38"/>
        <v>2016</v>
      </c>
      <c r="R5" s="1">
        <f t="shared" si="38"/>
        <v>2016</v>
      </c>
      <c r="S5" s="1">
        <f t="shared" ref="S5" si="43">S2</f>
        <v>2017</v>
      </c>
      <c r="T5" s="1">
        <f t="shared" ref="T5" si="44">S5</f>
        <v>2017</v>
      </c>
      <c r="U5" s="1">
        <f t="shared" si="38"/>
        <v>2017</v>
      </c>
      <c r="V5" s="1">
        <f t="shared" si="38"/>
        <v>2017</v>
      </c>
      <c r="W5" s="1">
        <f t="shared" ref="W5" si="45">W2</f>
        <v>2018</v>
      </c>
      <c r="X5" s="1">
        <f t="shared" ref="X5" si="46">W5</f>
        <v>2018</v>
      </c>
      <c r="Y5" s="1">
        <f t="shared" si="38"/>
        <v>2018</v>
      </c>
      <c r="Z5" s="1">
        <f t="shared" si="38"/>
        <v>2018</v>
      </c>
      <c r="AA5" s="1">
        <f t="shared" ref="AA5" si="47">AA2</f>
        <v>2019</v>
      </c>
      <c r="AB5" s="1">
        <f t="shared" ref="AB5" si="48">AA5</f>
        <v>2019</v>
      </c>
      <c r="AC5" s="1">
        <f t="shared" si="38"/>
        <v>2019</v>
      </c>
      <c r="AD5" s="1">
        <f t="shared" si="38"/>
        <v>2019</v>
      </c>
      <c r="AE5" s="1">
        <f t="shared" ref="AE5" si="49">AE2</f>
        <v>2020</v>
      </c>
      <c r="AF5" s="1">
        <f t="shared" ref="AF5" si="50">AE5</f>
        <v>2020</v>
      </c>
      <c r="AG5" s="1">
        <f t="shared" si="38"/>
        <v>2020</v>
      </c>
      <c r="AH5" s="1">
        <f t="shared" si="38"/>
        <v>2020</v>
      </c>
      <c r="AI5" s="1">
        <f t="shared" ref="AI5" si="51">AI2</f>
        <v>2021</v>
      </c>
      <c r="AJ5" s="1">
        <f t="shared" ref="AJ5" si="52">AI5</f>
        <v>2021</v>
      </c>
      <c r="AK5" s="1">
        <f t="shared" si="38"/>
        <v>2021</v>
      </c>
      <c r="AL5" s="1">
        <f t="shared" si="38"/>
        <v>2021</v>
      </c>
      <c r="AM5" s="1">
        <f t="shared" ref="AM5" si="53">AM2</f>
        <v>2022</v>
      </c>
      <c r="AN5" s="1">
        <f t="shared" ref="AN5" si="54">AM5</f>
        <v>2022</v>
      </c>
      <c r="AO5" s="1">
        <f t="shared" si="38"/>
        <v>2022</v>
      </c>
      <c r="AP5" s="1">
        <f>AO5</f>
        <v>2022</v>
      </c>
      <c r="AQ5" s="1">
        <f t="shared" ref="AQ5" si="55">AQ2</f>
        <v>2023</v>
      </c>
      <c r="AR5" s="1">
        <f t="shared" ref="AR5" si="56">AQ5</f>
        <v>2023</v>
      </c>
      <c r="AS5" s="1">
        <f t="shared" si="38"/>
        <v>2023</v>
      </c>
      <c r="AT5" s="1">
        <f t="shared" si="38"/>
        <v>2023</v>
      </c>
      <c r="AU5" s="1">
        <f t="shared" ref="AU5" si="57">AU2</f>
        <v>2024</v>
      </c>
      <c r="AV5" s="1">
        <f t="shared" ref="AV5" si="58">AU5</f>
        <v>2024</v>
      </c>
      <c r="AW5" s="1">
        <f t="shared" ref="AW5" si="59">AV5</f>
        <v>2024</v>
      </c>
      <c r="AX5" s="1">
        <f t="shared" ref="AX5" si="60">AW5</f>
        <v>2024</v>
      </c>
      <c r="AY5" s="1">
        <f t="shared" ref="AY5" si="61">AY2</f>
        <v>2025</v>
      </c>
      <c r="AZ5" s="1">
        <f t="shared" ref="AZ5" si="62">AY5</f>
        <v>2025</v>
      </c>
      <c r="BA5" s="1">
        <f t="shared" ref="BA5" si="63">AZ5</f>
        <v>2025</v>
      </c>
      <c r="BB5" s="1">
        <f t="shared" ref="BB5" si="64">BA5</f>
        <v>2025</v>
      </c>
      <c r="BC5" s="1">
        <f t="shared" ref="BC5" si="65">BC2</f>
        <v>2026</v>
      </c>
      <c r="BD5" s="1">
        <f t="shared" ref="BD5" si="66">BC5</f>
        <v>2026</v>
      </c>
      <c r="BE5" s="1">
        <f t="shared" ref="BE5" si="67">BD5</f>
        <v>2026</v>
      </c>
      <c r="BF5" s="1">
        <f t="shared" ref="BF5" si="68">BE5</f>
        <v>2026</v>
      </c>
      <c r="BG5" s="1">
        <f t="shared" ref="BG5" si="69">BG2</f>
        <v>2027</v>
      </c>
      <c r="BH5" s="1">
        <f t="shared" ref="BH5" si="70">BG5</f>
        <v>2027</v>
      </c>
      <c r="BI5" s="1">
        <f t="shared" ref="BI5" si="71">BH5</f>
        <v>2027</v>
      </c>
      <c r="BJ5" s="1">
        <f t="shared" ref="BJ5" si="72">BI5</f>
        <v>2027</v>
      </c>
      <c r="BK5" s="1">
        <f t="shared" ref="BK5" si="73">BK2</f>
        <v>2028</v>
      </c>
      <c r="BL5" s="1">
        <f t="shared" ref="BL5" si="74">BK5</f>
        <v>2028</v>
      </c>
      <c r="BM5" s="1">
        <f t="shared" ref="BM5" si="75">BL5</f>
        <v>2028</v>
      </c>
      <c r="BN5" s="1">
        <f t="shared" ref="BN5" si="76">BM5</f>
        <v>2028</v>
      </c>
      <c r="CC5" s="74"/>
    </row>
    <row r="6" spans="1:83" x14ac:dyDescent="0.15">
      <c r="B6" s="1" t="s">
        <v>7</v>
      </c>
      <c r="C6" s="21">
        <v>60533</v>
      </c>
      <c r="D6" s="21">
        <v>60966</v>
      </c>
      <c r="E6" s="21">
        <v>63321</v>
      </c>
      <c r="F6" s="21">
        <v>62412</v>
      </c>
      <c r="G6" s="21">
        <v>86091</v>
      </c>
      <c r="H6" s="21">
        <v>88329</v>
      </c>
      <c r="I6" s="21">
        <v>91679</v>
      </c>
      <c r="J6" s="21">
        <v>96390</v>
      </c>
      <c r="K6" s="21">
        <v>95767</v>
      </c>
      <c r="L6" s="21">
        <v>96506</v>
      </c>
      <c r="M6" s="21">
        <v>99603</v>
      </c>
      <c r="N6" s="21">
        <v>109180</v>
      </c>
      <c r="O6" s="21">
        <v>119173</v>
      </c>
      <c r="P6" s="21">
        <v>126933</v>
      </c>
      <c r="Q6" s="21">
        <v>129720</v>
      </c>
      <c r="R6" s="21">
        <v>141771</v>
      </c>
      <c r="S6" s="21">
        <v>137404</v>
      </c>
      <c r="T6" s="21">
        <v>139386</v>
      </c>
      <c r="U6" s="21">
        <v>152770</v>
      </c>
      <c r="V6" s="21">
        <v>162435</v>
      </c>
      <c r="W6" s="21">
        <v>161897</v>
      </c>
      <c r="X6" s="21">
        <v>162883</v>
      </c>
      <c r="Y6" s="21">
        <v>170305</v>
      </c>
      <c r="Z6" s="21">
        <v>227098</v>
      </c>
      <c r="AA6" s="21">
        <v>225929</v>
      </c>
      <c r="AB6" s="21">
        <v>226331</v>
      </c>
      <c r="AC6" s="21">
        <v>232971</v>
      </c>
      <c r="AD6" s="21">
        <v>240587</v>
      </c>
      <c r="AE6" s="21">
        <v>235218</v>
      </c>
      <c r="AF6" s="21">
        <v>243738</v>
      </c>
      <c r="AG6" s="21">
        <v>242204</v>
      </c>
      <c r="AH6" s="21">
        <v>249412</v>
      </c>
      <c r="AI6" s="21">
        <v>238222</v>
      </c>
      <c r="AJ6" s="21">
        <v>227533</v>
      </c>
      <c r="AK6" s="21">
        <v>238083</v>
      </c>
      <c r="AL6" s="21">
        <v>246884</v>
      </c>
      <c r="AM6" s="21">
        <v>250432</v>
      </c>
      <c r="AN6" s="21">
        <v>262415</v>
      </c>
      <c r="AO6" s="21">
        <v>267343</v>
      </c>
      <c r="AP6" s="21">
        <v>280703</v>
      </c>
      <c r="AQ6" s="98">
        <v>300467</v>
      </c>
      <c r="AR6" s="101">
        <v>306788</v>
      </c>
      <c r="AS6" s="101">
        <v>316786</v>
      </c>
      <c r="AT6" s="101">
        <v>318568</v>
      </c>
      <c r="AU6" s="101">
        <v>328703</v>
      </c>
      <c r="AV6" s="101">
        <v>326184</v>
      </c>
      <c r="AW6" s="101">
        <v>335740</v>
      </c>
      <c r="AX6" s="101">
        <v>336496</v>
      </c>
      <c r="AY6" s="101">
        <v>360814</v>
      </c>
      <c r="AZ6" s="101">
        <v>356772</v>
      </c>
      <c r="BA6" s="101">
        <v>368627</v>
      </c>
      <c r="BB6" s="101">
        <v>365025</v>
      </c>
      <c r="BC6" s="12">
        <f>BC55</f>
        <v>382371.20000000007</v>
      </c>
      <c r="BD6" s="12">
        <f t="shared" ref="BD6:BN6" si="77">BD55</f>
        <v>378503.83</v>
      </c>
      <c r="BE6" s="12">
        <f t="shared" si="77"/>
        <v>391200.95</v>
      </c>
      <c r="BF6" s="12">
        <f t="shared" si="77"/>
        <v>383935.67000000004</v>
      </c>
      <c r="BG6" s="12">
        <f t="shared" si="77"/>
        <v>400501.59360000002</v>
      </c>
      <c r="BH6" s="12">
        <f t="shared" si="77"/>
        <v>396797.41409999999</v>
      </c>
      <c r="BI6" s="12">
        <f t="shared" si="77"/>
        <v>410047.72990000003</v>
      </c>
      <c r="BJ6" s="12">
        <f t="shared" si="77"/>
        <v>402870.13189999998</v>
      </c>
      <c r="BK6" s="12">
        <f t="shared" si="77"/>
        <v>419508.37864800007</v>
      </c>
      <c r="BL6" s="12">
        <f t="shared" si="77"/>
        <v>415981.95245300006</v>
      </c>
      <c r="BM6" s="12">
        <f t="shared" si="77"/>
        <v>429747.19826700003</v>
      </c>
      <c r="BN6" s="12">
        <f t="shared" si="77"/>
        <v>422671.99204700004</v>
      </c>
      <c r="BP6" s="13">
        <f t="shared" ref="BP6:CE6" si="78">SUMIF($C$5:$BO$5,BP$3,$C6:$BO6)</f>
        <v>247232</v>
      </c>
      <c r="BQ6" s="13">
        <f t="shared" si="78"/>
        <v>362489</v>
      </c>
      <c r="BR6" s="13">
        <f t="shared" si="78"/>
        <v>401056</v>
      </c>
      <c r="BS6" s="13">
        <f t="shared" si="78"/>
        <v>517597</v>
      </c>
      <c r="BT6" s="13">
        <f t="shared" si="78"/>
        <v>591995</v>
      </c>
      <c r="BU6" s="13">
        <f t="shared" si="78"/>
        <v>722183</v>
      </c>
      <c r="BV6" s="13">
        <f t="shared" si="78"/>
        <v>925818</v>
      </c>
      <c r="BW6" s="13">
        <f t="shared" si="78"/>
        <v>970572</v>
      </c>
      <c r="BX6" s="13">
        <f t="shared" si="78"/>
        <v>950722</v>
      </c>
      <c r="BY6" s="64">
        <f t="shared" si="78"/>
        <v>1060893</v>
      </c>
      <c r="BZ6" s="64">
        <f t="shared" si="78"/>
        <v>1242609</v>
      </c>
      <c r="CA6" s="64">
        <f t="shared" si="78"/>
        <v>1327123</v>
      </c>
      <c r="CB6" s="64">
        <f t="shared" si="78"/>
        <v>1451238</v>
      </c>
      <c r="CC6" s="78">
        <f t="shared" si="78"/>
        <v>1536011.65</v>
      </c>
      <c r="CD6" s="64">
        <f t="shared" si="78"/>
        <v>1610216.8695</v>
      </c>
      <c r="CE6" s="64">
        <f t="shared" si="78"/>
        <v>1687909.5214150001</v>
      </c>
    </row>
    <row r="7" spans="1:83" x14ac:dyDescent="0.15">
      <c r="B7" s="15" t="s">
        <v>20</v>
      </c>
      <c r="C7" s="16"/>
      <c r="D7" s="17">
        <f t="shared" ref="D7:AI7" si="79">D6/C6-1</f>
        <v>7.1531230898849163E-3</v>
      </c>
      <c r="E7" s="17">
        <f t="shared" si="79"/>
        <v>3.8628087786635179E-2</v>
      </c>
      <c r="F7" s="17">
        <f t="shared" si="79"/>
        <v>-1.4355427109489782E-2</v>
      </c>
      <c r="G7" s="17">
        <f t="shared" si="79"/>
        <v>0.37939819265525854</v>
      </c>
      <c r="H7" s="17">
        <f t="shared" si="79"/>
        <v>2.5995748684531472E-2</v>
      </c>
      <c r="I7" s="17">
        <f t="shared" si="79"/>
        <v>3.7926388841716729E-2</v>
      </c>
      <c r="J7" s="17">
        <f t="shared" si="79"/>
        <v>5.1385813545086645E-2</v>
      </c>
      <c r="K7" s="17">
        <f t="shared" si="79"/>
        <v>-6.4633260711691731E-3</v>
      </c>
      <c r="L7" s="17">
        <f t="shared" si="79"/>
        <v>7.7166456086126267E-3</v>
      </c>
      <c r="M7" s="17">
        <f t="shared" si="79"/>
        <v>3.2091268936646378E-2</v>
      </c>
      <c r="N7" s="17">
        <f t="shared" si="79"/>
        <v>9.6151722337680656E-2</v>
      </c>
      <c r="O7" s="17">
        <f t="shared" si="79"/>
        <v>9.1527752335592627E-2</v>
      </c>
      <c r="P7" s="17">
        <f t="shared" si="79"/>
        <v>6.5115420439193494E-2</v>
      </c>
      <c r="Q7" s="17">
        <f t="shared" si="79"/>
        <v>2.1956465221809829E-2</v>
      </c>
      <c r="R7" s="17">
        <f t="shared" si="79"/>
        <v>9.2900092506938092E-2</v>
      </c>
      <c r="S7" s="17">
        <f t="shared" si="79"/>
        <v>-3.0803196704544678E-2</v>
      </c>
      <c r="T7" s="17">
        <f t="shared" si="79"/>
        <v>1.4424616459491668E-2</v>
      </c>
      <c r="U7" s="17">
        <f t="shared" si="79"/>
        <v>9.6021121202990223E-2</v>
      </c>
      <c r="V7" s="17">
        <f t="shared" si="79"/>
        <v>6.3265038947437402E-2</v>
      </c>
      <c r="W7" s="17">
        <f t="shared" si="79"/>
        <v>-3.3120940683966094E-3</v>
      </c>
      <c r="X7" s="17">
        <f t="shared" si="79"/>
        <v>6.0902919757623852E-3</v>
      </c>
      <c r="Y7" s="17">
        <f t="shared" si="79"/>
        <v>4.5566449537397968E-2</v>
      </c>
      <c r="Z7" s="17">
        <f t="shared" si="79"/>
        <v>0.33347817151580994</v>
      </c>
      <c r="AA7" s="17">
        <f t="shared" si="79"/>
        <v>-5.1475574421615544E-3</v>
      </c>
      <c r="AB7" s="17">
        <f t="shared" si="79"/>
        <v>1.7793200518747554E-3</v>
      </c>
      <c r="AC7" s="17">
        <f t="shared" si="79"/>
        <v>2.933756312657132E-2</v>
      </c>
      <c r="AD7" s="17">
        <f t="shared" si="79"/>
        <v>3.2690764086517277E-2</v>
      </c>
      <c r="AE7" s="17">
        <f t="shared" si="79"/>
        <v>-2.2316251501535822E-2</v>
      </c>
      <c r="AF7" s="17">
        <f t="shared" si="79"/>
        <v>3.6221717725684277E-2</v>
      </c>
      <c r="AG7" s="17">
        <f t="shared" si="79"/>
        <v>-6.2936431742280918E-3</v>
      </c>
      <c r="AH7" s="17">
        <f t="shared" si="79"/>
        <v>2.976003699360863E-2</v>
      </c>
      <c r="AI7" s="17">
        <f t="shared" si="79"/>
        <v>-4.4865523711770106E-2</v>
      </c>
      <c r="AJ7" s="17">
        <f t="shared" ref="AJ7:BJ7" si="80">AJ6/AI6-1</f>
        <v>-4.4869911259245554E-2</v>
      </c>
      <c r="AK7" s="17">
        <f t="shared" si="80"/>
        <v>4.6366900625403717E-2</v>
      </c>
      <c r="AL7" s="17">
        <f t="shared" si="80"/>
        <v>3.6966100057542972E-2</v>
      </c>
      <c r="AM7" s="17">
        <f t="shared" si="80"/>
        <v>1.4371121660375019E-2</v>
      </c>
      <c r="AN7" s="17">
        <f t="shared" si="80"/>
        <v>4.7849316381293194E-2</v>
      </c>
      <c r="AO7" s="17">
        <f t="shared" si="80"/>
        <v>1.877941428653096E-2</v>
      </c>
      <c r="AP7" s="17">
        <f t="shared" si="80"/>
        <v>4.9973255331166255E-2</v>
      </c>
      <c r="AQ7" s="102">
        <f>AQ6/AP6-1</f>
        <v>7.0408937560339613E-2</v>
      </c>
      <c r="AR7" s="102">
        <f t="shared" si="80"/>
        <v>2.1037252011036234E-2</v>
      </c>
      <c r="AS7" s="102">
        <f t="shared" si="80"/>
        <v>3.2589279893607381E-2</v>
      </c>
      <c r="AT7" s="102">
        <f t="shared" si="80"/>
        <v>5.6252485905310401E-3</v>
      </c>
      <c r="AU7" s="102">
        <f t="shared" si="80"/>
        <v>3.1814243740739823E-2</v>
      </c>
      <c r="AV7" s="102">
        <f t="shared" si="80"/>
        <v>-7.663453025983924E-3</v>
      </c>
      <c r="AW7" s="102">
        <f t="shared" ref="AW7" si="81">AW6/AV6-1</f>
        <v>2.9296348073480027E-2</v>
      </c>
      <c r="AX7" s="102">
        <f t="shared" ref="AX7" si="82">AX6/AW6-1</f>
        <v>2.2517424197294744E-3</v>
      </c>
      <c r="AY7" s="102">
        <f t="shared" ref="AY7" si="83">AY6/AX6-1</f>
        <v>7.2268318196947456E-2</v>
      </c>
      <c r="AZ7" s="102">
        <f t="shared" ref="AZ7" si="84">AZ6/AY6-1</f>
        <v>-1.1202447798588699E-2</v>
      </c>
      <c r="BA7" s="102">
        <f t="shared" ref="BA7" si="85">BA6/AZ6-1</f>
        <v>3.3228504479051013E-2</v>
      </c>
      <c r="BB7" s="102">
        <f t="shared" ref="BB7" si="86">BB6/BA6-1</f>
        <v>-9.7713949330895389E-3</v>
      </c>
      <c r="BC7" s="17">
        <f t="shared" si="80"/>
        <v>4.7520580782138389E-2</v>
      </c>
      <c r="BD7" s="17">
        <f t="shared" si="80"/>
        <v>-1.0114177009147296E-2</v>
      </c>
      <c r="BE7" s="17">
        <f t="shared" si="80"/>
        <v>3.3545552233910092E-2</v>
      </c>
      <c r="BF7" s="17">
        <f t="shared" si="80"/>
        <v>-1.8571734041034293E-2</v>
      </c>
      <c r="BG7" s="17">
        <f t="shared" si="80"/>
        <v>4.314765439741497E-2</v>
      </c>
      <c r="BH7" s="17">
        <f t="shared" si="80"/>
        <v>-9.2488508390294877E-3</v>
      </c>
      <c r="BI7" s="17">
        <f t="shared" si="80"/>
        <v>3.3393150583034714E-2</v>
      </c>
      <c r="BJ7" s="17">
        <f t="shared" si="80"/>
        <v>-1.7504298833090681E-2</v>
      </c>
      <c r="BK7" s="17">
        <f t="shared" ref="BK7" si="87">BK6/BJ6-1</f>
        <v>4.1299280911025749E-2</v>
      </c>
      <c r="BL7" s="17">
        <f t="shared" ref="BL7" si="88">BL6/BK6-1</f>
        <v>-8.4060924036012397E-3</v>
      </c>
      <c r="BM7" s="17">
        <f t="shared" ref="BM7" si="89">BM6/BL6-1</f>
        <v>3.3090968809651011E-2</v>
      </c>
      <c r="BN7" s="17">
        <f t="shared" ref="BN7" si="90">BN6/BM6-1</f>
        <v>-1.6463647112840984E-2</v>
      </c>
      <c r="BO7" s="18"/>
      <c r="BP7" s="20"/>
      <c r="BQ7" s="20"/>
      <c r="BR7" s="20"/>
      <c r="BS7" s="20"/>
      <c r="BT7" s="20"/>
      <c r="BU7" s="20"/>
      <c r="BV7" s="20"/>
      <c r="BW7" s="20"/>
      <c r="BX7" s="16"/>
      <c r="BY7" s="16"/>
      <c r="BZ7" s="16"/>
      <c r="CA7" s="20"/>
      <c r="CB7" s="20"/>
      <c r="CC7" s="76"/>
      <c r="CD7" s="20"/>
      <c r="CE7" s="20"/>
    </row>
    <row r="8" spans="1:83" x14ac:dyDescent="0.15">
      <c r="B8" s="15" t="s">
        <v>21</v>
      </c>
      <c r="C8" s="16"/>
      <c r="D8" s="16"/>
      <c r="E8" s="16"/>
      <c r="F8" s="16"/>
      <c r="G8" s="17">
        <f t="shared" ref="G8:AL8" si="91">G6/C6-1</f>
        <v>0.42221598136553617</v>
      </c>
      <c r="H8" s="17">
        <f t="shared" si="91"/>
        <v>0.44882393465210124</v>
      </c>
      <c r="I8" s="17">
        <f t="shared" si="91"/>
        <v>0.44784510667866906</v>
      </c>
      <c r="J8" s="17">
        <f t="shared" si="91"/>
        <v>0.544414535666218</v>
      </c>
      <c r="K8" s="17">
        <f t="shared" si="91"/>
        <v>0.11239270074688412</v>
      </c>
      <c r="L8" s="17">
        <f t="shared" si="91"/>
        <v>9.2574352704094975E-2</v>
      </c>
      <c r="M8" s="17">
        <f t="shared" si="91"/>
        <v>8.6432007329922955E-2</v>
      </c>
      <c r="N8" s="17">
        <f t="shared" si="91"/>
        <v>0.13269011308226997</v>
      </c>
      <c r="O8" s="17">
        <f t="shared" si="91"/>
        <v>0.24440569298401327</v>
      </c>
      <c r="P8" s="17">
        <f t="shared" si="91"/>
        <v>0.31528609620127246</v>
      </c>
      <c r="Q8" s="17">
        <f t="shared" si="91"/>
        <v>0.30237041052980329</v>
      </c>
      <c r="R8" s="17">
        <f t="shared" si="91"/>
        <v>0.29850705257373145</v>
      </c>
      <c r="S8" s="17">
        <f t="shared" si="91"/>
        <v>0.15297928221996604</v>
      </c>
      <c r="T8" s="17">
        <f t="shared" si="91"/>
        <v>9.8106875280659978E-2</v>
      </c>
      <c r="U8" s="17">
        <f t="shared" si="91"/>
        <v>0.17769041011409192</v>
      </c>
      <c r="V8" s="17">
        <f t="shared" si="91"/>
        <v>0.14575618426899717</v>
      </c>
      <c r="W8" s="17">
        <f t="shared" si="91"/>
        <v>0.17825536374486917</v>
      </c>
      <c r="X8" s="17">
        <f t="shared" si="91"/>
        <v>0.16857503623032444</v>
      </c>
      <c r="Y8" s="17">
        <f t="shared" si="91"/>
        <v>0.11478038881979447</v>
      </c>
      <c r="Z8" s="17">
        <f t="shared" si="91"/>
        <v>0.3980853880013544</v>
      </c>
      <c r="AA8" s="17">
        <f t="shared" si="91"/>
        <v>0.39551072595539138</v>
      </c>
      <c r="AB8" s="17">
        <f t="shared" si="91"/>
        <v>0.38953113584597543</v>
      </c>
      <c r="AC8" s="17">
        <f t="shared" si="91"/>
        <v>0.367963359854379</v>
      </c>
      <c r="AD8" s="17">
        <f t="shared" si="91"/>
        <v>5.9397264617037537E-2</v>
      </c>
      <c r="AE8" s="17">
        <f t="shared" si="91"/>
        <v>4.1114686472298878E-2</v>
      </c>
      <c r="AF8" s="17">
        <f t="shared" si="91"/>
        <v>7.6909482130154583E-2</v>
      </c>
      <c r="AG8" s="17">
        <f t="shared" si="91"/>
        <v>3.9631542123268471E-2</v>
      </c>
      <c r="AH8" s="17">
        <f t="shared" si="91"/>
        <v>3.6681117433610355E-2</v>
      </c>
      <c r="AI8" s="17">
        <f t="shared" si="91"/>
        <v>1.2771131461027707E-2</v>
      </c>
      <c r="AJ8" s="17">
        <f t="shared" si="91"/>
        <v>-6.6485324405714308E-2</v>
      </c>
      <c r="AK8" s="17">
        <f t="shared" si="91"/>
        <v>-1.7014582748426932E-2</v>
      </c>
      <c r="AL8" s="17">
        <f t="shared" si="91"/>
        <v>-1.0135839494491039E-2</v>
      </c>
      <c r="AM8" s="17">
        <f t="shared" ref="AM8:BJ8" si="92">AM6/AI6-1</f>
        <v>5.12547119913358E-2</v>
      </c>
      <c r="AN8" s="17">
        <f t="shared" si="92"/>
        <v>0.15330523484505543</v>
      </c>
      <c r="AO8" s="17">
        <f t="shared" si="92"/>
        <v>0.12289831697349252</v>
      </c>
      <c r="AP8" s="17">
        <f t="shared" si="92"/>
        <v>0.13698336060660066</v>
      </c>
      <c r="AQ8" s="102">
        <f>AQ6/AM6-1</f>
        <v>0.1997947546639407</v>
      </c>
      <c r="AR8" s="102">
        <f>AR6/AN6-1</f>
        <v>0.16909475449193079</v>
      </c>
      <c r="AS8" s="102">
        <f>AS6/AO6-1</f>
        <v>0.18494219036967485</v>
      </c>
      <c r="AT8" s="102">
        <f>AT6/AP6-1</f>
        <v>0.13489346391025392</v>
      </c>
      <c r="AU8" s="102">
        <f t="shared" si="92"/>
        <v>9.3973714251481821E-2</v>
      </c>
      <c r="AV8" s="102">
        <f t="shared" si="92"/>
        <v>6.3222811844009463E-2</v>
      </c>
      <c r="AW8" s="102">
        <f t="shared" ref="AW8" si="93">AW6/AS6-1</f>
        <v>5.9832189553831183E-2</v>
      </c>
      <c r="AX8" s="102">
        <f t="shared" ref="AX8" si="94">AX6/AT6-1</f>
        <v>5.6276838853871025E-2</v>
      </c>
      <c r="AY8" s="102">
        <f t="shared" ref="AY8" si="95">AY6/AU6-1</f>
        <v>9.7690011956081957E-2</v>
      </c>
      <c r="AZ8" s="102">
        <f t="shared" ref="AZ8" si="96">AZ6/AV6-1</f>
        <v>9.3775292472960015E-2</v>
      </c>
      <c r="BA8" s="102">
        <f t="shared" ref="BA8" si="97">BA6/AW6-1</f>
        <v>9.7953773753499673E-2</v>
      </c>
      <c r="BB8" s="102">
        <f t="shared" ref="BB8" si="98">BB6/AX6-1</f>
        <v>8.4782582853882404E-2</v>
      </c>
      <c r="BC8" s="17">
        <f t="shared" si="92"/>
        <v>5.9746018724329053E-2</v>
      </c>
      <c r="BD8" s="17">
        <f t="shared" si="92"/>
        <v>6.091237541062644E-2</v>
      </c>
      <c r="BE8" s="17">
        <f t="shared" si="92"/>
        <v>6.1237918003835823E-2</v>
      </c>
      <c r="BF8" s="17">
        <f t="shared" si="92"/>
        <v>5.1806506403671015E-2</v>
      </c>
      <c r="BG8" s="17">
        <f t="shared" si="92"/>
        <v>4.7415688210827422E-2</v>
      </c>
      <c r="BH8" s="17">
        <f t="shared" si="92"/>
        <v>4.8331305128405111E-2</v>
      </c>
      <c r="BI8" s="17">
        <f t="shared" si="92"/>
        <v>4.8176723241597497E-2</v>
      </c>
      <c r="BJ8" s="17">
        <f t="shared" si="92"/>
        <v>4.9316756372232762E-2</v>
      </c>
      <c r="BK8" s="17">
        <f t="shared" ref="BK8" si="99">BK6/BG6-1</f>
        <v>4.7457451734843836E-2</v>
      </c>
      <c r="BL8" s="17">
        <f t="shared" ref="BL8" si="100">BL6/BH6-1</f>
        <v>4.8348446011206248E-2</v>
      </c>
      <c r="BM8" s="17">
        <f t="shared" ref="BM8" si="101">BM6/BI6-1</f>
        <v>4.8041891054497965E-2</v>
      </c>
      <c r="BN8" s="17">
        <f t="shared" ref="BN8" si="102">BN6/BJ6-1</f>
        <v>4.915196878361594E-2</v>
      </c>
      <c r="BO8" s="18"/>
      <c r="BP8" s="19"/>
      <c r="BQ8" s="19">
        <f t="shared" ref="BQ8:CB8" si="103">BQ6/BP6-1</f>
        <v>0.46618965182500638</v>
      </c>
      <c r="BR8" s="19">
        <f t="shared" si="103"/>
        <v>0.10639495267442589</v>
      </c>
      <c r="BS8" s="19">
        <f t="shared" si="103"/>
        <v>0.29058535466368784</v>
      </c>
      <c r="BT8" s="19">
        <f t="shared" si="103"/>
        <v>0.14373730914205463</v>
      </c>
      <c r="BU8" s="19">
        <f t="shared" si="103"/>
        <v>0.21991401954408407</v>
      </c>
      <c r="BV8" s="19">
        <f t="shared" si="103"/>
        <v>0.28197146706582688</v>
      </c>
      <c r="BW8" s="19">
        <f t="shared" si="103"/>
        <v>4.8339954505097094E-2</v>
      </c>
      <c r="BX8" s="17">
        <f t="shared" si="103"/>
        <v>-2.0451857255309291E-2</v>
      </c>
      <c r="BY8" s="17">
        <f t="shared" si="103"/>
        <v>0.11588140381730927</v>
      </c>
      <c r="BZ8" s="17">
        <f t="shared" si="103"/>
        <v>0.17128588839779324</v>
      </c>
      <c r="CA8" s="19">
        <f t="shared" si="103"/>
        <v>6.8013349331929929E-2</v>
      </c>
      <c r="CB8" s="19">
        <f t="shared" si="103"/>
        <v>9.352185140337399E-2</v>
      </c>
      <c r="CC8" s="77">
        <f t="shared" ref="CC8" si="104">CC6/CB6-1</f>
        <v>5.8414712128541213E-2</v>
      </c>
      <c r="CD8" s="19">
        <f t="shared" ref="CD8" si="105">CD6/CC6-1</f>
        <v>4.8310323362456442E-2</v>
      </c>
      <c r="CE8" s="19">
        <f t="shared" ref="CE8" si="106">CE6/CD6-1</f>
        <v>4.824980621344821E-2</v>
      </c>
    </row>
    <row r="9" spans="1:83" x14ac:dyDescent="0.15">
      <c r="B9" s="15"/>
      <c r="C9" s="18"/>
      <c r="D9" s="18"/>
      <c r="E9" s="18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8"/>
      <c r="BP9" s="19"/>
      <c r="BQ9" s="19"/>
      <c r="BR9" s="19"/>
      <c r="BS9" s="19"/>
      <c r="BT9" s="19"/>
      <c r="BU9" s="19"/>
      <c r="BV9" s="19"/>
      <c r="BW9" s="19"/>
      <c r="BX9" s="17"/>
      <c r="BY9" s="17"/>
      <c r="BZ9" s="17"/>
      <c r="CA9" s="19"/>
      <c r="CB9" s="19"/>
      <c r="CC9" s="77"/>
      <c r="CD9" s="19"/>
      <c r="CE9" s="19"/>
    </row>
    <row r="10" spans="1:83" x14ac:dyDescent="0.15">
      <c r="B10" s="15" t="s">
        <v>19</v>
      </c>
      <c r="C10" s="21">
        <f t="shared" ref="C10:AO10" si="107">C11-C6</f>
        <v>-50857</v>
      </c>
      <c r="D10" s="21">
        <f t="shared" si="107"/>
        <v>-51618</v>
      </c>
      <c r="E10" s="21">
        <f t="shared" si="107"/>
        <v>-52916</v>
      </c>
      <c r="F10" s="21">
        <f t="shared" si="107"/>
        <v>-52377</v>
      </c>
      <c r="G10" s="21">
        <f t="shared" si="107"/>
        <v>-66006</v>
      </c>
      <c r="H10" s="21">
        <f t="shared" si="107"/>
        <v>-67780</v>
      </c>
      <c r="I10" s="21">
        <f t="shared" si="107"/>
        <v>-70247</v>
      </c>
      <c r="J10" s="21">
        <f t="shared" si="107"/>
        <v>-73115</v>
      </c>
      <c r="K10" s="21">
        <f t="shared" si="107"/>
        <v>-72434</v>
      </c>
      <c r="L10" s="21">
        <f t="shared" si="107"/>
        <v>-73797</v>
      </c>
      <c r="M10" s="21">
        <f t="shared" si="107"/>
        <v>-75584</v>
      </c>
      <c r="N10" s="21">
        <f t="shared" si="107"/>
        <v>-82717</v>
      </c>
      <c r="O10" s="21">
        <f t="shared" si="107"/>
        <v>-90646</v>
      </c>
      <c r="P10" s="21">
        <f t="shared" si="107"/>
        <v>-97254</v>
      </c>
      <c r="Q10" s="21">
        <f t="shared" si="107"/>
        <v>-98376</v>
      </c>
      <c r="R10" s="21">
        <f t="shared" si="107"/>
        <v>-108674</v>
      </c>
      <c r="S10" s="21">
        <f t="shared" si="107"/>
        <v>-103032</v>
      </c>
      <c r="T10" s="21">
        <f t="shared" si="107"/>
        <v>-105755</v>
      </c>
      <c r="U10" s="21">
        <f t="shared" si="107"/>
        <v>-115978</v>
      </c>
      <c r="V10" s="21">
        <f t="shared" si="107"/>
        <v>-124424</v>
      </c>
      <c r="W10" s="21">
        <f t="shared" si="107"/>
        <v>-122278</v>
      </c>
      <c r="X10" s="21">
        <f t="shared" si="107"/>
        <v>-125078</v>
      </c>
      <c r="Y10" s="21">
        <f t="shared" si="107"/>
        <v>-129406</v>
      </c>
      <c r="Z10" s="21">
        <f t="shared" si="107"/>
        <v>-177983</v>
      </c>
      <c r="AA10" s="21">
        <f t="shared" si="107"/>
        <v>-175325</v>
      </c>
      <c r="AB10" s="21">
        <f t="shared" si="107"/>
        <v>-177763</v>
      </c>
      <c r="AC10" s="21">
        <f t="shared" si="107"/>
        <v>-180891</v>
      </c>
      <c r="AD10" s="21">
        <f t="shared" si="107"/>
        <v>-185322</v>
      </c>
      <c r="AE10" s="21">
        <f t="shared" si="107"/>
        <v>-181392</v>
      </c>
      <c r="AF10" s="21">
        <f t="shared" si="107"/>
        <v>-189660</v>
      </c>
      <c r="AG10" s="21">
        <f t="shared" si="107"/>
        <v>-190323</v>
      </c>
      <c r="AH10" s="21">
        <f t="shared" si="107"/>
        <v>-195206</v>
      </c>
      <c r="AI10" s="21">
        <f t="shared" si="107"/>
        <v>-186342</v>
      </c>
      <c r="AJ10" s="21">
        <f t="shared" si="107"/>
        <v>-180751</v>
      </c>
      <c r="AK10" s="21">
        <f t="shared" si="107"/>
        <v>-188133</v>
      </c>
      <c r="AL10" s="21">
        <f t="shared" si="107"/>
        <v>-194083</v>
      </c>
      <c r="AM10" s="21">
        <f t="shared" si="107"/>
        <v>-193758</v>
      </c>
      <c r="AN10" s="21">
        <f t="shared" si="107"/>
        <v>-203396</v>
      </c>
      <c r="AO10" s="21">
        <f t="shared" si="107"/>
        <v>-206260</v>
      </c>
      <c r="AP10" s="21">
        <f>AP11-AP6</f>
        <v>-216642</v>
      </c>
      <c r="AQ10" s="98">
        <f>AQ11-AQ6</f>
        <v>-230928</v>
      </c>
      <c r="AR10" s="98">
        <f t="shared" ref="AR10:BN10" si="108">AR11-AR6</f>
        <v>-237097</v>
      </c>
      <c r="AS10" s="98">
        <f t="shared" si="108"/>
        <v>-243818</v>
      </c>
      <c r="AT10" s="98">
        <f t="shared" si="108"/>
        <v>-248908</v>
      </c>
      <c r="AU10" s="98">
        <f t="shared" si="108"/>
        <v>-253600</v>
      </c>
      <c r="AV10" s="98">
        <f t="shared" si="108"/>
        <v>-252642</v>
      </c>
      <c r="AW10" s="98">
        <f t="shared" si="108"/>
        <v>-260026</v>
      </c>
      <c r="AX10" s="98">
        <f t="shared" si="108"/>
        <v>-259694</v>
      </c>
      <c r="AY10" s="98">
        <f t="shared" si="108"/>
        <v>-276703</v>
      </c>
      <c r="AZ10" s="98">
        <f t="shared" si="108"/>
        <v>-275121</v>
      </c>
      <c r="BA10" s="98">
        <f t="shared" si="108"/>
        <v>-285387</v>
      </c>
      <c r="BB10" s="98">
        <f t="shared" si="108"/>
        <v>-281899</v>
      </c>
      <c r="BC10" s="21">
        <f t="shared" si="108"/>
        <v>-295782.70798011665</v>
      </c>
      <c r="BD10" s="21">
        <f t="shared" si="108"/>
        <v>-294009.36892615643</v>
      </c>
      <c r="BE10" s="21">
        <f t="shared" si="108"/>
        <v>-301988.92885750486</v>
      </c>
      <c r="BF10" s="21">
        <f t="shared" si="108"/>
        <v>-300461.78106495942</v>
      </c>
      <c r="BG10" s="21">
        <f t="shared" si="108"/>
        <v>-308183.43637782824</v>
      </c>
      <c r="BH10" s="21">
        <f t="shared" si="108"/>
        <v>-306632.09315057204</v>
      </c>
      <c r="BI10" s="21">
        <f t="shared" si="108"/>
        <v>-314735.73680685536</v>
      </c>
      <c r="BJ10" s="21">
        <f t="shared" si="108"/>
        <v>-313389.04589585529</v>
      </c>
      <c r="BK10" s="21">
        <f t="shared" si="108"/>
        <v>-320968.13310002844</v>
      </c>
      <c r="BL10" s="21">
        <f t="shared" si="108"/>
        <v>-319689.16327571101</v>
      </c>
      <c r="BM10" s="21">
        <f t="shared" si="108"/>
        <v>-327889.35973661143</v>
      </c>
      <c r="BN10" s="21">
        <f t="shared" si="108"/>
        <v>-326688.92843766743</v>
      </c>
      <c r="BO10" s="18"/>
      <c r="BP10" s="64">
        <f t="shared" ref="BP10:CE11" si="109">SUMIF($C$5:$BO$5,BP$3,$C10:$BO10)</f>
        <v>-207768</v>
      </c>
      <c r="BQ10" s="64">
        <f t="shared" si="109"/>
        <v>-277148</v>
      </c>
      <c r="BR10" s="64">
        <f t="shared" si="109"/>
        <v>-304532</v>
      </c>
      <c r="BS10" s="64">
        <f t="shared" si="109"/>
        <v>-394950</v>
      </c>
      <c r="BT10" s="64">
        <f t="shared" si="109"/>
        <v>-449189</v>
      </c>
      <c r="BU10" s="64">
        <f t="shared" si="109"/>
        <v>-554745</v>
      </c>
      <c r="BV10" s="64">
        <f t="shared" si="109"/>
        <v>-719301</v>
      </c>
      <c r="BW10" s="64">
        <f t="shared" si="109"/>
        <v>-756581</v>
      </c>
      <c r="BX10" s="64">
        <f t="shared" si="109"/>
        <v>-749309</v>
      </c>
      <c r="BY10" s="64">
        <f t="shared" si="109"/>
        <v>-820056</v>
      </c>
      <c r="BZ10" s="64">
        <f t="shared" si="109"/>
        <v>-960751</v>
      </c>
      <c r="CA10" s="64">
        <f t="shared" si="109"/>
        <v>-1025962</v>
      </c>
      <c r="CB10" s="64">
        <f t="shared" si="109"/>
        <v>-1119110</v>
      </c>
      <c r="CC10" s="78">
        <f t="shared" si="109"/>
        <v>-1192242.7868287375</v>
      </c>
      <c r="CD10" s="64">
        <f t="shared" si="109"/>
        <v>-1242940.3122311109</v>
      </c>
      <c r="CE10" s="64">
        <f t="shared" si="109"/>
        <v>-1295235.5845500182</v>
      </c>
    </row>
    <row r="11" spans="1:83" x14ac:dyDescent="0.15">
      <c r="B11" s="14" t="s">
        <v>41</v>
      </c>
      <c r="C11" s="54">
        <v>9676</v>
      </c>
      <c r="D11" s="54">
        <v>9348</v>
      </c>
      <c r="E11" s="54">
        <v>10405</v>
      </c>
      <c r="F11" s="54">
        <v>10035</v>
      </c>
      <c r="G11" s="54">
        <v>20085</v>
      </c>
      <c r="H11" s="54">
        <v>20549</v>
      </c>
      <c r="I11" s="54">
        <v>21432</v>
      </c>
      <c r="J11" s="54">
        <v>23275</v>
      </c>
      <c r="K11" s="54">
        <v>23333</v>
      </c>
      <c r="L11" s="54">
        <v>22709</v>
      </c>
      <c r="M11" s="54">
        <v>24019</v>
      </c>
      <c r="N11" s="54">
        <v>26463</v>
      </c>
      <c r="O11" s="54">
        <v>28527</v>
      </c>
      <c r="P11" s="54">
        <v>29679</v>
      </c>
      <c r="Q11" s="54">
        <v>31344</v>
      </c>
      <c r="R11" s="54">
        <v>33097</v>
      </c>
      <c r="S11" s="54">
        <v>34372</v>
      </c>
      <c r="T11" s="54">
        <v>33631</v>
      </c>
      <c r="U11" s="54">
        <v>36792</v>
      </c>
      <c r="V11" s="54">
        <v>38011</v>
      </c>
      <c r="W11" s="54">
        <v>39619</v>
      </c>
      <c r="X11" s="54">
        <v>37805</v>
      </c>
      <c r="Y11" s="54">
        <v>40899</v>
      </c>
      <c r="Z11" s="54">
        <v>49115</v>
      </c>
      <c r="AA11" s="54">
        <v>50604</v>
      </c>
      <c r="AB11" s="54">
        <v>48568</v>
      </c>
      <c r="AC11" s="54">
        <v>52080</v>
      </c>
      <c r="AD11" s="54">
        <v>55265</v>
      </c>
      <c r="AE11" s="54">
        <v>53826</v>
      </c>
      <c r="AF11" s="54">
        <v>54078</v>
      </c>
      <c r="AG11" s="54">
        <v>51881</v>
      </c>
      <c r="AH11" s="54">
        <v>54206</v>
      </c>
      <c r="AI11" s="54">
        <v>51880</v>
      </c>
      <c r="AJ11" s="54">
        <v>46782</v>
      </c>
      <c r="AK11" s="54">
        <v>49950</v>
      </c>
      <c r="AL11" s="54">
        <v>52801</v>
      </c>
      <c r="AM11" s="54">
        <v>56674</v>
      </c>
      <c r="AN11" s="54">
        <v>59019</v>
      </c>
      <c r="AO11" s="54">
        <v>61083</v>
      </c>
      <c r="AP11" s="54">
        <v>64061</v>
      </c>
      <c r="AQ11" s="100">
        <v>69539</v>
      </c>
      <c r="AR11" s="100">
        <v>69691</v>
      </c>
      <c r="AS11" s="100">
        <v>72968</v>
      </c>
      <c r="AT11" s="100">
        <v>69660</v>
      </c>
      <c r="AU11" s="100">
        <v>75103</v>
      </c>
      <c r="AV11" s="100">
        <v>73542</v>
      </c>
      <c r="AW11" s="100">
        <v>75714</v>
      </c>
      <c r="AX11" s="100">
        <v>76802</v>
      </c>
      <c r="AY11" s="100">
        <v>84111</v>
      </c>
      <c r="AZ11" s="100">
        <v>81651</v>
      </c>
      <c r="BA11" s="100">
        <v>83240</v>
      </c>
      <c r="BB11" s="100">
        <v>83126</v>
      </c>
      <c r="BC11" s="54">
        <f>BC12*BC6</f>
        <v>86588.492019883401</v>
      </c>
      <c r="BD11" s="54">
        <f t="shared" ref="BD11:BN11" si="110">BD12*BD6</f>
        <v>84494.461073843617</v>
      </c>
      <c r="BE11" s="54">
        <f t="shared" si="110"/>
        <v>89212.021142495141</v>
      </c>
      <c r="BF11" s="54">
        <f t="shared" si="110"/>
        <v>83473.88893504061</v>
      </c>
      <c r="BG11" s="54">
        <f t="shared" si="110"/>
        <v>92318.157222171751</v>
      </c>
      <c r="BH11" s="54">
        <f t="shared" si="110"/>
        <v>90165.320949427987</v>
      </c>
      <c r="BI11" s="54">
        <f t="shared" si="110"/>
        <v>95311.993093144672</v>
      </c>
      <c r="BJ11" s="54">
        <f t="shared" si="110"/>
        <v>89481.086004144658</v>
      </c>
      <c r="BK11" s="54">
        <f t="shared" si="110"/>
        <v>98540.245547971645</v>
      </c>
      <c r="BL11" s="54">
        <f t="shared" si="110"/>
        <v>96292.789177289073</v>
      </c>
      <c r="BM11" s="54">
        <f t="shared" si="110"/>
        <v>101857.83853038859</v>
      </c>
      <c r="BN11" s="54">
        <f t="shared" si="110"/>
        <v>95983.063609332588</v>
      </c>
      <c r="BO11" s="18"/>
      <c r="BP11" s="61">
        <f t="shared" si="109"/>
        <v>39464</v>
      </c>
      <c r="BQ11" s="61">
        <f t="shared" si="109"/>
        <v>85341</v>
      </c>
      <c r="BR11" s="61">
        <f t="shared" si="109"/>
        <v>96524</v>
      </c>
      <c r="BS11" s="61">
        <f t="shared" si="109"/>
        <v>122647</v>
      </c>
      <c r="BT11" s="61">
        <f t="shared" si="109"/>
        <v>142806</v>
      </c>
      <c r="BU11" s="61">
        <f t="shared" si="109"/>
        <v>167438</v>
      </c>
      <c r="BV11" s="61">
        <f t="shared" si="109"/>
        <v>206517</v>
      </c>
      <c r="BW11" s="61">
        <f t="shared" si="109"/>
        <v>213991</v>
      </c>
      <c r="BX11" s="61">
        <f t="shared" si="109"/>
        <v>201413</v>
      </c>
      <c r="BY11" s="61">
        <f t="shared" si="109"/>
        <v>240837</v>
      </c>
      <c r="BZ11" s="61">
        <f t="shared" si="109"/>
        <v>281858</v>
      </c>
      <c r="CA11" s="61">
        <f t="shared" si="109"/>
        <v>301161</v>
      </c>
      <c r="CB11" s="61">
        <f t="shared" si="109"/>
        <v>332128</v>
      </c>
      <c r="CC11" s="79">
        <f t="shared" si="109"/>
        <v>343768.86317126278</v>
      </c>
      <c r="CD11" s="61">
        <f t="shared" si="109"/>
        <v>367276.55726888904</v>
      </c>
      <c r="CE11" s="61">
        <f t="shared" si="109"/>
        <v>392673.93686498189</v>
      </c>
    </row>
    <row r="12" spans="1:83" x14ac:dyDescent="0.15">
      <c r="B12" s="45" t="s">
        <v>42</v>
      </c>
      <c r="C12" s="18">
        <f>C11/C6</f>
        <v>0.15984669519105282</v>
      </c>
      <c r="D12" s="18">
        <f t="shared" ref="D12:BB12" si="111">D11/D6</f>
        <v>0.15333136502312764</v>
      </c>
      <c r="E12" s="18">
        <f t="shared" si="111"/>
        <v>0.16432147312897774</v>
      </c>
      <c r="F12" s="18">
        <f t="shared" si="111"/>
        <v>0.16078638723322439</v>
      </c>
      <c r="G12" s="18">
        <f t="shared" si="111"/>
        <v>0.23329964804683417</v>
      </c>
      <c r="H12" s="18">
        <f t="shared" si="111"/>
        <v>0.23264160128610084</v>
      </c>
      <c r="I12" s="18">
        <f t="shared" si="111"/>
        <v>0.23377218337896355</v>
      </c>
      <c r="J12" s="18">
        <f t="shared" si="111"/>
        <v>0.24146695715323166</v>
      </c>
      <c r="K12" s="18">
        <f t="shared" si="111"/>
        <v>0.24364342623241828</v>
      </c>
      <c r="L12" s="18">
        <f t="shared" si="111"/>
        <v>0.23531179408534184</v>
      </c>
      <c r="M12" s="18">
        <f t="shared" si="111"/>
        <v>0.24114735499934742</v>
      </c>
      <c r="N12" s="18">
        <f t="shared" si="111"/>
        <v>0.24237955669536546</v>
      </c>
      <c r="O12" s="18">
        <f t="shared" si="111"/>
        <v>0.23937469057588548</v>
      </c>
      <c r="P12" s="18">
        <f t="shared" si="111"/>
        <v>0.23381626527380586</v>
      </c>
      <c r="Q12" s="18">
        <f t="shared" si="111"/>
        <v>0.24162812210915818</v>
      </c>
      <c r="R12" s="18">
        <f t="shared" si="111"/>
        <v>0.23345395038477545</v>
      </c>
      <c r="S12" s="18">
        <f t="shared" si="111"/>
        <v>0.25015283397863236</v>
      </c>
      <c r="T12" s="18">
        <f t="shared" si="111"/>
        <v>0.24127961201268419</v>
      </c>
      <c r="U12" s="18">
        <f t="shared" si="111"/>
        <v>0.24083262420632323</v>
      </c>
      <c r="V12" s="18">
        <f t="shared" si="111"/>
        <v>0.23400744913349955</v>
      </c>
      <c r="W12" s="18">
        <f t="shared" si="111"/>
        <v>0.24471732027153068</v>
      </c>
      <c r="X12" s="18">
        <f t="shared" si="111"/>
        <v>0.23209911408802639</v>
      </c>
      <c r="Y12" s="18">
        <f t="shared" si="111"/>
        <v>0.24015149290977952</v>
      </c>
      <c r="Z12" s="18">
        <f t="shared" si="111"/>
        <v>0.21627227012126923</v>
      </c>
      <c r="AA12" s="18">
        <f t="shared" si="111"/>
        <v>0.22398187041061574</v>
      </c>
      <c r="AB12" s="18">
        <f t="shared" si="111"/>
        <v>0.21458836836314954</v>
      </c>
      <c r="AC12" s="18">
        <f t="shared" si="111"/>
        <v>0.22354713676809559</v>
      </c>
      <c r="AD12" s="18">
        <f t="shared" si="111"/>
        <v>0.22970900339586095</v>
      </c>
      <c r="AE12" s="18">
        <f t="shared" si="111"/>
        <v>0.22883452796979822</v>
      </c>
      <c r="AF12" s="18">
        <f t="shared" si="111"/>
        <v>0.22186938433892131</v>
      </c>
      <c r="AG12" s="18">
        <f t="shared" si="111"/>
        <v>0.21420372908787633</v>
      </c>
      <c r="AH12" s="18">
        <f t="shared" si="111"/>
        <v>0.21733517232530913</v>
      </c>
      <c r="AI12" s="18">
        <f t="shared" si="111"/>
        <v>0.21778005389930402</v>
      </c>
      <c r="AJ12" s="18">
        <f t="shared" si="111"/>
        <v>0.20560534076375733</v>
      </c>
      <c r="AK12" s="18">
        <f t="shared" si="111"/>
        <v>0.20980078376028527</v>
      </c>
      <c r="AL12" s="18">
        <f t="shared" si="111"/>
        <v>0.21386967158665607</v>
      </c>
      <c r="AM12" s="18">
        <f t="shared" si="111"/>
        <v>0.22630494505494506</v>
      </c>
      <c r="AN12" s="18">
        <f t="shared" si="111"/>
        <v>0.22490711277937617</v>
      </c>
      <c r="AO12" s="18">
        <f t="shared" si="111"/>
        <v>0.22848176312826593</v>
      </c>
      <c r="AP12" s="18">
        <f t="shared" si="111"/>
        <v>0.22821629979016969</v>
      </c>
      <c r="AQ12" s="102">
        <f t="shared" si="111"/>
        <v>0.23143639734147178</v>
      </c>
      <c r="AR12" s="102">
        <f t="shared" si="111"/>
        <v>0.22716338318317536</v>
      </c>
      <c r="AS12" s="102">
        <f t="shared" si="111"/>
        <v>0.2303384619269791</v>
      </c>
      <c r="AT12" s="102">
        <f t="shared" si="111"/>
        <v>0.21866603048642677</v>
      </c>
      <c r="AU12" s="102">
        <f t="shared" si="111"/>
        <v>0.22848285534357762</v>
      </c>
      <c r="AV12" s="102">
        <f t="shared" si="111"/>
        <v>0.22546170259730705</v>
      </c>
      <c r="AW12" s="102">
        <f t="shared" si="111"/>
        <v>0.22551379043307321</v>
      </c>
      <c r="AX12" s="102">
        <f t="shared" si="111"/>
        <v>0.22824045456706765</v>
      </c>
      <c r="AY12" s="102">
        <f t="shared" si="111"/>
        <v>0.23311456872516034</v>
      </c>
      <c r="AZ12" s="102">
        <f t="shared" si="111"/>
        <v>0.22886044868991962</v>
      </c>
      <c r="BA12" s="102">
        <f t="shared" si="111"/>
        <v>0.2258109145559061</v>
      </c>
      <c r="BB12" s="102">
        <f t="shared" si="111"/>
        <v>0.22772686802273817</v>
      </c>
      <c r="BC12" s="18">
        <f>BC17+18%</f>
        <v>0.22645139597303193</v>
      </c>
      <c r="BD12" s="18">
        <f t="shared" ref="BD12:BN12" si="112">BD17+18%</f>
        <v>0.22323277699420799</v>
      </c>
      <c r="BE12" s="18">
        <f t="shared" si="112"/>
        <v>0.22804653501607075</v>
      </c>
      <c r="BF12" s="18">
        <f t="shared" si="112"/>
        <v>0.21741634200083729</v>
      </c>
      <c r="BG12" s="18">
        <f t="shared" si="112"/>
        <v>0.230506341790925</v>
      </c>
      <c r="BH12" s="18">
        <f t="shared" si="112"/>
        <v>0.22723263243521219</v>
      </c>
      <c r="BI12" s="18">
        <f t="shared" si="112"/>
        <v>0.23244121633447107</v>
      </c>
      <c r="BJ12" s="18">
        <f t="shared" si="112"/>
        <v>0.22210900962585026</v>
      </c>
      <c r="BK12" s="18">
        <f t="shared" si="112"/>
        <v>0.23489458271500824</v>
      </c>
      <c r="BL12" s="18">
        <f t="shared" si="112"/>
        <v>0.23148309345985091</v>
      </c>
      <c r="BM12" s="18">
        <f t="shared" si="112"/>
        <v>0.23701803977115113</v>
      </c>
      <c r="BN12" s="18">
        <f t="shared" si="112"/>
        <v>0.22708640604381355</v>
      </c>
      <c r="BO12" s="18"/>
      <c r="BP12" s="18">
        <f>BP11/BP6</f>
        <v>0.15962334972819053</v>
      </c>
      <c r="BQ12" s="18">
        <f t="shared" ref="BQ12:CE12" si="113">BQ11/BQ6</f>
        <v>0.23543059237659625</v>
      </c>
      <c r="BR12" s="18">
        <f t="shared" si="113"/>
        <v>0.24067461900582462</v>
      </c>
      <c r="BS12" s="18">
        <f t="shared" si="113"/>
        <v>0.23695461913419127</v>
      </c>
      <c r="BT12" s="18">
        <f t="shared" si="113"/>
        <v>0.2412283887532834</v>
      </c>
      <c r="BU12" s="18">
        <f t="shared" si="113"/>
        <v>0.23184982199802542</v>
      </c>
      <c r="BV12" s="18">
        <f t="shared" si="113"/>
        <v>0.2230643603818461</v>
      </c>
      <c r="BW12" s="18">
        <f t="shared" si="113"/>
        <v>0.22047926377435162</v>
      </c>
      <c r="BX12" s="18">
        <f t="shared" si="113"/>
        <v>0.21185267617663209</v>
      </c>
      <c r="BY12" s="18">
        <f t="shared" si="113"/>
        <v>0.22701346884181534</v>
      </c>
      <c r="BZ12" s="18">
        <f t="shared" si="113"/>
        <v>0.22682758615139598</v>
      </c>
      <c r="CA12" s="18">
        <f t="shared" si="113"/>
        <v>0.22692772259993987</v>
      </c>
      <c r="CB12" s="18">
        <f t="shared" si="113"/>
        <v>0.22885839538380334</v>
      </c>
      <c r="CC12" s="80">
        <f t="shared" si="113"/>
        <v>0.22380615613902591</v>
      </c>
      <c r="CD12" s="18">
        <f t="shared" si="113"/>
        <v>0.22809136099967373</v>
      </c>
      <c r="CE12" s="18">
        <f t="shared" si="113"/>
        <v>0.23263920955656284</v>
      </c>
    </row>
    <row r="13" spans="1:83" x14ac:dyDescent="0.15">
      <c r="B13" s="1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18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81"/>
      <c r="CD13" s="53"/>
      <c r="CE13" s="53"/>
    </row>
    <row r="14" spans="1:83" x14ac:dyDescent="0.15">
      <c r="B14" s="15" t="s">
        <v>8</v>
      </c>
      <c r="C14" s="23">
        <f>C15-C11</f>
        <v>-7276</v>
      </c>
      <c r="D14" s="23">
        <f t="shared" ref="D14:BN14" si="114">D15-D11</f>
        <v>-7193</v>
      </c>
      <c r="E14" s="23">
        <f t="shared" si="114"/>
        <v>-7379</v>
      </c>
      <c r="F14" s="23">
        <f t="shared" si="114"/>
        <v>-7768</v>
      </c>
      <c r="G14" s="23">
        <f t="shared" si="114"/>
        <v>-16176</v>
      </c>
      <c r="H14" s="23">
        <f t="shared" si="114"/>
        <v>-16952</v>
      </c>
      <c r="I14" s="23">
        <f t="shared" si="114"/>
        <v>-16424</v>
      </c>
      <c r="J14" s="23">
        <f t="shared" si="114"/>
        <v>-17192</v>
      </c>
      <c r="K14" s="23">
        <f t="shared" si="114"/>
        <v>-17719</v>
      </c>
      <c r="L14" s="23">
        <f t="shared" si="114"/>
        <v>-18089</v>
      </c>
      <c r="M14" s="23">
        <f t="shared" si="114"/>
        <v>-18042</v>
      </c>
      <c r="N14" s="23">
        <f t="shared" si="114"/>
        <v>-19204</v>
      </c>
      <c r="O14" s="23">
        <f t="shared" si="114"/>
        <v>-21966</v>
      </c>
      <c r="P14" s="23">
        <f t="shared" si="114"/>
        <v>-22942</v>
      </c>
      <c r="Q14" s="23">
        <f t="shared" si="114"/>
        <v>-23750</v>
      </c>
      <c r="R14" s="23">
        <f t="shared" si="114"/>
        <v>-25937</v>
      </c>
      <c r="S14" s="23">
        <f t="shared" si="114"/>
        <v>-25115</v>
      </c>
      <c r="T14" s="23">
        <f t="shared" si="114"/>
        <v>-26228</v>
      </c>
      <c r="U14" s="23">
        <f t="shared" si="114"/>
        <v>-28165</v>
      </c>
      <c r="V14" s="23">
        <f t="shared" si="114"/>
        <v>-29889</v>
      </c>
      <c r="W14" s="23">
        <f t="shared" si="114"/>
        <v>-30505</v>
      </c>
      <c r="X14" s="23">
        <f t="shared" si="114"/>
        <v>-30902</v>
      </c>
      <c r="Y14" s="23">
        <f t="shared" si="114"/>
        <v>-31017</v>
      </c>
      <c r="Z14" s="23">
        <f t="shared" si="114"/>
        <v>-38946</v>
      </c>
      <c r="AA14" s="23">
        <f t="shared" si="114"/>
        <v>-39074</v>
      </c>
      <c r="AB14" s="23">
        <f t="shared" si="114"/>
        <v>-39645</v>
      </c>
      <c r="AC14" s="23">
        <f t="shared" si="114"/>
        <v>-40459</v>
      </c>
      <c r="AD14" s="23">
        <f t="shared" si="114"/>
        <v>-43228</v>
      </c>
      <c r="AE14" s="23">
        <f t="shared" si="114"/>
        <v>-43769</v>
      </c>
      <c r="AF14" s="23">
        <f t="shared" si="114"/>
        <v>-44019</v>
      </c>
      <c r="AG14" s="23">
        <f t="shared" si="114"/>
        <v>-43594</v>
      </c>
      <c r="AH14" s="23">
        <f t="shared" si="114"/>
        <v>-43524</v>
      </c>
      <c r="AI14" s="23">
        <f t="shared" si="114"/>
        <v>-42967</v>
      </c>
      <c r="AJ14" s="23">
        <f t="shared" si="114"/>
        <v>-42204</v>
      </c>
      <c r="AK14" s="23">
        <f t="shared" si="114"/>
        <v>-41560</v>
      </c>
      <c r="AL14" s="23">
        <f t="shared" si="114"/>
        <v>-48958</v>
      </c>
      <c r="AM14" s="23">
        <f t="shared" si="114"/>
        <v>-43701</v>
      </c>
      <c r="AN14" s="23">
        <f t="shared" si="114"/>
        <v>-45544</v>
      </c>
      <c r="AO14" s="23">
        <f t="shared" si="114"/>
        <v>-46720</v>
      </c>
      <c r="AP14" s="23">
        <f t="shared" si="114"/>
        <v>-56729</v>
      </c>
      <c r="AQ14" s="103">
        <f t="shared" si="114"/>
        <v>-52103</v>
      </c>
      <c r="AR14" s="104">
        <f t="shared" si="114"/>
        <v>-53036</v>
      </c>
      <c r="AS14" s="104">
        <f t="shared" si="114"/>
        <v>-64105</v>
      </c>
      <c r="AT14" s="104">
        <f t="shared" si="114"/>
        <v>-69861</v>
      </c>
      <c r="AU14" s="104">
        <f t="shared" si="114"/>
        <v>-60428</v>
      </c>
      <c r="AV14" s="104">
        <f t="shared" si="114"/>
        <v>-61838</v>
      </c>
      <c r="AW14" s="104">
        <f t="shared" si="114"/>
        <v>-61172</v>
      </c>
      <c r="AX14" s="104">
        <f t="shared" si="114"/>
        <v>-65658</v>
      </c>
      <c r="AY14" s="104">
        <f t="shared" si="114"/>
        <v>-67145</v>
      </c>
      <c r="AZ14" s="104">
        <f t="shared" si="114"/>
        <v>-66515</v>
      </c>
      <c r="BA14" s="104">
        <f t="shared" si="114"/>
        <v>-66922</v>
      </c>
      <c r="BB14" s="104">
        <f t="shared" si="114"/>
        <v>-74120</v>
      </c>
      <c r="BC14" s="23">
        <f t="shared" si="114"/>
        <v>-68826.816000000006</v>
      </c>
      <c r="BD14" s="23">
        <f t="shared" si="114"/>
        <v>-68130.689400000003</v>
      </c>
      <c r="BE14" s="23">
        <f t="shared" si="114"/>
        <v>-70416.171000000002</v>
      </c>
      <c r="BF14" s="23">
        <f t="shared" si="114"/>
        <v>-69108.420600000012</v>
      </c>
      <c r="BG14" s="23">
        <f t="shared" si="114"/>
        <v>-72090.286848000018</v>
      </c>
      <c r="BH14" s="23">
        <f t="shared" si="114"/>
        <v>-71423.534538000007</v>
      </c>
      <c r="BI14" s="23">
        <f t="shared" si="114"/>
        <v>-73808.591382000013</v>
      </c>
      <c r="BJ14" s="23">
        <f t="shared" si="114"/>
        <v>-72516.623741999996</v>
      </c>
      <c r="BK14" s="23">
        <f t="shared" si="114"/>
        <v>-75511.508156640019</v>
      </c>
      <c r="BL14" s="23">
        <f t="shared" si="114"/>
        <v>-74876.751441540022</v>
      </c>
      <c r="BM14" s="23">
        <f t="shared" si="114"/>
        <v>-77354.495688060008</v>
      </c>
      <c r="BN14" s="23">
        <f t="shared" si="114"/>
        <v>-76080.958568460017</v>
      </c>
      <c r="BO14" s="24"/>
      <c r="BP14" s="25">
        <f t="shared" ref="BP14:CE15" si="115">SUMIF($C$5:$BO$5,BP$3,$C14:$BO14)</f>
        <v>-29616</v>
      </c>
      <c r="BQ14" s="25">
        <f t="shared" si="115"/>
        <v>-66744</v>
      </c>
      <c r="BR14" s="25">
        <f t="shared" si="115"/>
        <v>-73054</v>
      </c>
      <c r="BS14" s="25">
        <f t="shared" si="115"/>
        <v>-94595</v>
      </c>
      <c r="BT14" s="25">
        <f t="shared" si="115"/>
        <v>-109397</v>
      </c>
      <c r="BU14" s="25">
        <f t="shared" si="115"/>
        <v>-131370</v>
      </c>
      <c r="BV14" s="25">
        <f t="shared" si="115"/>
        <v>-162406</v>
      </c>
      <c r="BW14" s="25">
        <f t="shared" si="115"/>
        <v>-174906</v>
      </c>
      <c r="BX14" s="25">
        <f t="shared" si="115"/>
        <v>-175689</v>
      </c>
      <c r="BY14" s="25">
        <f t="shared" si="115"/>
        <v>-192694</v>
      </c>
      <c r="BZ14" s="25">
        <f t="shared" si="115"/>
        <v>-239105</v>
      </c>
      <c r="CA14" s="25">
        <f t="shared" si="115"/>
        <v>-249096</v>
      </c>
      <c r="CB14" s="25">
        <f t="shared" si="115"/>
        <v>-274702</v>
      </c>
      <c r="CC14" s="82">
        <f t="shared" si="115"/>
        <v>-276482.09700000007</v>
      </c>
      <c r="CD14" s="25">
        <f t="shared" si="115"/>
        <v>-289839.03651000001</v>
      </c>
      <c r="CE14" s="25">
        <f t="shared" si="115"/>
        <v>-303823.71385470009</v>
      </c>
    </row>
    <row r="15" spans="1:83" x14ac:dyDescent="0.15">
      <c r="B15" s="1" t="s">
        <v>9</v>
      </c>
      <c r="C15" s="21">
        <v>2400</v>
      </c>
      <c r="D15" s="21">
        <v>2155</v>
      </c>
      <c r="E15" s="21">
        <v>3026</v>
      </c>
      <c r="F15" s="21">
        <v>2267</v>
      </c>
      <c r="G15" s="21">
        <v>3909</v>
      </c>
      <c r="H15" s="21">
        <v>3597</v>
      </c>
      <c r="I15" s="21">
        <v>5008</v>
      </c>
      <c r="J15" s="21">
        <v>6083</v>
      </c>
      <c r="K15" s="21">
        <v>5614</v>
      </c>
      <c r="L15" s="21">
        <v>4620</v>
      </c>
      <c r="M15" s="21">
        <v>5977</v>
      </c>
      <c r="N15" s="21">
        <v>7259</v>
      </c>
      <c r="O15" s="21">
        <v>6561</v>
      </c>
      <c r="P15" s="21">
        <v>6737</v>
      </c>
      <c r="Q15" s="21">
        <v>7594</v>
      </c>
      <c r="R15" s="21">
        <v>7160</v>
      </c>
      <c r="S15" s="21">
        <v>9257</v>
      </c>
      <c r="T15" s="21">
        <v>7403</v>
      </c>
      <c r="U15" s="21">
        <v>8627</v>
      </c>
      <c r="V15" s="21">
        <v>8122</v>
      </c>
      <c r="W15" s="21">
        <v>9114</v>
      </c>
      <c r="X15" s="21">
        <v>6903</v>
      </c>
      <c r="Y15" s="21">
        <v>9882</v>
      </c>
      <c r="Z15" s="21">
        <v>10169</v>
      </c>
      <c r="AA15" s="21">
        <v>11530</v>
      </c>
      <c r="AB15" s="21">
        <v>8923</v>
      </c>
      <c r="AC15" s="21">
        <v>11621</v>
      </c>
      <c r="AD15" s="21">
        <v>12037</v>
      </c>
      <c r="AE15" s="21">
        <v>10057</v>
      </c>
      <c r="AF15" s="21">
        <v>10059</v>
      </c>
      <c r="AG15" s="21">
        <v>8287</v>
      </c>
      <c r="AH15" s="21">
        <v>10682</v>
      </c>
      <c r="AI15" s="21">
        <v>8913</v>
      </c>
      <c r="AJ15" s="21">
        <v>4578</v>
      </c>
      <c r="AK15" s="21">
        <v>8390</v>
      </c>
      <c r="AL15" s="21">
        <v>3843</v>
      </c>
      <c r="AM15" s="21">
        <v>12973</v>
      </c>
      <c r="AN15" s="21">
        <v>13475</v>
      </c>
      <c r="AO15" s="21">
        <v>14363</v>
      </c>
      <c r="AP15" s="21">
        <v>7332</v>
      </c>
      <c r="AQ15" s="100">
        <v>17436</v>
      </c>
      <c r="AR15" s="98">
        <v>16655</v>
      </c>
      <c r="AS15" s="98">
        <v>8863</v>
      </c>
      <c r="AT15" s="98">
        <v>-201</v>
      </c>
      <c r="AU15" s="98">
        <v>14675</v>
      </c>
      <c r="AV15" s="98">
        <v>11704</v>
      </c>
      <c r="AW15" s="98">
        <v>14542</v>
      </c>
      <c r="AX15" s="98">
        <v>11144</v>
      </c>
      <c r="AY15" s="98">
        <v>16966</v>
      </c>
      <c r="AZ15" s="98">
        <v>15136</v>
      </c>
      <c r="BA15" s="98">
        <v>16318</v>
      </c>
      <c r="BB15" s="98">
        <v>9006</v>
      </c>
      <c r="BC15" s="21">
        <f>BC30</f>
        <v>17761.676019883394</v>
      </c>
      <c r="BD15" s="21">
        <f t="shared" ref="BD15:BN15" si="116">BD30</f>
        <v>16363.771673843614</v>
      </c>
      <c r="BE15" s="21">
        <f t="shared" si="116"/>
        <v>18795.850142495146</v>
      </c>
      <c r="BF15" s="21">
        <f t="shared" si="116"/>
        <v>14365.468335040605</v>
      </c>
      <c r="BG15" s="21">
        <f t="shared" si="116"/>
        <v>20227.87037417174</v>
      </c>
      <c r="BH15" s="21">
        <f t="shared" si="116"/>
        <v>18741.78641142798</v>
      </c>
      <c r="BI15" s="21">
        <f t="shared" si="116"/>
        <v>21503.401711144663</v>
      </c>
      <c r="BJ15" s="21">
        <f t="shared" si="116"/>
        <v>16964.462262144662</v>
      </c>
      <c r="BK15" s="21">
        <f t="shared" si="116"/>
        <v>23028.737391331633</v>
      </c>
      <c r="BL15" s="21">
        <f t="shared" si="116"/>
        <v>21416.037735749058</v>
      </c>
      <c r="BM15" s="21">
        <f t="shared" si="116"/>
        <v>24503.34284232858</v>
      </c>
      <c r="BN15" s="21">
        <f t="shared" si="116"/>
        <v>19902.105040872579</v>
      </c>
      <c r="BO15" s="26"/>
      <c r="BP15" s="28">
        <f t="shared" si="115"/>
        <v>9848</v>
      </c>
      <c r="BQ15" s="28">
        <f t="shared" si="115"/>
        <v>18597</v>
      </c>
      <c r="BR15" s="28">
        <f t="shared" si="115"/>
        <v>23470</v>
      </c>
      <c r="BS15" s="28">
        <f t="shared" si="115"/>
        <v>28052</v>
      </c>
      <c r="BT15" s="28">
        <f t="shared" si="115"/>
        <v>33409</v>
      </c>
      <c r="BU15" s="28">
        <f t="shared" si="115"/>
        <v>36068</v>
      </c>
      <c r="BV15" s="28">
        <f t="shared" si="115"/>
        <v>44111</v>
      </c>
      <c r="BW15" s="28">
        <f t="shared" si="115"/>
        <v>39085</v>
      </c>
      <c r="BX15" s="28">
        <f t="shared" si="115"/>
        <v>25724</v>
      </c>
      <c r="BY15" s="28">
        <f t="shared" si="115"/>
        <v>48143</v>
      </c>
      <c r="BZ15" s="28">
        <f t="shared" si="115"/>
        <v>42753</v>
      </c>
      <c r="CA15" s="28">
        <f t="shared" si="115"/>
        <v>52065</v>
      </c>
      <c r="CB15" s="28">
        <f t="shared" si="115"/>
        <v>57426</v>
      </c>
      <c r="CC15" s="83">
        <f t="shared" si="115"/>
        <v>67286.76617126276</v>
      </c>
      <c r="CD15" s="28">
        <f t="shared" si="115"/>
        <v>77437.520758889048</v>
      </c>
      <c r="CE15" s="28">
        <f t="shared" si="115"/>
        <v>88850.223010281858</v>
      </c>
    </row>
    <row r="16" spans="1:83" s="19" customFormat="1" x14ac:dyDescent="0.15">
      <c r="A16" s="1"/>
      <c r="B16" s="45" t="s">
        <v>21</v>
      </c>
      <c r="C16" s="16"/>
      <c r="D16" s="16"/>
      <c r="E16" s="16"/>
      <c r="F16" s="16"/>
      <c r="G16" s="17">
        <f>G15/C15-1</f>
        <v>0.62874999999999992</v>
      </c>
      <c r="H16" s="17">
        <f t="shared" ref="H16:AO16" si="117">H15/D15-1</f>
        <v>0.66914153132250576</v>
      </c>
      <c r="I16" s="17">
        <f t="shared" si="117"/>
        <v>0.65499008592200925</v>
      </c>
      <c r="J16" s="17">
        <f t="shared" si="117"/>
        <v>1.6832818703131891</v>
      </c>
      <c r="K16" s="17">
        <f t="shared" si="117"/>
        <v>0.43617293425428505</v>
      </c>
      <c r="L16" s="17">
        <f t="shared" si="117"/>
        <v>0.28440366972477071</v>
      </c>
      <c r="M16" s="17">
        <f t="shared" si="117"/>
        <v>0.19349041533546329</v>
      </c>
      <c r="N16" s="17">
        <f t="shared" si="117"/>
        <v>0.19332566168009202</v>
      </c>
      <c r="O16" s="17">
        <f>O15/K15-1</f>
        <v>0.16868542928393304</v>
      </c>
      <c r="P16" s="17">
        <f>P15/L15-1</f>
        <v>0.45822510822510831</v>
      </c>
      <c r="Q16" s="17">
        <f>Q15/M15-1</f>
        <v>0.27053705872511302</v>
      </c>
      <c r="R16" s="17">
        <f>R15/N15-1</f>
        <v>-1.3638242182118732E-2</v>
      </c>
      <c r="S16" s="17">
        <f t="shared" si="117"/>
        <v>0.41091297058375242</v>
      </c>
      <c r="T16" s="17">
        <f t="shared" si="117"/>
        <v>9.8857058037702172E-2</v>
      </c>
      <c r="U16" s="17">
        <f t="shared" si="117"/>
        <v>0.13602844350803256</v>
      </c>
      <c r="V16" s="17">
        <f t="shared" si="117"/>
        <v>0.13435754189944138</v>
      </c>
      <c r="W16" s="17">
        <f t="shared" si="117"/>
        <v>-1.5447769255698351E-2</v>
      </c>
      <c r="X16" s="17">
        <f t="shared" si="117"/>
        <v>-6.7540186410914527E-2</v>
      </c>
      <c r="Y16" s="17">
        <f t="shared" si="117"/>
        <v>0.14547351338819992</v>
      </c>
      <c r="Z16" s="17">
        <f t="shared" si="117"/>
        <v>0.25203151933021428</v>
      </c>
      <c r="AA16" s="17">
        <f t="shared" si="117"/>
        <v>0.26508667983322365</v>
      </c>
      <c r="AB16" s="17">
        <f t="shared" si="117"/>
        <v>0.29262639432130966</v>
      </c>
      <c r="AC16" s="17">
        <f t="shared" si="117"/>
        <v>0.17597652297105859</v>
      </c>
      <c r="AD16" s="17">
        <f t="shared" si="117"/>
        <v>0.18369554528468868</v>
      </c>
      <c r="AE16" s="17">
        <f t="shared" si="117"/>
        <v>-0.12775368603642667</v>
      </c>
      <c r="AF16" s="17">
        <f t="shared" si="117"/>
        <v>0.12731144234002012</v>
      </c>
      <c r="AG16" s="17">
        <f t="shared" si="117"/>
        <v>-0.28689441528267789</v>
      </c>
      <c r="AH16" s="17">
        <f t="shared" si="117"/>
        <v>-0.11256957713716043</v>
      </c>
      <c r="AI16" s="17">
        <f t="shared" si="117"/>
        <v>-0.11375161578999704</v>
      </c>
      <c r="AJ16" s="17">
        <f t="shared" si="117"/>
        <v>-0.54488517745302711</v>
      </c>
      <c r="AK16" s="17">
        <f t="shared" si="117"/>
        <v>1.242910582840584E-2</v>
      </c>
      <c r="AL16" s="17">
        <f t="shared" si="117"/>
        <v>-0.64023591087811271</v>
      </c>
      <c r="AM16" s="17">
        <f t="shared" si="117"/>
        <v>0.45551441714349816</v>
      </c>
      <c r="AN16" s="17">
        <f t="shared" si="117"/>
        <v>1.9434250764525993</v>
      </c>
      <c r="AO16" s="17">
        <f t="shared" si="117"/>
        <v>0.7119189511323003</v>
      </c>
      <c r="AP16" s="17">
        <f>AP15/AL15-1</f>
        <v>0.90788446526151434</v>
      </c>
      <c r="AQ16" s="102">
        <f>AQ15/AM15-1</f>
        <v>0.34402219995375005</v>
      </c>
      <c r="AR16" s="102">
        <f>AR15/AN15-1</f>
        <v>0.23599257884972169</v>
      </c>
      <c r="AS16" s="102">
        <f>AS15/AO15-1</f>
        <v>-0.38292835758546262</v>
      </c>
      <c r="AT16" s="102">
        <f>AT15/AP15-1</f>
        <v>-1.0274140752864158</v>
      </c>
      <c r="AU16" s="102">
        <f t="shared" ref="AU16:AV16" si="118">AU15/AQ15-1</f>
        <v>-0.15835053911447583</v>
      </c>
      <c r="AV16" s="102">
        <f t="shared" si="118"/>
        <v>-0.29726808766136292</v>
      </c>
      <c r="AW16" s="102">
        <f t="shared" ref="AW16" si="119">AW15/AS15-1</f>
        <v>0.64075369513708669</v>
      </c>
      <c r="AX16" s="102">
        <f t="shared" ref="AX16" si="120">AX15/AT15-1</f>
        <v>-56.442786069651739</v>
      </c>
      <c r="AY16" s="102">
        <f t="shared" ref="AY16" si="121">AY15/AU15-1</f>
        <v>0.15611584327086891</v>
      </c>
      <c r="AZ16" s="102">
        <f t="shared" ref="AZ16" si="122">AZ15/AV15-1</f>
        <v>0.29323308270676685</v>
      </c>
      <c r="BA16" s="102">
        <f t="shared" ref="BA16" si="123">BA15/AW15-1</f>
        <v>0.12212900563883933</v>
      </c>
      <c r="BB16" s="102">
        <f t="shared" ref="BB16" si="124">BB15/AX15-1</f>
        <v>-0.19185211773151467</v>
      </c>
      <c r="BC16" s="17">
        <f t="shared" ref="BC16" si="125">BC15/AY15-1</f>
        <v>4.6898268294435663E-2</v>
      </c>
      <c r="BD16" s="17">
        <f t="shared" ref="BD16" si="126">BD15/AZ15-1</f>
        <v>8.1115993250767238E-2</v>
      </c>
      <c r="BE16" s="17">
        <f t="shared" ref="BE16" si="127">BE15/BA15-1</f>
        <v>0.15184766163103003</v>
      </c>
      <c r="BF16" s="17">
        <f t="shared" ref="BF16" si="128">BF15/BB15-1</f>
        <v>0.59509974850550806</v>
      </c>
      <c r="BG16" s="17">
        <f t="shared" ref="BG16" si="129">BG15/BC15-1</f>
        <v>0.13884919145735752</v>
      </c>
      <c r="BH16" s="17">
        <f t="shared" ref="BH16" si="130">BH15/BD15-1</f>
        <v>0.14532192119164455</v>
      </c>
      <c r="BI16" s="17">
        <f t="shared" ref="BI16" si="131">BI15/BE15-1</f>
        <v>0.14405049774939793</v>
      </c>
      <c r="BJ16" s="17">
        <f t="shared" ref="BJ16" si="132">BJ15/BF15-1</f>
        <v>0.18091954028150448</v>
      </c>
      <c r="BK16" s="17">
        <f t="shared" ref="BK16" si="133">BK15/BG15-1</f>
        <v>0.13846573887166214</v>
      </c>
      <c r="BL16" s="17">
        <f t="shared" ref="BL16" si="134">BL15/BH15-1</f>
        <v>0.14268924346989831</v>
      </c>
      <c r="BM16" s="17">
        <f t="shared" ref="BM16" si="135">BM15/BI15-1</f>
        <v>0.13951007247514347</v>
      </c>
      <c r="BN16" s="17">
        <f t="shared" ref="BN16" si="136">BN15/BJ15-1</f>
        <v>0.17316450903858693</v>
      </c>
      <c r="BO16" s="18"/>
      <c r="BP16" s="20"/>
      <c r="BQ16" s="19">
        <f>BQ15/BP15-1</f>
        <v>0.88840373679935003</v>
      </c>
      <c r="BR16" s="19">
        <f t="shared" ref="BR16:CB16" si="137">BR15/BQ15-1</f>
        <v>0.26203151045867612</v>
      </c>
      <c r="BS16" s="19">
        <f t="shared" si="137"/>
        <v>0.19522795057520237</v>
      </c>
      <c r="BT16" s="19">
        <f t="shared" si="137"/>
        <v>0.19096677598745182</v>
      </c>
      <c r="BU16" s="19">
        <f t="shared" si="137"/>
        <v>7.9589332215870057E-2</v>
      </c>
      <c r="BV16" s="19">
        <f t="shared" si="137"/>
        <v>0.22299545303315949</v>
      </c>
      <c r="BW16" s="19">
        <f t="shared" si="137"/>
        <v>-0.11393983360159599</v>
      </c>
      <c r="BX16" s="17">
        <f t="shared" si="137"/>
        <v>-0.34184469745426638</v>
      </c>
      <c r="BY16" s="17">
        <f t="shared" si="137"/>
        <v>0.87152075882444402</v>
      </c>
      <c r="BZ16" s="17">
        <f t="shared" si="137"/>
        <v>-0.11195812475333899</v>
      </c>
      <c r="CA16" s="19">
        <f t="shared" si="137"/>
        <v>0.217809276541997</v>
      </c>
      <c r="CB16" s="19">
        <f t="shared" si="137"/>
        <v>0.10296744454047824</v>
      </c>
      <c r="CC16" s="77">
        <f t="shared" ref="CC16" si="138">CC15/CB15-1</f>
        <v>0.17171257220183822</v>
      </c>
      <c r="CD16" s="19">
        <f t="shared" ref="CD16" si="139">CD15/CC15-1</f>
        <v>0.15085811319554154</v>
      </c>
      <c r="CE16" s="19">
        <f t="shared" ref="CE16" si="140">CE15/CD15-1</f>
        <v>0.14737948916168975</v>
      </c>
    </row>
    <row r="17" spans="1:83" s="19" customFormat="1" x14ac:dyDescent="0.15">
      <c r="A17" s="1"/>
      <c r="B17" s="45" t="s">
        <v>10</v>
      </c>
      <c r="C17" s="17">
        <f t="shared" ref="C17:AH17" si="141">C15/C6</f>
        <v>3.9647795417375647E-2</v>
      </c>
      <c r="D17" s="17">
        <f t="shared" si="141"/>
        <v>3.5347570777154481E-2</v>
      </c>
      <c r="E17" s="17">
        <f t="shared" si="141"/>
        <v>4.7788253501997759E-2</v>
      </c>
      <c r="F17" s="17">
        <f t="shared" si="141"/>
        <v>3.6323142985323333E-2</v>
      </c>
      <c r="G17" s="17">
        <f t="shared" si="141"/>
        <v>4.5405443077673621E-2</v>
      </c>
      <c r="H17" s="17">
        <f t="shared" si="141"/>
        <v>4.0722752436912001E-2</v>
      </c>
      <c r="I17" s="17">
        <f t="shared" si="141"/>
        <v>5.462537767645808E-2</v>
      </c>
      <c r="J17" s="17">
        <f t="shared" si="141"/>
        <v>6.3108206245461151E-2</v>
      </c>
      <c r="K17" s="17">
        <f t="shared" si="141"/>
        <v>5.8621445800745561E-2</v>
      </c>
      <c r="L17" s="17">
        <f t="shared" si="141"/>
        <v>4.7872671129256215E-2</v>
      </c>
      <c r="M17" s="17">
        <f t="shared" si="141"/>
        <v>6.0008232683754506E-2</v>
      </c>
      <c r="N17" s="17">
        <f t="shared" si="141"/>
        <v>6.6486535995603585E-2</v>
      </c>
      <c r="O17" s="17">
        <f t="shared" si="141"/>
        <v>5.5054416688343835E-2</v>
      </c>
      <c r="P17" s="17">
        <f t="shared" si="141"/>
        <v>5.3075244420284717E-2</v>
      </c>
      <c r="Q17" s="17">
        <f t="shared" si="141"/>
        <v>5.8541473943879124E-2</v>
      </c>
      <c r="R17" s="17">
        <f t="shared" si="141"/>
        <v>5.0503981773423336E-2</v>
      </c>
      <c r="S17" s="17">
        <f t="shared" si="141"/>
        <v>6.737067334284301E-2</v>
      </c>
      <c r="T17" s="17">
        <f t="shared" si="141"/>
        <v>5.3111503307362286E-2</v>
      </c>
      <c r="U17" s="17">
        <f t="shared" si="141"/>
        <v>5.6470511226026053E-2</v>
      </c>
      <c r="V17" s="17">
        <f t="shared" si="141"/>
        <v>5.0001539077169331E-2</v>
      </c>
      <c r="W17" s="17">
        <f t="shared" si="141"/>
        <v>5.6295051792188862E-2</v>
      </c>
      <c r="X17" s="17">
        <f t="shared" si="141"/>
        <v>4.2380113332883114E-2</v>
      </c>
      <c r="Y17" s="17">
        <f t="shared" si="141"/>
        <v>5.8025307536478672E-2</v>
      </c>
      <c r="Z17" s="17">
        <f t="shared" si="141"/>
        <v>4.4778025345885916E-2</v>
      </c>
      <c r="AA17" s="17">
        <f t="shared" si="141"/>
        <v>5.1033731836107807E-2</v>
      </c>
      <c r="AB17" s="17">
        <f t="shared" si="141"/>
        <v>3.9424559605180022E-2</v>
      </c>
      <c r="AC17" s="17">
        <f t="shared" si="141"/>
        <v>4.9881744938211195E-2</v>
      </c>
      <c r="AD17" s="17">
        <f t="shared" si="141"/>
        <v>5.0031797229276725E-2</v>
      </c>
      <c r="AE17" s="17">
        <f t="shared" si="141"/>
        <v>4.2756081592395141E-2</v>
      </c>
      <c r="AF17" s="17">
        <f t="shared" si="141"/>
        <v>4.1269724047953128E-2</v>
      </c>
      <c r="AG17" s="17">
        <f t="shared" si="141"/>
        <v>3.4214959290515434E-2</v>
      </c>
      <c r="AH17" s="17">
        <f t="shared" si="141"/>
        <v>4.2828733180440393E-2</v>
      </c>
      <c r="AI17" s="17">
        <f t="shared" ref="AI17:AP17" si="142">AI15/AI6</f>
        <v>3.7414680424142185E-2</v>
      </c>
      <c r="AJ17" s="17">
        <f t="shared" si="142"/>
        <v>2.0120158394606496E-2</v>
      </c>
      <c r="AK17" s="17">
        <f t="shared" si="142"/>
        <v>3.5239811326302169E-2</v>
      </c>
      <c r="AL17" s="17">
        <f t="shared" si="142"/>
        <v>1.5566014808574067E-2</v>
      </c>
      <c r="AM17" s="17">
        <f t="shared" si="142"/>
        <v>5.1802485305392283E-2</v>
      </c>
      <c r="AN17" s="17">
        <f t="shared" si="142"/>
        <v>5.1349960939732868E-2</v>
      </c>
      <c r="AO17" s="17">
        <f t="shared" si="142"/>
        <v>5.3724989994127392E-2</v>
      </c>
      <c r="AP17" s="17">
        <f t="shared" si="142"/>
        <v>2.6120134091904966E-2</v>
      </c>
      <c r="AQ17" s="102">
        <f t="shared" ref="AQ17:AV17" si="143">AQ15/AQ6</f>
        <v>5.8029667151467547E-2</v>
      </c>
      <c r="AR17" s="102">
        <f t="shared" si="143"/>
        <v>5.4288303323467672E-2</v>
      </c>
      <c r="AS17" s="102">
        <f t="shared" si="143"/>
        <v>2.7977877810256766E-2</v>
      </c>
      <c r="AT17" s="102">
        <f t="shared" si="143"/>
        <v>-6.3094849451294545E-4</v>
      </c>
      <c r="AU17" s="102">
        <f t="shared" si="143"/>
        <v>4.4645166000918765E-2</v>
      </c>
      <c r="AV17" s="102">
        <f t="shared" si="143"/>
        <v>3.5881588305986804E-2</v>
      </c>
      <c r="AW17" s="102">
        <f t="shared" ref="AW17:BB17" si="144">AW15/AW6</f>
        <v>4.3313278131887768E-2</v>
      </c>
      <c r="AX17" s="102">
        <f t="shared" si="144"/>
        <v>3.3117778517426658E-2</v>
      </c>
      <c r="AY17" s="102">
        <f t="shared" si="144"/>
        <v>4.7021457038806697E-2</v>
      </c>
      <c r="AZ17" s="102">
        <f t="shared" si="144"/>
        <v>4.2424853968360744E-2</v>
      </c>
      <c r="BA17" s="102">
        <f t="shared" si="144"/>
        <v>4.4266969050015328E-2</v>
      </c>
      <c r="BB17" s="102">
        <f t="shared" si="144"/>
        <v>2.4672282720361618E-2</v>
      </c>
      <c r="BC17" s="17">
        <f t="shared" ref="BC17:BJ17" si="145">BC15/BC6</f>
        <v>4.6451395973031939E-2</v>
      </c>
      <c r="BD17" s="17">
        <f t="shared" si="145"/>
        <v>4.3232776994207994E-2</v>
      </c>
      <c r="BE17" s="17">
        <f t="shared" si="145"/>
        <v>4.8046535016070757E-2</v>
      </c>
      <c r="BF17" s="17">
        <f t="shared" si="145"/>
        <v>3.7416342000837287E-2</v>
      </c>
      <c r="BG17" s="17">
        <f t="shared" si="145"/>
        <v>5.0506341790924995E-2</v>
      </c>
      <c r="BH17" s="17">
        <f t="shared" si="145"/>
        <v>4.7232632435212182E-2</v>
      </c>
      <c r="BI17" s="17">
        <f t="shared" si="145"/>
        <v>5.2441216334471068E-2</v>
      </c>
      <c r="BJ17" s="17">
        <f t="shared" si="145"/>
        <v>4.2109009625850256E-2</v>
      </c>
      <c r="BK17" s="17">
        <f t="shared" ref="BK17:BN17" si="146">BK15/BK6</f>
        <v>5.4894582715008231E-2</v>
      </c>
      <c r="BL17" s="17">
        <f t="shared" si="146"/>
        <v>5.1483093459850908E-2</v>
      </c>
      <c r="BM17" s="17">
        <f t="shared" si="146"/>
        <v>5.7018039771151136E-2</v>
      </c>
      <c r="BN17" s="17">
        <f t="shared" si="146"/>
        <v>4.7086406043813561E-2</v>
      </c>
      <c r="BO17" s="18"/>
      <c r="BP17" s="19">
        <f t="shared" ref="BP17:CB17" si="147">BP15/BP6</f>
        <v>3.9833031322806106E-2</v>
      </c>
      <c r="BQ17" s="19">
        <f t="shared" si="147"/>
        <v>5.1303625765195635E-2</v>
      </c>
      <c r="BR17" s="19">
        <f t="shared" si="147"/>
        <v>5.8520505864517673E-2</v>
      </c>
      <c r="BS17" s="19">
        <f t="shared" si="147"/>
        <v>5.4196604694385787E-2</v>
      </c>
      <c r="BT17" s="19">
        <f t="shared" si="147"/>
        <v>5.6434598265188048E-2</v>
      </c>
      <c r="BU17" s="19">
        <f t="shared" si="147"/>
        <v>4.9943019982469819E-2</v>
      </c>
      <c r="BV17" s="19">
        <f t="shared" si="147"/>
        <v>4.7645433551734791E-2</v>
      </c>
      <c r="BW17" s="19">
        <f t="shared" si="147"/>
        <v>4.0270067547796558E-2</v>
      </c>
      <c r="BX17" s="17">
        <f t="shared" si="147"/>
        <v>2.7057331165156587E-2</v>
      </c>
      <c r="BY17" s="17">
        <f t="shared" si="147"/>
        <v>4.5379694276425617E-2</v>
      </c>
      <c r="BZ17" s="17">
        <f t="shared" si="147"/>
        <v>3.440583482012443E-2</v>
      </c>
      <c r="CA17" s="19">
        <f t="shared" si="147"/>
        <v>3.9231480427963344E-2</v>
      </c>
      <c r="CB17" s="19">
        <f t="shared" si="147"/>
        <v>3.9570353036510894E-2</v>
      </c>
      <c r="CC17" s="77">
        <f t="shared" ref="CC17:CE17" si="148">CC15/CC6</f>
        <v>4.3806156139025873E-2</v>
      </c>
      <c r="CD17" s="19">
        <f t="shared" si="148"/>
        <v>4.8091360999673746E-2</v>
      </c>
      <c r="CE17" s="19">
        <f t="shared" si="148"/>
        <v>5.2639209556562823E-2</v>
      </c>
    </row>
    <row r="18" spans="1:83" x14ac:dyDescent="0.15">
      <c r="AO18" s="29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CC18" s="74"/>
    </row>
    <row r="19" spans="1:83" x14ac:dyDescent="0.15">
      <c r="B19" s="1" t="s">
        <v>17</v>
      </c>
      <c r="C19" s="21">
        <f>C21-C15</f>
        <v>100</v>
      </c>
      <c r="D19" s="21">
        <f t="shared" ref="D19:AP19" si="149">D21-D15</f>
        <v>-59</v>
      </c>
      <c r="E19" s="21">
        <f t="shared" si="149"/>
        <v>80</v>
      </c>
      <c r="F19" s="21">
        <f t="shared" si="149"/>
        <v>50</v>
      </c>
      <c r="G19" s="21">
        <f t="shared" si="149"/>
        <v>30</v>
      </c>
      <c r="H19" s="21">
        <f t="shared" si="149"/>
        <v>-84</v>
      </c>
      <c r="I19" s="21">
        <f t="shared" si="149"/>
        <v>-20</v>
      </c>
      <c r="J19" s="21">
        <f t="shared" si="149"/>
        <v>-1221</v>
      </c>
      <c r="K19" s="21">
        <f t="shared" si="149"/>
        <v>61</v>
      </c>
      <c r="L19" s="21">
        <f t="shared" si="149"/>
        <v>-162</v>
      </c>
      <c r="M19" s="21">
        <f t="shared" si="149"/>
        <v>-563</v>
      </c>
      <c r="N19" s="21">
        <f t="shared" si="149"/>
        <v>-90</v>
      </c>
      <c r="O19" s="21">
        <f t="shared" si="149"/>
        <v>610</v>
      </c>
      <c r="P19" s="21">
        <f t="shared" si="149"/>
        <v>71</v>
      </c>
      <c r="Q19" s="21">
        <f t="shared" si="149"/>
        <v>-261</v>
      </c>
      <c r="R19" s="21">
        <f t="shared" si="149"/>
        <v>510</v>
      </c>
      <c r="S19" s="21">
        <f t="shared" si="149"/>
        <v>405</v>
      </c>
      <c r="T19" s="21">
        <f t="shared" si="149"/>
        <v>-562</v>
      </c>
      <c r="U19" s="21">
        <f t="shared" si="149"/>
        <v>136</v>
      </c>
      <c r="V19" s="21">
        <f t="shared" si="149"/>
        <v>-3188</v>
      </c>
      <c r="W19" s="21">
        <f t="shared" si="149"/>
        <v>78</v>
      </c>
      <c r="X19" s="21">
        <f t="shared" si="149"/>
        <v>300</v>
      </c>
      <c r="Y19" s="21">
        <f t="shared" si="149"/>
        <v>-5996</v>
      </c>
      <c r="Z19" s="21">
        <f t="shared" si="149"/>
        <v>-9872</v>
      </c>
      <c r="AA19" s="21">
        <f t="shared" si="149"/>
        <v>-263</v>
      </c>
      <c r="AB19" s="21">
        <f t="shared" si="149"/>
        <v>568</v>
      </c>
      <c r="AC19" s="21">
        <f t="shared" si="149"/>
        <v>-122</v>
      </c>
      <c r="AD19" s="21">
        <f t="shared" si="149"/>
        <v>-1603</v>
      </c>
      <c r="AE19" s="21">
        <f t="shared" si="149"/>
        <v>-115</v>
      </c>
      <c r="AF19" s="21">
        <f t="shared" si="149"/>
        <v>-16821</v>
      </c>
      <c r="AG19" s="21">
        <f t="shared" si="149"/>
        <v>47</v>
      </c>
      <c r="AH19" s="21">
        <f t="shared" si="149"/>
        <v>-1865</v>
      </c>
      <c r="AI19" s="21">
        <f t="shared" si="149"/>
        <v>-444</v>
      </c>
      <c r="AJ19" s="21">
        <f t="shared" si="149"/>
        <v>1261</v>
      </c>
      <c r="AK19" s="21">
        <f t="shared" si="149"/>
        <v>1046</v>
      </c>
      <c r="AL19" s="21">
        <f t="shared" si="149"/>
        <v>277</v>
      </c>
      <c r="AM19" s="21">
        <f t="shared" si="149"/>
        <v>1025</v>
      </c>
      <c r="AN19" s="21">
        <f t="shared" si="149"/>
        <v>-737</v>
      </c>
      <c r="AO19" s="21">
        <f t="shared" si="149"/>
        <v>681</v>
      </c>
      <c r="AP19" s="21">
        <f t="shared" si="149"/>
        <v>931</v>
      </c>
      <c r="AQ19" s="98">
        <f t="shared" ref="AQ19:AV19" si="150">AQ21-AQ15</f>
        <v>74</v>
      </c>
      <c r="AR19" s="98">
        <f t="shared" si="150"/>
        <v>-173</v>
      </c>
      <c r="AS19" s="98">
        <f t="shared" si="150"/>
        <v>-854</v>
      </c>
      <c r="AT19" s="98">
        <f t="shared" si="150"/>
        <v>-551</v>
      </c>
      <c r="AU19" s="98">
        <f t="shared" si="150"/>
        <v>-58</v>
      </c>
      <c r="AV19" s="98">
        <f t="shared" si="150"/>
        <v>-339</v>
      </c>
      <c r="AW19" s="98">
        <f t="shared" ref="AW19:BB19" si="151">AW21-AW15</f>
        <v>-202</v>
      </c>
      <c r="AX19" s="98">
        <f t="shared" si="151"/>
        <v>-2540</v>
      </c>
      <c r="AY19" s="98">
        <f t="shared" si="151"/>
        <v>266</v>
      </c>
      <c r="AZ19" s="98">
        <f t="shared" si="151"/>
        <v>-353</v>
      </c>
      <c r="BA19" s="98">
        <f t="shared" si="151"/>
        <v>-172</v>
      </c>
      <c r="BB19" s="98">
        <f t="shared" si="151"/>
        <v>-11</v>
      </c>
      <c r="BC19" s="30">
        <v>-100</v>
      </c>
      <c r="BD19" s="30">
        <v>-100</v>
      </c>
      <c r="BE19" s="30">
        <v>-100</v>
      </c>
      <c r="BF19" s="30">
        <v>-100</v>
      </c>
      <c r="BG19" s="30">
        <v>-100</v>
      </c>
      <c r="BH19" s="30">
        <v>-100</v>
      </c>
      <c r="BI19" s="30">
        <v>-100</v>
      </c>
      <c r="BJ19" s="30">
        <v>-100</v>
      </c>
      <c r="BK19" s="30">
        <v>-100</v>
      </c>
      <c r="BL19" s="30">
        <v>-100</v>
      </c>
      <c r="BM19" s="30">
        <v>-100</v>
      </c>
      <c r="BN19" s="30">
        <v>-100</v>
      </c>
      <c r="BO19" s="26"/>
      <c r="BP19" s="28">
        <f t="shared" ref="BP19:CE19" si="152">SUMIF($C$5:$BO$5,BP$3,$C19:$BO19)</f>
        <v>171</v>
      </c>
      <c r="BQ19" s="28">
        <f t="shared" si="152"/>
        <v>-1295</v>
      </c>
      <c r="BR19" s="28">
        <f t="shared" si="152"/>
        <v>-754</v>
      </c>
      <c r="BS19" s="28">
        <f t="shared" si="152"/>
        <v>930</v>
      </c>
      <c r="BT19" s="28">
        <f t="shared" si="152"/>
        <v>-3209</v>
      </c>
      <c r="BU19" s="28">
        <f t="shared" si="152"/>
        <v>-15490</v>
      </c>
      <c r="BV19" s="28">
        <f t="shared" si="152"/>
        <v>-1420</v>
      </c>
      <c r="BW19" s="28">
        <f t="shared" si="152"/>
        <v>-18754</v>
      </c>
      <c r="BX19" s="28">
        <f t="shared" si="152"/>
        <v>2140</v>
      </c>
      <c r="BY19" s="28">
        <f t="shared" si="152"/>
        <v>1900</v>
      </c>
      <c r="BZ19" s="28">
        <f t="shared" si="152"/>
        <v>-1504</v>
      </c>
      <c r="CA19" s="28">
        <f t="shared" si="152"/>
        <v>-3139</v>
      </c>
      <c r="CB19" s="28">
        <f t="shared" si="152"/>
        <v>-270</v>
      </c>
      <c r="CC19" s="83">
        <f t="shared" si="152"/>
        <v>-400</v>
      </c>
      <c r="CD19" s="28">
        <f t="shared" si="152"/>
        <v>-400</v>
      </c>
      <c r="CE19" s="28">
        <f t="shared" si="152"/>
        <v>-400</v>
      </c>
    </row>
    <row r="20" spans="1:83" x14ac:dyDescent="0.15"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CC20" s="74"/>
    </row>
    <row r="21" spans="1:83" x14ac:dyDescent="0.15">
      <c r="B21" s="1" t="s">
        <v>11</v>
      </c>
      <c r="C21" s="27">
        <v>2500</v>
      </c>
      <c r="D21" s="27">
        <v>2096</v>
      </c>
      <c r="E21" s="27">
        <v>3106</v>
      </c>
      <c r="F21" s="27">
        <v>2317</v>
      </c>
      <c r="G21" s="27">
        <v>3939</v>
      </c>
      <c r="H21" s="27">
        <v>3513</v>
      </c>
      <c r="I21" s="27">
        <v>4988</v>
      </c>
      <c r="J21" s="27">
        <v>4862</v>
      </c>
      <c r="K21" s="27">
        <v>5675</v>
      </c>
      <c r="L21" s="27">
        <v>4458</v>
      </c>
      <c r="M21" s="27">
        <v>5414</v>
      </c>
      <c r="N21" s="27">
        <v>7169</v>
      </c>
      <c r="O21" s="27">
        <v>7171</v>
      </c>
      <c r="P21" s="27">
        <v>6808</v>
      </c>
      <c r="Q21" s="27">
        <v>7333</v>
      </c>
      <c r="R21" s="27">
        <v>7670</v>
      </c>
      <c r="S21" s="27">
        <v>9662</v>
      </c>
      <c r="T21" s="27">
        <v>6841</v>
      </c>
      <c r="U21" s="27">
        <v>8763</v>
      </c>
      <c r="V21" s="27">
        <v>4934</v>
      </c>
      <c r="W21" s="27">
        <v>9192</v>
      </c>
      <c r="X21" s="27">
        <v>7203</v>
      </c>
      <c r="Y21" s="27">
        <v>3886</v>
      </c>
      <c r="Z21" s="27">
        <v>297</v>
      </c>
      <c r="AA21" s="27">
        <v>11267</v>
      </c>
      <c r="AB21" s="27">
        <v>9491</v>
      </c>
      <c r="AC21" s="27">
        <v>11499</v>
      </c>
      <c r="AD21" s="27">
        <v>10434</v>
      </c>
      <c r="AE21" s="27">
        <v>9942</v>
      </c>
      <c r="AF21" s="27">
        <v>-6762</v>
      </c>
      <c r="AG21" s="27">
        <v>8334</v>
      </c>
      <c r="AH21" s="27">
        <v>8817</v>
      </c>
      <c r="AI21" s="27">
        <v>8469</v>
      </c>
      <c r="AJ21" s="27">
        <v>5839</v>
      </c>
      <c r="AK21" s="27">
        <v>9436</v>
      </c>
      <c r="AL21" s="27">
        <v>4120</v>
      </c>
      <c r="AM21" s="27">
        <v>13998</v>
      </c>
      <c r="AN21" s="27">
        <v>12738</v>
      </c>
      <c r="AO21" s="27">
        <v>15044</v>
      </c>
      <c r="AP21" s="27">
        <v>8263</v>
      </c>
      <c r="AQ21" s="106">
        <v>17510</v>
      </c>
      <c r="AR21" s="106">
        <v>16482</v>
      </c>
      <c r="AS21" s="106">
        <v>8009</v>
      </c>
      <c r="AT21" s="106">
        <v>-752</v>
      </c>
      <c r="AU21" s="106">
        <v>14617</v>
      </c>
      <c r="AV21" s="106">
        <v>11365</v>
      </c>
      <c r="AW21" s="106">
        <v>14340</v>
      </c>
      <c r="AX21" s="106">
        <v>8604</v>
      </c>
      <c r="AY21" s="106">
        <v>17232</v>
      </c>
      <c r="AZ21" s="106">
        <v>14783</v>
      </c>
      <c r="BA21" s="106">
        <v>16146</v>
      </c>
      <c r="BB21" s="106">
        <v>8995</v>
      </c>
      <c r="BC21" s="27">
        <f>BC15+BC19</f>
        <v>17661.676019883394</v>
      </c>
      <c r="BD21" s="27">
        <f t="shared" ref="BD21:BN21" si="153">BD15+BD19</f>
        <v>16263.771673843614</v>
      </c>
      <c r="BE21" s="27">
        <f t="shared" si="153"/>
        <v>18695.850142495146</v>
      </c>
      <c r="BF21" s="27">
        <f t="shared" si="153"/>
        <v>14265.468335040605</v>
      </c>
      <c r="BG21" s="27">
        <f t="shared" si="153"/>
        <v>20127.87037417174</v>
      </c>
      <c r="BH21" s="27">
        <f t="shared" si="153"/>
        <v>18641.78641142798</v>
      </c>
      <c r="BI21" s="27">
        <f t="shared" si="153"/>
        <v>21403.401711144663</v>
      </c>
      <c r="BJ21" s="27">
        <f t="shared" si="153"/>
        <v>16864.462262144662</v>
      </c>
      <c r="BK21" s="27">
        <f t="shared" si="153"/>
        <v>22928.737391331633</v>
      </c>
      <c r="BL21" s="27">
        <f t="shared" si="153"/>
        <v>21316.037735749058</v>
      </c>
      <c r="BM21" s="27">
        <f t="shared" si="153"/>
        <v>24403.34284232858</v>
      </c>
      <c r="BN21" s="27">
        <f t="shared" si="153"/>
        <v>19802.105040872579</v>
      </c>
      <c r="BO21" s="31"/>
      <c r="BP21" s="28">
        <f t="shared" ref="BP21:CE21" si="154">SUMIF($C$5:$BO$5,BP$3,$C21:$BO21)</f>
        <v>10019</v>
      </c>
      <c r="BQ21" s="28">
        <f t="shared" si="154"/>
        <v>17302</v>
      </c>
      <c r="BR21" s="28">
        <f t="shared" si="154"/>
        <v>22716</v>
      </c>
      <c r="BS21" s="28">
        <f t="shared" si="154"/>
        <v>28982</v>
      </c>
      <c r="BT21" s="28">
        <f t="shared" si="154"/>
        <v>30200</v>
      </c>
      <c r="BU21" s="28">
        <f t="shared" si="154"/>
        <v>20578</v>
      </c>
      <c r="BV21" s="28">
        <f t="shared" si="154"/>
        <v>42691</v>
      </c>
      <c r="BW21" s="28">
        <f t="shared" si="154"/>
        <v>20331</v>
      </c>
      <c r="BX21" s="28">
        <f t="shared" si="154"/>
        <v>27864</v>
      </c>
      <c r="BY21" s="28">
        <f t="shared" si="154"/>
        <v>50043</v>
      </c>
      <c r="BZ21" s="28">
        <f t="shared" si="154"/>
        <v>41249</v>
      </c>
      <c r="CA21" s="28">
        <f t="shared" si="154"/>
        <v>48926</v>
      </c>
      <c r="CB21" s="28">
        <f t="shared" si="154"/>
        <v>57156</v>
      </c>
      <c r="CC21" s="83">
        <f t="shared" si="154"/>
        <v>66886.76617126276</v>
      </c>
      <c r="CD21" s="28">
        <f t="shared" si="154"/>
        <v>77037.520758889048</v>
      </c>
      <c r="CE21" s="28">
        <f t="shared" si="154"/>
        <v>88450.223010281858</v>
      </c>
    </row>
    <row r="22" spans="1:83" x14ac:dyDescent="0.15"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CC22" s="74"/>
    </row>
    <row r="23" spans="1:83" x14ac:dyDescent="0.15">
      <c r="B23" s="15" t="s">
        <v>12</v>
      </c>
      <c r="C23" s="21">
        <v>-1024</v>
      </c>
      <c r="D23" s="21">
        <v>-941</v>
      </c>
      <c r="E23" s="21">
        <v>-1125</v>
      </c>
      <c r="F23" s="21">
        <v>-1025</v>
      </c>
      <c r="G23" s="21">
        <v>-2028</v>
      </c>
      <c r="H23" s="21">
        <v>-1978</v>
      </c>
      <c r="I23" s="21">
        <v>-1916</v>
      </c>
      <c r="J23" s="21">
        <v>-1566</v>
      </c>
      <c r="K23" s="21">
        <v>-2288</v>
      </c>
      <c r="L23" s="21">
        <v>-2107</v>
      </c>
      <c r="M23" s="21">
        <v>-2400</v>
      </c>
      <c r="N23" s="21">
        <v>-2565</v>
      </c>
      <c r="O23" s="21">
        <v>-2780</v>
      </c>
      <c r="P23" s="21">
        <v>-2554</v>
      </c>
      <c r="Q23" s="21">
        <v>-2537</v>
      </c>
      <c r="R23" s="21">
        <v>-2800</v>
      </c>
      <c r="S23" s="21">
        <v>-3196</v>
      </c>
      <c r="T23" s="21">
        <v>-2837</v>
      </c>
      <c r="U23" s="21">
        <v>-3232</v>
      </c>
      <c r="V23" s="21">
        <v>-1854</v>
      </c>
      <c r="W23" s="21">
        <v>-3612</v>
      </c>
      <c r="X23" s="21">
        <v>-2966</v>
      </c>
      <c r="Y23" s="21">
        <v>-3806</v>
      </c>
      <c r="Z23" s="21">
        <v>-2768</v>
      </c>
      <c r="AA23" s="21">
        <v>-4305</v>
      </c>
      <c r="AB23" s="21">
        <v>-3453</v>
      </c>
      <c r="AC23" s="21">
        <v>-4207</v>
      </c>
      <c r="AD23" s="21">
        <v>-4337</v>
      </c>
      <c r="AE23" s="21">
        <v>-4217</v>
      </c>
      <c r="AF23" s="21">
        <v>-3522</v>
      </c>
      <c r="AG23" s="21">
        <v>-3653</v>
      </c>
      <c r="AH23" s="21">
        <v>-418</v>
      </c>
      <c r="AI23" s="21">
        <v>-3656</v>
      </c>
      <c r="AJ23" s="21">
        <v>-2645</v>
      </c>
      <c r="AK23" s="21">
        <v>-3735</v>
      </c>
      <c r="AL23" s="21">
        <v>-869</v>
      </c>
      <c r="AM23" s="21">
        <v>-4946</v>
      </c>
      <c r="AN23" s="21">
        <v>-5160</v>
      </c>
      <c r="AO23" s="21">
        <v>-5655</v>
      </c>
      <c r="AP23" s="21">
        <v>534</v>
      </c>
      <c r="AQ23" s="98">
        <v>-5869</v>
      </c>
      <c r="AR23" s="98">
        <v>-5123</v>
      </c>
      <c r="AS23" s="98">
        <v>-5604</v>
      </c>
      <c r="AT23" s="98">
        <v>124</v>
      </c>
      <c r="AU23" s="98">
        <v>-4883</v>
      </c>
      <c r="AV23" s="98">
        <v>-3521</v>
      </c>
      <c r="AW23" s="98">
        <v>-5390</v>
      </c>
      <c r="AX23" s="98">
        <v>-3158</v>
      </c>
      <c r="AY23" s="98">
        <v>-3891</v>
      </c>
      <c r="AZ23" s="98">
        <v>-5846</v>
      </c>
      <c r="BA23" s="98">
        <v>-5878</v>
      </c>
      <c r="BB23" s="98">
        <v>-3838</v>
      </c>
      <c r="BC23" s="21">
        <f>BC21*-BC24</f>
        <v>-6004.9698467603548</v>
      </c>
      <c r="BD23" s="21">
        <f t="shared" ref="BD23:BN23" si="155">BD21*-BD24</f>
        <v>-5529.6823691068294</v>
      </c>
      <c r="BE23" s="21">
        <f t="shared" si="155"/>
        <v>-6356.5890484483507</v>
      </c>
      <c r="BF23" s="21">
        <f t="shared" si="155"/>
        <v>-4850.2592339138064</v>
      </c>
      <c r="BG23" s="21">
        <f t="shared" si="155"/>
        <v>-6843.4759272183919</v>
      </c>
      <c r="BH23" s="21">
        <f t="shared" si="155"/>
        <v>-6338.2073798855135</v>
      </c>
      <c r="BI23" s="21">
        <f t="shared" si="155"/>
        <v>-7277.156581789186</v>
      </c>
      <c r="BJ23" s="21">
        <f t="shared" si="155"/>
        <v>-5733.9171691291849</v>
      </c>
      <c r="BK23" s="21">
        <f t="shared" si="155"/>
        <v>-7795.770713052756</v>
      </c>
      <c r="BL23" s="21">
        <f t="shared" si="155"/>
        <v>-7247.4528301546798</v>
      </c>
      <c r="BM23" s="21">
        <f t="shared" si="155"/>
        <v>-8297.1365663917186</v>
      </c>
      <c r="BN23" s="21">
        <f t="shared" si="155"/>
        <v>-6732.7157138966768</v>
      </c>
      <c r="BO23" s="26"/>
      <c r="BP23" s="28">
        <f t="shared" ref="BP23:CE23" si="156">SUMIF($C$5:$BO$5,BP$3,$C23:$BO23)</f>
        <v>-4115</v>
      </c>
      <c r="BQ23" s="28">
        <f t="shared" si="156"/>
        <v>-7488</v>
      </c>
      <c r="BR23" s="28">
        <f t="shared" si="156"/>
        <v>-9360</v>
      </c>
      <c r="BS23" s="28">
        <f t="shared" si="156"/>
        <v>-10671</v>
      </c>
      <c r="BT23" s="28">
        <f t="shared" si="156"/>
        <v>-11119</v>
      </c>
      <c r="BU23" s="28">
        <f t="shared" si="156"/>
        <v>-13152</v>
      </c>
      <c r="BV23" s="28">
        <f t="shared" si="156"/>
        <v>-16302</v>
      </c>
      <c r="BW23" s="28">
        <f t="shared" si="156"/>
        <v>-11810</v>
      </c>
      <c r="BX23" s="28">
        <f t="shared" si="156"/>
        <v>-10905</v>
      </c>
      <c r="BY23" s="28">
        <f t="shared" si="156"/>
        <v>-15227</v>
      </c>
      <c r="BZ23" s="28">
        <f t="shared" si="156"/>
        <v>-16472</v>
      </c>
      <c r="CA23" s="28">
        <f t="shared" si="156"/>
        <v>-16952</v>
      </c>
      <c r="CB23" s="28">
        <f t="shared" si="156"/>
        <v>-19453</v>
      </c>
      <c r="CC23" s="83">
        <f t="shared" si="156"/>
        <v>-22741.500498229339</v>
      </c>
      <c r="CD23" s="28">
        <f t="shared" si="156"/>
        <v>-26192.757058022275</v>
      </c>
      <c r="CE23" s="28">
        <f t="shared" si="156"/>
        <v>-30073.07582349583</v>
      </c>
    </row>
    <row r="24" spans="1:83" x14ac:dyDescent="0.15">
      <c r="B24" s="22" t="s">
        <v>13</v>
      </c>
      <c r="C24" s="17">
        <f>-C23/C21</f>
        <v>0.40960000000000002</v>
      </c>
      <c r="D24" s="17">
        <f t="shared" ref="D24:AR24" si="157">-D23/D21</f>
        <v>0.44895038167938933</v>
      </c>
      <c r="E24" s="17">
        <f t="shared" si="157"/>
        <v>0.36220218931101095</v>
      </c>
      <c r="F24" s="17">
        <f t="shared" si="157"/>
        <v>0.44238239102287441</v>
      </c>
      <c r="G24" s="17">
        <f t="shared" si="157"/>
        <v>0.51485148514851486</v>
      </c>
      <c r="H24" s="17">
        <f t="shared" si="157"/>
        <v>0.56305152291488758</v>
      </c>
      <c r="I24" s="17">
        <f t="shared" si="157"/>
        <v>0.38412189254210105</v>
      </c>
      <c r="J24" s="17">
        <f t="shared" si="157"/>
        <v>0.32208967503085151</v>
      </c>
      <c r="K24" s="17">
        <f t="shared" si="157"/>
        <v>0.40317180616740089</v>
      </c>
      <c r="L24" s="17">
        <f t="shared" si="157"/>
        <v>0.47263346792283534</v>
      </c>
      <c r="M24" s="17">
        <f t="shared" si="157"/>
        <v>0.44329516069449576</v>
      </c>
      <c r="N24" s="17">
        <f t="shared" si="157"/>
        <v>0.35779048681824521</v>
      </c>
      <c r="O24" s="17">
        <f t="shared" si="157"/>
        <v>0.38767257007390882</v>
      </c>
      <c r="P24" s="17">
        <f t="shared" si="157"/>
        <v>0.37514688601645124</v>
      </c>
      <c r="Q24" s="17">
        <f t="shared" si="157"/>
        <v>0.34597027137597164</v>
      </c>
      <c r="R24" s="17">
        <f t="shared" si="157"/>
        <v>0.36505867014341592</v>
      </c>
      <c r="S24" s="17">
        <f t="shared" si="157"/>
        <v>0.3307803767335955</v>
      </c>
      <c r="T24" s="17">
        <f t="shared" si="157"/>
        <v>0.41470545241923695</v>
      </c>
      <c r="U24" s="17">
        <f t="shared" si="157"/>
        <v>0.36882346228460572</v>
      </c>
      <c r="V24" s="17">
        <f t="shared" si="157"/>
        <v>0.37576003242805028</v>
      </c>
      <c r="W24" s="17">
        <f t="shared" si="157"/>
        <v>0.39295039164490864</v>
      </c>
      <c r="X24" s="17">
        <f t="shared" si="157"/>
        <v>0.41177287241427185</v>
      </c>
      <c r="Y24" s="17">
        <f t="shared" si="157"/>
        <v>0.97941327843540915</v>
      </c>
      <c r="Z24" s="17">
        <f t="shared" si="157"/>
        <v>9.3198653198653201</v>
      </c>
      <c r="AA24" s="17">
        <f t="shared" si="157"/>
        <v>0.38208928729919234</v>
      </c>
      <c r="AB24" s="17">
        <f t="shared" si="157"/>
        <v>0.36381835423032344</v>
      </c>
      <c r="AC24" s="17">
        <f t="shared" si="157"/>
        <v>0.36585790068701624</v>
      </c>
      <c r="AD24" s="17">
        <f t="shared" si="157"/>
        <v>0.41566034119225609</v>
      </c>
      <c r="AE24" s="17">
        <f t="shared" si="157"/>
        <v>0.42416012874673104</v>
      </c>
      <c r="AF24" s="17">
        <f t="shared" si="157"/>
        <v>-0.520851818988465</v>
      </c>
      <c r="AG24" s="17">
        <f t="shared" si="157"/>
        <v>0.43832493400527955</v>
      </c>
      <c r="AH24" s="17">
        <f t="shared" si="157"/>
        <v>4.7408415560848363E-2</v>
      </c>
      <c r="AI24" s="17">
        <f t="shared" si="157"/>
        <v>0.43169205337111821</v>
      </c>
      <c r="AJ24" s="17">
        <f t="shared" si="157"/>
        <v>0.45298852543243706</v>
      </c>
      <c r="AK24" s="17">
        <f t="shared" si="157"/>
        <v>0.39582450190758794</v>
      </c>
      <c r="AL24" s="17">
        <f t="shared" si="157"/>
        <v>0.21092233009708738</v>
      </c>
      <c r="AM24" s="17">
        <f t="shared" si="157"/>
        <v>0.35333619088441204</v>
      </c>
      <c r="AN24" s="17">
        <f t="shared" si="157"/>
        <v>0.40508714083843617</v>
      </c>
      <c r="AO24" s="17">
        <f t="shared" si="157"/>
        <v>0.37589736772135068</v>
      </c>
      <c r="AP24" s="17">
        <f t="shared" si="157"/>
        <v>-6.4625438702650376E-2</v>
      </c>
      <c r="AQ24" s="102">
        <f t="shared" si="157"/>
        <v>0.33517989720159908</v>
      </c>
      <c r="AR24" s="102">
        <f t="shared" si="157"/>
        <v>0.31082392913481371</v>
      </c>
      <c r="AS24" s="102">
        <f t="shared" ref="AS24:AV24" si="158">-AS23/AS21</f>
        <v>0.6997128230740417</v>
      </c>
      <c r="AT24" s="102">
        <f t="shared" si="158"/>
        <v>0.16489361702127658</v>
      </c>
      <c r="AU24" s="102">
        <f t="shared" si="158"/>
        <v>0.3340630772388315</v>
      </c>
      <c r="AV24" s="102">
        <f t="shared" si="158"/>
        <v>0.30981082270127586</v>
      </c>
      <c r="AW24" s="102">
        <f t="shared" ref="AW24:BB24" si="159">-AW23/AW21</f>
        <v>0.37587168758716877</v>
      </c>
      <c r="AX24" s="102">
        <f t="shared" si="159"/>
        <v>0.36703858670385869</v>
      </c>
      <c r="AY24" s="102">
        <f t="shared" si="159"/>
        <v>0.2258008356545961</v>
      </c>
      <c r="AZ24" s="102">
        <f t="shared" si="159"/>
        <v>0.39545423797605356</v>
      </c>
      <c r="BA24" s="102">
        <f t="shared" si="159"/>
        <v>0.36405301622692926</v>
      </c>
      <c r="BB24" s="102">
        <f t="shared" si="159"/>
        <v>0.42668148971650915</v>
      </c>
      <c r="BC24" s="49">
        <v>0.34</v>
      </c>
      <c r="BD24" s="49">
        <v>0.34</v>
      </c>
      <c r="BE24" s="49">
        <v>0.34</v>
      </c>
      <c r="BF24" s="49">
        <v>0.34</v>
      </c>
      <c r="BG24" s="49">
        <v>0.34</v>
      </c>
      <c r="BH24" s="49">
        <v>0.34</v>
      </c>
      <c r="BI24" s="49">
        <v>0.34</v>
      </c>
      <c r="BJ24" s="49">
        <v>0.34</v>
      </c>
      <c r="BK24" s="49">
        <v>0.34</v>
      </c>
      <c r="BL24" s="49">
        <v>0.34</v>
      </c>
      <c r="BM24" s="49">
        <v>0.34</v>
      </c>
      <c r="BN24" s="49">
        <v>0.34</v>
      </c>
      <c r="BO24" s="18"/>
      <c r="BP24" s="19">
        <f>-BP23/BP21</f>
        <v>0.41071963269787404</v>
      </c>
      <c r="BQ24" s="19">
        <f t="shared" ref="BQ24:CE24" si="160">-BQ23/BQ21</f>
        <v>0.43278233730204602</v>
      </c>
      <c r="BR24" s="19">
        <f t="shared" si="160"/>
        <v>0.41204437400950872</v>
      </c>
      <c r="BS24" s="19">
        <f t="shared" si="160"/>
        <v>0.3681940514802291</v>
      </c>
      <c r="BT24" s="19">
        <f t="shared" si="160"/>
        <v>0.36817880794701985</v>
      </c>
      <c r="BU24" s="19">
        <f t="shared" si="160"/>
        <v>0.63912916707162992</v>
      </c>
      <c r="BV24" s="19">
        <f t="shared" si="160"/>
        <v>0.38186034527183715</v>
      </c>
      <c r="BW24" s="19">
        <f t="shared" si="160"/>
        <v>0.58088633121833655</v>
      </c>
      <c r="BX24" s="17">
        <f t="shared" si="160"/>
        <v>0.39136520241171402</v>
      </c>
      <c r="BY24" s="17">
        <f t="shared" si="160"/>
        <v>0.30427832064424593</v>
      </c>
      <c r="BZ24" s="17">
        <f t="shared" si="160"/>
        <v>0.39933089287013018</v>
      </c>
      <c r="CA24" s="19">
        <f t="shared" si="160"/>
        <v>0.34648244287291013</v>
      </c>
      <c r="CB24" s="19">
        <f t="shared" si="160"/>
        <v>0.34034921967947374</v>
      </c>
      <c r="CC24" s="77">
        <f t="shared" si="160"/>
        <v>0.34</v>
      </c>
      <c r="CD24" s="19">
        <f t="shared" si="160"/>
        <v>0.33999999999999997</v>
      </c>
      <c r="CE24" s="19">
        <f t="shared" si="160"/>
        <v>0.33999999999999997</v>
      </c>
    </row>
    <row r="25" spans="1:83" x14ac:dyDescent="0.15"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CC25" s="74"/>
    </row>
    <row r="26" spans="1:83" x14ac:dyDescent="0.15">
      <c r="B26" s="15" t="s">
        <v>14</v>
      </c>
      <c r="C26" s="21">
        <f>C27-C23-C21</f>
        <v>15</v>
      </c>
      <c r="D26" s="21">
        <f t="shared" ref="D26:BB26" si="161">D27-D23-D21</f>
        <v>-4</v>
      </c>
      <c r="E26" s="21">
        <f t="shared" si="161"/>
        <v>-5</v>
      </c>
      <c r="F26" s="21">
        <f t="shared" si="161"/>
        <v>-22</v>
      </c>
      <c r="G26" s="21">
        <f t="shared" si="161"/>
        <v>71</v>
      </c>
      <c r="H26" s="21">
        <f t="shared" si="161"/>
        <v>3</v>
      </c>
      <c r="I26" s="21">
        <f t="shared" si="161"/>
        <v>-23</v>
      </c>
      <c r="J26" s="21">
        <f t="shared" si="161"/>
        <v>-8</v>
      </c>
      <c r="K26" s="21">
        <f t="shared" si="161"/>
        <v>63</v>
      </c>
      <c r="L26" s="21">
        <f t="shared" si="161"/>
        <v>-71</v>
      </c>
      <c r="M26" s="21">
        <f t="shared" si="161"/>
        <v>-52</v>
      </c>
      <c r="N26" s="21">
        <f t="shared" si="161"/>
        <v>128</v>
      </c>
      <c r="O26" s="21">
        <f t="shared" si="161"/>
        <v>-201</v>
      </c>
      <c r="P26" s="21">
        <f t="shared" si="161"/>
        <v>-340</v>
      </c>
      <c r="Q26" s="21">
        <f t="shared" si="161"/>
        <v>-231</v>
      </c>
      <c r="R26" s="21">
        <f t="shared" si="161"/>
        <v>-183</v>
      </c>
      <c r="S26" s="21">
        <f t="shared" si="161"/>
        <v>-257</v>
      </c>
      <c r="T26" s="21">
        <f t="shared" si="161"/>
        <v>-348</v>
      </c>
      <c r="U26" s="21">
        <f t="shared" si="161"/>
        <v>-372</v>
      </c>
      <c r="V26" s="21">
        <f t="shared" si="161"/>
        <v>-284</v>
      </c>
      <c r="W26" s="21">
        <f t="shared" si="161"/>
        <v>-155</v>
      </c>
      <c r="X26" s="21">
        <f t="shared" si="161"/>
        <v>-439</v>
      </c>
      <c r="Y26" s="21">
        <f t="shared" si="161"/>
        <v>1569</v>
      </c>
      <c r="Z26" s="21">
        <f t="shared" si="161"/>
        <v>-632</v>
      </c>
      <c r="AA26" s="21">
        <f t="shared" si="161"/>
        <v>-331</v>
      </c>
      <c r="AB26" s="21">
        <f t="shared" si="161"/>
        <v>-682</v>
      </c>
      <c r="AC26" s="21">
        <f t="shared" si="161"/>
        <v>-541</v>
      </c>
      <c r="AD26" s="21">
        <f t="shared" si="161"/>
        <v>-474</v>
      </c>
      <c r="AE26" s="21">
        <f t="shared" si="161"/>
        <v>-259</v>
      </c>
      <c r="AF26" s="21">
        <f t="shared" si="161"/>
        <v>-359</v>
      </c>
      <c r="AG26" s="21">
        <f t="shared" si="161"/>
        <v>-158</v>
      </c>
      <c r="AH26" s="21">
        <f t="shared" si="161"/>
        <v>-133</v>
      </c>
      <c r="AI26" s="21">
        <f t="shared" si="161"/>
        <v>-283</v>
      </c>
      <c r="AJ26" s="21">
        <f t="shared" si="161"/>
        <v>-345</v>
      </c>
      <c r="AK26" s="21">
        <f t="shared" si="161"/>
        <v>-556</v>
      </c>
      <c r="AL26" s="21">
        <f t="shared" si="161"/>
        <v>-434</v>
      </c>
      <c r="AM26" s="21">
        <f t="shared" si="161"/>
        <v>-669</v>
      </c>
      <c r="AN26" s="21">
        <f t="shared" si="161"/>
        <v>-577</v>
      </c>
      <c r="AO26" s="21">
        <f t="shared" si="161"/>
        <v>-872</v>
      </c>
      <c r="AP26" s="21">
        <f t="shared" si="161"/>
        <v>-792</v>
      </c>
      <c r="AQ26" s="98">
        <f t="shared" si="161"/>
        <v>-502</v>
      </c>
      <c r="AR26" s="98">
        <f t="shared" si="161"/>
        <v>-473</v>
      </c>
      <c r="AS26" s="98">
        <f t="shared" si="161"/>
        <v>-619</v>
      </c>
      <c r="AT26" s="98">
        <f t="shared" si="161"/>
        <v>-422</v>
      </c>
      <c r="AU26" s="98">
        <f t="shared" si="161"/>
        <v>-365</v>
      </c>
      <c r="AV26" s="98">
        <f t="shared" si="161"/>
        <v>-445</v>
      </c>
      <c r="AW26" s="98">
        <f t="shared" si="161"/>
        <v>-509</v>
      </c>
      <c r="AX26" s="98">
        <f t="shared" si="161"/>
        <v>-684</v>
      </c>
      <c r="AY26" s="98">
        <f t="shared" si="161"/>
        <v>-389</v>
      </c>
      <c r="AZ26" s="98">
        <f t="shared" si="161"/>
        <v>-508</v>
      </c>
      <c r="BA26" s="98">
        <f t="shared" si="161"/>
        <v>-488</v>
      </c>
      <c r="BB26" s="98">
        <f t="shared" si="161"/>
        <v>-447</v>
      </c>
      <c r="BC26" s="32">
        <v>-500</v>
      </c>
      <c r="BD26" s="32">
        <v>-500</v>
      </c>
      <c r="BE26" s="32">
        <v>-500</v>
      </c>
      <c r="BF26" s="32">
        <v>-500</v>
      </c>
      <c r="BG26" s="32">
        <v>-500</v>
      </c>
      <c r="BH26" s="32">
        <v>-500</v>
      </c>
      <c r="BI26" s="32">
        <v>-500</v>
      </c>
      <c r="BJ26" s="32">
        <v>-500</v>
      </c>
      <c r="BK26" s="32">
        <v>-500</v>
      </c>
      <c r="BL26" s="32">
        <v>-500</v>
      </c>
      <c r="BM26" s="32">
        <v>-500</v>
      </c>
      <c r="BN26" s="32">
        <v>-500</v>
      </c>
      <c r="BO26" s="26"/>
      <c r="BP26" s="28">
        <f t="shared" ref="BP26:CE27" si="162">SUMIF($C$5:$BO$5,BP$3,$C26:$BO26)</f>
        <v>-16</v>
      </c>
      <c r="BQ26" s="28">
        <f t="shared" si="162"/>
        <v>43</v>
      </c>
      <c r="BR26" s="28">
        <f t="shared" si="162"/>
        <v>68</v>
      </c>
      <c r="BS26" s="28">
        <f t="shared" si="162"/>
        <v>-955</v>
      </c>
      <c r="BT26" s="28">
        <f t="shared" si="162"/>
        <v>-1261</v>
      </c>
      <c r="BU26" s="28">
        <f t="shared" si="162"/>
        <v>343</v>
      </c>
      <c r="BV26" s="28">
        <f t="shared" si="162"/>
        <v>-2028</v>
      </c>
      <c r="BW26" s="28">
        <f t="shared" si="162"/>
        <v>-909</v>
      </c>
      <c r="BX26" s="28">
        <f t="shared" si="162"/>
        <v>-1618</v>
      </c>
      <c r="BY26" s="28">
        <f t="shared" si="162"/>
        <v>-2910</v>
      </c>
      <c r="BZ26" s="28">
        <f t="shared" si="162"/>
        <v>-2016</v>
      </c>
      <c r="CA26" s="28">
        <f t="shared" si="162"/>
        <v>-2003</v>
      </c>
      <c r="CB26" s="28">
        <f t="shared" si="162"/>
        <v>-1832</v>
      </c>
      <c r="CC26" s="83">
        <f t="shared" si="162"/>
        <v>-2000</v>
      </c>
      <c r="CD26" s="28">
        <f t="shared" si="162"/>
        <v>-2000</v>
      </c>
      <c r="CE26" s="28">
        <f t="shared" si="162"/>
        <v>-2000</v>
      </c>
    </row>
    <row r="27" spans="1:83" x14ac:dyDescent="0.15">
      <c r="B27" s="1" t="s">
        <v>15</v>
      </c>
      <c r="C27" s="12">
        <v>1491</v>
      </c>
      <c r="D27" s="12">
        <v>1151</v>
      </c>
      <c r="E27" s="12">
        <v>1976</v>
      </c>
      <c r="F27" s="12">
        <v>1270</v>
      </c>
      <c r="G27" s="12">
        <v>1982</v>
      </c>
      <c r="H27" s="12">
        <v>1538</v>
      </c>
      <c r="I27" s="12">
        <v>3049</v>
      </c>
      <c r="J27" s="12">
        <v>3288</v>
      </c>
      <c r="K27" s="12">
        <v>3450</v>
      </c>
      <c r="L27" s="12">
        <v>2280</v>
      </c>
      <c r="M27" s="12">
        <v>2962</v>
      </c>
      <c r="N27" s="12">
        <v>4732</v>
      </c>
      <c r="O27" s="12">
        <v>4190</v>
      </c>
      <c r="P27" s="12">
        <v>3914</v>
      </c>
      <c r="Q27" s="12">
        <v>4565</v>
      </c>
      <c r="R27" s="12">
        <v>4687</v>
      </c>
      <c r="S27" s="12">
        <v>6209</v>
      </c>
      <c r="T27" s="12">
        <v>3656</v>
      </c>
      <c r="U27" s="12">
        <v>5159</v>
      </c>
      <c r="V27" s="12">
        <v>2796</v>
      </c>
      <c r="W27" s="12">
        <v>5425</v>
      </c>
      <c r="X27" s="12">
        <v>3798</v>
      </c>
      <c r="Y27" s="12">
        <v>1649</v>
      </c>
      <c r="Z27" s="12">
        <v>-3103</v>
      </c>
      <c r="AA27" s="12">
        <v>6631</v>
      </c>
      <c r="AB27" s="12">
        <v>5356</v>
      </c>
      <c r="AC27" s="12">
        <v>6751</v>
      </c>
      <c r="AD27" s="12">
        <v>5623</v>
      </c>
      <c r="AE27" s="12">
        <v>5466</v>
      </c>
      <c r="AF27" s="12">
        <v>-10643</v>
      </c>
      <c r="AG27" s="12">
        <v>4523</v>
      </c>
      <c r="AH27" s="12">
        <v>8266</v>
      </c>
      <c r="AI27" s="12">
        <v>4530</v>
      </c>
      <c r="AJ27" s="12">
        <v>2849</v>
      </c>
      <c r="AK27" s="12">
        <v>5145</v>
      </c>
      <c r="AL27" s="12">
        <v>2817</v>
      </c>
      <c r="AM27" s="12">
        <v>8383</v>
      </c>
      <c r="AN27" s="12">
        <v>7001</v>
      </c>
      <c r="AO27" s="12">
        <v>8517</v>
      </c>
      <c r="AP27" s="12">
        <v>8005</v>
      </c>
      <c r="AQ27" s="101">
        <v>11139</v>
      </c>
      <c r="AR27" s="101">
        <v>10886</v>
      </c>
      <c r="AS27" s="101">
        <v>1786</v>
      </c>
      <c r="AT27" s="101">
        <v>-1050</v>
      </c>
      <c r="AU27" s="101">
        <v>9369</v>
      </c>
      <c r="AV27" s="101">
        <v>7399</v>
      </c>
      <c r="AW27" s="101">
        <v>8441</v>
      </c>
      <c r="AX27" s="101">
        <v>4762</v>
      </c>
      <c r="AY27" s="101">
        <v>12952</v>
      </c>
      <c r="AZ27" s="101">
        <v>8429</v>
      </c>
      <c r="BA27" s="101">
        <v>9780</v>
      </c>
      <c r="BB27" s="101">
        <v>4710</v>
      </c>
      <c r="BC27" s="12">
        <f>BC21+BC26+BC23</f>
        <v>11156.706173123039</v>
      </c>
      <c r="BD27" s="12">
        <f t="shared" ref="BD27:BN27" si="163">BD21+BD26+BD23</f>
        <v>10234.089304736784</v>
      </c>
      <c r="BE27" s="12">
        <f t="shared" si="163"/>
        <v>11839.261094046797</v>
      </c>
      <c r="BF27" s="12">
        <f t="shared" si="163"/>
        <v>8915.2091011267985</v>
      </c>
      <c r="BG27" s="12">
        <f t="shared" si="163"/>
        <v>12784.394446953349</v>
      </c>
      <c r="BH27" s="12">
        <f t="shared" si="163"/>
        <v>11803.579031542467</v>
      </c>
      <c r="BI27" s="12">
        <f t="shared" si="163"/>
        <v>13626.245129355477</v>
      </c>
      <c r="BJ27" s="12">
        <f t="shared" si="163"/>
        <v>10630.545093015477</v>
      </c>
      <c r="BK27" s="12">
        <f t="shared" si="163"/>
        <v>14632.966678278877</v>
      </c>
      <c r="BL27" s="12">
        <f t="shared" si="163"/>
        <v>13568.584905594378</v>
      </c>
      <c r="BM27" s="12">
        <f t="shared" si="163"/>
        <v>15606.206275936862</v>
      </c>
      <c r="BN27" s="12">
        <f t="shared" si="163"/>
        <v>12569.389326975903</v>
      </c>
      <c r="BO27" s="12"/>
      <c r="BP27" s="28">
        <f t="shared" si="162"/>
        <v>5888</v>
      </c>
      <c r="BQ27" s="28">
        <f t="shared" si="162"/>
        <v>9857</v>
      </c>
      <c r="BR27" s="28">
        <f t="shared" si="162"/>
        <v>13424</v>
      </c>
      <c r="BS27" s="28">
        <f t="shared" si="162"/>
        <v>17356</v>
      </c>
      <c r="BT27" s="28">
        <f t="shared" si="162"/>
        <v>17820</v>
      </c>
      <c r="BU27" s="28">
        <f t="shared" si="162"/>
        <v>7769</v>
      </c>
      <c r="BV27" s="28">
        <f t="shared" si="162"/>
        <v>24361</v>
      </c>
      <c r="BW27" s="28">
        <f t="shared" si="162"/>
        <v>7612</v>
      </c>
      <c r="BX27" s="28">
        <f t="shared" si="162"/>
        <v>15341</v>
      </c>
      <c r="BY27" s="28">
        <f t="shared" si="162"/>
        <v>31906</v>
      </c>
      <c r="BZ27" s="28">
        <f t="shared" si="162"/>
        <v>22761</v>
      </c>
      <c r="CA27" s="28">
        <f t="shared" si="162"/>
        <v>29971</v>
      </c>
      <c r="CB27" s="28">
        <f t="shared" si="162"/>
        <v>35871</v>
      </c>
      <c r="CC27" s="83">
        <f t="shared" si="162"/>
        <v>42145.26567303342</v>
      </c>
      <c r="CD27" s="28">
        <f t="shared" si="162"/>
        <v>48844.763700866766</v>
      </c>
      <c r="CE27" s="28">
        <f t="shared" si="162"/>
        <v>56377.147186786024</v>
      </c>
    </row>
    <row r="28" spans="1:83" x14ac:dyDescent="0.15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83"/>
      <c r="CD28" s="28"/>
      <c r="CE28" s="28"/>
    </row>
    <row r="29" spans="1:83" x14ac:dyDescent="0.15">
      <c r="B29" s="3" t="s">
        <v>54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83"/>
      <c r="CD29" s="28"/>
      <c r="CE29" s="28"/>
    </row>
    <row r="30" spans="1:83" x14ac:dyDescent="0.15">
      <c r="B30" s="1" t="str">
        <f>B15</f>
        <v>Operating Profit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101">
        <f>AQ15</f>
        <v>17436</v>
      </c>
      <c r="AR30" s="101">
        <f t="shared" ref="AR30:BB30" si="164">AR15</f>
        <v>16655</v>
      </c>
      <c r="AS30" s="101">
        <f t="shared" si="164"/>
        <v>8863</v>
      </c>
      <c r="AT30" s="101">
        <f t="shared" si="164"/>
        <v>-201</v>
      </c>
      <c r="AU30" s="101">
        <f t="shared" si="164"/>
        <v>14675</v>
      </c>
      <c r="AV30" s="101">
        <f t="shared" si="164"/>
        <v>11704</v>
      </c>
      <c r="AW30" s="101">
        <f t="shared" si="164"/>
        <v>14542</v>
      </c>
      <c r="AX30" s="101">
        <f t="shared" si="164"/>
        <v>11144</v>
      </c>
      <c r="AY30" s="101">
        <f t="shared" si="164"/>
        <v>16966</v>
      </c>
      <c r="AZ30" s="101">
        <f t="shared" si="164"/>
        <v>15136</v>
      </c>
      <c r="BA30" s="101">
        <f t="shared" si="164"/>
        <v>16318</v>
      </c>
      <c r="BB30" s="101">
        <f t="shared" si="164"/>
        <v>9006</v>
      </c>
      <c r="BC30" s="12">
        <f>BC37-SUM(BC31:BC35)</f>
        <v>17761.676019883394</v>
      </c>
      <c r="BD30" s="12">
        <f t="shared" ref="BD30:BN30" si="165">BD37-SUM(BD31:BD35)</f>
        <v>16363.771673843614</v>
      </c>
      <c r="BE30" s="12">
        <f t="shared" si="165"/>
        <v>18795.850142495146</v>
      </c>
      <c r="BF30" s="12">
        <f t="shared" si="165"/>
        <v>14365.468335040605</v>
      </c>
      <c r="BG30" s="12">
        <f t="shared" si="165"/>
        <v>20227.87037417174</v>
      </c>
      <c r="BH30" s="12">
        <f t="shared" si="165"/>
        <v>18741.78641142798</v>
      </c>
      <c r="BI30" s="12">
        <f t="shared" si="165"/>
        <v>21503.401711144663</v>
      </c>
      <c r="BJ30" s="12">
        <f t="shared" si="165"/>
        <v>16964.462262144662</v>
      </c>
      <c r="BK30" s="12">
        <f t="shared" si="165"/>
        <v>23028.737391331633</v>
      </c>
      <c r="BL30" s="12">
        <f t="shared" si="165"/>
        <v>21416.037735749058</v>
      </c>
      <c r="BM30" s="12">
        <f t="shared" si="165"/>
        <v>24503.34284232858</v>
      </c>
      <c r="BN30" s="12">
        <f t="shared" si="165"/>
        <v>19902.105040872579</v>
      </c>
      <c r="BO30" s="12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28">
        <f t="shared" ref="BP30:CE39" si="166">SUMIF($C$5:$BO$5,BZ$3,$C30:$BO30)</f>
        <v>42753</v>
      </c>
      <c r="CA30" s="28">
        <f t="shared" si="166"/>
        <v>52065</v>
      </c>
      <c r="CB30" s="28">
        <f t="shared" si="166"/>
        <v>57426</v>
      </c>
      <c r="CC30" s="83">
        <f t="shared" si="166"/>
        <v>67286.76617126276</v>
      </c>
      <c r="CD30" s="28">
        <f t="shared" si="166"/>
        <v>77437.520758889048</v>
      </c>
      <c r="CE30" s="28">
        <f t="shared" si="166"/>
        <v>88850.223010281858</v>
      </c>
    </row>
    <row r="31" spans="1:83" x14ac:dyDescent="0.15">
      <c r="B31" s="15" t="s">
        <v>30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101">
        <v>3454</v>
      </c>
      <c r="AR31" s="101">
        <v>3522</v>
      </c>
      <c r="AS31" s="101">
        <v>3446</v>
      </c>
      <c r="AT31" s="101">
        <v>3634</v>
      </c>
      <c r="AU31" s="101">
        <v>2962</v>
      </c>
      <c r="AV31" s="101">
        <v>3116</v>
      </c>
      <c r="AW31" s="101">
        <v>3036</v>
      </c>
      <c r="AX31" s="101">
        <v>3439</v>
      </c>
      <c r="AY31" s="101">
        <v>3227</v>
      </c>
      <c r="AZ31" s="101">
        <v>3183</v>
      </c>
      <c r="BA31" s="101">
        <v>3590</v>
      </c>
      <c r="BB31" s="101">
        <v>3964</v>
      </c>
      <c r="BC31" s="30">
        <f>AY31+50</f>
        <v>3277</v>
      </c>
      <c r="BD31" s="30">
        <f t="shared" ref="BD31:BN31" si="167">AZ31+50</f>
        <v>3233</v>
      </c>
      <c r="BE31" s="30">
        <f t="shared" si="167"/>
        <v>3640</v>
      </c>
      <c r="BF31" s="30">
        <f t="shared" si="167"/>
        <v>4014</v>
      </c>
      <c r="BG31" s="30">
        <f t="shared" si="167"/>
        <v>3327</v>
      </c>
      <c r="BH31" s="30">
        <f t="shared" si="167"/>
        <v>3283</v>
      </c>
      <c r="BI31" s="30">
        <f t="shared" si="167"/>
        <v>3690</v>
      </c>
      <c r="BJ31" s="30">
        <f t="shared" si="167"/>
        <v>4064</v>
      </c>
      <c r="BK31" s="30">
        <f t="shared" si="167"/>
        <v>3377</v>
      </c>
      <c r="BL31" s="30">
        <f t="shared" si="167"/>
        <v>3333</v>
      </c>
      <c r="BM31" s="30">
        <f t="shared" si="167"/>
        <v>3740</v>
      </c>
      <c r="BN31" s="30">
        <f t="shared" si="167"/>
        <v>4114</v>
      </c>
      <c r="BO31" s="12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28">
        <f t="shared" si="166"/>
        <v>14056</v>
      </c>
      <c r="CA31" s="28">
        <f t="shared" si="166"/>
        <v>12553</v>
      </c>
      <c r="CB31" s="28">
        <f t="shared" si="166"/>
        <v>13964</v>
      </c>
      <c r="CC31" s="83">
        <f t="shared" si="166"/>
        <v>14164</v>
      </c>
      <c r="CD31" s="28">
        <f t="shared" si="166"/>
        <v>14364</v>
      </c>
      <c r="CE31" s="28">
        <f t="shared" si="166"/>
        <v>14564</v>
      </c>
    </row>
    <row r="32" spans="1:83" x14ac:dyDescent="0.15">
      <c r="B32" s="15" t="s">
        <v>55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101">
        <v>1520</v>
      </c>
      <c r="AR32" s="101">
        <v>63</v>
      </c>
      <c r="AS32" s="101">
        <v>783</v>
      </c>
      <c r="AT32" s="101">
        <v>2085</v>
      </c>
      <c r="AU32" s="101">
        <v>1387</v>
      </c>
      <c r="AV32" s="101">
        <v>403</v>
      </c>
      <c r="AW32" s="101">
        <v>676</v>
      </c>
      <c r="AX32" s="101">
        <v>1290</v>
      </c>
      <c r="AY32" s="101">
        <v>1772</v>
      </c>
      <c r="AZ32" s="101">
        <v>750</v>
      </c>
      <c r="BA32" s="101">
        <v>1309</v>
      </c>
      <c r="BB32" s="101">
        <v>-175</v>
      </c>
      <c r="BC32" s="30">
        <f>AY32</f>
        <v>1772</v>
      </c>
      <c r="BD32" s="30">
        <f t="shared" ref="BD32:BN32" si="168">AZ32</f>
        <v>750</v>
      </c>
      <c r="BE32" s="30">
        <f t="shared" si="168"/>
        <v>1309</v>
      </c>
      <c r="BF32" s="30">
        <f t="shared" si="168"/>
        <v>-175</v>
      </c>
      <c r="BG32" s="30">
        <f t="shared" si="168"/>
        <v>1772</v>
      </c>
      <c r="BH32" s="30">
        <f t="shared" si="168"/>
        <v>750</v>
      </c>
      <c r="BI32" s="30">
        <f t="shared" si="168"/>
        <v>1309</v>
      </c>
      <c r="BJ32" s="30">
        <f t="shared" si="168"/>
        <v>-175</v>
      </c>
      <c r="BK32" s="30">
        <f t="shared" si="168"/>
        <v>1772</v>
      </c>
      <c r="BL32" s="30">
        <f t="shared" si="168"/>
        <v>750</v>
      </c>
      <c r="BM32" s="30">
        <f t="shared" si="168"/>
        <v>1309</v>
      </c>
      <c r="BN32" s="30">
        <f t="shared" si="168"/>
        <v>-175</v>
      </c>
      <c r="BO32" s="12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28">
        <f t="shared" si="166"/>
        <v>4451</v>
      </c>
      <c r="CA32" s="28">
        <f t="shared" si="166"/>
        <v>3756</v>
      </c>
      <c r="CB32" s="28">
        <f t="shared" si="166"/>
        <v>3656</v>
      </c>
      <c r="CC32" s="83">
        <f t="shared" si="166"/>
        <v>3656</v>
      </c>
      <c r="CD32" s="28">
        <f t="shared" si="166"/>
        <v>3656</v>
      </c>
      <c r="CE32" s="28">
        <f t="shared" si="166"/>
        <v>3656</v>
      </c>
    </row>
    <row r="33" spans="2:84" x14ac:dyDescent="0.15">
      <c r="B33" s="15" t="s">
        <v>56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101">
        <v>277</v>
      </c>
      <c r="AR33" s="101">
        <v>289</v>
      </c>
      <c r="AS33" s="101">
        <v>285</v>
      </c>
      <c r="AT33" s="101">
        <v>227</v>
      </c>
      <c r="AU33" s="101">
        <v>449</v>
      </c>
      <c r="AV33" s="101">
        <v>663</v>
      </c>
      <c r="AW33" s="101">
        <v>531</v>
      </c>
      <c r="AX33" s="101">
        <v>565</v>
      </c>
      <c r="AY33" s="101">
        <v>712</v>
      </c>
      <c r="AZ33" s="101">
        <v>692</v>
      </c>
      <c r="BA33" s="101">
        <v>695</v>
      </c>
      <c r="BB33" s="101">
        <v>641</v>
      </c>
      <c r="BC33" s="30">
        <f>AY33+10</f>
        <v>722</v>
      </c>
      <c r="BD33" s="30">
        <f t="shared" ref="BD33:BN33" si="169">AZ33+10</f>
        <v>702</v>
      </c>
      <c r="BE33" s="30">
        <f t="shared" si="169"/>
        <v>705</v>
      </c>
      <c r="BF33" s="30">
        <f t="shared" si="169"/>
        <v>651</v>
      </c>
      <c r="BG33" s="30">
        <f t="shared" si="169"/>
        <v>732</v>
      </c>
      <c r="BH33" s="30">
        <f t="shared" si="169"/>
        <v>712</v>
      </c>
      <c r="BI33" s="30">
        <f t="shared" si="169"/>
        <v>715</v>
      </c>
      <c r="BJ33" s="30">
        <f t="shared" si="169"/>
        <v>661</v>
      </c>
      <c r="BK33" s="30">
        <f t="shared" si="169"/>
        <v>742</v>
      </c>
      <c r="BL33" s="30">
        <f t="shared" si="169"/>
        <v>722</v>
      </c>
      <c r="BM33" s="30">
        <f t="shared" si="169"/>
        <v>725</v>
      </c>
      <c r="BN33" s="30">
        <f t="shared" si="169"/>
        <v>671</v>
      </c>
      <c r="BO33" s="12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28">
        <f t="shared" si="166"/>
        <v>1078</v>
      </c>
      <c r="CA33" s="28">
        <f t="shared" si="166"/>
        <v>2208</v>
      </c>
      <c r="CB33" s="28">
        <f t="shared" si="166"/>
        <v>2740</v>
      </c>
      <c r="CC33" s="83">
        <f t="shared" si="166"/>
        <v>2780</v>
      </c>
      <c r="CD33" s="28">
        <f t="shared" si="166"/>
        <v>2820</v>
      </c>
      <c r="CE33" s="28">
        <f t="shared" si="166"/>
        <v>2860</v>
      </c>
    </row>
    <row r="34" spans="2:84" x14ac:dyDescent="0.15">
      <c r="B34" s="15" t="s">
        <v>57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101">
        <v>-63</v>
      </c>
      <c r="AR34" s="101">
        <v>-87</v>
      </c>
      <c r="AS34" s="101">
        <v>-56</v>
      </c>
      <c r="AT34" s="101">
        <v>-55</v>
      </c>
      <c r="AU34" s="101">
        <v>-517</v>
      </c>
      <c r="AV34" s="101">
        <v>-53</v>
      </c>
      <c r="AW34" s="101">
        <v>-421</v>
      </c>
      <c r="AX34" s="101">
        <v>-587</v>
      </c>
      <c r="AY34" s="101">
        <v>-59</v>
      </c>
      <c r="AZ34" s="101">
        <v>-85</v>
      </c>
      <c r="BA34" s="101">
        <v>-56</v>
      </c>
      <c r="BB34" s="101">
        <v>-604</v>
      </c>
      <c r="BC34" s="30">
        <f>AY34</f>
        <v>-59</v>
      </c>
      <c r="BD34" s="30">
        <f t="shared" ref="BD34:BN35" si="170">AZ34</f>
        <v>-85</v>
      </c>
      <c r="BE34" s="30">
        <f t="shared" si="170"/>
        <v>-56</v>
      </c>
      <c r="BF34" s="30">
        <f t="shared" si="170"/>
        <v>-604</v>
      </c>
      <c r="BG34" s="30">
        <f t="shared" si="170"/>
        <v>-59</v>
      </c>
      <c r="BH34" s="30">
        <f t="shared" si="170"/>
        <v>-85</v>
      </c>
      <c r="BI34" s="30">
        <f t="shared" si="170"/>
        <v>-56</v>
      </c>
      <c r="BJ34" s="30">
        <f t="shared" si="170"/>
        <v>-604</v>
      </c>
      <c r="BK34" s="30">
        <f t="shared" si="170"/>
        <v>-59</v>
      </c>
      <c r="BL34" s="30">
        <f t="shared" si="170"/>
        <v>-85</v>
      </c>
      <c r="BM34" s="30">
        <f t="shared" si="170"/>
        <v>-56</v>
      </c>
      <c r="BN34" s="30">
        <f t="shared" si="170"/>
        <v>-604</v>
      </c>
      <c r="BO34" s="12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28">
        <f t="shared" si="166"/>
        <v>-261</v>
      </c>
      <c r="CA34" s="28">
        <f t="shared" si="166"/>
        <v>-1578</v>
      </c>
      <c r="CB34" s="28">
        <f t="shared" si="166"/>
        <v>-804</v>
      </c>
      <c r="CC34" s="83">
        <f t="shared" si="166"/>
        <v>-804</v>
      </c>
      <c r="CD34" s="28">
        <f t="shared" si="166"/>
        <v>-804</v>
      </c>
      <c r="CE34" s="28">
        <f t="shared" si="166"/>
        <v>-804</v>
      </c>
    </row>
    <row r="35" spans="2:84" x14ac:dyDescent="0.15">
      <c r="B35" s="15" t="s">
        <v>58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101">
        <v>53</v>
      </c>
      <c r="AR35" s="101">
        <v>162</v>
      </c>
      <c r="AS35" s="101">
        <v>8975</v>
      </c>
      <c r="AT35" s="101">
        <v>4696</v>
      </c>
      <c r="AU35" s="101">
        <v>56</v>
      </c>
      <c r="AV35" s="101">
        <v>191</v>
      </c>
      <c r="AW35" s="101">
        <v>37</v>
      </c>
      <c r="AX35" s="101">
        <v>2991</v>
      </c>
      <c r="AY35" s="101">
        <v>323</v>
      </c>
      <c r="AZ35" s="101">
        <v>153</v>
      </c>
      <c r="BA35" s="101">
        <v>187</v>
      </c>
      <c r="BB35" s="101">
        <v>688</v>
      </c>
      <c r="BC35" s="30">
        <f t="shared" ref="BC35" si="171">AY35</f>
        <v>323</v>
      </c>
      <c r="BD35" s="30">
        <f t="shared" si="170"/>
        <v>153</v>
      </c>
      <c r="BE35" s="30">
        <f t="shared" si="170"/>
        <v>187</v>
      </c>
      <c r="BF35" s="30">
        <f t="shared" si="170"/>
        <v>688</v>
      </c>
      <c r="BG35" s="30">
        <f t="shared" si="170"/>
        <v>323</v>
      </c>
      <c r="BH35" s="30">
        <f t="shared" si="170"/>
        <v>153</v>
      </c>
      <c r="BI35" s="30">
        <f t="shared" si="170"/>
        <v>187</v>
      </c>
      <c r="BJ35" s="30">
        <f t="shared" si="170"/>
        <v>688</v>
      </c>
      <c r="BK35" s="30">
        <f t="shared" si="170"/>
        <v>323</v>
      </c>
      <c r="BL35" s="30">
        <f t="shared" si="170"/>
        <v>153</v>
      </c>
      <c r="BM35" s="30">
        <f t="shared" si="170"/>
        <v>187</v>
      </c>
      <c r="BN35" s="30">
        <f t="shared" si="170"/>
        <v>688</v>
      </c>
      <c r="BO35" s="12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28">
        <f t="shared" si="166"/>
        <v>13886</v>
      </c>
      <c r="CA35" s="28">
        <f t="shared" si="166"/>
        <v>3275</v>
      </c>
      <c r="CB35" s="28">
        <f t="shared" si="166"/>
        <v>1351</v>
      </c>
      <c r="CC35" s="83">
        <f t="shared" si="166"/>
        <v>1351</v>
      </c>
      <c r="CD35" s="28">
        <f t="shared" si="166"/>
        <v>1351</v>
      </c>
      <c r="CE35" s="28">
        <f t="shared" si="166"/>
        <v>1351</v>
      </c>
    </row>
    <row r="36" spans="2:84" x14ac:dyDescent="0.15">
      <c r="B36" s="15" t="s">
        <v>59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101">
        <v>0</v>
      </c>
      <c r="AR36" s="101">
        <v>0</v>
      </c>
      <c r="AS36" s="101">
        <v>-573</v>
      </c>
      <c r="AT36" s="101">
        <v>-119</v>
      </c>
      <c r="AU36" s="101">
        <v>0</v>
      </c>
      <c r="AV36" s="101">
        <v>0</v>
      </c>
      <c r="AW36" s="101">
        <v>0</v>
      </c>
      <c r="AX36" s="101">
        <v>0</v>
      </c>
      <c r="AY36" s="101">
        <v>0</v>
      </c>
      <c r="AZ36" s="101">
        <v>0</v>
      </c>
      <c r="BA36" s="101">
        <v>0</v>
      </c>
      <c r="BB36" s="101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28">
        <f t="shared" si="166"/>
        <v>-692</v>
      </c>
      <c r="CA36" s="28">
        <f t="shared" si="166"/>
        <v>0</v>
      </c>
      <c r="CB36" s="28">
        <f t="shared" si="166"/>
        <v>0</v>
      </c>
      <c r="CC36" s="83">
        <f t="shared" si="166"/>
        <v>0</v>
      </c>
      <c r="CD36" s="28">
        <f t="shared" si="166"/>
        <v>0</v>
      </c>
      <c r="CE36" s="28">
        <f t="shared" si="166"/>
        <v>0</v>
      </c>
    </row>
    <row r="37" spans="2:84" x14ac:dyDescent="0.15">
      <c r="B37" s="57" t="s">
        <v>60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107">
        <v>22678</v>
      </c>
      <c r="AR37" s="107">
        <v>20606</v>
      </c>
      <c r="AS37" s="107">
        <v>21724</v>
      </c>
      <c r="AT37" s="107">
        <v>10267</v>
      </c>
      <c r="AU37" s="107">
        <v>19014</v>
      </c>
      <c r="AV37" s="107">
        <v>16025</v>
      </c>
      <c r="AW37" s="107">
        <v>18404</v>
      </c>
      <c r="AX37" s="107">
        <v>18843</v>
      </c>
      <c r="AY37" s="107">
        <v>22944</v>
      </c>
      <c r="AZ37" s="107">
        <v>19830</v>
      </c>
      <c r="BA37" s="107">
        <v>22045</v>
      </c>
      <c r="BB37" s="107">
        <v>13520</v>
      </c>
      <c r="BC37" s="58">
        <f>SUM(BC68:BC76)</f>
        <v>23796.676019883394</v>
      </c>
      <c r="BD37" s="58">
        <f t="shared" ref="BD37:BN37" si="172">SUM(BD68:BD76)</f>
        <v>21116.771673843614</v>
      </c>
      <c r="BE37" s="58">
        <f t="shared" si="172"/>
        <v>24580.850142495146</v>
      </c>
      <c r="BF37" s="58">
        <f t="shared" si="172"/>
        <v>18939.468335040605</v>
      </c>
      <c r="BG37" s="58">
        <f t="shared" si="172"/>
        <v>26322.87037417174</v>
      </c>
      <c r="BH37" s="58">
        <f t="shared" si="172"/>
        <v>23554.78641142798</v>
      </c>
      <c r="BI37" s="58">
        <f t="shared" si="172"/>
        <v>27348.401711144663</v>
      </c>
      <c r="BJ37" s="58">
        <f t="shared" si="172"/>
        <v>21598.462262144662</v>
      </c>
      <c r="BK37" s="58">
        <f t="shared" si="172"/>
        <v>29183.737391331633</v>
      </c>
      <c r="BL37" s="58">
        <f t="shared" si="172"/>
        <v>26289.037735749058</v>
      </c>
      <c r="BM37" s="58">
        <f t="shared" si="172"/>
        <v>30408.34284232858</v>
      </c>
      <c r="BN37" s="58">
        <f t="shared" si="172"/>
        <v>24596.105040872579</v>
      </c>
      <c r="BO37" s="12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5">
        <f t="shared" si="166"/>
        <v>75275</v>
      </c>
      <c r="CA37" s="65">
        <f t="shared" si="166"/>
        <v>72286</v>
      </c>
      <c r="CB37" s="65">
        <f t="shared" si="166"/>
        <v>78339</v>
      </c>
      <c r="CC37" s="84">
        <f t="shared" si="166"/>
        <v>88433.766171262774</v>
      </c>
      <c r="CD37" s="65">
        <f t="shared" si="166"/>
        <v>98824.520758889048</v>
      </c>
      <c r="CE37" s="65">
        <f t="shared" si="166"/>
        <v>110477.22301028186</v>
      </c>
    </row>
    <row r="38" spans="2:84" x14ac:dyDescent="0.15">
      <c r="B38" s="1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83"/>
      <c r="CD38" s="28"/>
      <c r="CE38" s="28"/>
      <c r="CF38" s="1">
        <v>287</v>
      </c>
    </row>
    <row r="39" spans="2:84" x14ac:dyDescent="0.15">
      <c r="B39" s="1" t="s">
        <v>22</v>
      </c>
      <c r="C39" s="46">
        <f t="shared" ref="C39:AH39" si="173">C27/C41</f>
        <v>0.75060829477441915</v>
      </c>
      <c r="D39" s="46">
        <f t="shared" si="173"/>
        <v>0.57944342540936045</v>
      </c>
      <c r="E39" s="46">
        <f t="shared" si="173"/>
        <v>0.99476994666281171</v>
      </c>
      <c r="F39" s="46">
        <f t="shared" si="173"/>
        <v>0.63935112968713104</v>
      </c>
      <c r="G39" s="46">
        <f t="shared" si="173"/>
        <v>0.99779050318101858</v>
      </c>
      <c r="H39" s="46">
        <f t="shared" si="173"/>
        <v>0.7742693208337067</v>
      </c>
      <c r="I39" s="46">
        <f t="shared" si="173"/>
        <v>1.4885315043054952</v>
      </c>
      <c r="J39" s="46">
        <f t="shared" si="173"/>
        <v>1.5794946317574716</v>
      </c>
      <c r="K39" s="46">
        <f t="shared" si="173"/>
        <v>1.5732972224682495</v>
      </c>
      <c r="L39" s="46">
        <f t="shared" si="173"/>
        <v>1.0397445216374186</v>
      </c>
      <c r="M39" s="46">
        <f t="shared" si="173"/>
        <v>1.3507508505671721</v>
      </c>
      <c r="N39" s="46">
        <f t="shared" si="173"/>
        <v>2.1576167978912149</v>
      </c>
      <c r="O39" s="46">
        <f t="shared" si="173"/>
        <v>1.9019126282491119</v>
      </c>
      <c r="P39" s="46">
        <f t="shared" si="173"/>
        <v>1.7434599838227047</v>
      </c>
      <c r="Q39" s="46">
        <f t="shared" si="173"/>
        <v>2.0068156470919245</v>
      </c>
      <c r="R39" s="46">
        <f t="shared" si="173"/>
        <v>2.0458839342588133</v>
      </c>
      <c r="S39" s="46">
        <f t="shared" si="173"/>
        <v>2.6475256263445899</v>
      </c>
      <c r="T39" s="46">
        <f t="shared" si="173"/>
        <v>1.5583457655027035</v>
      </c>
      <c r="U39" s="46">
        <f t="shared" si="173"/>
        <v>2.1974594931843145</v>
      </c>
      <c r="V39" s="46">
        <f t="shared" si="173"/>
        <v>1.191440629158377</v>
      </c>
      <c r="W39" s="46">
        <f t="shared" si="173"/>
        <v>2.3199420689297252</v>
      </c>
      <c r="X39" s="46">
        <f t="shared" si="173"/>
        <v>1.6252918277164476</v>
      </c>
      <c r="Y39" s="46">
        <f t="shared" si="173"/>
        <v>0.70603454490445439</v>
      </c>
      <c r="Z39" s="46">
        <f t="shared" si="173"/>
        <v>-1.3289546497544946</v>
      </c>
      <c r="AA39" s="46">
        <f t="shared" si="173"/>
        <v>2.8425662616191931</v>
      </c>
      <c r="AB39" s="46">
        <f t="shared" si="173"/>
        <v>2.2959308620629684</v>
      </c>
      <c r="AC39" s="46">
        <f t="shared" si="173"/>
        <v>2.8933089558232266</v>
      </c>
      <c r="AD39" s="46">
        <f t="shared" si="173"/>
        <v>2.4095998733209538</v>
      </c>
      <c r="AE39" s="46">
        <f t="shared" si="173"/>
        <v>2.341394429660733</v>
      </c>
      <c r="AF39" s="46">
        <f t="shared" si="173"/>
        <v>-4.563188335662268</v>
      </c>
      <c r="AG39" s="46">
        <f t="shared" si="173"/>
        <v>1.9430191651626345</v>
      </c>
      <c r="AH39" s="46">
        <f t="shared" si="173"/>
        <v>3.5570789955810715</v>
      </c>
      <c r="AI39" s="46">
        <f t="shared" ref="AI39:BB39" si="174">AI27/AI41</f>
        <v>1.9605971052584423</v>
      </c>
      <c r="AJ39" s="46">
        <f t="shared" si="174"/>
        <v>1.2329884541861891</v>
      </c>
      <c r="AK39" s="46">
        <f t="shared" si="174"/>
        <v>2.2283882429924451</v>
      </c>
      <c r="AL39" s="46">
        <f t="shared" si="174"/>
        <v>1.2210299112927623</v>
      </c>
      <c r="AM39" s="46">
        <f t="shared" si="174"/>
        <v>3.642891108761384</v>
      </c>
      <c r="AN39" s="46">
        <f t="shared" si="174"/>
        <v>3.0414346312917369</v>
      </c>
      <c r="AO39" s="46">
        <f t="shared" si="174"/>
        <v>3.6982208374965637</v>
      </c>
      <c r="AP39" s="46">
        <f t="shared" si="174"/>
        <v>3.4749751735705603</v>
      </c>
      <c r="AQ39" s="46">
        <f t="shared" si="174"/>
        <v>4.8437173867668548</v>
      </c>
      <c r="AR39" s="46">
        <f t="shared" si="174"/>
        <v>4.7230528251548325</v>
      </c>
      <c r="AS39" s="46">
        <f t="shared" si="174"/>
        <v>0.77599917453848166</v>
      </c>
      <c r="AT39" s="46">
        <f t="shared" si="174"/>
        <v>-0.45720703084611686</v>
      </c>
      <c r="AU39" s="46">
        <f t="shared" si="174"/>
        <v>4.1379036211625344</v>
      </c>
      <c r="AV39" s="46">
        <f t="shared" si="174"/>
        <v>3.2497489856594157</v>
      </c>
      <c r="AW39" s="46">
        <f t="shared" si="174"/>
        <v>3.7029875558832961</v>
      </c>
      <c r="AX39" s="46">
        <f t="shared" si="174"/>
        <v>2.0890447507542063</v>
      </c>
      <c r="AY39" s="46">
        <f t="shared" si="174"/>
        <v>5.6765342520735658</v>
      </c>
      <c r="AZ39" s="46">
        <f t="shared" si="174"/>
        <v>3.7339579113376331</v>
      </c>
      <c r="BA39" s="46">
        <f t="shared" si="174"/>
        <v>4.3548089284034575</v>
      </c>
      <c r="BB39" s="46">
        <f t="shared" si="174"/>
        <v>2.1229152190540845</v>
      </c>
      <c r="BC39" s="46">
        <f t="shared" ref="BC39:BN39" si="175">BC27/BC41</f>
        <v>5.0538768853690001</v>
      </c>
      <c r="BD39" s="46">
        <f t="shared" si="175"/>
        <v>4.6592368082202462</v>
      </c>
      <c r="BE39" s="46">
        <f t="shared" si="175"/>
        <v>5.4171030761991705</v>
      </c>
      <c r="BF39" s="46">
        <f t="shared" si="175"/>
        <v>4.0996893916496431</v>
      </c>
      <c r="BG39" s="46">
        <f t="shared" si="175"/>
        <v>5.9084899537836986</v>
      </c>
      <c r="BH39" s="46">
        <f t="shared" si="175"/>
        <v>5.4826051677851293</v>
      </c>
      <c r="BI39" s="46">
        <f t="shared" si="175"/>
        <v>6.361014353466758</v>
      </c>
      <c r="BJ39" s="46">
        <f t="shared" si="175"/>
        <v>4.9874968157149002</v>
      </c>
      <c r="BK39" s="46">
        <f t="shared" si="175"/>
        <v>6.8997983790668336</v>
      </c>
      <c r="BL39" s="46">
        <f t="shared" si="175"/>
        <v>6.4300669154178509</v>
      </c>
      <c r="BM39" s="46">
        <f t="shared" si="175"/>
        <v>7.4328470828357833</v>
      </c>
      <c r="BN39" s="46">
        <f t="shared" si="175"/>
        <v>6.0165697076858526</v>
      </c>
      <c r="BO39" s="12"/>
      <c r="BP39" s="46">
        <f t="shared" si="166"/>
        <v>2.9641727965337221</v>
      </c>
      <c r="BQ39" s="46">
        <f t="shared" si="166"/>
        <v>4.8400859600776922</v>
      </c>
      <c r="BR39" s="46">
        <f t="shared" si="166"/>
        <v>6.1214093925640558</v>
      </c>
      <c r="BS39" s="46">
        <f t="shared" si="166"/>
        <v>7.6980721934225542</v>
      </c>
      <c r="BT39" s="46">
        <f t="shared" si="166"/>
        <v>7.5947715141899845</v>
      </c>
      <c r="BU39" s="46">
        <f t="shared" si="166"/>
        <v>3.3223137917961325</v>
      </c>
      <c r="BV39" s="46">
        <f t="shared" si="166"/>
        <v>10.441405952826342</v>
      </c>
      <c r="BW39" s="46">
        <f t="shared" si="166"/>
        <v>3.2783042547421708</v>
      </c>
      <c r="BX39" s="46">
        <f t="shared" si="166"/>
        <v>6.6430037137298381</v>
      </c>
      <c r="BY39" s="46">
        <f t="shared" si="166"/>
        <v>13.857521751120245</v>
      </c>
      <c r="BZ39" s="46">
        <f t="shared" si="166"/>
        <v>9.8855623556140522</v>
      </c>
      <c r="CA39" s="46">
        <f t="shared" si="166"/>
        <v>13.179684913459452</v>
      </c>
      <c r="CB39" s="46">
        <f t="shared" si="166"/>
        <v>15.88821631086874</v>
      </c>
      <c r="CC39" s="85">
        <f t="shared" si="166"/>
        <v>19.229906161438059</v>
      </c>
      <c r="CD39" s="46">
        <f t="shared" si="166"/>
        <v>22.739606290750487</v>
      </c>
      <c r="CE39" s="46">
        <f t="shared" si="166"/>
        <v>26.779282085006322</v>
      </c>
    </row>
    <row r="40" spans="2:84" x14ac:dyDescent="0.15">
      <c r="B40" s="15" t="s">
        <v>21</v>
      </c>
      <c r="C40" s="16"/>
      <c r="D40" s="16"/>
      <c r="E40" s="16"/>
      <c r="F40" s="16"/>
      <c r="G40" s="19">
        <f>G39/C39-1</f>
        <v>0.32930918846411794</v>
      </c>
      <c r="H40" s="19">
        <f t="shared" ref="H40:AP40" si="176">H39/D39-1</f>
        <v>0.33622936576889662</v>
      </c>
      <c r="I40" s="19">
        <f t="shared" si="176"/>
        <v>0.49635753401992289</v>
      </c>
      <c r="J40" s="19">
        <f t="shared" si="176"/>
        <v>1.4704650674980484</v>
      </c>
      <c r="K40" s="19">
        <f t="shared" si="176"/>
        <v>0.5767811153267941</v>
      </c>
      <c r="L40" s="19">
        <f t="shared" si="176"/>
        <v>0.34287190989029148</v>
      </c>
      <c r="M40" s="19">
        <f t="shared" si="176"/>
        <v>-9.2561462985365162E-2</v>
      </c>
      <c r="N40" s="19">
        <f t="shared" si="176"/>
        <v>0.36601717695645375</v>
      </c>
      <c r="O40" s="19">
        <f t="shared" si="176"/>
        <v>0.20887051797200651</v>
      </c>
      <c r="P40" s="19">
        <f t="shared" si="176"/>
        <v>0.67681574419556023</v>
      </c>
      <c r="Q40" s="19">
        <f t="shared" si="176"/>
        <v>0.48570378189972985</v>
      </c>
      <c r="R40" s="19">
        <f t="shared" si="176"/>
        <v>-5.1785314121398085E-2</v>
      </c>
      <c r="S40" s="19">
        <f t="shared" si="176"/>
        <v>0.39203325485139895</v>
      </c>
      <c r="T40" s="19">
        <f t="shared" si="176"/>
        <v>-0.10617635049708474</v>
      </c>
      <c r="U40" s="19">
        <f t="shared" si="176"/>
        <v>9.4998185991150619E-2</v>
      </c>
      <c r="V40" s="19">
        <f t="shared" si="176"/>
        <v>-0.41764016559912309</v>
      </c>
      <c r="W40" s="19">
        <f t="shared" si="176"/>
        <v>-0.12373196850493029</v>
      </c>
      <c r="X40" s="19">
        <f t="shared" si="176"/>
        <v>4.295969719669257E-2</v>
      </c>
      <c r="Y40" s="19">
        <f t="shared" si="176"/>
        <v>-0.67870418221846385</v>
      </c>
      <c r="Z40" s="19">
        <f t="shared" si="176"/>
        <v>-2.1154182736686229</v>
      </c>
      <c r="AA40" s="19">
        <f t="shared" si="176"/>
        <v>0.22527467374673438</v>
      </c>
      <c r="AB40" s="19">
        <f t="shared" si="176"/>
        <v>0.41262684209073752</v>
      </c>
      <c r="AC40" s="19">
        <f t="shared" si="176"/>
        <v>3.0979708099336269</v>
      </c>
      <c r="AD40" s="19">
        <f t="shared" si="176"/>
        <v>-2.8131543267982044</v>
      </c>
      <c r="AE40" s="19">
        <f t="shared" si="176"/>
        <v>-0.17630963918954723</v>
      </c>
      <c r="AF40" s="19">
        <f t="shared" si="176"/>
        <v>-2.9875112143238036</v>
      </c>
      <c r="AG40" s="19">
        <f t="shared" si="176"/>
        <v>-0.32844393916107317</v>
      </c>
      <c r="AH40" s="19">
        <f t="shared" si="176"/>
        <v>0.47621148015692794</v>
      </c>
      <c r="AI40" s="19">
        <f t="shared" si="176"/>
        <v>-0.16263698229497714</v>
      </c>
      <c r="AJ40" s="19">
        <f t="shared" si="176"/>
        <v>-1.27020327970032</v>
      </c>
      <c r="AK40" s="19">
        <f t="shared" si="176"/>
        <v>0.14686889504042777</v>
      </c>
      <c r="AL40" s="19">
        <f t="shared" si="176"/>
        <v>-0.65673241645472669</v>
      </c>
      <c r="AM40" s="19">
        <f t="shared" si="176"/>
        <v>0.85805186541943024</v>
      </c>
      <c r="AN40" s="19">
        <f t="shared" si="176"/>
        <v>1.4667178520330744</v>
      </c>
      <c r="AO40" s="19">
        <f t="shared" si="176"/>
        <v>0.65959448454561875</v>
      </c>
      <c r="AP40" s="19">
        <f t="shared" si="176"/>
        <v>1.8459377951613316</v>
      </c>
      <c r="AQ40" s="19">
        <f t="shared" ref="AQ40" si="177">AQ39/AM39-1</f>
        <v>0.32963551260629442</v>
      </c>
      <c r="AR40" s="19">
        <f t="shared" ref="AR40" si="178">AR39/AN39-1</f>
        <v>0.55290295459971484</v>
      </c>
      <c r="AS40" s="19">
        <f t="shared" ref="AS40" si="179">AS39/AO39-1</f>
        <v>-0.79016959542530218</v>
      </c>
      <c r="AT40" s="19">
        <f t="shared" ref="AT40" si="180">AT39/AP39-1</f>
        <v>-1.131571308573216</v>
      </c>
      <c r="AU40" s="19">
        <f t="shared" ref="AU40" si="181">AU39/AQ39-1</f>
        <v>-0.14571737144132713</v>
      </c>
      <c r="AV40" s="19">
        <f t="shared" ref="AV40" si="182">AV39/AR39-1</f>
        <v>-0.31193888657112756</v>
      </c>
      <c r="AW40" s="19">
        <f t="shared" ref="AW40" si="183">AW39/AS39-1</f>
        <v>3.7718962563144656</v>
      </c>
      <c r="AX40" s="19">
        <f t="shared" ref="AX40" si="184">AX39/AT39-1</f>
        <v>-5.5691439759536863</v>
      </c>
      <c r="AY40" s="19">
        <f t="shared" ref="AY40" si="185">AY39/AU39-1</f>
        <v>0.37183819918907557</v>
      </c>
      <c r="AZ40" s="19">
        <f t="shared" ref="AZ40" si="186">AZ39/AV39-1</f>
        <v>0.14899886970192111</v>
      </c>
      <c r="BA40" s="19">
        <f t="shared" ref="BA40" si="187">BA39/AW39-1</f>
        <v>0.17602580691489211</v>
      </c>
      <c r="BB40" s="19">
        <f t="shared" ref="BB40" si="188">BB39/AX39-1</f>
        <v>1.6213376131674506E-2</v>
      </c>
      <c r="BC40" s="19">
        <f t="shared" ref="BC40" si="189">BC39/AY39-1</f>
        <v>-0.10968970485417517</v>
      </c>
      <c r="BD40" s="19">
        <f t="shared" ref="BD40" si="190">BD39/AZ39-1</f>
        <v>0.24780110511506703</v>
      </c>
      <c r="BE40" s="19">
        <f t="shared" ref="BE40" si="191">BE39/BA39-1</f>
        <v>0.24393587991130694</v>
      </c>
      <c r="BF40" s="19">
        <f t="shared" ref="BF40" si="192">BF39/BB39-1</f>
        <v>0.93116020595318805</v>
      </c>
      <c r="BG40" s="19">
        <f t="shared" ref="BG40" si="193">BG39/BC39-1</f>
        <v>0.16910049211701361</v>
      </c>
      <c r="BH40" s="19">
        <f t="shared" ref="BH40" si="194">BH39/BD39-1</f>
        <v>0.17671743108489824</v>
      </c>
      <c r="BI40" s="19">
        <f t="shared" ref="BI40" si="195">BI39/BE39-1</f>
        <v>0.17424650481819315</v>
      </c>
      <c r="BJ40" s="19">
        <f t="shared" ref="BJ40" si="196">BJ39/BF39-1</f>
        <v>0.21655480190122867</v>
      </c>
      <c r="BK40" s="19">
        <f t="shared" ref="BK40" si="197">BK39/BG39-1</f>
        <v>0.16777695029308082</v>
      </c>
      <c r="BL40" s="19">
        <f t="shared" ref="BL40" si="198">BL39/BH39-1</f>
        <v>0.17281232527920265</v>
      </c>
      <c r="BM40" s="19">
        <f t="shared" ref="BM40" si="199">BM39/BI39-1</f>
        <v>0.16850028467313161</v>
      </c>
      <c r="BN40" s="19">
        <f t="shared" ref="BN40" si="200">BN39/BJ39-1</f>
        <v>0.2063305361375849</v>
      </c>
      <c r="BQ40" s="19">
        <f t="shared" ref="BQ40:CD40" si="201">BQ39/BP39-1</f>
        <v>0.63286228310901671</v>
      </c>
      <c r="BR40" s="19">
        <f t="shared" si="201"/>
        <v>0.26473154465748294</v>
      </c>
      <c r="BS40" s="19">
        <f t="shared" si="201"/>
        <v>0.25756532519679864</v>
      </c>
      <c r="BT40" s="19">
        <f t="shared" si="201"/>
        <v>-1.3419032276786425E-2</v>
      </c>
      <c r="BU40" s="19">
        <f t="shared" si="201"/>
        <v>-0.56255250265412737</v>
      </c>
      <c r="BV40" s="19">
        <f t="shared" si="201"/>
        <v>2.1428114883698073</v>
      </c>
      <c r="BW40" s="19">
        <f t="shared" si="201"/>
        <v>-0.68602846498322578</v>
      </c>
      <c r="BX40" s="19">
        <f t="shared" si="201"/>
        <v>1.026353626000553</v>
      </c>
      <c r="BY40" s="19">
        <f t="shared" si="201"/>
        <v>1.0860325160558553</v>
      </c>
      <c r="BZ40" s="19">
        <f t="shared" si="201"/>
        <v>-0.28662840779485688</v>
      </c>
      <c r="CA40" s="19">
        <f t="shared" si="201"/>
        <v>0.33322561118383454</v>
      </c>
      <c r="CB40" s="19">
        <f t="shared" si="201"/>
        <v>0.20550805388702909</v>
      </c>
      <c r="CC40" s="77">
        <f t="shared" si="201"/>
        <v>0.21032504751860337</v>
      </c>
      <c r="CD40" s="19">
        <f t="shared" si="201"/>
        <v>0.18251259781758411</v>
      </c>
      <c r="CE40" s="19">
        <f>CE39/CD39-1</f>
        <v>0.17764932877923245</v>
      </c>
    </row>
    <row r="41" spans="2:84" x14ac:dyDescent="0.15">
      <c r="B41" s="14" t="s">
        <v>23</v>
      </c>
      <c r="C41" s="27">
        <v>1986.3889199999999</v>
      </c>
      <c r="D41" s="27">
        <v>1986.3889199999999</v>
      </c>
      <c r="E41" s="27">
        <v>1986.3889199999999</v>
      </c>
      <c r="F41" s="27">
        <v>1986.3889199999999</v>
      </c>
      <c r="G41" s="27">
        <v>1986.3889199999999</v>
      </c>
      <c r="H41" s="27">
        <v>1986.3889199999999</v>
      </c>
      <c r="I41" s="27">
        <v>2048.3274900000006</v>
      </c>
      <c r="J41" s="27">
        <v>2081.6784900000002</v>
      </c>
      <c r="K41" s="27">
        <v>2192.8469399999999</v>
      </c>
      <c r="L41" s="27">
        <v>2192.8463700000002</v>
      </c>
      <c r="M41" s="27">
        <v>2192.8544400000001</v>
      </c>
      <c r="N41" s="27">
        <v>2193.1605300000001</v>
      </c>
      <c r="O41" s="27">
        <v>2203.04547</v>
      </c>
      <c r="P41" s="27">
        <v>2244.96119</v>
      </c>
      <c r="Q41" s="27">
        <v>2274.7480599999999</v>
      </c>
      <c r="R41" s="27">
        <v>2290.9413</v>
      </c>
      <c r="S41" s="27">
        <v>2345.20865</v>
      </c>
      <c r="T41" s="27">
        <v>2346.0775400000002</v>
      </c>
      <c r="U41" s="27">
        <v>2347.71108</v>
      </c>
      <c r="V41" s="27">
        <v>2346.73884</v>
      </c>
      <c r="W41" s="27">
        <v>2338.4204600000003</v>
      </c>
      <c r="X41" s="27">
        <v>2336.8111099999996</v>
      </c>
      <c r="Y41" s="27">
        <v>2335.5797699999998</v>
      </c>
      <c r="Z41" s="27">
        <v>2334.9178999999999</v>
      </c>
      <c r="AA41" s="27">
        <v>2332.7512500000003</v>
      </c>
      <c r="AB41" s="27">
        <v>2332.8228600000002</v>
      </c>
      <c r="AC41" s="27">
        <v>2333.31459</v>
      </c>
      <c r="AD41" s="27">
        <v>2333.5824600000001</v>
      </c>
      <c r="AE41" s="27">
        <v>2334.5062800000001</v>
      </c>
      <c r="AF41" s="27">
        <v>2332.3604500000001</v>
      </c>
      <c r="AG41" s="27">
        <v>2327.8205800000001</v>
      </c>
      <c r="AH41" s="27">
        <v>2323.81682</v>
      </c>
      <c r="AI41" s="27">
        <v>2310.5206000000003</v>
      </c>
      <c r="AJ41" s="27">
        <v>2310.6461300000001</v>
      </c>
      <c r="AK41" s="27">
        <v>2308.8436300000003</v>
      </c>
      <c r="AL41" s="27">
        <v>2307.0687899999998</v>
      </c>
      <c r="AM41" s="27">
        <v>2301.1942300000001</v>
      </c>
      <c r="AN41" s="27">
        <v>2301.8742299999999</v>
      </c>
      <c r="AO41" s="27">
        <v>2302.9992999999999</v>
      </c>
      <c r="AP41" s="27">
        <v>2303.6135800000002</v>
      </c>
      <c r="AQ41" s="27">
        <v>2299.6799999999998</v>
      </c>
      <c r="AR41" s="27">
        <v>2304.8651799999998</v>
      </c>
      <c r="AS41" s="27">
        <v>2301.5488399999999</v>
      </c>
      <c r="AT41" s="27">
        <v>2296.5526099999997</v>
      </c>
      <c r="AU41" s="27">
        <v>2264.19</v>
      </c>
      <c r="AV41" s="27">
        <v>2276.7912329999999</v>
      </c>
      <c r="AW41" s="27">
        <v>2279.5107659999999</v>
      </c>
      <c r="AX41" s="27">
        <v>2279.5107659999999</v>
      </c>
      <c r="AY41" s="27">
        <v>2281.6738919999998</v>
      </c>
      <c r="AZ41" s="27">
        <v>2257.3902010000002</v>
      </c>
      <c r="BA41" s="27">
        <v>2245.7931359999998</v>
      </c>
      <c r="BB41" s="27">
        <v>2218.6472439999998</v>
      </c>
      <c r="BC41" s="27">
        <f>BB41*0.995</f>
        <v>2207.5540077799997</v>
      </c>
      <c r="BD41" s="27">
        <f t="shared" ref="BD41:BN41" si="202">BC41*0.995</f>
        <v>2196.5162377410998</v>
      </c>
      <c r="BE41" s="27">
        <f t="shared" si="202"/>
        <v>2185.5336565523944</v>
      </c>
      <c r="BF41" s="27">
        <f t="shared" si="202"/>
        <v>2174.6059882696322</v>
      </c>
      <c r="BG41" s="27">
        <f t="shared" si="202"/>
        <v>2163.732958328284</v>
      </c>
      <c r="BH41" s="27">
        <f t="shared" si="202"/>
        <v>2152.9142935366426</v>
      </c>
      <c r="BI41" s="27">
        <f t="shared" si="202"/>
        <v>2142.1497220689594</v>
      </c>
      <c r="BJ41" s="27">
        <f t="shared" si="202"/>
        <v>2131.4389734586148</v>
      </c>
      <c r="BK41" s="27">
        <f t="shared" si="202"/>
        <v>2120.7817785913217</v>
      </c>
      <c r="BL41" s="27">
        <f t="shared" si="202"/>
        <v>2110.1778696983652</v>
      </c>
      <c r="BM41" s="27">
        <f t="shared" si="202"/>
        <v>2099.6269803498735</v>
      </c>
      <c r="BN41" s="27">
        <f t="shared" si="202"/>
        <v>2089.1288454481241</v>
      </c>
      <c r="BP41" s="27">
        <f t="shared" ref="BP41:CD41" si="203">BP27/BP39</f>
        <v>1986.3889200000001</v>
      </c>
      <c r="BQ41" s="27">
        <f t="shared" si="203"/>
        <v>2036.5340783827271</v>
      </c>
      <c r="BR41" s="27">
        <f t="shared" si="203"/>
        <v>2192.9590293873698</v>
      </c>
      <c r="BS41" s="27">
        <f t="shared" si="203"/>
        <v>2254.5904434138001</v>
      </c>
      <c r="BT41" s="27">
        <f t="shared" si="203"/>
        <v>2346.3510346170801</v>
      </c>
      <c r="BU41" s="27">
        <f t="shared" si="203"/>
        <v>2338.4305297061869</v>
      </c>
      <c r="BV41" s="27">
        <f t="shared" si="203"/>
        <v>2333.1149186289244</v>
      </c>
      <c r="BW41" s="27">
        <f t="shared" si="203"/>
        <v>2321.9321357952062</v>
      </c>
      <c r="BX41" s="27">
        <f t="shared" si="203"/>
        <v>2309.3468950337992</v>
      </c>
      <c r="BY41" s="27">
        <f t="shared" si="203"/>
        <v>2302.4318902779792</v>
      </c>
      <c r="BZ41" s="27">
        <f t="shared" si="203"/>
        <v>2302.4486803296459</v>
      </c>
      <c r="CA41" s="27">
        <f t="shared" si="203"/>
        <v>2274.0300846944224</v>
      </c>
      <c r="CB41" s="27">
        <f t="shared" si="203"/>
        <v>2257.7109537123765</v>
      </c>
      <c r="CC41" s="86">
        <f t="shared" si="203"/>
        <v>2191.6521754821551</v>
      </c>
      <c r="CD41" s="27">
        <f t="shared" si="203"/>
        <v>2148.0039309534905</v>
      </c>
      <c r="CE41" s="27">
        <f>CE27/CE39</f>
        <v>2105.2523741236328</v>
      </c>
    </row>
    <row r="42" spans="2:84" x14ac:dyDescent="0.15">
      <c r="CC42" s="46">
        <f>$CF$38/CC39</f>
        <v>14.924669813289274</v>
      </c>
      <c r="CD42" s="46">
        <f t="shared" ref="CD42:CE42" si="204">$CF$38/CD39</f>
        <v>12.621150794362675</v>
      </c>
      <c r="CE42" s="46">
        <f t="shared" si="204"/>
        <v>10.71724025644029</v>
      </c>
    </row>
    <row r="43" spans="2:84" x14ac:dyDescent="0.15">
      <c r="B43" s="33" t="s">
        <v>49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87"/>
      <c r="CD43" s="34"/>
      <c r="CE43" s="34"/>
    </row>
    <row r="44" spans="2:84" x14ac:dyDescent="0.15">
      <c r="BC44" s="62" t="s">
        <v>63</v>
      </c>
      <c r="CC44" s="74"/>
    </row>
    <row r="45" spans="2:84" x14ac:dyDescent="0.15">
      <c r="B45" s="3" t="s">
        <v>7</v>
      </c>
      <c r="CC45" s="74"/>
    </row>
    <row r="46" spans="2:84" x14ac:dyDescent="0.15">
      <c r="B46" s="1" t="s">
        <v>43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21">
        <v>115846</v>
      </c>
      <c r="AB46" s="21">
        <v>114706</v>
      </c>
      <c r="AC46" s="21">
        <v>120592</v>
      </c>
      <c r="AD46" s="21">
        <v>122101</v>
      </c>
      <c r="AE46" s="21">
        <v>122189</v>
      </c>
      <c r="AF46" s="21">
        <v>126130</v>
      </c>
      <c r="AG46" s="21">
        <v>130986</v>
      </c>
      <c r="AH46" s="21">
        <v>130871</v>
      </c>
      <c r="AI46" s="21">
        <v>130678</v>
      </c>
      <c r="AJ46" s="21">
        <v>129605</v>
      </c>
      <c r="AK46" s="21">
        <v>134086</v>
      </c>
      <c r="AL46" s="21">
        <v>135871</v>
      </c>
      <c r="AM46" s="21">
        <v>137846</v>
      </c>
      <c r="AN46" s="21">
        <v>141507</v>
      </c>
      <c r="AO46" s="21">
        <v>146728</v>
      </c>
      <c r="AP46" s="21">
        <v>149662</v>
      </c>
      <c r="AQ46" s="97">
        <v>133530</v>
      </c>
      <c r="AR46" s="97">
        <v>133278</v>
      </c>
      <c r="AS46" s="97">
        <v>138437</v>
      </c>
      <c r="AT46" s="97">
        <v>139495</v>
      </c>
      <c r="AU46" s="97">
        <v>144793</v>
      </c>
      <c r="AV46" s="97">
        <v>141665</v>
      </c>
      <c r="AW46" s="97">
        <v>146659</v>
      </c>
      <c r="AX46" s="97">
        <v>142680</v>
      </c>
      <c r="AY46" s="97">
        <v>151111</v>
      </c>
      <c r="AZ46" s="97">
        <v>148839</v>
      </c>
      <c r="BA46" s="97">
        <v>154883</v>
      </c>
      <c r="BB46" s="97">
        <v>147605</v>
      </c>
      <c r="BC46" s="35">
        <f t="shared" ref="BC46:BF53" si="205">AY46*(1+BC58)</f>
        <v>158666.55000000002</v>
      </c>
      <c r="BD46" s="35">
        <f t="shared" si="205"/>
        <v>156280.95000000001</v>
      </c>
      <c r="BE46" s="35">
        <f t="shared" si="205"/>
        <v>162627.15</v>
      </c>
      <c r="BF46" s="35">
        <f t="shared" si="205"/>
        <v>154985.25</v>
      </c>
      <c r="BG46" s="35">
        <f t="shared" ref="BG46:BN53" si="206">BC46*(1+BG58)</f>
        <v>166599.87750000003</v>
      </c>
      <c r="BH46" s="35">
        <f t="shared" si="206"/>
        <v>164094.99750000003</v>
      </c>
      <c r="BI46" s="35">
        <f t="shared" si="206"/>
        <v>170758.50750000001</v>
      </c>
      <c r="BJ46" s="35">
        <f t="shared" si="206"/>
        <v>162734.51250000001</v>
      </c>
      <c r="BK46" s="35">
        <f t="shared" si="206"/>
        <v>174929.87137500005</v>
      </c>
      <c r="BL46" s="35">
        <f t="shared" si="206"/>
        <v>172299.74737500004</v>
      </c>
      <c r="BM46" s="35">
        <f t="shared" si="206"/>
        <v>179296.43287500003</v>
      </c>
      <c r="BN46" s="35">
        <f t="shared" si="206"/>
        <v>170871.23812500003</v>
      </c>
      <c r="BO46" s="36"/>
      <c r="BP46" s="67"/>
      <c r="BQ46" s="67"/>
      <c r="BR46" s="67"/>
      <c r="BS46" s="67"/>
      <c r="BT46" s="67"/>
      <c r="BU46" s="67"/>
      <c r="BV46" s="13">
        <f t="shared" ref="BV46:CE49" si="207">SUMIF($C$5:$BO$5,BV$3,$C46:$BO46)</f>
        <v>473245</v>
      </c>
      <c r="BW46" s="13">
        <f t="shared" si="207"/>
        <v>510176</v>
      </c>
      <c r="BX46" s="13">
        <f t="shared" si="207"/>
        <v>530240</v>
      </c>
      <c r="BY46" s="13">
        <f t="shared" si="207"/>
        <v>575743</v>
      </c>
      <c r="BZ46" s="13">
        <f t="shared" si="207"/>
        <v>544740</v>
      </c>
      <c r="CA46" s="13">
        <f t="shared" si="207"/>
        <v>575797</v>
      </c>
      <c r="CB46" s="13">
        <f t="shared" si="207"/>
        <v>602438</v>
      </c>
      <c r="CC46" s="75">
        <f t="shared" si="207"/>
        <v>632559.9</v>
      </c>
      <c r="CD46" s="13">
        <f t="shared" si="207"/>
        <v>664187.89500000002</v>
      </c>
      <c r="CE46" s="13">
        <f t="shared" si="207"/>
        <v>697397.28975000011</v>
      </c>
    </row>
    <row r="47" spans="2:84" hidden="1" outlineLevel="1" x14ac:dyDescent="0.15">
      <c r="B47" s="48" t="s">
        <v>45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21">
        <v>22188</v>
      </c>
      <c r="AB47" s="21">
        <v>23810</v>
      </c>
      <c r="AC47" s="21">
        <v>25056</v>
      </c>
      <c r="AD47" s="21">
        <v>26194</v>
      </c>
      <c r="AE47" s="21">
        <v>24008</v>
      </c>
      <c r="AF47" s="21">
        <v>26126</v>
      </c>
      <c r="AG47" s="21">
        <v>26850</v>
      </c>
      <c r="AH47" s="21">
        <v>28842</v>
      </c>
      <c r="AI47" s="21">
        <v>26415</v>
      </c>
      <c r="AJ47" s="21">
        <v>27281</v>
      </c>
      <c r="AK47" s="21">
        <v>28680</v>
      </c>
      <c r="AL47" s="21">
        <v>30719</v>
      </c>
      <c r="AM47" s="21">
        <v>28222</v>
      </c>
      <c r="AN47" s="21">
        <v>29526</v>
      </c>
      <c r="AO47" s="21">
        <v>30830</v>
      </c>
      <c r="AP47" s="21">
        <v>32531</v>
      </c>
      <c r="AQ47" s="98">
        <f>AQ48+AQ49</f>
        <v>49138</v>
      </c>
      <c r="AR47" s="98">
        <f>AR48+AR49</f>
        <v>51183</v>
      </c>
      <c r="AS47" s="98">
        <f>AS48+AS49</f>
        <v>53696</v>
      </c>
      <c r="AT47" s="98">
        <f>AT48+AT49</f>
        <v>54055</v>
      </c>
      <c r="AU47" s="99"/>
      <c r="AV47" s="99"/>
      <c r="AW47" s="99"/>
      <c r="AX47" s="99"/>
      <c r="AY47" s="99"/>
      <c r="AZ47" s="99"/>
      <c r="BA47" s="99"/>
      <c r="BB47" s="99"/>
      <c r="BC47" s="35">
        <f t="shared" si="205"/>
        <v>0</v>
      </c>
      <c r="BD47" s="35">
        <f t="shared" si="205"/>
        <v>0</v>
      </c>
      <c r="BE47" s="35">
        <f t="shared" si="205"/>
        <v>0</v>
      </c>
      <c r="BF47" s="35">
        <f t="shared" si="205"/>
        <v>0</v>
      </c>
      <c r="BG47" s="35">
        <f t="shared" si="206"/>
        <v>0</v>
      </c>
      <c r="BH47" s="35">
        <f t="shared" si="206"/>
        <v>0</v>
      </c>
      <c r="BI47" s="35">
        <f t="shared" si="206"/>
        <v>0</v>
      </c>
      <c r="BJ47" s="35">
        <f t="shared" si="206"/>
        <v>0</v>
      </c>
      <c r="BK47" s="35">
        <f t="shared" si="206"/>
        <v>0</v>
      </c>
      <c r="BL47" s="35">
        <f t="shared" si="206"/>
        <v>0</v>
      </c>
      <c r="BM47" s="35">
        <f t="shared" si="206"/>
        <v>0</v>
      </c>
      <c r="BN47" s="35">
        <f t="shared" si="206"/>
        <v>0</v>
      </c>
      <c r="BO47" s="38"/>
      <c r="BP47" s="67"/>
      <c r="BQ47" s="67"/>
      <c r="BR47" s="67"/>
      <c r="BS47" s="67"/>
      <c r="BT47" s="67"/>
      <c r="BU47" s="67"/>
      <c r="BV47" s="13">
        <f t="shared" si="207"/>
        <v>97248</v>
      </c>
      <c r="BW47" s="13">
        <f t="shared" si="207"/>
        <v>105826</v>
      </c>
      <c r="BX47" s="13">
        <f t="shared" si="207"/>
        <v>113095</v>
      </c>
      <c r="BY47" s="13">
        <f t="shared" si="207"/>
        <v>121109</v>
      </c>
      <c r="BZ47" s="13">
        <f t="shared" si="207"/>
        <v>208072</v>
      </c>
      <c r="CA47" s="13">
        <f t="shared" si="207"/>
        <v>0</v>
      </c>
      <c r="CB47" s="13">
        <f t="shared" si="207"/>
        <v>0</v>
      </c>
      <c r="CC47" s="75">
        <f t="shared" si="207"/>
        <v>0</v>
      </c>
      <c r="CD47" s="13">
        <f t="shared" si="207"/>
        <v>0</v>
      </c>
      <c r="CE47" s="13">
        <f t="shared" si="207"/>
        <v>0</v>
      </c>
    </row>
    <row r="48" spans="2:84" collapsed="1" x14ac:dyDescent="0.15">
      <c r="B48" s="14" t="s">
        <v>51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98">
        <v>21006</v>
      </c>
      <c r="AR48" s="98">
        <v>22252</v>
      </c>
      <c r="AS48" s="98">
        <v>22918</v>
      </c>
      <c r="AT48" s="98">
        <v>24811</v>
      </c>
      <c r="AU48" s="98">
        <v>23861</v>
      </c>
      <c r="AV48" s="98">
        <v>25554</v>
      </c>
      <c r="AW48" s="98">
        <v>26198</v>
      </c>
      <c r="AX48" s="98">
        <v>26767</v>
      </c>
      <c r="AY48" s="98">
        <v>26201</v>
      </c>
      <c r="AZ48" s="98">
        <v>28534</v>
      </c>
      <c r="BA48" s="98">
        <v>29848</v>
      </c>
      <c r="BB48" s="98">
        <v>30122</v>
      </c>
      <c r="BC48" s="35">
        <f t="shared" si="205"/>
        <v>29607.129999999997</v>
      </c>
      <c r="BD48" s="35">
        <f t="shared" si="205"/>
        <v>32243.42</v>
      </c>
      <c r="BE48" s="35">
        <f t="shared" si="205"/>
        <v>33728.239999999998</v>
      </c>
      <c r="BF48" s="35">
        <f t="shared" si="205"/>
        <v>34037.859999999993</v>
      </c>
      <c r="BG48" s="35">
        <f t="shared" si="206"/>
        <v>33456.056899999996</v>
      </c>
      <c r="BH48" s="35">
        <f t="shared" si="206"/>
        <v>36435.064599999998</v>
      </c>
      <c r="BI48" s="35">
        <f t="shared" si="206"/>
        <v>38112.911199999995</v>
      </c>
      <c r="BJ48" s="35">
        <f t="shared" si="206"/>
        <v>38462.78179999999</v>
      </c>
      <c r="BK48" s="35">
        <f t="shared" si="206"/>
        <v>37805.344296999989</v>
      </c>
      <c r="BL48" s="35">
        <f t="shared" si="206"/>
        <v>41171.622997999992</v>
      </c>
      <c r="BM48" s="35">
        <f t="shared" si="206"/>
        <v>43067.589655999989</v>
      </c>
      <c r="BN48" s="35">
        <f t="shared" si="206"/>
        <v>43462.943433999986</v>
      </c>
      <c r="BO48" s="38"/>
      <c r="BP48" s="67"/>
      <c r="BQ48" s="67"/>
      <c r="BR48" s="67"/>
      <c r="BS48" s="67"/>
      <c r="BT48" s="67"/>
      <c r="BU48" s="67"/>
      <c r="BV48" s="13">
        <f t="shared" si="207"/>
        <v>0</v>
      </c>
      <c r="BW48" s="13">
        <f t="shared" si="207"/>
        <v>0</v>
      </c>
      <c r="BX48" s="13">
        <f t="shared" si="207"/>
        <v>0</v>
      </c>
      <c r="BY48" s="13">
        <f t="shared" si="207"/>
        <v>0</v>
      </c>
      <c r="BZ48" s="13">
        <v>0</v>
      </c>
      <c r="CA48" s="13">
        <f t="shared" si="207"/>
        <v>102380</v>
      </c>
      <c r="CB48" s="13">
        <f t="shared" si="207"/>
        <v>114705</v>
      </c>
      <c r="CC48" s="75">
        <f t="shared" si="207"/>
        <v>129616.65</v>
      </c>
      <c r="CD48" s="13">
        <f t="shared" si="207"/>
        <v>146466.81449999998</v>
      </c>
      <c r="CE48" s="13">
        <f t="shared" si="207"/>
        <v>165507.50038499996</v>
      </c>
    </row>
    <row r="49" spans="2:83" x14ac:dyDescent="0.15">
      <c r="B49" s="14" t="s">
        <v>52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98">
        <v>28132</v>
      </c>
      <c r="AR49" s="98">
        <v>28931</v>
      </c>
      <c r="AS49" s="98">
        <v>30778</v>
      </c>
      <c r="AT49" s="98">
        <v>29244</v>
      </c>
      <c r="AU49" s="98">
        <v>26520</v>
      </c>
      <c r="AV49" s="98">
        <v>27617</v>
      </c>
      <c r="AW49" s="98">
        <v>27569</v>
      </c>
      <c r="AX49" s="98">
        <v>29089</v>
      </c>
      <c r="AY49" s="98">
        <v>27250</v>
      </c>
      <c r="AZ49" s="98">
        <v>27343</v>
      </c>
      <c r="BA49" s="98">
        <v>28816</v>
      </c>
      <c r="BB49" s="98">
        <v>33824</v>
      </c>
      <c r="BC49" s="35">
        <f t="shared" si="205"/>
        <v>35425</v>
      </c>
      <c r="BD49" s="35">
        <f t="shared" si="205"/>
        <v>35545.9</v>
      </c>
      <c r="BE49" s="35">
        <f t="shared" si="205"/>
        <v>37460.800000000003</v>
      </c>
      <c r="BF49" s="35">
        <f t="shared" si="205"/>
        <v>38897.599999999999</v>
      </c>
      <c r="BG49" s="35">
        <f t="shared" si="206"/>
        <v>38259</v>
      </c>
      <c r="BH49" s="35">
        <f t="shared" si="206"/>
        <v>38389.572000000007</v>
      </c>
      <c r="BI49" s="35">
        <f t="shared" si="206"/>
        <v>40457.664000000004</v>
      </c>
      <c r="BJ49" s="35">
        <f t="shared" si="206"/>
        <v>42009.408000000003</v>
      </c>
      <c r="BK49" s="35">
        <f t="shared" si="206"/>
        <v>40171.950000000004</v>
      </c>
      <c r="BL49" s="35">
        <f t="shared" si="206"/>
        <v>40309.05060000001</v>
      </c>
      <c r="BM49" s="35">
        <f t="shared" si="206"/>
        <v>42480.547200000008</v>
      </c>
      <c r="BN49" s="35">
        <f t="shared" si="206"/>
        <v>44109.878400000009</v>
      </c>
      <c r="BO49" s="38"/>
      <c r="BP49" s="67"/>
      <c r="BQ49" s="67"/>
      <c r="BR49" s="67"/>
      <c r="BS49" s="67"/>
      <c r="BT49" s="67"/>
      <c r="BU49" s="67"/>
      <c r="BV49" s="13">
        <f t="shared" si="207"/>
        <v>0</v>
      </c>
      <c r="BW49" s="13">
        <f t="shared" si="207"/>
        <v>0</v>
      </c>
      <c r="BX49" s="13">
        <f t="shared" si="207"/>
        <v>0</v>
      </c>
      <c r="BY49" s="13">
        <f t="shared" si="207"/>
        <v>0</v>
      </c>
      <c r="BZ49" s="13">
        <v>0</v>
      </c>
      <c r="CA49" s="13">
        <f t="shared" si="207"/>
        <v>110795</v>
      </c>
      <c r="CB49" s="13">
        <f t="shared" si="207"/>
        <v>117233</v>
      </c>
      <c r="CC49" s="75">
        <f t="shared" si="207"/>
        <v>147329.29999999999</v>
      </c>
      <c r="CD49" s="13">
        <f t="shared" si="207"/>
        <v>159115.64400000003</v>
      </c>
      <c r="CE49" s="13">
        <f t="shared" si="207"/>
        <v>167071.42620000005</v>
      </c>
    </row>
    <row r="50" spans="2:83" hidden="1" outlineLevel="1" x14ac:dyDescent="0.15">
      <c r="B50" s="56" t="s">
        <v>46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21">
        <v>430</v>
      </c>
      <c r="AB50" s="21">
        <v>372</v>
      </c>
      <c r="AC50" s="21">
        <v>487</v>
      </c>
      <c r="AD50" s="21">
        <v>478</v>
      </c>
      <c r="AE50" s="21">
        <v>1351</v>
      </c>
      <c r="AF50" s="21">
        <v>1837</v>
      </c>
      <c r="AG50" s="21">
        <v>1856</v>
      </c>
      <c r="AH50" s="21">
        <v>1967</v>
      </c>
      <c r="AI50" s="21">
        <v>952</v>
      </c>
      <c r="AJ50" s="21">
        <v>1238</v>
      </c>
      <c r="AK50" s="21">
        <v>1593</v>
      </c>
      <c r="AL50" s="21">
        <v>1919</v>
      </c>
      <c r="AM50" s="21">
        <v>2181</v>
      </c>
      <c r="AN50" s="21">
        <v>2774</v>
      </c>
      <c r="AO50" s="21">
        <v>2966</v>
      </c>
      <c r="AP50" s="21">
        <v>3248</v>
      </c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35">
        <f t="shared" si="205"/>
        <v>0</v>
      </c>
      <c r="BD50" s="35">
        <f t="shared" si="205"/>
        <v>0</v>
      </c>
      <c r="BE50" s="35">
        <f t="shared" si="205"/>
        <v>0</v>
      </c>
      <c r="BF50" s="35">
        <f t="shared" si="205"/>
        <v>0</v>
      </c>
      <c r="BG50" s="35">
        <f t="shared" si="206"/>
        <v>0</v>
      </c>
      <c r="BH50" s="35">
        <f t="shared" si="206"/>
        <v>0</v>
      </c>
      <c r="BI50" s="35">
        <f t="shared" si="206"/>
        <v>0</v>
      </c>
      <c r="BJ50" s="35">
        <f t="shared" si="206"/>
        <v>0</v>
      </c>
      <c r="BK50" s="35">
        <f t="shared" si="206"/>
        <v>0</v>
      </c>
      <c r="BL50" s="35">
        <f t="shared" si="206"/>
        <v>0</v>
      </c>
      <c r="BM50" s="35">
        <f t="shared" si="206"/>
        <v>0</v>
      </c>
      <c r="BN50" s="35">
        <f t="shared" si="206"/>
        <v>0</v>
      </c>
      <c r="BO50" s="38"/>
      <c r="BP50" s="67"/>
      <c r="BQ50" s="67"/>
      <c r="BR50" s="67"/>
      <c r="BS50" s="67"/>
      <c r="BT50" s="67"/>
      <c r="BU50" s="67"/>
      <c r="BV50" s="13">
        <f t="shared" ref="BV50:CE51" si="208">SUMIF($C$5:$BO$5,BV$3,$C50:$BO50)</f>
        <v>1767</v>
      </c>
      <c r="BW50" s="13">
        <f t="shared" si="208"/>
        <v>7011</v>
      </c>
      <c r="BX50" s="13">
        <f t="shared" si="208"/>
        <v>5702</v>
      </c>
      <c r="BY50" s="13">
        <f t="shared" si="208"/>
        <v>11169</v>
      </c>
      <c r="BZ50" s="13">
        <f t="shared" si="208"/>
        <v>0</v>
      </c>
      <c r="CA50" s="13">
        <f t="shared" si="208"/>
        <v>0</v>
      </c>
      <c r="CB50" s="13">
        <f t="shared" si="208"/>
        <v>0</v>
      </c>
      <c r="CC50" s="75">
        <f t="shared" si="208"/>
        <v>0</v>
      </c>
      <c r="CD50" s="13">
        <f t="shared" si="208"/>
        <v>0</v>
      </c>
      <c r="CE50" s="13">
        <f t="shared" si="208"/>
        <v>0</v>
      </c>
    </row>
    <row r="51" spans="2:83" collapsed="1" x14ac:dyDescent="0.15">
      <c r="B51" s="1" t="s">
        <v>44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21">
        <v>20738</v>
      </c>
      <c r="AB51" s="21">
        <v>20303</v>
      </c>
      <c r="AC51" s="21">
        <v>21207</v>
      </c>
      <c r="AD51" s="21">
        <v>23577</v>
      </c>
      <c r="AE51" s="21">
        <v>23549</v>
      </c>
      <c r="AF51" s="21">
        <v>22259</v>
      </c>
      <c r="AG51" s="21">
        <v>18114</v>
      </c>
      <c r="AH51" s="21">
        <v>19526</v>
      </c>
      <c r="AI51" s="21">
        <v>16827</v>
      </c>
      <c r="AJ51" s="21">
        <v>12888</v>
      </c>
      <c r="AK51" s="21">
        <v>13595</v>
      </c>
      <c r="AL51" s="21">
        <v>16258</v>
      </c>
      <c r="AM51" s="21">
        <v>17602</v>
      </c>
      <c r="AN51" s="21">
        <v>17340</v>
      </c>
      <c r="AO51" s="21">
        <v>18702</v>
      </c>
      <c r="AP51" s="21">
        <v>21635</v>
      </c>
      <c r="AQ51" s="97">
        <v>24198</v>
      </c>
      <c r="AR51" s="97">
        <v>24872</v>
      </c>
      <c r="AS51" s="97">
        <v>25996</v>
      </c>
      <c r="AT51" s="97">
        <v>29400</v>
      </c>
      <c r="AU51" s="97">
        <v>31902</v>
      </c>
      <c r="AV51" s="97">
        <v>31486</v>
      </c>
      <c r="AW51" s="97">
        <v>30908</v>
      </c>
      <c r="AX51" s="97">
        <v>33988</v>
      </c>
      <c r="AY51" s="97">
        <v>36986</v>
      </c>
      <c r="AZ51" s="97">
        <v>35897</v>
      </c>
      <c r="BA51" s="97">
        <v>34429</v>
      </c>
      <c r="BB51" s="97">
        <v>37333</v>
      </c>
      <c r="BC51" s="35">
        <f t="shared" si="205"/>
        <v>39944.880000000005</v>
      </c>
      <c r="BD51" s="35">
        <f t="shared" si="205"/>
        <v>38768.76</v>
      </c>
      <c r="BE51" s="35">
        <f t="shared" si="205"/>
        <v>37183.32</v>
      </c>
      <c r="BF51" s="35">
        <f t="shared" si="205"/>
        <v>40319.64</v>
      </c>
      <c r="BG51" s="35">
        <f t="shared" si="206"/>
        <v>43939.368000000009</v>
      </c>
      <c r="BH51" s="35">
        <f t="shared" si="206"/>
        <v>42645.636000000006</v>
      </c>
      <c r="BI51" s="35">
        <f t="shared" si="206"/>
        <v>40901.652000000002</v>
      </c>
      <c r="BJ51" s="35">
        <f t="shared" si="206"/>
        <v>44351.603999999999</v>
      </c>
      <c r="BK51" s="35">
        <f t="shared" si="206"/>
        <v>48772.698480000014</v>
      </c>
      <c r="BL51" s="35">
        <f t="shared" si="206"/>
        <v>47336.655960000011</v>
      </c>
      <c r="BM51" s="35">
        <f t="shared" si="206"/>
        <v>45400.83372000001</v>
      </c>
      <c r="BN51" s="35">
        <f t="shared" si="206"/>
        <v>49230.280440000002</v>
      </c>
      <c r="BO51" s="36"/>
      <c r="BP51" s="67"/>
      <c r="BQ51" s="67"/>
      <c r="BR51" s="67"/>
      <c r="BS51" s="67"/>
      <c r="BT51" s="67"/>
      <c r="BU51" s="67"/>
      <c r="BV51" s="13">
        <f t="shared" si="208"/>
        <v>85825</v>
      </c>
      <c r="BW51" s="13">
        <f t="shared" si="208"/>
        <v>83448</v>
      </c>
      <c r="BX51" s="13">
        <f t="shared" si="208"/>
        <v>59568</v>
      </c>
      <c r="BY51" s="13">
        <f t="shared" si="208"/>
        <v>75279</v>
      </c>
      <c r="BZ51" s="13">
        <f t="shared" si="208"/>
        <v>104466</v>
      </c>
      <c r="CA51" s="13">
        <f t="shared" si="208"/>
        <v>128284</v>
      </c>
      <c r="CB51" s="13">
        <f t="shared" si="208"/>
        <v>144645</v>
      </c>
      <c r="CC51" s="75">
        <f t="shared" si="208"/>
        <v>156216.60000000003</v>
      </c>
      <c r="CD51" s="13">
        <f t="shared" si="208"/>
        <v>171838.26</v>
      </c>
      <c r="CE51" s="13">
        <f t="shared" si="208"/>
        <v>190740.46860000002</v>
      </c>
    </row>
    <row r="52" spans="2:83" x14ac:dyDescent="0.15">
      <c r="B52" s="1" t="s">
        <v>47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21">
        <v>68750</v>
      </c>
      <c r="AB52" s="21">
        <v>69836</v>
      </c>
      <c r="AC52" s="21">
        <v>68239</v>
      </c>
      <c r="AD52" s="21">
        <v>70756</v>
      </c>
      <c r="AE52" s="21">
        <v>67012</v>
      </c>
      <c r="AF52" s="21">
        <v>69584</v>
      </c>
      <c r="AG52" s="21">
        <v>66240</v>
      </c>
      <c r="AH52" s="21">
        <v>70403</v>
      </c>
      <c r="AI52" s="21">
        <v>65980</v>
      </c>
      <c r="AJ52" s="21">
        <v>58684</v>
      </c>
      <c r="AK52" s="21">
        <v>62124</v>
      </c>
      <c r="AL52" s="21">
        <v>64659</v>
      </c>
      <c r="AM52" s="21">
        <v>67306</v>
      </c>
      <c r="AN52" s="21">
        <v>74198</v>
      </c>
      <c r="AO52" s="21">
        <v>71183</v>
      </c>
      <c r="AP52" s="21">
        <v>77451</v>
      </c>
      <c r="AQ52" s="98">
        <v>93891</v>
      </c>
      <c r="AR52" s="98">
        <v>97759</v>
      </c>
      <c r="AS52" s="98">
        <v>99099</v>
      </c>
      <c r="AT52" s="98">
        <v>95660</v>
      </c>
      <c r="AU52" s="98">
        <v>102269</v>
      </c>
      <c r="AV52" s="98">
        <v>100954</v>
      </c>
      <c r="AW52" s="98">
        <v>105140</v>
      </c>
      <c r="AX52" s="98">
        <v>104407</v>
      </c>
      <c r="AY52" s="98">
        <v>120218</v>
      </c>
      <c r="AZ52" s="98">
        <v>117141</v>
      </c>
      <c r="BA52" s="98">
        <v>121711</v>
      </c>
      <c r="BB52" s="98">
        <v>117033</v>
      </c>
      <c r="BC52" s="35">
        <f t="shared" si="205"/>
        <v>120218</v>
      </c>
      <c r="BD52" s="35">
        <f t="shared" si="205"/>
        <v>117141</v>
      </c>
      <c r="BE52" s="35">
        <f t="shared" si="205"/>
        <v>121711</v>
      </c>
      <c r="BF52" s="35">
        <f t="shared" si="205"/>
        <v>117033</v>
      </c>
      <c r="BG52" s="35">
        <f t="shared" si="206"/>
        <v>120218</v>
      </c>
      <c r="BH52" s="35">
        <f t="shared" si="206"/>
        <v>117141</v>
      </c>
      <c r="BI52" s="35">
        <f t="shared" si="206"/>
        <v>121711</v>
      </c>
      <c r="BJ52" s="35">
        <f t="shared" si="206"/>
        <v>117033</v>
      </c>
      <c r="BK52" s="35">
        <f t="shared" si="206"/>
        <v>120218</v>
      </c>
      <c r="BL52" s="35">
        <f t="shared" si="206"/>
        <v>117141</v>
      </c>
      <c r="BM52" s="35">
        <f t="shared" si="206"/>
        <v>121711</v>
      </c>
      <c r="BN52" s="35">
        <f t="shared" si="206"/>
        <v>117033</v>
      </c>
      <c r="BO52" s="38"/>
      <c r="BP52" s="67"/>
      <c r="BQ52" s="67"/>
      <c r="BR52" s="67"/>
      <c r="BS52" s="67"/>
      <c r="BT52" s="67"/>
      <c r="BU52" s="67"/>
      <c r="BV52" s="13">
        <f t="shared" ref="BV52:CE54" si="209">SUMIF($C$5:$BO$5,BV$3,$C52:$BO52)</f>
        <v>277581</v>
      </c>
      <c r="BW52" s="13">
        <f t="shared" si="209"/>
        <v>273239</v>
      </c>
      <c r="BX52" s="13">
        <f t="shared" si="209"/>
        <v>251447</v>
      </c>
      <c r="BY52" s="13">
        <f t="shared" si="209"/>
        <v>290138</v>
      </c>
      <c r="BZ52" s="13">
        <f t="shared" si="209"/>
        <v>386409</v>
      </c>
      <c r="CA52" s="13">
        <f t="shared" si="209"/>
        <v>412770</v>
      </c>
      <c r="CB52" s="13">
        <f t="shared" si="209"/>
        <v>476103</v>
      </c>
      <c r="CC52" s="75">
        <f t="shared" si="209"/>
        <v>476103</v>
      </c>
      <c r="CD52" s="13">
        <f t="shared" si="209"/>
        <v>476103</v>
      </c>
      <c r="CE52" s="13">
        <f t="shared" si="209"/>
        <v>476103</v>
      </c>
    </row>
    <row r="53" spans="2:83" x14ac:dyDescent="0.15">
      <c r="B53" s="1" t="s">
        <v>17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21">
        <v>1418</v>
      </c>
      <c r="AB53" s="21">
        <v>1199</v>
      </c>
      <c r="AC53" s="21">
        <v>1600</v>
      </c>
      <c r="AD53" s="21">
        <v>1531</v>
      </c>
      <c r="AE53" s="21">
        <v>1731</v>
      </c>
      <c r="AF53" s="21">
        <v>2585</v>
      </c>
      <c r="AG53" s="21">
        <v>2989</v>
      </c>
      <c r="AH53" s="21">
        <v>2803</v>
      </c>
      <c r="AI53" s="21">
        <v>2364</v>
      </c>
      <c r="AJ53" s="21">
        <v>2656</v>
      </c>
      <c r="AK53" s="21">
        <v>3428</v>
      </c>
      <c r="AL53" s="21">
        <v>3016</v>
      </c>
      <c r="AM53" s="21">
        <v>3314</v>
      </c>
      <c r="AN53" s="21">
        <v>3028</v>
      </c>
      <c r="AO53" s="21">
        <v>3980</v>
      </c>
      <c r="AP53" s="21">
        <v>3433</v>
      </c>
      <c r="AQ53" s="98">
        <v>7373</v>
      </c>
      <c r="AR53" s="98">
        <v>7721</v>
      </c>
      <c r="AS53" s="98">
        <v>8851</v>
      </c>
      <c r="AT53" s="98">
        <v>8267</v>
      </c>
      <c r="AU53" s="98">
        <v>8036</v>
      </c>
      <c r="AV53" s="98">
        <v>8513</v>
      </c>
      <c r="AW53" s="98">
        <v>9459</v>
      </c>
      <c r="AX53" s="98">
        <v>8642</v>
      </c>
      <c r="AY53" s="98">
        <v>8908</v>
      </c>
      <c r="AZ53" s="98">
        <v>9460</v>
      </c>
      <c r="BA53" s="98">
        <v>10018</v>
      </c>
      <c r="BB53" s="98">
        <v>10029</v>
      </c>
      <c r="BC53" s="35">
        <f t="shared" si="205"/>
        <v>9620.6400000000012</v>
      </c>
      <c r="BD53" s="35">
        <f t="shared" si="205"/>
        <v>10216.800000000001</v>
      </c>
      <c r="BE53" s="35">
        <f t="shared" si="205"/>
        <v>10819.44</v>
      </c>
      <c r="BF53" s="35">
        <f t="shared" si="205"/>
        <v>10831.320000000002</v>
      </c>
      <c r="BG53" s="35">
        <f t="shared" si="206"/>
        <v>10390.291200000001</v>
      </c>
      <c r="BH53" s="35">
        <f t="shared" si="206"/>
        <v>11034.144000000002</v>
      </c>
      <c r="BI53" s="35">
        <f t="shared" si="206"/>
        <v>11684.995200000001</v>
      </c>
      <c r="BJ53" s="35">
        <f t="shared" si="206"/>
        <v>11697.825600000002</v>
      </c>
      <c r="BK53" s="35">
        <f t="shared" si="206"/>
        <v>11221.514496000002</v>
      </c>
      <c r="BL53" s="35">
        <f t="shared" si="206"/>
        <v>11916.875520000003</v>
      </c>
      <c r="BM53" s="35">
        <f t="shared" si="206"/>
        <v>12619.794816000001</v>
      </c>
      <c r="BN53" s="35">
        <f t="shared" si="206"/>
        <v>12633.651648000003</v>
      </c>
      <c r="BO53" s="38"/>
      <c r="BP53" s="67"/>
      <c r="BQ53" s="67"/>
      <c r="BR53" s="67"/>
      <c r="BS53" s="67"/>
      <c r="BT53" s="67"/>
      <c r="BU53" s="67"/>
      <c r="BV53" s="13">
        <f t="shared" si="209"/>
        <v>5748</v>
      </c>
      <c r="BW53" s="13">
        <f t="shared" si="209"/>
        <v>10108</v>
      </c>
      <c r="BX53" s="13">
        <f t="shared" si="209"/>
        <v>11464</v>
      </c>
      <c r="BY53" s="13">
        <f t="shared" si="209"/>
        <v>13755</v>
      </c>
      <c r="BZ53" s="13">
        <f t="shared" si="209"/>
        <v>32212</v>
      </c>
      <c r="CA53" s="13">
        <f t="shared" si="209"/>
        <v>34650</v>
      </c>
      <c r="CB53" s="13">
        <f t="shared" si="209"/>
        <v>38415</v>
      </c>
      <c r="CC53" s="75">
        <f t="shared" si="209"/>
        <v>41488.200000000004</v>
      </c>
      <c r="CD53" s="13">
        <f t="shared" si="209"/>
        <v>44807.256000000008</v>
      </c>
      <c r="CE53" s="13">
        <f t="shared" si="209"/>
        <v>48391.836480000013</v>
      </c>
    </row>
    <row r="54" spans="2:83" x14ac:dyDescent="0.15">
      <c r="B54" s="1" t="s">
        <v>48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21">
        <v>-3444</v>
      </c>
      <c r="AB54" s="21">
        <v>-3898</v>
      </c>
      <c r="AC54" s="21">
        <v>-4212</v>
      </c>
      <c r="AD54" s="21">
        <v>-4054</v>
      </c>
      <c r="AE54" s="21">
        <v>-4624</v>
      </c>
      <c r="AF54" s="21">
        <v>-4785</v>
      </c>
      <c r="AG54" s="21">
        <v>-4833</v>
      </c>
      <c r="AH54" s="21">
        <v>-5003</v>
      </c>
      <c r="AI54" s="21">
        <v>-4995</v>
      </c>
      <c r="AJ54" s="21">
        <v>-4820</v>
      </c>
      <c r="AK54" s="21">
        <v>-5425</v>
      </c>
      <c r="AL54" s="21">
        <v>-5555</v>
      </c>
      <c r="AM54" s="21">
        <v>-6041</v>
      </c>
      <c r="AN54" s="21">
        <v>-5959</v>
      </c>
      <c r="AO54" s="21">
        <v>-7047</v>
      </c>
      <c r="AP54" s="21">
        <v>-7255</v>
      </c>
      <c r="AQ54" s="98">
        <v>-7664</v>
      </c>
      <c r="AR54" s="98">
        <v>-8027</v>
      </c>
      <c r="AS54" s="98">
        <v>-9292</v>
      </c>
      <c r="AT54" s="98">
        <v>-8312</v>
      </c>
      <c r="AU54" s="98">
        <v>-8679</v>
      </c>
      <c r="AV54" s="98">
        <v>-9608</v>
      </c>
      <c r="AW54" s="98">
        <v>-10191</v>
      </c>
      <c r="AX54" s="98">
        <v>-9080</v>
      </c>
      <c r="AY54" s="98">
        <v>-9861</v>
      </c>
      <c r="AZ54" s="98">
        <v>-10443</v>
      </c>
      <c r="BA54" s="98">
        <v>-11079</v>
      </c>
      <c r="BB54" s="98">
        <v>-10919</v>
      </c>
      <c r="BC54" s="21">
        <f>AY54-1250</f>
        <v>-11111</v>
      </c>
      <c r="BD54" s="21">
        <f>AZ54-1250</f>
        <v>-11693</v>
      </c>
      <c r="BE54" s="21">
        <f>BA54-1250</f>
        <v>-12329</v>
      </c>
      <c r="BF54" s="21">
        <f>BB54-1250</f>
        <v>-12169</v>
      </c>
      <c r="BG54" s="21">
        <f t="shared" ref="BG54:BN54" si="210">BC54-1250</f>
        <v>-12361</v>
      </c>
      <c r="BH54" s="21">
        <f t="shared" si="210"/>
        <v>-12943</v>
      </c>
      <c r="BI54" s="21">
        <f t="shared" si="210"/>
        <v>-13579</v>
      </c>
      <c r="BJ54" s="21">
        <f t="shared" si="210"/>
        <v>-13419</v>
      </c>
      <c r="BK54" s="21">
        <f t="shared" si="210"/>
        <v>-13611</v>
      </c>
      <c r="BL54" s="21">
        <f t="shared" si="210"/>
        <v>-14193</v>
      </c>
      <c r="BM54" s="21">
        <f t="shared" si="210"/>
        <v>-14829</v>
      </c>
      <c r="BN54" s="21">
        <f t="shared" si="210"/>
        <v>-14669</v>
      </c>
      <c r="BO54" s="38"/>
      <c r="BP54" s="67"/>
      <c r="BQ54" s="67"/>
      <c r="BR54" s="67"/>
      <c r="BS54" s="67"/>
      <c r="BT54" s="67"/>
      <c r="BU54" s="67"/>
      <c r="BV54" s="13">
        <f t="shared" si="209"/>
        <v>-15608</v>
      </c>
      <c r="BW54" s="13">
        <f t="shared" si="209"/>
        <v>-19245</v>
      </c>
      <c r="BX54" s="13">
        <f t="shared" si="209"/>
        <v>-20795</v>
      </c>
      <c r="BY54" s="13">
        <f t="shared" si="209"/>
        <v>-26302</v>
      </c>
      <c r="BZ54" s="13">
        <f t="shared" si="209"/>
        <v>-33295</v>
      </c>
      <c r="CA54" s="13">
        <f t="shared" si="209"/>
        <v>-37558</v>
      </c>
      <c r="CB54" s="13">
        <f t="shared" si="209"/>
        <v>-42302</v>
      </c>
      <c r="CC54" s="75">
        <f t="shared" si="209"/>
        <v>-47302</v>
      </c>
      <c r="CD54" s="13">
        <f t="shared" si="209"/>
        <v>-52302</v>
      </c>
      <c r="CE54" s="13">
        <f t="shared" si="209"/>
        <v>-57302</v>
      </c>
    </row>
    <row r="55" spans="2:83" x14ac:dyDescent="0.15">
      <c r="B55" s="1" t="s">
        <v>62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50">
        <f t="shared" ref="AA55:AP55" si="211">SUM(AA46:AA54)</f>
        <v>225926</v>
      </c>
      <c r="AB55" s="50">
        <f t="shared" si="211"/>
        <v>226328</v>
      </c>
      <c r="AC55" s="50">
        <f t="shared" si="211"/>
        <v>232969</v>
      </c>
      <c r="AD55" s="50">
        <f t="shared" si="211"/>
        <v>240583</v>
      </c>
      <c r="AE55" s="50">
        <f t="shared" si="211"/>
        <v>235216</v>
      </c>
      <c r="AF55" s="50">
        <f t="shared" si="211"/>
        <v>243736</v>
      </c>
      <c r="AG55" s="50">
        <f t="shared" si="211"/>
        <v>242202</v>
      </c>
      <c r="AH55" s="50">
        <f t="shared" si="211"/>
        <v>249409</v>
      </c>
      <c r="AI55" s="50">
        <f t="shared" si="211"/>
        <v>238221</v>
      </c>
      <c r="AJ55" s="50">
        <f t="shared" si="211"/>
        <v>227532</v>
      </c>
      <c r="AK55" s="50">
        <f t="shared" si="211"/>
        <v>238081</v>
      </c>
      <c r="AL55" s="50">
        <f t="shared" si="211"/>
        <v>246887</v>
      </c>
      <c r="AM55" s="50">
        <f t="shared" si="211"/>
        <v>250430</v>
      </c>
      <c r="AN55" s="50">
        <f t="shared" si="211"/>
        <v>262414</v>
      </c>
      <c r="AO55" s="50">
        <f t="shared" si="211"/>
        <v>267342</v>
      </c>
      <c r="AP55" s="50">
        <f t="shared" si="211"/>
        <v>280705</v>
      </c>
      <c r="AQ55" s="100">
        <f t="shared" ref="AQ55:BB55" si="212">AQ54+AQ53+AQ52+AQ49+AQ48+AQ46+AQ51</f>
        <v>300466</v>
      </c>
      <c r="AR55" s="100">
        <f t="shared" si="212"/>
        <v>306786</v>
      </c>
      <c r="AS55" s="100">
        <f t="shared" si="212"/>
        <v>316787</v>
      </c>
      <c r="AT55" s="100">
        <f t="shared" si="212"/>
        <v>318565</v>
      </c>
      <c r="AU55" s="100">
        <f t="shared" si="212"/>
        <v>328702</v>
      </c>
      <c r="AV55" s="100">
        <f t="shared" si="212"/>
        <v>326181</v>
      </c>
      <c r="AW55" s="100">
        <f t="shared" si="212"/>
        <v>335742</v>
      </c>
      <c r="AX55" s="100">
        <f t="shared" si="212"/>
        <v>336493</v>
      </c>
      <c r="AY55" s="100">
        <f t="shared" si="212"/>
        <v>360813</v>
      </c>
      <c r="AZ55" s="100">
        <f t="shared" si="212"/>
        <v>356771</v>
      </c>
      <c r="BA55" s="100">
        <f t="shared" si="212"/>
        <v>368626</v>
      </c>
      <c r="BB55" s="100">
        <f t="shared" si="212"/>
        <v>365027</v>
      </c>
      <c r="BC55" s="50">
        <f t="shared" ref="BC55:BN55" si="213">BC54+BC53+BC52+BC49+BC48+BC46+BC51</f>
        <v>382371.20000000007</v>
      </c>
      <c r="BD55" s="50">
        <f t="shared" si="213"/>
        <v>378503.83</v>
      </c>
      <c r="BE55" s="50">
        <f t="shared" si="213"/>
        <v>391200.95</v>
      </c>
      <c r="BF55" s="50">
        <f t="shared" si="213"/>
        <v>383935.67000000004</v>
      </c>
      <c r="BG55" s="50">
        <f t="shared" si="213"/>
        <v>400501.59360000002</v>
      </c>
      <c r="BH55" s="50">
        <f t="shared" si="213"/>
        <v>396797.41409999999</v>
      </c>
      <c r="BI55" s="50">
        <f t="shared" si="213"/>
        <v>410047.72990000003</v>
      </c>
      <c r="BJ55" s="50">
        <f t="shared" si="213"/>
        <v>402870.13189999998</v>
      </c>
      <c r="BK55" s="50">
        <f t="shared" si="213"/>
        <v>419508.37864800007</v>
      </c>
      <c r="BL55" s="50">
        <f t="shared" si="213"/>
        <v>415981.95245300006</v>
      </c>
      <c r="BM55" s="50">
        <f t="shared" si="213"/>
        <v>429747.19826700003</v>
      </c>
      <c r="BN55" s="50">
        <f t="shared" si="213"/>
        <v>422671.99204700004</v>
      </c>
      <c r="BO55" s="38"/>
      <c r="BP55" s="67"/>
      <c r="BQ55" s="67"/>
      <c r="BR55" s="67"/>
      <c r="BS55" s="67"/>
      <c r="BT55" s="67"/>
      <c r="BU55" s="67"/>
      <c r="BV55" s="50">
        <f>BV54+BV53+BV52+BV49+BV48+BV46+BV51</f>
        <v>826791</v>
      </c>
      <c r="BW55" s="50">
        <f t="shared" ref="BW55:CE55" si="214">BW54+BW53+BW52+BW49+BW48+BW46+BW51</f>
        <v>857726</v>
      </c>
      <c r="BX55" s="50">
        <f t="shared" si="214"/>
        <v>831924</v>
      </c>
      <c r="BY55" s="50">
        <f t="shared" si="214"/>
        <v>928613</v>
      </c>
      <c r="BZ55" s="93">
        <f t="shared" si="214"/>
        <v>1034532</v>
      </c>
      <c r="CA55" s="93">
        <f t="shared" si="214"/>
        <v>1327118</v>
      </c>
      <c r="CB55" s="93">
        <f t="shared" si="214"/>
        <v>1451237</v>
      </c>
      <c r="CC55" s="94">
        <f t="shared" si="214"/>
        <v>1536011.6500000001</v>
      </c>
      <c r="CD55" s="93">
        <f t="shared" si="214"/>
        <v>1610216.8695</v>
      </c>
      <c r="CE55" s="93">
        <f t="shared" si="214"/>
        <v>1687909.5214150001</v>
      </c>
    </row>
    <row r="56" spans="2:83" x14ac:dyDescent="0.15"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8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75"/>
      <c r="CD56" s="13"/>
      <c r="CE56" s="13"/>
    </row>
    <row r="57" spans="2:83" x14ac:dyDescent="0.15">
      <c r="B57" s="3" t="s">
        <v>61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8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75"/>
      <c r="CD57" s="13"/>
      <c r="CE57" s="13"/>
    </row>
    <row r="58" spans="2:83" x14ac:dyDescent="0.15">
      <c r="B58" s="1" t="str">
        <f t="shared" ref="B58:B65" si="215">B46</f>
        <v>Staffing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21"/>
      <c r="AB58" s="21"/>
      <c r="AC58" s="21"/>
      <c r="AD58" s="21"/>
      <c r="AE58" s="17">
        <f t="shared" ref="AE58:AN65" si="216">AE46/AA46-1</f>
        <v>5.4753724772542922E-2</v>
      </c>
      <c r="AF58" s="17">
        <f t="shared" si="216"/>
        <v>9.9593744006416296E-2</v>
      </c>
      <c r="AG58" s="17">
        <f t="shared" si="216"/>
        <v>8.6191455486267721E-2</v>
      </c>
      <c r="AH58" s="17">
        <f t="shared" si="216"/>
        <v>7.1825783572616153E-2</v>
      </c>
      <c r="AI58" s="17">
        <f t="shared" si="216"/>
        <v>6.94743389339465E-2</v>
      </c>
      <c r="AJ58" s="17">
        <f t="shared" si="216"/>
        <v>2.7550939506858052E-2</v>
      </c>
      <c r="AK58" s="17">
        <f t="shared" si="216"/>
        <v>2.3666651397859395E-2</v>
      </c>
      <c r="AL58" s="17">
        <f t="shared" si="216"/>
        <v>3.8205561201488436E-2</v>
      </c>
      <c r="AM58" s="17">
        <f t="shared" si="216"/>
        <v>5.4852385252299518E-2</v>
      </c>
      <c r="AN58" s="17">
        <f t="shared" si="216"/>
        <v>9.1832876818024101E-2</v>
      </c>
      <c r="AO58" s="17">
        <f t="shared" ref="AO58:AP65" si="217">AO46/AK46-1</f>
        <v>9.4282773742225157E-2</v>
      </c>
      <c r="AP58" s="17">
        <f t="shared" si="217"/>
        <v>0.10150068815273317</v>
      </c>
      <c r="AQ58" s="17">
        <f t="shared" ref="AQ58:BB65" si="218">AQ46/AM46-1</f>
        <v>-3.1310302801677237E-2</v>
      </c>
      <c r="AR58" s="17">
        <f t="shared" si="218"/>
        <v>-5.8152600224723905E-2</v>
      </c>
      <c r="AS58" s="17">
        <f t="shared" si="218"/>
        <v>-5.6505915707976695E-2</v>
      </c>
      <c r="AT58" s="17">
        <f t="shared" si="218"/>
        <v>-6.7933075864280879E-2</v>
      </c>
      <c r="AU58" s="17">
        <f t="shared" si="218"/>
        <v>8.4348086572305858E-2</v>
      </c>
      <c r="AV58" s="17">
        <f t="shared" si="218"/>
        <v>6.2928615375380748E-2</v>
      </c>
      <c r="AW58" s="17">
        <f t="shared" si="218"/>
        <v>5.9391636628935984E-2</v>
      </c>
      <c r="AX58" s="17">
        <f t="shared" si="218"/>
        <v>2.2832359582780848E-2</v>
      </c>
      <c r="AY58" s="17">
        <f t="shared" si="218"/>
        <v>4.3634706097670506E-2</v>
      </c>
      <c r="AZ58" s="17">
        <f t="shared" si="218"/>
        <v>5.0640595771714869E-2</v>
      </c>
      <c r="BA58" s="17">
        <f t="shared" si="218"/>
        <v>5.6075658500330805E-2</v>
      </c>
      <c r="BB58" s="17">
        <f t="shared" si="218"/>
        <v>3.4517802074572446E-2</v>
      </c>
      <c r="BC58" s="49">
        <v>0.05</v>
      </c>
      <c r="BD58" s="49">
        <v>0.05</v>
      </c>
      <c r="BE58" s="49">
        <v>0.05</v>
      </c>
      <c r="BF58" s="49">
        <v>0.05</v>
      </c>
      <c r="BG58" s="49">
        <v>0.05</v>
      </c>
      <c r="BH58" s="49">
        <v>0.05</v>
      </c>
      <c r="BI58" s="49">
        <v>0.05</v>
      </c>
      <c r="BJ58" s="49">
        <v>0.05</v>
      </c>
      <c r="BK58" s="49">
        <v>0.05</v>
      </c>
      <c r="BL58" s="49">
        <v>0.05</v>
      </c>
      <c r="BM58" s="49">
        <v>0.05</v>
      </c>
      <c r="BN58" s="49">
        <v>0.05</v>
      </c>
      <c r="BO58" s="38"/>
      <c r="BP58" s="13"/>
      <c r="BQ58" s="13"/>
      <c r="BR58" s="13"/>
      <c r="BS58" s="13"/>
      <c r="BT58" s="13"/>
      <c r="BU58" s="13"/>
      <c r="BV58" s="13"/>
      <c r="BW58" s="17">
        <f t="shared" ref="BW58:CE58" si="219">BW46/BV46-1</f>
        <v>7.8037802829401315E-2</v>
      </c>
      <c r="BX58" s="17">
        <f t="shared" si="219"/>
        <v>3.9327604591356646E-2</v>
      </c>
      <c r="BY58" s="17">
        <f t="shared" si="219"/>
        <v>8.5815856970428595E-2</v>
      </c>
      <c r="BZ58" s="17">
        <f t="shared" si="219"/>
        <v>-5.3848679011294975E-2</v>
      </c>
      <c r="CA58" s="17">
        <f t="shared" si="219"/>
        <v>5.7012519734185085E-2</v>
      </c>
      <c r="CB58" s="17">
        <f t="shared" si="219"/>
        <v>4.6268042382992647E-2</v>
      </c>
      <c r="CC58" s="77">
        <f t="shared" si="219"/>
        <v>5.0000000000000044E-2</v>
      </c>
      <c r="CD58" s="17">
        <f t="shared" si="219"/>
        <v>5.0000000000000044E-2</v>
      </c>
      <c r="CE58" s="17">
        <f t="shared" si="219"/>
        <v>5.0000000000000044E-2</v>
      </c>
    </row>
    <row r="59" spans="2:83" hidden="1" outlineLevel="1" x14ac:dyDescent="0.15">
      <c r="B59" s="1" t="str">
        <f t="shared" si="215"/>
        <v>Professional Outsourcing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21"/>
      <c r="AB59" s="21"/>
      <c r="AC59" s="21"/>
      <c r="AD59" s="21"/>
      <c r="AE59" s="17">
        <f t="shared" si="216"/>
        <v>8.2026320533621799E-2</v>
      </c>
      <c r="AF59" s="17">
        <f t="shared" si="216"/>
        <v>9.7270054598908029E-2</v>
      </c>
      <c r="AG59" s="17">
        <f t="shared" si="216"/>
        <v>7.1599616858237569E-2</v>
      </c>
      <c r="AH59" s="17">
        <f t="shared" si="216"/>
        <v>0.10109185309612889</v>
      </c>
      <c r="AI59" s="17">
        <f t="shared" si="216"/>
        <v>0.10025824725091637</v>
      </c>
      <c r="AJ59" s="17">
        <f t="shared" si="216"/>
        <v>4.4208834111612916E-2</v>
      </c>
      <c r="AK59" s="17">
        <f t="shared" si="216"/>
        <v>6.815642458100557E-2</v>
      </c>
      <c r="AL59" s="17">
        <f t="shared" si="216"/>
        <v>6.507870466680532E-2</v>
      </c>
      <c r="AM59" s="17">
        <f t="shared" si="216"/>
        <v>6.840810145750531E-2</v>
      </c>
      <c r="AN59" s="17">
        <f t="shared" si="216"/>
        <v>8.2291704849529079E-2</v>
      </c>
      <c r="AO59" s="17">
        <f t="shared" si="217"/>
        <v>7.4965132496513265E-2</v>
      </c>
      <c r="AP59" s="17">
        <f t="shared" si="217"/>
        <v>5.8986295126794541E-2</v>
      </c>
      <c r="AQ59" s="17">
        <f t="shared" si="218"/>
        <v>0.74112394585784136</v>
      </c>
      <c r="AR59" s="17">
        <f t="shared" si="218"/>
        <v>0.73348912822597034</v>
      </c>
      <c r="AS59" s="17">
        <f t="shared" si="218"/>
        <v>0.7416801816412586</v>
      </c>
      <c r="AT59" s="17">
        <f t="shared" si="218"/>
        <v>0.66164581476130468</v>
      </c>
      <c r="AU59" s="17">
        <f t="shared" si="218"/>
        <v>-1</v>
      </c>
      <c r="AV59" s="17">
        <f t="shared" si="218"/>
        <v>-1</v>
      </c>
      <c r="AW59" s="17">
        <f t="shared" si="218"/>
        <v>-1</v>
      </c>
      <c r="AX59" s="17">
        <f t="shared" si="218"/>
        <v>-1</v>
      </c>
      <c r="AY59" s="17" t="e">
        <f t="shared" si="218"/>
        <v>#DIV/0!</v>
      </c>
      <c r="AZ59" s="17" t="e">
        <f t="shared" si="218"/>
        <v>#DIV/0!</v>
      </c>
      <c r="BA59" s="17" t="e">
        <f t="shared" si="218"/>
        <v>#DIV/0!</v>
      </c>
      <c r="BB59" s="17" t="e">
        <f t="shared" si="218"/>
        <v>#DIV/0!</v>
      </c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38"/>
      <c r="BP59" s="13"/>
      <c r="BQ59" s="13"/>
      <c r="BR59" s="13"/>
      <c r="BS59" s="13"/>
      <c r="BT59" s="13"/>
      <c r="BU59" s="13"/>
      <c r="BV59" s="13"/>
      <c r="BW59" s="17">
        <f t="shared" ref="BW59:CE59" si="220">BW47/BV47-1</f>
        <v>8.8207469562356033E-2</v>
      </c>
      <c r="BX59" s="17">
        <f t="shared" si="220"/>
        <v>6.8688224065919457E-2</v>
      </c>
      <c r="BY59" s="17">
        <f t="shared" si="220"/>
        <v>7.08607807595385E-2</v>
      </c>
      <c r="BZ59" s="17">
        <f t="shared" si="220"/>
        <v>0.71805563583218412</v>
      </c>
      <c r="CA59" s="17">
        <f t="shared" si="220"/>
        <v>-1</v>
      </c>
      <c r="CB59" s="17" t="e">
        <f t="shared" si="220"/>
        <v>#DIV/0!</v>
      </c>
      <c r="CC59" s="77" t="e">
        <f t="shared" si="220"/>
        <v>#DIV/0!</v>
      </c>
      <c r="CD59" s="17" t="e">
        <f t="shared" si="220"/>
        <v>#DIV/0!</v>
      </c>
      <c r="CE59" s="17" t="e">
        <f t="shared" si="220"/>
        <v>#DIV/0!</v>
      </c>
    </row>
    <row r="60" spans="2:83" collapsed="1" x14ac:dyDescent="0.15">
      <c r="B60" s="1" t="str">
        <f t="shared" si="215"/>
        <v>Technology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21"/>
      <c r="AB60" s="21"/>
      <c r="AC60" s="21"/>
      <c r="AD60" s="21"/>
      <c r="AE60" s="17" t="e">
        <f t="shared" si="216"/>
        <v>#DIV/0!</v>
      </c>
      <c r="AF60" s="17" t="e">
        <f t="shared" si="216"/>
        <v>#DIV/0!</v>
      </c>
      <c r="AG60" s="17" t="e">
        <f t="shared" si="216"/>
        <v>#DIV/0!</v>
      </c>
      <c r="AH60" s="17" t="e">
        <f t="shared" si="216"/>
        <v>#DIV/0!</v>
      </c>
      <c r="AI60" s="17" t="e">
        <f t="shared" si="216"/>
        <v>#DIV/0!</v>
      </c>
      <c r="AJ60" s="17" t="e">
        <f t="shared" si="216"/>
        <v>#DIV/0!</v>
      </c>
      <c r="AK60" s="17" t="e">
        <f t="shared" si="216"/>
        <v>#DIV/0!</v>
      </c>
      <c r="AL60" s="17" t="e">
        <f t="shared" si="216"/>
        <v>#DIV/0!</v>
      </c>
      <c r="AM60" s="17" t="e">
        <f t="shared" si="216"/>
        <v>#DIV/0!</v>
      </c>
      <c r="AN60" s="17" t="e">
        <f t="shared" si="216"/>
        <v>#DIV/0!</v>
      </c>
      <c r="AO60" s="17" t="e">
        <f t="shared" si="217"/>
        <v>#DIV/0!</v>
      </c>
      <c r="AP60" s="17" t="e">
        <f t="shared" si="217"/>
        <v>#DIV/0!</v>
      </c>
      <c r="AQ60" s="17" t="e">
        <f t="shared" si="218"/>
        <v>#DIV/0!</v>
      </c>
      <c r="AR60" s="17" t="e">
        <f t="shared" si="218"/>
        <v>#DIV/0!</v>
      </c>
      <c r="AS60" s="17" t="e">
        <f t="shared" si="218"/>
        <v>#DIV/0!</v>
      </c>
      <c r="AT60" s="17" t="e">
        <f t="shared" si="218"/>
        <v>#DIV/0!</v>
      </c>
      <c r="AU60" s="17">
        <f t="shared" si="218"/>
        <v>0.13591354850994963</v>
      </c>
      <c r="AV60" s="17">
        <f t="shared" si="218"/>
        <v>0.14839115585115947</v>
      </c>
      <c r="AW60" s="17">
        <f t="shared" si="218"/>
        <v>0.14311894580678941</v>
      </c>
      <c r="AX60" s="17">
        <f t="shared" si="218"/>
        <v>7.8836000161218722E-2</v>
      </c>
      <c r="AY60" s="17">
        <f t="shared" si="218"/>
        <v>9.806797703365322E-2</v>
      </c>
      <c r="AZ60" s="17">
        <f t="shared" si="218"/>
        <v>0.11661579400485245</v>
      </c>
      <c r="BA60" s="17">
        <f t="shared" si="218"/>
        <v>0.13932361248950298</v>
      </c>
      <c r="BB60" s="17">
        <f t="shared" si="218"/>
        <v>0.12534090484551874</v>
      </c>
      <c r="BC60" s="49">
        <v>0.13</v>
      </c>
      <c r="BD60" s="49">
        <v>0.13</v>
      </c>
      <c r="BE60" s="49">
        <v>0.13</v>
      </c>
      <c r="BF60" s="49">
        <v>0.13</v>
      </c>
      <c r="BG60" s="49">
        <v>0.13</v>
      </c>
      <c r="BH60" s="49">
        <v>0.13</v>
      </c>
      <c r="BI60" s="49">
        <v>0.13</v>
      </c>
      <c r="BJ60" s="49">
        <v>0.13</v>
      </c>
      <c r="BK60" s="49">
        <v>0.13</v>
      </c>
      <c r="BL60" s="49">
        <v>0.13</v>
      </c>
      <c r="BM60" s="49">
        <v>0.13</v>
      </c>
      <c r="BN60" s="49">
        <v>0.13</v>
      </c>
      <c r="BO60" s="38"/>
      <c r="BP60" s="13"/>
      <c r="BQ60" s="13"/>
      <c r="BR60" s="13"/>
      <c r="BS60" s="13"/>
      <c r="BT60" s="13"/>
      <c r="BU60" s="13"/>
      <c r="BV60" s="13"/>
      <c r="BW60" s="17" t="e">
        <f t="shared" ref="BW60:CE60" si="221">BW48/BV48-1</f>
        <v>#DIV/0!</v>
      </c>
      <c r="BX60" s="17" t="e">
        <f t="shared" si="221"/>
        <v>#DIV/0!</v>
      </c>
      <c r="BY60" s="17" t="e">
        <f t="shared" si="221"/>
        <v>#DIV/0!</v>
      </c>
      <c r="BZ60" s="17" t="e">
        <f t="shared" si="221"/>
        <v>#DIV/0!</v>
      </c>
      <c r="CA60" s="17" t="e">
        <f t="shared" si="221"/>
        <v>#DIV/0!</v>
      </c>
      <c r="CB60" s="17">
        <f t="shared" si="221"/>
        <v>0.12038484078921674</v>
      </c>
      <c r="CC60" s="77">
        <f t="shared" si="221"/>
        <v>0.12999999999999989</v>
      </c>
      <c r="CD60" s="17">
        <f t="shared" si="221"/>
        <v>0.12999999999999989</v>
      </c>
      <c r="CE60" s="17">
        <f t="shared" si="221"/>
        <v>0.12999999999999989</v>
      </c>
    </row>
    <row r="61" spans="2:83" x14ac:dyDescent="0.15">
      <c r="B61" s="1" t="str">
        <f t="shared" si="215"/>
        <v>BPO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21"/>
      <c r="AB61" s="21"/>
      <c r="AC61" s="21"/>
      <c r="AD61" s="21"/>
      <c r="AE61" s="17" t="e">
        <f t="shared" si="216"/>
        <v>#DIV/0!</v>
      </c>
      <c r="AF61" s="17" t="e">
        <f t="shared" si="216"/>
        <v>#DIV/0!</v>
      </c>
      <c r="AG61" s="17" t="e">
        <f t="shared" si="216"/>
        <v>#DIV/0!</v>
      </c>
      <c r="AH61" s="17" t="e">
        <f t="shared" si="216"/>
        <v>#DIV/0!</v>
      </c>
      <c r="AI61" s="17" t="e">
        <f t="shared" si="216"/>
        <v>#DIV/0!</v>
      </c>
      <c r="AJ61" s="17" t="e">
        <f t="shared" si="216"/>
        <v>#DIV/0!</v>
      </c>
      <c r="AK61" s="17" t="e">
        <f t="shared" si="216"/>
        <v>#DIV/0!</v>
      </c>
      <c r="AL61" s="17" t="e">
        <f t="shared" si="216"/>
        <v>#DIV/0!</v>
      </c>
      <c r="AM61" s="17" t="e">
        <f t="shared" si="216"/>
        <v>#DIV/0!</v>
      </c>
      <c r="AN61" s="17" t="e">
        <f t="shared" si="216"/>
        <v>#DIV/0!</v>
      </c>
      <c r="AO61" s="17" t="e">
        <f t="shared" si="217"/>
        <v>#DIV/0!</v>
      </c>
      <c r="AP61" s="17" t="e">
        <f t="shared" si="217"/>
        <v>#DIV/0!</v>
      </c>
      <c r="AQ61" s="17" t="e">
        <f t="shared" si="218"/>
        <v>#DIV/0!</v>
      </c>
      <c r="AR61" s="17" t="e">
        <f t="shared" si="218"/>
        <v>#DIV/0!</v>
      </c>
      <c r="AS61" s="17" t="e">
        <f t="shared" si="218"/>
        <v>#DIV/0!</v>
      </c>
      <c r="AT61" s="17" t="e">
        <f t="shared" si="218"/>
        <v>#DIV/0!</v>
      </c>
      <c r="AU61" s="17">
        <f t="shared" si="218"/>
        <v>-5.7301293900184791E-2</v>
      </c>
      <c r="AV61" s="17">
        <f t="shared" si="218"/>
        <v>-4.5418409318723874E-2</v>
      </c>
      <c r="AW61" s="17">
        <f t="shared" si="218"/>
        <v>-0.10426278510624476</v>
      </c>
      <c r="AX61" s="17">
        <f t="shared" si="218"/>
        <v>-5.300232526330162E-3</v>
      </c>
      <c r="AY61" s="17">
        <f t="shared" si="218"/>
        <v>2.7526395173453899E-2</v>
      </c>
      <c r="AZ61" s="17">
        <f t="shared" si="218"/>
        <v>-9.9214252091103239E-3</v>
      </c>
      <c r="BA61" s="17">
        <f t="shared" si="218"/>
        <v>4.5231963437194045E-2</v>
      </c>
      <c r="BB61" s="17">
        <f t="shared" si="218"/>
        <v>0.16277630719515979</v>
      </c>
      <c r="BC61" s="49">
        <v>0.3</v>
      </c>
      <c r="BD61" s="49">
        <v>0.3</v>
      </c>
      <c r="BE61" s="49">
        <v>0.3</v>
      </c>
      <c r="BF61" s="49">
        <v>0.15</v>
      </c>
      <c r="BG61" s="49">
        <v>0.08</v>
      </c>
      <c r="BH61" s="49">
        <v>0.08</v>
      </c>
      <c r="BI61" s="49">
        <v>0.08</v>
      </c>
      <c r="BJ61" s="49">
        <v>0.08</v>
      </c>
      <c r="BK61" s="49">
        <v>0.05</v>
      </c>
      <c r="BL61" s="49">
        <v>0.05</v>
      </c>
      <c r="BM61" s="49">
        <v>0.05</v>
      </c>
      <c r="BN61" s="49">
        <v>0.05</v>
      </c>
      <c r="BO61" s="38"/>
      <c r="BP61" s="13"/>
      <c r="BQ61" s="13"/>
      <c r="BR61" s="13"/>
      <c r="BS61" s="13"/>
      <c r="BT61" s="13"/>
      <c r="BU61" s="13"/>
      <c r="BV61" s="13"/>
      <c r="BW61" s="17" t="e">
        <f t="shared" ref="BW61:CE61" si="222">BW49/BV49-1</f>
        <v>#DIV/0!</v>
      </c>
      <c r="BX61" s="17" t="e">
        <f t="shared" si="222"/>
        <v>#DIV/0!</v>
      </c>
      <c r="BY61" s="17" t="e">
        <f t="shared" si="222"/>
        <v>#DIV/0!</v>
      </c>
      <c r="BZ61" s="17" t="e">
        <f t="shared" si="222"/>
        <v>#DIV/0!</v>
      </c>
      <c r="CA61" s="17" t="e">
        <f t="shared" si="222"/>
        <v>#DIV/0!</v>
      </c>
      <c r="CB61" s="17">
        <f t="shared" si="222"/>
        <v>5.8107315312062813E-2</v>
      </c>
      <c r="CC61" s="77">
        <f t="shared" si="222"/>
        <v>0.25672208337242908</v>
      </c>
      <c r="CD61" s="17">
        <f t="shared" si="222"/>
        <v>8.0000000000000293E-2</v>
      </c>
      <c r="CE61" s="17">
        <f t="shared" si="222"/>
        <v>5.0000000000000044E-2</v>
      </c>
    </row>
    <row r="62" spans="2:83" hidden="1" outlineLevel="1" x14ac:dyDescent="0.15">
      <c r="B62" s="1" t="str">
        <f t="shared" si="215"/>
        <v xml:space="preserve">Solution 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21"/>
      <c r="AB62" s="21"/>
      <c r="AC62" s="21"/>
      <c r="AD62" s="21"/>
      <c r="AE62" s="17">
        <f t="shared" si="216"/>
        <v>2.1418604651162791</v>
      </c>
      <c r="AF62" s="17">
        <f t="shared" si="216"/>
        <v>3.938172043010753</v>
      </c>
      <c r="AG62" s="17">
        <f t="shared" si="216"/>
        <v>2.8110882956878851</v>
      </c>
      <c r="AH62" s="17">
        <f t="shared" si="216"/>
        <v>3.1150627615062758</v>
      </c>
      <c r="AI62" s="17">
        <f t="shared" si="216"/>
        <v>-0.29533678756476689</v>
      </c>
      <c r="AJ62" s="17">
        <f t="shared" si="216"/>
        <v>-0.32607512248230808</v>
      </c>
      <c r="AK62" s="17">
        <f t="shared" si="216"/>
        <v>-0.14170258620689657</v>
      </c>
      <c r="AL62" s="17">
        <f t="shared" si="216"/>
        <v>-2.4402643619725439E-2</v>
      </c>
      <c r="AM62" s="17">
        <f t="shared" si="216"/>
        <v>1.2909663865546217</v>
      </c>
      <c r="AN62" s="17">
        <f t="shared" si="216"/>
        <v>1.2407108239095317</v>
      </c>
      <c r="AO62" s="17">
        <f t="shared" si="217"/>
        <v>0.86189579409918382</v>
      </c>
      <c r="AP62" s="17">
        <f t="shared" si="217"/>
        <v>0.69254820218863999</v>
      </c>
      <c r="AQ62" s="17">
        <f t="shared" si="218"/>
        <v>-1</v>
      </c>
      <c r="AR62" s="17">
        <f t="shared" si="218"/>
        <v>-1</v>
      </c>
      <c r="AS62" s="17">
        <f t="shared" si="218"/>
        <v>-1</v>
      </c>
      <c r="AT62" s="17">
        <f t="shared" si="218"/>
        <v>-1</v>
      </c>
      <c r="AU62" s="17" t="e">
        <f t="shared" si="218"/>
        <v>#DIV/0!</v>
      </c>
      <c r="AV62" s="17" t="e">
        <f t="shared" si="218"/>
        <v>#DIV/0!</v>
      </c>
      <c r="AW62" s="17" t="e">
        <f t="shared" si="218"/>
        <v>#DIV/0!</v>
      </c>
      <c r="AX62" s="17" t="e">
        <f t="shared" si="218"/>
        <v>#DIV/0!</v>
      </c>
      <c r="AY62" s="17" t="e">
        <f t="shared" si="218"/>
        <v>#DIV/0!</v>
      </c>
      <c r="AZ62" s="17" t="e">
        <f t="shared" si="218"/>
        <v>#DIV/0!</v>
      </c>
      <c r="BA62" s="17" t="e">
        <f t="shared" si="218"/>
        <v>#DIV/0!</v>
      </c>
      <c r="BB62" s="17" t="e">
        <f t="shared" si="218"/>
        <v>#DIV/0!</v>
      </c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38"/>
      <c r="BP62" s="13"/>
      <c r="BQ62" s="13"/>
      <c r="BR62" s="13"/>
      <c r="BS62" s="13"/>
      <c r="BT62" s="13"/>
      <c r="BU62" s="13"/>
      <c r="BV62" s="13"/>
      <c r="BW62" s="17">
        <f t="shared" ref="BW62:CE62" si="223">BW50/BV50-1</f>
        <v>2.967741935483871</v>
      </c>
      <c r="BX62" s="17">
        <f t="shared" si="223"/>
        <v>-0.18670660390814431</v>
      </c>
      <c r="BY62" s="17">
        <f t="shared" si="223"/>
        <v>0.95878639074009109</v>
      </c>
      <c r="BZ62" s="17">
        <f t="shared" si="223"/>
        <v>-1</v>
      </c>
      <c r="CA62" s="17" t="e">
        <f t="shared" si="223"/>
        <v>#DIV/0!</v>
      </c>
      <c r="CB62" s="17" t="e">
        <f t="shared" si="223"/>
        <v>#DIV/0!</v>
      </c>
      <c r="CC62" s="77" t="e">
        <f t="shared" si="223"/>
        <v>#DIV/0!</v>
      </c>
      <c r="CD62" s="17" t="e">
        <f t="shared" si="223"/>
        <v>#DIV/0!</v>
      </c>
      <c r="CE62" s="17" t="e">
        <f t="shared" si="223"/>
        <v>#DIV/0!</v>
      </c>
    </row>
    <row r="63" spans="2:83" collapsed="1" x14ac:dyDescent="0.15">
      <c r="B63" s="1" t="str">
        <f t="shared" si="215"/>
        <v>Career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21"/>
      <c r="AB63" s="21"/>
      <c r="AC63" s="21"/>
      <c r="AD63" s="21"/>
      <c r="AE63" s="17">
        <f t="shared" si="216"/>
        <v>0.13554826887838756</v>
      </c>
      <c r="AF63" s="17">
        <f t="shared" si="216"/>
        <v>9.6340442299167606E-2</v>
      </c>
      <c r="AG63" s="17">
        <f t="shared" si="216"/>
        <v>-0.14584806903380965</v>
      </c>
      <c r="AH63" s="17">
        <f t="shared" si="216"/>
        <v>-0.17181999406200954</v>
      </c>
      <c r="AI63" s="17">
        <f t="shared" si="216"/>
        <v>-0.28544736506858037</v>
      </c>
      <c r="AJ63" s="17">
        <f t="shared" si="216"/>
        <v>-0.42099824789972595</v>
      </c>
      <c r="AK63" s="17">
        <f t="shared" si="216"/>
        <v>-0.24947554377829306</v>
      </c>
      <c r="AL63" s="17">
        <f t="shared" si="216"/>
        <v>-0.16736658813889171</v>
      </c>
      <c r="AM63" s="17">
        <f t="shared" si="216"/>
        <v>4.6056932311166587E-2</v>
      </c>
      <c r="AN63" s="17">
        <f t="shared" si="216"/>
        <v>0.34543761638733717</v>
      </c>
      <c r="AO63" s="17">
        <f t="shared" si="217"/>
        <v>0.37565281353438773</v>
      </c>
      <c r="AP63" s="17">
        <f t="shared" si="217"/>
        <v>0.33072948702177385</v>
      </c>
      <c r="AQ63" s="17">
        <f t="shared" si="218"/>
        <v>0.37473014430178386</v>
      </c>
      <c r="AR63" s="17">
        <f t="shared" si="218"/>
        <v>0.43437139561707028</v>
      </c>
      <c r="AS63" s="17">
        <f t="shared" si="218"/>
        <v>0.39001176344775956</v>
      </c>
      <c r="AT63" s="17">
        <f t="shared" si="218"/>
        <v>0.3589091749480009</v>
      </c>
      <c r="AU63" s="17">
        <f t="shared" si="218"/>
        <v>0.3183734192908505</v>
      </c>
      <c r="AV63" s="17">
        <f t="shared" si="218"/>
        <v>0.2659215181730461</v>
      </c>
      <c r="AW63" s="17">
        <f t="shared" si="218"/>
        <v>0.18895214648407443</v>
      </c>
      <c r="AX63" s="17">
        <f t="shared" si="218"/>
        <v>0.15605442176870743</v>
      </c>
      <c r="AY63" s="17">
        <f t="shared" si="218"/>
        <v>0.15936304933859957</v>
      </c>
      <c r="AZ63" s="17">
        <f t="shared" si="218"/>
        <v>0.14009401003620647</v>
      </c>
      <c r="BA63" s="17">
        <f t="shared" si="218"/>
        <v>0.11391872654328972</v>
      </c>
      <c r="BB63" s="17">
        <f t="shared" si="218"/>
        <v>9.8417088384135543E-2</v>
      </c>
      <c r="BC63" s="49">
        <v>0.08</v>
      </c>
      <c r="BD63" s="49">
        <v>0.08</v>
      </c>
      <c r="BE63" s="49">
        <v>0.08</v>
      </c>
      <c r="BF63" s="49">
        <v>0.08</v>
      </c>
      <c r="BG63" s="49">
        <v>0.1</v>
      </c>
      <c r="BH63" s="49">
        <v>0.1</v>
      </c>
      <c r="BI63" s="49">
        <v>0.1</v>
      </c>
      <c r="BJ63" s="49">
        <v>0.1</v>
      </c>
      <c r="BK63" s="49">
        <v>0.11</v>
      </c>
      <c r="BL63" s="49">
        <v>0.11</v>
      </c>
      <c r="BM63" s="49">
        <v>0.11</v>
      </c>
      <c r="BN63" s="49">
        <v>0.11</v>
      </c>
      <c r="BO63" s="38"/>
      <c r="BP63" s="13"/>
      <c r="BQ63" s="13"/>
      <c r="BR63" s="13"/>
      <c r="BS63" s="13"/>
      <c r="BT63" s="13"/>
      <c r="BU63" s="13"/>
      <c r="BV63" s="13"/>
      <c r="BW63" s="17">
        <f t="shared" ref="BW63:CE63" si="224">BW51/BV51-1</f>
        <v>-2.7695892805126743E-2</v>
      </c>
      <c r="BX63" s="17">
        <f t="shared" si="224"/>
        <v>-0.28616623526028184</v>
      </c>
      <c r="BY63" s="17">
        <f t="shared" si="224"/>
        <v>0.26374899274778407</v>
      </c>
      <c r="BZ63" s="17">
        <f t="shared" si="224"/>
        <v>0.38771769019248392</v>
      </c>
      <c r="CA63" s="17">
        <f t="shared" si="224"/>
        <v>0.22799762602186346</v>
      </c>
      <c r="CB63" s="17">
        <f t="shared" si="224"/>
        <v>0.12753733902902931</v>
      </c>
      <c r="CC63" s="77">
        <f t="shared" si="224"/>
        <v>8.0000000000000293E-2</v>
      </c>
      <c r="CD63" s="17">
        <f t="shared" si="224"/>
        <v>9.9999999999999867E-2</v>
      </c>
      <c r="CE63" s="17">
        <f t="shared" si="224"/>
        <v>0.1100000000000001</v>
      </c>
    </row>
    <row r="64" spans="2:83" x14ac:dyDescent="0.15">
      <c r="B64" s="1" t="str">
        <f t="shared" si="215"/>
        <v>APAC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21"/>
      <c r="AB64" s="21"/>
      <c r="AC64" s="21"/>
      <c r="AD64" s="21"/>
      <c r="AE64" s="17">
        <f t="shared" si="216"/>
        <v>-2.5279999999999969E-2</v>
      </c>
      <c r="AF64" s="17">
        <f t="shared" si="216"/>
        <v>-3.6084540924451458E-3</v>
      </c>
      <c r="AG64" s="17">
        <f t="shared" si="216"/>
        <v>-2.9294098682571601E-2</v>
      </c>
      <c r="AH64" s="17">
        <f t="shared" si="216"/>
        <v>-4.9889761998982429E-3</v>
      </c>
      <c r="AI64" s="17">
        <f t="shared" si="216"/>
        <v>-1.540022682504627E-2</v>
      </c>
      <c r="AJ64" s="17">
        <f t="shared" si="216"/>
        <v>-0.15664520579443553</v>
      </c>
      <c r="AK64" s="17">
        <f t="shared" si="216"/>
        <v>-6.213768115942031E-2</v>
      </c>
      <c r="AL64" s="17">
        <f t="shared" si="216"/>
        <v>-8.158743235373489E-2</v>
      </c>
      <c r="AM64" s="17">
        <f t="shared" si="216"/>
        <v>2.0096999090633449E-2</v>
      </c>
      <c r="AN64" s="17">
        <f t="shared" si="216"/>
        <v>0.26436507395542219</v>
      </c>
      <c r="AO64" s="17">
        <f t="shared" si="217"/>
        <v>0.1458212607043976</v>
      </c>
      <c r="AP64" s="17">
        <f t="shared" si="217"/>
        <v>0.19783788799703061</v>
      </c>
      <c r="AQ64" s="17">
        <f t="shared" si="218"/>
        <v>0.39498707396071664</v>
      </c>
      <c r="AR64" s="17">
        <f t="shared" si="218"/>
        <v>0.31754225181271734</v>
      </c>
      <c r="AS64" s="17">
        <f t="shared" si="218"/>
        <v>0.39217228832726914</v>
      </c>
      <c r="AT64" s="17">
        <f t="shared" si="218"/>
        <v>0.23510348478392795</v>
      </c>
      <c r="AU64" s="17">
        <f t="shared" si="218"/>
        <v>8.9231129714243185E-2</v>
      </c>
      <c r="AV64" s="17">
        <f t="shared" si="218"/>
        <v>3.2682412872472089E-2</v>
      </c>
      <c r="AW64" s="17">
        <f t="shared" si="218"/>
        <v>6.0959242777424594E-2</v>
      </c>
      <c r="AX64" s="17">
        <f t="shared" si="218"/>
        <v>9.1438427765001107E-2</v>
      </c>
      <c r="AY64" s="17">
        <f t="shared" si="218"/>
        <v>0.17550772961503491</v>
      </c>
      <c r="AZ64" s="17">
        <f t="shared" si="218"/>
        <v>0.16034035303207395</v>
      </c>
      <c r="BA64" s="17">
        <f t="shared" si="218"/>
        <v>0.15760890241582648</v>
      </c>
      <c r="BB64" s="17">
        <f t="shared" si="218"/>
        <v>0.12093058894518571</v>
      </c>
      <c r="BC64" s="49">
        <v>0</v>
      </c>
      <c r="BD64" s="49">
        <v>0</v>
      </c>
      <c r="BE64" s="49">
        <v>0</v>
      </c>
      <c r="BF64" s="49">
        <v>0</v>
      </c>
      <c r="BG64" s="49">
        <v>0</v>
      </c>
      <c r="BH64" s="49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49">
        <v>0</v>
      </c>
      <c r="BO64" s="38"/>
      <c r="BP64" s="13"/>
      <c r="BQ64" s="13"/>
      <c r="BR64" s="13"/>
      <c r="BS64" s="13"/>
      <c r="BT64" s="13"/>
      <c r="BU64" s="13"/>
      <c r="BV64" s="13"/>
      <c r="BW64" s="17">
        <f t="shared" ref="BW64:CE64" si="225">BW52/BV52-1</f>
        <v>-1.5642280991854607E-2</v>
      </c>
      <c r="BX64" s="17">
        <f t="shared" si="225"/>
        <v>-7.9754354246648562E-2</v>
      </c>
      <c r="BY64" s="17">
        <f t="shared" si="225"/>
        <v>0.15387338087151559</v>
      </c>
      <c r="BZ64" s="17">
        <f t="shared" si="225"/>
        <v>0.33181106921533887</v>
      </c>
      <c r="CA64" s="17">
        <f t="shared" si="225"/>
        <v>6.822046070355503E-2</v>
      </c>
      <c r="CB64" s="17">
        <f t="shared" si="225"/>
        <v>0.15343411585144273</v>
      </c>
      <c r="CC64" s="77">
        <f t="shared" si="225"/>
        <v>0</v>
      </c>
      <c r="CD64" s="17">
        <f t="shared" si="225"/>
        <v>0</v>
      </c>
      <c r="CE64" s="17">
        <f t="shared" si="225"/>
        <v>0</v>
      </c>
    </row>
    <row r="65" spans="2:83" x14ac:dyDescent="0.15">
      <c r="B65" s="1" t="str">
        <f t="shared" si="215"/>
        <v>Other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21"/>
      <c r="AB65" s="21"/>
      <c r="AC65" s="21"/>
      <c r="AD65" s="21"/>
      <c r="AE65" s="17">
        <f t="shared" si="216"/>
        <v>0.22073342736248236</v>
      </c>
      <c r="AF65" s="17">
        <f t="shared" si="216"/>
        <v>1.1559633027522938</v>
      </c>
      <c r="AG65" s="17">
        <f t="shared" si="216"/>
        <v>0.86812500000000004</v>
      </c>
      <c r="AH65" s="17">
        <f t="shared" si="216"/>
        <v>0.83082952318745917</v>
      </c>
      <c r="AI65" s="17">
        <f t="shared" si="216"/>
        <v>0.36568457538994803</v>
      </c>
      <c r="AJ65" s="17">
        <f t="shared" si="216"/>
        <v>2.7466150870406159E-2</v>
      </c>
      <c r="AK65" s="17">
        <f t="shared" si="216"/>
        <v>0.1468718634994981</v>
      </c>
      <c r="AL65" s="17">
        <f t="shared" si="216"/>
        <v>7.5990010702818411E-2</v>
      </c>
      <c r="AM65" s="17">
        <f t="shared" si="216"/>
        <v>0.4018612521150593</v>
      </c>
      <c r="AN65" s="17">
        <f t="shared" si="216"/>
        <v>0.14006024096385539</v>
      </c>
      <c r="AO65" s="17">
        <f t="shared" si="217"/>
        <v>0.16102683780630112</v>
      </c>
      <c r="AP65" s="17">
        <f t="shared" si="217"/>
        <v>0.13826259946949593</v>
      </c>
      <c r="AQ65" s="17">
        <f t="shared" si="218"/>
        <v>1.2248038624019313</v>
      </c>
      <c r="AR65" s="17">
        <f t="shared" si="218"/>
        <v>1.549867899603699</v>
      </c>
      <c r="AS65" s="17">
        <f t="shared" si="218"/>
        <v>1.2238693467336685</v>
      </c>
      <c r="AT65" s="17">
        <f t="shared" si="218"/>
        <v>1.4080978735799592</v>
      </c>
      <c r="AU65" s="17">
        <f t="shared" si="218"/>
        <v>8.9922690899226998E-2</v>
      </c>
      <c r="AV65" s="17">
        <f t="shared" si="218"/>
        <v>0.10257738634891855</v>
      </c>
      <c r="AW65" s="17">
        <f t="shared" si="218"/>
        <v>6.8692803073099107E-2</v>
      </c>
      <c r="AX65" s="17">
        <f t="shared" si="218"/>
        <v>4.5361074150235936E-2</v>
      </c>
      <c r="AY65" s="17">
        <f t="shared" si="218"/>
        <v>0.10851169736187161</v>
      </c>
      <c r="AZ65" s="17">
        <f t="shared" si="218"/>
        <v>0.11124163044755075</v>
      </c>
      <c r="BA65" s="17">
        <f t="shared" si="218"/>
        <v>5.9097156147584373E-2</v>
      </c>
      <c r="BB65" s="17">
        <f t="shared" si="218"/>
        <v>0.16049525572784074</v>
      </c>
      <c r="BC65" s="49">
        <v>0.08</v>
      </c>
      <c r="BD65" s="49">
        <v>0.08</v>
      </c>
      <c r="BE65" s="49">
        <v>0.08</v>
      </c>
      <c r="BF65" s="49">
        <v>0.08</v>
      </c>
      <c r="BG65" s="49">
        <v>0.08</v>
      </c>
      <c r="BH65" s="49">
        <v>0.08</v>
      </c>
      <c r="BI65" s="49">
        <v>0.08</v>
      </c>
      <c r="BJ65" s="49">
        <v>0.08</v>
      </c>
      <c r="BK65" s="49">
        <v>0.08</v>
      </c>
      <c r="BL65" s="49">
        <v>0.08</v>
      </c>
      <c r="BM65" s="49">
        <v>0.08</v>
      </c>
      <c r="BN65" s="49">
        <v>0.08</v>
      </c>
      <c r="BO65" s="38"/>
      <c r="BP65" s="13"/>
      <c r="BQ65" s="13"/>
      <c r="BR65" s="13"/>
      <c r="BS65" s="13"/>
      <c r="BT65" s="13"/>
      <c r="BU65" s="13"/>
      <c r="BV65" s="13"/>
      <c r="BW65" s="17">
        <f t="shared" ref="BW65:CE65" si="226">BW53/BV53-1</f>
        <v>0.75852470424495477</v>
      </c>
      <c r="BX65" s="17">
        <f t="shared" si="226"/>
        <v>0.13415116739216471</v>
      </c>
      <c r="BY65" s="17">
        <f t="shared" si="226"/>
        <v>0.19984298674110268</v>
      </c>
      <c r="BZ65" s="17">
        <f t="shared" si="226"/>
        <v>1.3418393311523085</v>
      </c>
      <c r="CA65" s="17">
        <f t="shared" si="226"/>
        <v>7.5686079721842825E-2</v>
      </c>
      <c r="CB65" s="17">
        <f t="shared" si="226"/>
        <v>0.10865800865800868</v>
      </c>
      <c r="CC65" s="77">
        <f t="shared" si="226"/>
        <v>8.0000000000000071E-2</v>
      </c>
      <c r="CD65" s="17">
        <f t="shared" si="226"/>
        <v>8.0000000000000071E-2</v>
      </c>
      <c r="CE65" s="17">
        <f t="shared" si="226"/>
        <v>8.0000000000000071E-2</v>
      </c>
    </row>
    <row r="66" spans="2:83" x14ac:dyDescent="0.15"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8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75"/>
      <c r="CD66" s="13"/>
      <c r="CE66" s="13"/>
    </row>
    <row r="67" spans="2:83" x14ac:dyDescent="0.15">
      <c r="B67" s="3" t="s">
        <v>50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8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75"/>
      <c r="CD67" s="13"/>
      <c r="CE67" s="13"/>
    </row>
    <row r="68" spans="2:83" x14ac:dyDescent="0.15">
      <c r="B68" s="1" t="str">
        <f t="shared" ref="B68:B76" si="227">B46</f>
        <v>Staffing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21">
        <v>6292</v>
      </c>
      <c r="AB68" s="21">
        <v>3686</v>
      </c>
      <c r="AC68" s="21">
        <v>6114</v>
      </c>
      <c r="AD68" s="21">
        <v>5343</v>
      </c>
      <c r="AE68" s="21">
        <v>5823</v>
      </c>
      <c r="AF68" s="21">
        <v>5333</v>
      </c>
      <c r="AG68" s="21">
        <v>6806</v>
      </c>
      <c r="AH68" s="21">
        <v>5905</v>
      </c>
      <c r="AI68" s="21">
        <v>8921</v>
      </c>
      <c r="AJ68" s="21">
        <v>7388</v>
      </c>
      <c r="AK68" s="21">
        <v>8361</v>
      </c>
      <c r="AL68" s="21">
        <v>4453</v>
      </c>
      <c r="AM68" s="21">
        <v>10428</v>
      </c>
      <c r="AN68" s="21">
        <v>11433</v>
      </c>
      <c r="AO68" s="21">
        <v>10606</v>
      </c>
      <c r="AP68" s="21">
        <v>6892</v>
      </c>
      <c r="AQ68" s="98">
        <v>9319</v>
      </c>
      <c r="AR68" s="98">
        <v>7673</v>
      </c>
      <c r="AS68" s="98">
        <v>6615</v>
      </c>
      <c r="AT68" s="98">
        <v>3119</v>
      </c>
      <c r="AU68" s="98">
        <v>9385</v>
      </c>
      <c r="AV68" s="98">
        <v>6546</v>
      </c>
      <c r="AW68" s="98">
        <v>7942</v>
      </c>
      <c r="AX68" s="98">
        <v>6759</v>
      </c>
      <c r="AY68" s="98">
        <v>9867</v>
      </c>
      <c r="AZ68" s="98">
        <v>7395</v>
      </c>
      <c r="BA68" s="98">
        <v>9724</v>
      </c>
      <c r="BB68" s="98">
        <v>4331</v>
      </c>
      <c r="BC68" s="21">
        <f t="shared" ref="BC68:BN68" si="228">BC46*BC79</f>
        <v>10677.683100000002</v>
      </c>
      <c r="BD68" s="21">
        <f t="shared" si="228"/>
        <v>8077.3119000000006</v>
      </c>
      <c r="BE68" s="21">
        <f t="shared" si="228"/>
        <v>10535.454299999999</v>
      </c>
      <c r="BF68" s="21">
        <f t="shared" si="228"/>
        <v>6199.41</v>
      </c>
      <c r="BG68" s="21">
        <f t="shared" si="228"/>
        <v>11544.767010000003</v>
      </c>
      <c r="BH68" s="21">
        <f t="shared" si="228"/>
        <v>8809.3674900000024</v>
      </c>
      <c r="BI68" s="21">
        <f t="shared" si="228"/>
        <v>11403.744030000002</v>
      </c>
      <c r="BJ68" s="21">
        <f t="shared" si="228"/>
        <v>6834.8495250000005</v>
      </c>
      <c r="BK68" s="21">
        <f t="shared" si="228"/>
        <v>12471.865103250006</v>
      </c>
      <c r="BL68" s="21">
        <f t="shared" si="228"/>
        <v>9594.4353592500029</v>
      </c>
      <c r="BM68" s="21">
        <f t="shared" si="228"/>
        <v>12332.524097250003</v>
      </c>
      <c r="BN68" s="21">
        <f t="shared" si="228"/>
        <v>7518.3344775000023</v>
      </c>
      <c r="BO68" s="39"/>
      <c r="BP68" s="13">
        <f t="shared" ref="BP68:CE71" si="229">SUMIF($C$5:$BO$5,BP$3,$C68:$BO68)</f>
        <v>0</v>
      </c>
      <c r="BQ68" s="13">
        <f t="shared" si="229"/>
        <v>0</v>
      </c>
      <c r="BR68" s="13">
        <f t="shared" si="229"/>
        <v>0</v>
      </c>
      <c r="BS68" s="13">
        <f t="shared" si="229"/>
        <v>0</v>
      </c>
      <c r="BT68" s="13">
        <f t="shared" si="229"/>
        <v>0</v>
      </c>
      <c r="BU68" s="13">
        <f t="shared" si="229"/>
        <v>0</v>
      </c>
      <c r="BV68" s="13">
        <f t="shared" si="229"/>
        <v>21435</v>
      </c>
      <c r="BW68" s="13">
        <f t="shared" si="229"/>
        <v>23867</v>
      </c>
      <c r="BX68" s="13">
        <f t="shared" si="229"/>
        <v>29123</v>
      </c>
      <c r="BY68" s="13">
        <f t="shared" si="229"/>
        <v>39359</v>
      </c>
      <c r="BZ68" s="13">
        <f t="shared" si="229"/>
        <v>26726</v>
      </c>
      <c r="CA68" s="13">
        <f t="shared" si="229"/>
        <v>30632</v>
      </c>
      <c r="CB68" s="13">
        <f t="shared" si="229"/>
        <v>31317</v>
      </c>
      <c r="CC68" s="75">
        <f t="shared" si="229"/>
        <v>35489.859299999996</v>
      </c>
      <c r="CD68" s="13">
        <f t="shared" si="229"/>
        <v>38592.728055000007</v>
      </c>
      <c r="CE68" s="13">
        <f t="shared" si="229"/>
        <v>41917.159037250014</v>
      </c>
    </row>
    <row r="69" spans="2:83" hidden="1" outlineLevel="1" x14ac:dyDescent="0.15">
      <c r="B69" s="48" t="str">
        <f t="shared" si="227"/>
        <v>Professional Outsourcing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21">
        <v>588</v>
      </c>
      <c r="AB69" s="21">
        <v>1778</v>
      </c>
      <c r="AC69" s="21">
        <v>2108</v>
      </c>
      <c r="AD69" s="21">
        <v>2440</v>
      </c>
      <c r="AE69" s="21">
        <v>271</v>
      </c>
      <c r="AF69" s="21">
        <v>1449</v>
      </c>
      <c r="AG69" s="21">
        <v>1519</v>
      </c>
      <c r="AH69" s="21">
        <v>3070</v>
      </c>
      <c r="AI69" s="21">
        <v>315</v>
      </c>
      <c r="AJ69" s="21">
        <v>674</v>
      </c>
      <c r="AK69" s="21">
        <v>1481</v>
      </c>
      <c r="AL69" s="21">
        <v>1558</v>
      </c>
      <c r="AM69" s="21">
        <v>1214</v>
      </c>
      <c r="AN69" s="21">
        <v>1590</v>
      </c>
      <c r="AO69" s="21">
        <v>2320</v>
      </c>
      <c r="AP69" s="21">
        <v>1810</v>
      </c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21">
        <f t="shared" ref="BC69:BN69" si="230">BC47*BC80</f>
        <v>0</v>
      </c>
      <c r="BD69" s="21">
        <f t="shared" si="230"/>
        <v>0</v>
      </c>
      <c r="BE69" s="21">
        <f t="shared" si="230"/>
        <v>0</v>
      </c>
      <c r="BF69" s="21">
        <f t="shared" si="230"/>
        <v>0</v>
      </c>
      <c r="BG69" s="21">
        <f t="shared" si="230"/>
        <v>0</v>
      </c>
      <c r="BH69" s="21">
        <f t="shared" si="230"/>
        <v>0</v>
      </c>
      <c r="BI69" s="21">
        <f t="shared" si="230"/>
        <v>0</v>
      </c>
      <c r="BJ69" s="21">
        <f t="shared" si="230"/>
        <v>0</v>
      </c>
      <c r="BK69" s="21">
        <f t="shared" si="230"/>
        <v>0</v>
      </c>
      <c r="BL69" s="21">
        <f t="shared" si="230"/>
        <v>0</v>
      </c>
      <c r="BM69" s="21">
        <f t="shared" si="230"/>
        <v>0</v>
      </c>
      <c r="BN69" s="21">
        <f t="shared" si="230"/>
        <v>0</v>
      </c>
      <c r="BO69" s="36"/>
      <c r="BP69" s="13">
        <f t="shared" si="229"/>
        <v>0</v>
      </c>
      <c r="BQ69" s="13">
        <f t="shared" si="229"/>
        <v>0</v>
      </c>
      <c r="BR69" s="13">
        <f t="shared" si="229"/>
        <v>0</v>
      </c>
      <c r="BS69" s="13">
        <f t="shared" si="229"/>
        <v>0</v>
      </c>
      <c r="BT69" s="13">
        <f t="shared" si="229"/>
        <v>0</v>
      </c>
      <c r="BU69" s="13">
        <f t="shared" si="229"/>
        <v>0</v>
      </c>
      <c r="BV69" s="13">
        <f t="shared" si="229"/>
        <v>6914</v>
      </c>
      <c r="BW69" s="13">
        <f t="shared" si="229"/>
        <v>6309</v>
      </c>
      <c r="BX69" s="13">
        <f t="shared" si="229"/>
        <v>4028</v>
      </c>
      <c r="BY69" s="13">
        <f t="shared" si="229"/>
        <v>6934</v>
      </c>
      <c r="BZ69" s="13">
        <f t="shared" si="229"/>
        <v>0</v>
      </c>
      <c r="CA69" s="13">
        <f t="shared" si="229"/>
        <v>0</v>
      </c>
      <c r="CB69" s="13">
        <f t="shared" si="229"/>
        <v>0</v>
      </c>
      <c r="CC69" s="75">
        <f t="shared" si="229"/>
        <v>0</v>
      </c>
      <c r="CD69" s="13">
        <f t="shared" si="229"/>
        <v>0</v>
      </c>
      <c r="CE69" s="13">
        <f t="shared" si="229"/>
        <v>0</v>
      </c>
    </row>
    <row r="70" spans="2:83" collapsed="1" x14ac:dyDescent="0.15">
      <c r="B70" s="1" t="str">
        <f t="shared" si="227"/>
        <v>Technology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98">
        <v>1343</v>
      </c>
      <c r="AR70" s="98">
        <v>1935</v>
      </c>
      <c r="AS70" s="98">
        <v>1738</v>
      </c>
      <c r="AT70" s="98">
        <v>1326</v>
      </c>
      <c r="AU70" s="98">
        <v>759</v>
      </c>
      <c r="AV70" s="98">
        <v>1954</v>
      </c>
      <c r="AW70" s="98">
        <v>2183</v>
      </c>
      <c r="AX70" s="98">
        <v>2034</v>
      </c>
      <c r="AY70" s="98">
        <v>1159</v>
      </c>
      <c r="AZ70" s="98">
        <v>2327</v>
      </c>
      <c r="BA70" s="98">
        <v>2852</v>
      </c>
      <c r="BB70" s="98">
        <v>2302</v>
      </c>
      <c r="BC70" s="21">
        <f t="shared" ref="BC70:BN70" si="231">BC48*BC81</f>
        <v>1368.8842599999998</v>
      </c>
      <c r="BD70" s="21">
        <f t="shared" si="231"/>
        <v>2693.9968399999998</v>
      </c>
      <c r="BE70" s="21">
        <f t="shared" si="231"/>
        <v>3290.2164799999996</v>
      </c>
      <c r="BF70" s="21">
        <f t="shared" si="231"/>
        <v>2669.3357199999996</v>
      </c>
      <c r="BG70" s="21">
        <f t="shared" si="231"/>
        <v>1714.1194982999998</v>
      </c>
      <c r="BH70" s="21">
        <f t="shared" si="231"/>
        <v>3226.3917521999997</v>
      </c>
      <c r="BI70" s="21">
        <f t="shared" si="231"/>
        <v>3908.5091783999997</v>
      </c>
      <c r="BJ70" s="21">
        <f t="shared" si="231"/>
        <v>3208.6632725999993</v>
      </c>
      <c r="BK70" s="21">
        <f t="shared" si="231"/>
        <v>2125.9817545639994</v>
      </c>
      <c r="BL70" s="21">
        <f t="shared" si="231"/>
        <v>3851.6807949759996</v>
      </c>
      <c r="BM70" s="21">
        <f t="shared" si="231"/>
        <v>4631.9533198719992</v>
      </c>
      <c r="BN70" s="21">
        <f t="shared" si="231"/>
        <v>3843.104215207999</v>
      </c>
      <c r="BO70" s="36"/>
      <c r="BP70" s="13">
        <f t="shared" si="229"/>
        <v>0</v>
      </c>
      <c r="BQ70" s="13">
        <f t="shared" si="229"/>
        <v>0</v>
      </c>
      <c r="BR70" s="13">
        <f t="shared" si="229"/>
        <v>0</v>
      </c>
      <c r="BS70" s="13">
        <f t="shared" si="229"/>
        <v>0</v>
      </c>
      <c r="BT70" s="13">
        <f t="shared" si="229"/>
        <v>0</v>
      </c>
      <c r="BU70" s="13">
        <f t="shared" si="229"/>
        <v>0</v>
      </c>
      <c r="BV70" s="13">
        <f t="shared" si="229"/>
        <v>0</v>
      </c>
      <c r="BW70" s="13">
        <f t="shared" si="229"/>
        <v>0</v>
      </c>
      <c r="BX70" s="13">
        <f t="shared" si="229"/>
        <v>0</v>
      </c>
      <c r="BY70" s="13">
        <f t="shared" si="229"/>
        <v>0</v>
      </c>
      <c r="BZ70" s="13">
        <f t="shared" si="229"/>
        <v>6342</v>
      </c>
      <c r="CA70" s="13">
        <f t="shared" si="229"/>
        <v>6930</v>
      </c>
      <c r="CB70" s="13">
        <f t="shared" si="229"/>
        <v>8640</v>
      </c>
      <c r="CC70" s="75">
        <f t="shared" si="229"/>
        <v>10022.433299999999</v>
      </c>
      <c r="CD70" s="13">
        <f t="shared" si="229"/>
        <v>12057.683701499998</v>
      </c>
      <c r="CE70" s="13">
        <f t="shared" si="229"/>
        <v>14452.720084619998</v>
      </c>
    </row>
    <row r="71" spans="2:83" x14ac:dyDescent="0.15">
      <c r="B71" s="1" t="str">
        <f t="shared" si="227"/>
        <v>BPO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97">
        <v>4216</v>
      </c>
      <c r="AR71" s="97">
        <v>4617</v>
      </c>
      <c r="AS71" s="97">
        <v>5397</v>
      </c>
      <c r="AT71" s="97">
        <v>3597</v>
      </c>
      <c r="AU71" s="97">
        <v>1657</v>
      </c>
      <c r="AV71" s="97">
        <v>2072</v>
      </c>
      <c r="AW71" s="97">
        <v>2285</v>
      </c>
      <c r="AX71" s="97">
        <v>2893</v>
      </c>
      <c r="AY71" s="97">
        <v>959</v>
      </c>
      <c r="AZ71" s="97">
        <v>1463</v>
      </c>
      <c r="BA71" s="97">
        <v>2254</v>
      </c>
      <c r="BB71" s="97">
        <v>1991</v>
      </c>
      <c r="BC71" s="21">
        <f t="shared" ref="BC71:BN71" si="232">BC49*BC82</f>
        <v>1636.375</v>
      </c>
      <c r="BD71" s="21">
        <f t="shared" si="232"/>
        <v>2292.9049</v>
      </c>
      <c r="BE71" s="21">
        <f t="shared" si="232"/>
        <v>3342.2688000000003</v>
      </c>
      <c r="BF71" s="21">
        <f t="shared" si="232"/>
        <v>2717.5236</v>
      </c>
      <c r="BG71" s="21">
        <f t="shared" si="232"/>
        <v>1958.58</v>
      </c>
      <c r="BH71" s="21">
        <f t="shared" si="232"/>
        <v>2668.2851520000008</v>
      </c>
      <c r="BI71" s="21">
        <f t="shared" si="232"/>
        <v>3811.9386240000003</v>
      </c>
      <c r="BJ71" s="21">
        <f t="shared" si="232"/>
        <v>3144.9725280000007</v>
      </c>
      <c r="BK71" s="21">
        <f t="shared" si="232"/>
        <v>2257.3687500000001</v>
      </c>
      <c r="BL71" s="21">
        <f t="shared" si="232"/>
        <v>3003.244662600001</v>
      </c>
      <c r="BM71" s="21">
        <f t="shared" si="232"/>
        <v>4214.938291200001</v>
      </c>
      <c r="BN71" s="21">
        <f t="shared" si="232"/>
        <v>3522.770546400001</v>
      </c>
      <c r="BO71" s="36"/>
      <c r="BP71" s="13"/>
      <c r="BQ71" s="13"/>
      <c r="BR71" s="13"/>
      <c r="BS71" s="13"/>
      <c r="BT71" s="13"/>
      <c r="BU71" s="13"/>
      <c r="BV71" s="13">
        <f t="shared" si="229"/>
        <v>0</v>
      </c>
      <c r="BW71" s="13">
        <f t="shared" si="229"/>
        <v>0</v>
      </c>
      <c r="BX71" s="13">
        <f t="shared" si="229"/>
        <v>0</v>
      </c>
      <c r="BY71" s="13">
        <f t="shared" si="229"/>
        <v>0</v>
      </c>
      <c r="BZ71" s="13">
        <f t="shared" si="229"/>
        <v>17827</v>
      </c>
      <c r="CA71" s="13">
        <f t="shared" si="229"/>
        <v>8907</v>
      </c>
      <c r="CB71" s="13">
        <f t="shared" si="229"/>
        <v>6667</v>
      </c>
      <c r="CC71" s="75">
        <f t="shared" si="229"/>
        <v>9989.0722999999998</v>
      </c>
      <c r="CD71" s="13">
        <f t="shared" si="229"/>
        <v>11583.776304000001</v>
      </c>
      <c r="CE71" s="13">
        <f t="shared" si="229"/>
        <v>12998.322250200004</v>
      </c>
    </row>
    <row r="72" spans="2:83" hidden="1" outlineLevel="1" x14ac:dyDescent="0.15">
      <c r="B72" s="48" t="str">
        <f t="shared" si="227"/>
        <v xml:space="preserve">Solution 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21">
        <v>96</v>
      </c>
      <c r="AB72" s="21">
        <v>0</v>
      </c>
      <c r="AC72" s="21">
        <v>-18</v>
      </c>
      <c r="AD72" s="21">
        <v>-114</v>
      </c>
      <c r="AE72" s="21">
        <v>-299</v>
      </c>
      <c r="AF72" s="21">
        <v>-175</v>
      </c>
      <c r="AG72" s="21">
        <v>-376</v>
      </c>
      <c r="AH72" s="21">
        <v>-768</v>
      </c>
      <c r="AI72" s="21">
        <v>-1437</v>
      </c>
      <c r="AJ72" s="21">
        <v>-1260</v>
      </c>
      <c r="AK72" s="21">
        <v>-1095</v>
      </c>
      <c r="AL72" s="21">
        <v>-1017</v>
      </c>
      <c r="AM72" s="21">
        <v>-883</v>
      </c>
      <c r="AN72" s="21">
        <v>-682</v>
      </c>
      <c r="AO72" s="21">
        <v>-708</v>
      </c>
      <c r="AP72" s="21">
        <v>-785</v>
      </c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21">
        <f t="shared" ref="BC72:BN72" si="233">BC50*BC83</f>
        <v>0</v>
      </c>
      <c r="BD72" s="21">
        <f t="shared" si="233"/>
        <v>0</v>
      </c>
      <c r="BE72" s="21">
        <f t="shared" si="233"/>
        <v>0</v>
      </c>
      <c r="BF72" s="21">
        <f t="shared" si="233"/>
        <v>0</v>
      </c>
      <c r="BG72" s="21">
        <f t="shared" si="233"/>
        <v>0</v>
      </c>
      <c r="BH72" s="21">
        <f t="shared" si="233"/>
        <v>0</v>
      </c>
      <c r="BI72" s="21">
        <f t="shared" si="233"/>
        <v>0</v>
      </c>
      <c r="BJ72" s="21">
        <f t="shared" si="233"/>
        <v>0</v>
      </c>
      <c r="BK72" s="21">
        <f t="shared" si="233"/>
        <v>0</v>
      </c>
      <c r="BL72" s="21">
        <f t="shared" si="233"/>
        <v>0</v>
      </c>
      <c r="BM72" s="21">
        <f t="shared" si="233"/>
        <v>0</v>
      </c>
      <c r="BN72" s="21">
        <f t="shared" si="233"/>
        <v>0</v>
      </c>
      <c r="BO72" s="26"/>
      <c r="BP72" s="13">
        <f t="shared" ref="BP72:CE77" si="234">SUMIF($C$5:$BO$5,BP$3,$C72:$BO72)</f>
        <v>0</v>
      </c>
      <c r="BQ72" s="13">
        <f t="shared" si="234"/>
        <v>0</v>
      </c>
      <c r="BR72" s="13">
        <f t="shared" si="234"/>
        <v>0</v>
      </c>
      <c r="BS72" s="13">
        <f t="shared" si="234"/>
        <v>0</v>
      </c>
      <c r="BT72" s="13">
        <f t="shared" si="234"/>
        <v>0</v>
      </c>
      <c r="BU72" s="13">
        <f t="shared" si="234"/>
        <v>0</v>
      </c>
      <c r="BV72" s="13">
        <f t="shared" si="234"/>
        <v>-36</v>
      </c>
      <c r="BW72" s="13">
        <f t="shared" si="234"/>
        <v>-1618</v>
      </c>
      <c r="BX72" s="13">
        <f t="shared" si="234"/>
        <v>-4809</v>
      </c>
      <c r="BY72" s="13">
        <f t="shared" si="234"/>
        <v>-3058</v>
      </c>
      <c r="BZ72" s="13">
        <f t="shared" si="234"/>
        <v>0</v>
      </c>
      <c r="CA72" s="13">
        <f t="shared" si="234"/>
        <v>0</v>
      </c>
      <c r="CB72" s="13">
        <f t="shared" si="234"/>
        <v>0</v>
      </c>
      <c r="CC72" s="75">
        <f t="shared" si="234"/>
        <v>0</v>
      </c>
      <c r="CD72" s="13">
        <f t="shared" si="234"/>
        <v>0</v>
      </c>
      <c r="CE72" s="13">
        <f t="shared" si="234"/>
        <v>0</v>
      </c>
    </row>
    <row r="73" spans="2:83" collapsed="1" x14ac:dyDescent="0.15">
      <c r="B73" s="1" t="str">
        <f t="shared" si="227"/>
        <v>Career</v>
      </c>
      <c r="C73" s="37"/>
      <c r="D73" s="37"/>
      <c r="E73" s="37"/>
      <c r="F73" s="3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21">
        <v>4223</v>
      </c>
      <c r="AB73" s="21">
        <v>3337</v>
      </c>
      <c r="AC73" s="21">
        <v>3210</v>
      </c>
      <c r="AD73" s="21">
        <v>4784</v>
      </c>
      <c r="AE73" s="21">
        <v>4703</v>
      </c>
      <c r="AF73" s="21">
        <v>4393</v>
      </c>
      <c r="AG73" s="21">
        <v>1271</v>
      </c>
      <c r="AH73" s="21">
        <v>2900</v>
      </c>
      <c r="AI73" s="21">
        <v>1505</v>
      </c>
      <c r="AJ73" s="21">
        <v>-1367</v>
      </c>
      <c r="AK73" s="21">
        <v>-466</v>
      </c>
      <c r="AL73" s="21">
        <v>659</v>
      </c>
      <c r="AM73" s="21">
        <v>2063</v>
      </c>
      <c r="AN73" s="21">
        <v>1130</v>
      </c>
      <c r="AO73" s="21">
        <v>1960</v>
      </c>
      <c r="AP73" s="21">
        <v>2111</v>
      </c>
      <c r="AQ73" s="98">
        <v>5872</v>
      </c>
      <c r="AR73" s="98">
        <v>4869</v>
      </c>
      <c r="AS73" s="98">
        <v>4576</v>
      </c>
      <c r="AT73" s="98">
        <v>4824</v>
      </c>
      <c r="AU73" s="98">
        <v>6645</v>
      </c>
      <c r="AV73" s="98">
        <v>5248</v>
      </c>
      <c r="AW73" s="98">
        <v>5566</v>
      </c>
      <c r="AX73" s="98">
        <v>7542</v>
      </c>
      <c r="AY73" s="98">
        <v>9464</v>
      </c>
      <c r="AZ73" s="98">
        <v>7343</v>
      </c>
      <c r="BA73" s="98">
        <v>6770</v>
      </c>
      <c r="BB73" s="98">
        <v>6792</v>
      </c>
      <c r="BC73" s="21">
        <f t="shared" ref="BC73:BN73" si="235">BC51*BC84</f>
        <v>8719.7336598833936</v>
      </c>
      <c r="BD73" s="21">
        <f t="shared" si="235"/>
        <v>6849.5580338436139</v>
      </c>
      <c r="BE73" s="21">
        <f t="shared" si="235"/>
        <v>7067.9105624951471</v>
      </c>
      <c r="BF73" s="21">
        <f t="shared" si="235"/>
        <v>9350.1990150406036</v>
      </c>
      <c r="BG73" s="21">
        <f t="shared" si="235"/>
        <v>9811.4038658717345</v>
      </c>
      <c r="BH73" s="21">
        <f t="shared" si="235"/>
        <v>7747.7420172279762</v>
      </c>
      <c r="BI73" s="21">
        <f t="shared" si="235"/>
        <v>7979.2098787446621</v>
      </c>
      <c r="BJ73" s="21">
        <f t="shared" si="235"/>
        <v>10506.976936544663</v>
      </c>
      <c r="BK73" s="21">
        <f t="shared" si="235"/>
        <v>11134.521783517626</v>
      </c>
      <c r="BL73" s="21">
        <f t="shared" si="235"/>
        <v>8836.6769189230545</v>
      </c>
      <c r="BM73" s="21">
        <f t="shared" si="235"/>
        <v>9083.927134006577</v>
      </c>
      <c r="BN73" s="21">
        <f t="shared" si="235"/>
        <v>11908.895801764576</v>
      </c>
      <c r="BO73" s="39"/>
      <c r="BP73" s="13">
        <f t="shared" ref="BP73:CE73" si="236">SUMIF($C$5:$BO$5,BP$3,$C73:$BO73)</f>
        <v>0</v>
      </c>
      <c r="BQ73" s="13">
        <f t="shared" si="236"/>
        <v>0</v>
      </c>
      <c r="BR73" s="13">
        <f t="shared" si="236"/>
        <v>0</v>
      </c>
      <c r="BS73" s="13">
        <f t="shared" si="236"/>
        <v>0</v>
      </c>
      <c r="BT73" s="13">
        <f t="shared" si="236"/>
        <v>0</v>
      </c>
      <c r="BU73" s="13">
        <f t="shared" si="236"/>
        <v>0</v>
      </c>
      <c r="BV73" s="13">
        <f t="shared" si="236"/>
        <v>15554</v>
      </c>
      <c r="BW73" s="13">
        <f t="shared" si="236"/>
        <v>13267</v>
      </c>
      <c r="BX73" s="13">
        <f t="shared" si="236"/>
        <v>331</v>
      </c>
      <c r="BY73" s="13">
        <f t="shared" si="236"/>
        <v>7264</v>
      </c>
      <c r="BZ73" s="13">
        <f t="shared" si="236"/>
        <v>20141</v>
      </c>
      <c r="CA73" s="13">
        <f t="shared" si="236"/>
        <v>25001</v>
      </c>
      <c r="CB73" s="13">
        <f t="shared" si="236"/>
        <v>30369</v>
      </c>
      <c r="CC73" s="75">
        <f t="shared" si="236"/>
        <v>31987.401271262759</v>
      </c>
      <c r="CD73" s="13">
        <f t="shared" si="236"/>
        <v>36045.332698389037</v>
      </c>
      <c r="CE73" s="13">
        <f t="shared" si="236"/>
        <v>40964.021638211838</v>
      </c>
    </row>
    <row r="74" spans="2:83" x14ac:dyDescent="0.15">
      <c r="B74" s="1" t="str">
        <f t="shared" si="227"/>
        <v>APAC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21">
        <v>158</v>
      </c>
      <c r="AB74" s="21">
        <v>417</v>
      </c>
      <c r="AC74" s="21">
        <v>308</v>
      </c>
      <c r="AD74" s="21">
        <v>505</v>
      </c>
      <c r="AE74" s="21">
        <v>-156</v>
      </c>
      <c r="AF74" s="21">
        <v>-126</v>
      </c>
      <c r="AG74" s="21">
        <v>-575</v>
      </c>
      <c r="AH74" s="21">
        <v>451</v>
      </c>
      <c r="AI74" s="21">
        <v>-318</v>
      </c>
      <c r="AJ74" s="21">
        <v>-743</v>
      </c>
      <c r="AK74" s="21">
        <v>-345</v>
      </c>
      <c r="AL74" s="21">
        <v>-829</v>
      </c>
      <c r="AM74" s="21">
        <v>-164</v>
      </c>
      <c r="AN74" s="21">
        <v>459</v>
      </c>
      <c r="AO74" s="21">
        <v>9</v>
      </c>
      <c r="AP74" s="21">
        <v>738</v>
      </c>
      <c r="AQ74" s="98">
        <v>2152</v>
      </c>
      <c r="AR74" s="98">
        <v>2486</v>
      </c>
      <c r="AS74" s="98">
        <v>3197</v>
      </c>
      <c r="AT74" s="98">
        <v>-176</v>
      </c>
      <c r="AU74" s="98">
        <v>2595</v>
      </c>
      <c r="AV74" s="98">
        <v>2751</v>
      </c>
      <c r="AW74" s="98">
        <v>2219</v>
      </c>
      <c r="AX74" s="98">
        <v>2266</v>
      </c>
      <c r="AY74" s="98">
        <v>3329</v>
      </c>
      <c r="AZ74" s="98">
        <v>3747</v>
      </c>
      <c r="BA74" s="98">
        <v>3043</v>
      </c>
      <c r="BB74" s="98">
        <v>1585</v>
      </c>
      <c r="BC74" s="21">
        <f t="shared" ref="BC74:BN74" si="237">BC52*BC85</f>
        <v>3329</v>
      </c>
      <c r="BD74" s="21">
        <f t="shared" si="237"/>
        <v>3746.9999999999995</v>
      </c>
      <c r="BE74" s="21">
        <f t="shared" si="237"/>
        <v>3043</v>
      </c>
      <c r="BF74" s="21">
        <f t="shared" si="237"/>
        <v>1585</v>
      </c>
      <c r="BG74" s="21">
        <f t="shared" si="237"/>
        <v>3329</v>
      </c>
      <c r="BH74" s="21">
        <f t="shared" si="237"/>
        <v>3746.9999999999995</v>
      </c>
      <c r="BI74" s="21">
        <f t="shared" si="237"/>
        <v>3043</v>
      </c>
      <c r="BJ74" s="21">
        <f t="shared" si="237"/>
        <v>1585</v>
      </c>
      <c r="BK74" s="21">
        <f t="shared" si="237"/>
        <v>3329</v>
      </c>
      <c r="BL74" s="21">
        <f t="shared" si="237"/>
        <v>3746.9999999999995</v>
      </c>
      <c r="BM74" s="21">
        <f t="shared" si="237"/>
        <v>3043</v>
      </c>
      <c r="BN74" s="21">
        <f t="shared" si="237"/>
        <v>1585</v>
      </c>
      <c r="BO74" s="40"/>
      <c r="BP74" s="13">
        <f t="shared" si="234"/>
        <v>0</v>
      </c>
      <c r="BQ74" s="13">
        <f t="shared" si="234"/>
        <v>0</v>
      </c>
      <c r="BR74" s="13">
        <f t="shared" si="234"/>
        <v>0</v>
      </c>
      <c r="BS74" s="13">
        <f t="shared" si="234"/>
        <v>0</v>
      </c>
      <c r="BT74" s="13">
        <f t="shared" si="234"/>
        <v>0</v>
      </c>
      <c r="BU74" s="13">
        <f t="shared" si="234"/>
        <v>0</v>
      </c>
      <c r="BV74" s="13">
        <f t="shared" si="234"/>
        <v>1388</v>
      </c>
      <c r="BW74" s="13">
        <f t="shared" si="234"/>
        <v>-406</v>
      </c>
      <c r="BX74" s="13">
        <f t="shared" si="234"/>
        <v>-2235</v>
      </c>
      <c r="BY74" s="13">
        <f t="shared" si="234"/>
        <v>1042</v>
      </c>
      <c r="BZ74" s="13">
        <f t="shared" si="234"/>
        <v>7659</v>
      </c>
      <c r="CA74" s="13">
        <f t="shared" si="234"/>
        <v>9831</v>
      </c>
      <c r="CB74" s="13">
        <f t="shared" si="234"/>
        <v>11704</v>
      </c>
      <c r="CC74" s="75">
        <f t="shared" si="234"/>
        <v>11704</v>
      </c>
      <c r="CD74" s="13">
        <f t="shared" si="234"/>
        <v>11704</v>
      </c>
      <c r="CE74" s="13">
        <f t="shared" si="234"/>
        <v>11704</v>
      </c>
    </row>
    <row r="75" spans="2:83" x14ac:dyDescent="0.15">
      <c r="B75" s="1" t="str">
        <f t="shared" si="227"/>
        <v>Other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21">
        <v>84</v>
      </c>
      <c r="AB75" s="21">
        <v>-206</v>
      </c>
      <c r="AC75" s="21">
        <v>2</v>
      </c>
      <c r="AD75" s="21">
        <v>-273</v>
      </c>
      <c r="AE75" s="21">
        <v>-3</v>
      </c>
      <c r="AF75" s="21">
        <v>-202</v>
      </c>
      <c r="AG75" s="21">
        <v>54</v>
      </c>
      <c r="AH75" s="21">
        <v>-275</v>
      </c>
      <c r="AI75" s="21">
        <v>-455</v>
      </c>
      <c r="AJ75" s="21">
        <v>-405</v>
      </c>
      <c r="AK75" s="21">
        <v>263</v>
      </c>
      <c r="AL75" s="21">
        <v>-559</v>
      </c>
      <c r="AM75" s="21">
        <v>-55</v>
      </c>
      <c r="AN75" s="21">
        <v>-498</v>
      </c>
      <c r="AO75" s="21">
        <v>229</v>
      </c>
      <c r="AP75" s="21">
        <v>-477</v>
      </c>
      <c r="AQ75" s="98">
        <v>-206</v>
      </c>
      <c r="AR75" s="98">
        <v>-695</v>
      </c>
      <c r="AS75" s="98">
        <v>563</v>
      </c>
      <c r="AT75" s="98">
        <v>-1122</v>
      </c>
      <c r="AU75" s="98">
        <v>-502</v>
      </c>
      <c r="AV75" s="98">
        <v>-433</v>
      </c>
      <c r="AW75" s="98">
        <v>234</v>
      </c>
      <c r="AX75" s="98">
        <v>-964</v>
      </c>
      <c r="AY75" s="98">
        <v>-699</v>
      </c>
      <c r="AZ75" s="98">
        <v>-1213</v>
      </c>
      <c r="BA75" s="98">
        <v>-532</v>
      </c>
      <c r="BB75" s="98">
        <v>-968</v>
      </c>
      <c r="BC75" s="21">
        <f>AY75</f>
        <v>-699</v>
      </c>
      <c r="BD75" s="21">
        <f t="shared" ref="BD75:BN75" si="238">AZ75</f>
        <v>-1213</v>
      </c>
      <c r="BE75" s="21">
        <f t="shared" si="238"/>
        <v>-532</v>
      </c>
      <c r="BF75" s="21">
        <f t="shared" si="238"/>
        <v>-968</v>
      </c>
      <c r="BG75" s="21">
        <f t="shared" si="238"/>
        <v>-699</v>
      </c>
      <c r="BH75" s="21">
        <f t="shared" si="238"/>
        <v>-1213</v>
      </c>
      <c r="BI75" s="21">
        <f t="shared" si="238"/>
        <v>-532</v>
      </c>
      <c r="BJ75" s="21">
        <f t="shared" si="238"/>
        <v>-968</v>
      </c>
      <c r="BK75" s="21">
        <f t="shared" si="238"/>
        <v>-699</v>
      </c>
      <c r="BL75" s="21">
        <f t="shared" si="238"/>
        <v>-1213</v>
      </c>
      <c r="BM75" s="21">
        <f t="shared" si="238"/>
        <v>-532</v>
      </c>
      <c r="BN75" s="21">
        <f t="shared" si="238"/>
        <v>-968</v>
      </c>
      <c r="BO75" s="26"/>
      <c r="BP75" s="13">
        <f t="shared" si="234"/>
        <v>0</v>
      </c>
      <c r="BQ75" s="13">
        <f t="shared" si="234"/>
        <v>0</v>
      </c>
      <c r="BR75" s="13">
        <f t="shared" si="234"/>
        <v>0</v>
      </c>
      <c r="BS75" s="13">
        <f t="shared" si="234"/>
        <v>0</v>
      </c>
      <c r="BT75" s="13">
        <f t="shared" si="234"/>
        <v>0</v>
      </c>
      <c r="BU75" s="13">
        <f t="shared" si="234"/>
        <v>0</v>
      </c>
      <c r="BV75" s="13">
        <f t="shared" si="234"/>
        <v>-393</v>
      </c>
      <c r="BW75" s="13">
        <f t="shared" si="234"/>
        <v>-426</v>
      </c>
      <c r="BX75" s="13">
        <f t="shared" si="234"/>
        <v>-1156</v>
      </c>
      <c r="BY75" s="13">
        <f t="shared" si="234"/>
        <v>-801</v>
      </c>
      <c r="BZ75" s="13">
        <f t="shared" si="234"/>
        <v>-1460</v>
      </c>
      <c r="CA75" s="13">
        <f t="shared" si="234"/>
        <v>-1665</v>
      </c>
      <c r="CB75" s="13">
        <f t="shared" si="234"/>
        <v>-3412</v>
      </c>
      <c r="CC75" s="75">
        <f t="shared" si="234"/>
        <v>-3412</v>
      </c>
      <c r="CD75" s="13">
        <f t="shared" si="234"/>
        <v>-3412</v>
      </c>
      <c r="CE75" s="13">
        <f t="shared" si="234"/>
        <v>-3412</v>
      </c>
    </row>
    <row r="76" spans="2:83" x14ac:dyDescent="0.15">
      <c r="B76" s="1" t="str">
        <f t="shared" si="227"/>
        <v>Adjustment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21">
        <v>89</v>
      </c>
      <c r="AB76" s="21">
        <v>-91</v>
      </c>
      <c r="AC76" s="21">
        <v>-106</v>
      </c>
      <c r="AD76" s="21">
        <v>-649</v>
      </c>
      <c r="AE76" s="21">
        <v>-281</v>
      </c>
      <c r="AF76" s="21">
        <v>-612</v>
      </c>
      <c r="AG76" s="21">
        <v>-413</v>
      </c>
      <c r="AH76" s="21">
        <v>-602</v>
      </c>
      <c r="AI76" s="21">
        <v>382</v>
      </c>
      <c r="AJ76" s="21">
        <v>292</v>
      </c>
      <c r="AK76" s="21">
        <v>191</v>
      </c>
      <c r="AL76" s="21">
        <v>-423</v>
      </c>
      <c r="AM76" s="21">
        <v>371</v>
      </c>
      <c r="AN76" s="21">
        <v>41</v>
      </c>
      <c r="AO76" s="21">
        <v>-55</v>
      </c>
      <c r="AP76" s="21">
        <v>-2955</v>
      </c>
      <c r="AQ76" s="98">
        <v>-19</v>
      </c>
      <c r="AR76" s="98">
        <v>-280</v>
      </c>
      <c r="AS76" s="98">
        <v>-361</v>
      </c>
      <c r="AT76" s="98">
        <v>-1301</v>
      </c>
      <c r="AU76" s="98">
        <v>-1525</v>
      </c>
      <c r="AV76" s="98">
        <v>-2113</v>
      </c>
      <c r="AW76" s="98">
        <v>-2026</v>
      </c>
      <c r="AX76" s="98">
        <v>-1685</v>
      </c>
      <c r="AY76" s="98">
        <v>-1136</v>
      </c>
      <c r="AZ76" s="98">
        <v>-1231</v>
      </c>
      <c r="BA76" s="98">
        <v>-2066</v>
      </c>
      <c r="BB76" s="98">
        <v>-2514</v>
      </c>
      <c r="BC76" s="21">
        <f>AY76-100</f>
        <v>-1236</v>
      </c>
      <c r="BD76" s="21">
        <f t="shared" ref="BD76:BN76" si="239">AZ76-100</f>
        <v>-1331</v>
      </c>
      <c r="BE76" s="21">
        <f t="shared" si="239"/>
        <v>-2166</v>
      </c>
      <c r="BF76" s="21">
        <f t="shared" si="239"/>
        <v>-2614</v>
      </c>
      <c r="BG76" s="21">
        <f t="shared" si="239"/>
        <v>-1336</v>
      </c>
      <c r="BH76" s="21">
        <f t="shared" si="239"/>
        <v>-1431</v>
      </c>
      <c r="BI76" s="21">
        <f t="shared" si="239"/>
        <v>-2266</v>
      </c>
      <c r="BJ76" s="21">
        <f t="shared" si="239"/>
        <v>-2714</v>
      </c>
      <c r="BK76" s="21">
        <f t="shared" si="239"/>
        <v>-1436</v>
      </c>
      <c r="BL76" s="21">
        <f t="shared" si="239"/>
        <v>-1531</v>
      </c>
      <c r="BM76" s="21">
        <f t="shared" si="239"/>
        <v>-2366</v>
      </c>
      <c r="BN76" s="21">
        <f t="shared" si="239"/>
        <v>-2814</v>
      </c>
      <c r="BO76" s="26"/>
      <c r="BP76" s="13">
        <f t="shared" si="234"/>
        <v>0</v>
      </c>
      <c r="BQ76" s="13">
        <f t="shared" si="234"/>
        <v>0</v>
      </c>
      <c r="BR76" s="13">
        <f t="shared" si="234"/>
        <v>0</v>
      </c>
      <c r="BS76" s="13">
        <f t="shared" si="234"/>
        <v>0</v>
      </c>
      <c r="BT76" s="13">
        <f t="shared" si="234"/>
        <v>0</v>
      </c>
      <c r="BU76" s="13">
        <f t="shared" si="234"/>
        <v>0</v>
      </c>
      <c r="BV76" s="13">
        <f t="shared" si="234"/>
        <v>-757</v>
      </c>
      <c r="BW76" s="13">
        <f t="shared" si="234"/>
        <v>-1908</v>
      </c>
      <c r="BX76" s="13">
        <f t="shared" si="234"/>
        <v>442</v>
      </c>
      <c r="BY76" s="13">
        <f t="shared" si="234"/>
        <v>-2598</v>
      </c>
      <c r="BZ76" s="13">
        <f t="shared" si="234"/>
        <v>-1961</v>
      </c>
      <c r="CA76" s="13">
        <f t="shared" si="234"/>
        <v>-7349</v>
      </c>
      <c r="CB76" s="13">
        <f t="shared" si="234"/>
        <v>-6947</v>
      </c>
      <c r="CC76" s="75">
        <f t="shared" si="234"/>
        <v>-7347</v>
      </c>
      <c r="CD76" s="13">
        <f t="shared" si="234"/>
        <v>-7747</v>
      </c>
      <c r="CE76" s="13">
        <f t="shared" si="234"/>
        <v>-8147</v>
      </c>
    </row>
    <row r="77" spans="2:83" x14ac:dyDescent="0.15"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6"/>
      <c r="BP77" s="13">
        <f t="shared" si="234"/>
        <v>0</v>
      </c>
      <c r="BQ77" s="13">
        <f t="shared" si="234"/>
        <v>0</v>
      </c>
      <c r="BR77" s="13">
        <f t="shared" si="234"/>
        <v>0</v>
      </c>
      <c r="BS77" s="13">
        <f t="shared" si="234"/>
        <v>0</v>
      </c>
      <c r="BT77" s="13">
        <f t="shared" si="234"/>
        <v>0</v>
      </c>
      <c r="BU77" s="13">
        <f t="shared" si="234"/>
        <v>0</v>
      </c>
      <c r="BV77" s="13">
        <f t="shared" si="234"/>
        <v>0</v>
      </c>
      <c r="BW77" s="13">
        <f t="shared" si="234"/>
        <v>0</v>
      </c>
      <c r="BX77" s="13">
        <f t="shared" si="234"/>
        <v>0</v>
      </c>
      <c r="BY77" s="13">
        <f t="shared" si="234"/>
        <v>0</v>
      </c>
      <c r="BZ77" s="13">
        <f t="shared" si="234"/>
        <v>0</v>
      </c>
      <c r="CA77" s="13">
        <f t="shared" si="234"/>
        <v>0</v>
      </c>
      <c r="CB77" s="13">
        <f t="shared" si="234"/>
        <v>0</v>
      </c>
      <c r="CC77" s="75">
        <f t="shared" si="234"/>
        <v>0</v>
      </c>
      <c r="CD77" s="13">
        <f t="shared" si="234"/>
        <v>0</v>
      </c>
      <c r="CE77" s="13">
        <f t="shared" si="234"/>
        <v>0</v>
      </c>
    </row>
    <row r="78" spans="2:83" x14ac:dyDescent="0.15">
      <c r="B78" s="3" t="s">
        <v>53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6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75"/>
      <c r="CD78" s="13"/>
      <c r="CE78" s="13"/>
    </row>
    <row r="79" spans="2:83" x14ac:dyDescent="0.15">
      <c r="B79" s="1" t="str">
        <f t="shared" ref="B79:B84" si="240">B68</f>
        <v>Staffing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17">
        <f t="shared" ref="AA79:AP79" si="241">AA68/AA46</f>
        <v>5.4313485144070577E-2</v>
      </c>
      <c r="AB79" s="17">
        <f t="shared" si="241"/>
        <v>3.2134326016075881E-2</v>
      </c>
      <c r="AC79" s="17">
        <f t="shared" si="241"/>
        <v>5.0699880589093804E-2</v>
      </c>
      <c r="AD79" s="17">
        <f t="shared" si="241"/>
        <v>4.3758855373829862E-2</v>
      </c>
      <c r="AE79" s="17">
        <f t="shared" si="241"/>
        <v>4.7655680953277303E-2</v>
      </c>
      <c r="AF79" s="17">
        <f t="shared" si="241"/>
        <v>4.2281772774121935E-2</v>
      </c>
      <c r="AG79" s="17">
        <f t="shared" si="241"/>
        <v>5.1959751423816286E-2</v>
      </c>
      <c r="AH79" s="17">
        <f t="shared" si="241"/>
        <v>4.5120767778957904E-2</v>
      </c>
      <c r="AI79" s="17">
        <f t="shared" si="241"/>
        <v>6.8267038063025143E-2</v>
      </c>
      <c r="AJ79" s="17">
        <f t="shared" si="241"/>
        <v>5.7003973612129159E-2</v>
      </c>
      <c r="AK79" s="17">
        <f t="shared" si="241"/>
        <v>6.2355503184523368E-2</v>
      </c>
      <c r="AL79" s="17">
        <f t="shared" si="241"/>
        <v>3.2773733909369919E-2</v>
      </c>
      <c r="AM79" s="17">
        <f t="shared" si="241"/>
        <v>7.5649638001828126E-2</v>
      </c>
      <c r="AN79" s="17">
        <f t="shared" si="241"/>
        <v>8.0794589666942265E-2</v>
      </c>
      <c r="AO79" s="17">
        <f t="shared" si="241"/>
        <v>7.2283408756338263E-2</v>
      </c>
      <c r="AP79" s="17">
        <f t="shared" si="241"/>
        <v>4.6050433643810722E-2</v>
      </c>
      <c r="AQ79" s="17">
        <f t="shared" ref="AQ79:BB79" si="242">AQ68/AQ46</f>
        <v>6.9789560398412345E-2</v>
      </c>
      <c r="AR79" s="17">
        <f t="shared" si="242"/>
        <v>5.7571392127733011E-2</v>
      </c>
      <c r="AS79" s="17">
        <f t="shared" si="242"/>
        <v>4.7783468292436272E-2</v>
      </c>
      <c r="AT79" s="17">
        <f t="shared" si="242"/>
        <v>2.23592243449586E-2</v>
      </c>
      <c r="AU79" s="17">
        <f t="shared" si="242"/>
        <v>6.4816669314124303E-2</v>
      </c>
      <c r="AV79" s="17">
        <f t="shared" si="242"/>
        <v>4.6207602442381673E-2</v>
      </c>
      <c r="AW79" s="17">
        <f t="shared" si="242"/>
        <v>5.4152830716151075E-2</v>
      </c>
      <c r="AX79" s="17">
        <f t="shared" si="242"/>
        <v>4.7371740958788898E-2</v>
      </c>
      <c r="AY79" s="17">
        <f t="shared" si="242"/>
        <v>6.5296371541449669E-2</v>
      </c>
      <c r="AZ79" s="17">
        <f t="shared" si="242"/>
        <v>4.9684558482655752E-2</v>
      </c>
      <c r="BA79" s="17">
        <f t="shared" si="242"/>
        <v>6.2782874815183076E-2</v>
      </c>
      <c r="BB79" s="17">
        <f t="shared" si="242"/>
        <v>2.9341824463940923E-2</v>
      </c>
      <c r="BC79" s="49">
        <f>AY79+0.2%</f>
        <v>6.729637154144967E-2</v>
      </c>
      <c r="BD79" s="49">
        <f t="shared" ref="BD79:BN79" si="243">AZ79+0.2%</f>
        <v>5.1684558482655754E-2</v>
      </c>
      <c r="BE79" s="49">
        <f t="shared" si="243"/>
        <v>6.4782874815183078E-2</v>
      </c>
      <c r="BF79" s="49">
        <v>0.04</v>
      </c>
      <c r="BG79" s="49">
        <f t="shared" si="243"/>
        <v>6.9296371541449672E-2</v>
      </c>
      <c r="BH79" s="49">
        <f t="shared" si="243"/>
        <v>5.3684558482655756E-2</v>
      </c>
      <c r="BI79" s="49">
        <f t="shared" si="243"/>
        <v>6.678287481518308E-2</v>
      </c>
      <c r="BJ79" s="49">
        <f t="shared" si="243"/>
        <v>4.2000000000000003E-2</v>
      </c>
      <c r="BK79" s="49">
        <f t="shared" si="243"/>
        <v>7.1296371541449674E-2</v>
      </c>
      <c r="BL79" s="49">
        <f t="shared" si="243"/>
        <v>5.5684558482655758E-2</v>
      </c>
      <c r="BM79" s="49">
        <f t="shared" si="243"/>
        <v>6.8782874815183082E-2</v>
      </c>
      <c r="BN79" s="49">
        <f t="shared" si="243"/>
        <v>4.4000000000000004E-2</v>
      </c>
      <c r="BO79" s="36"/>
      <c r="BP79" s="13"/>
      <c r="BQ79" s="13"/>
      <c r="BR79" s="13"/>
      <c r="BS79" s="13"/>
      <c r="BT79" s="13"/>
      <c r="BU79" s="13"/>
      <c r="BV79" s="17">
        <f t="shared" ref="BV79:CE79" si="244">BV68/BV46</f>
        <v>4.5293663958414776E-2</v>
      </c>
      <c r="BW79" s="17">
        <f t="shared" si="244"/>
        <v>4.6781894875493946E-2</v>
      </c>
      <c r="BX79" s="17">
        <f t="shared" si="244"/>
        <v>5.4924185274592641E-2</v>
      </c>
      <c r="BY79" s="17">
        <f t="shared" si="244"/>
        <v>6.8362099061560447E-2</v>
      </c>
      <c r="BZ79" s="17">
        <f t="shared" si="244"/>
        <v>4.9061937805191469E-2</v>
      </c>
      <c r="CA79" s="17">
        <f t="shared" si="244"/>
        <v>5.3199304616036558E-2</v>
      </c>
      <c r="CB79" s="17">
        <f t="shared" si="244"/>
        <v>5.1983772603985803E-2</v>
      </c>
      <c r="CC79" s="77">
        <f t="shared" si="244"/>
        <v>5.6105136130190983E-2</v>
      </c>
      <c r="CD79" s="17">
        <f t="shared" si="244"/>
        <v>5.8105136130190999E-2</v>
      </c>
      <c r="CE79" s="17">
        <f t="shared" si="244"/>
        <v>6.0105136130191E-2</v>
      </c>
    </row>
    <row r="80" spans="2:83" hidden="1" outlineLevel="1" x14ac:dyDescent="0.15">
      <c r="B80" s="48" t="str">
        <f t="shared" si="240"/>
        <v>Professional Outsourcing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17">
        <f t="shared" ref="AA80:AP80" si="245">AA69/AA47</f>
        <v>2.650081124932396E-2</v>
      </c>
      <c r="AB80" s="17">
        <f t="shared" si="245"/>
        <v>7.4674506509869801E-2</v>
      </c>
      <c r="AC80" s="17">
        <f t="shared" si="245"/>
        <v>8.4131545338441888E-2</v>
      </c>
      <c r="AD80" s="17">
        <f t="shared" si="245"/>
        <v>9.315110330610063E-2</v>
      </c>
      <c r="AE80" s="17">
        <f t="shared" si="245"/>
        <v>1.1287904031989336E-2</v>
      </c>
      <c r="AF80" s="17">
        <f t="shared" si="245"/>
        <v>5.5461991885478068E-2</v>
      </c>
      <c r="AG80" s="17">
        <f t="shared" si="245"/>
        <v>5.6573556797020481E-2</v>
      </c>
      <c r="AH80" s="17">
        <f t="shared" si="245"/>
        <v>0.10644199431384786</v>
      </c>
      <c r="AI80" s="17">
        <f t="shared" si="245"/>
        <v>1.192504258943782E-2</v>
      </c>
      <c r="AJ80" s="17">
        <f t="shared" si="245"/>
        <v>2.4705839228767273E-2</v>
      </c>
      <c r="AK80" s="17">
        <f t="shared" si="245"/>
        <v>5.1638772663877265E-2</v>
      </c>
      <c r="AL80" s="17">
        <f t="shared" si="245"/>
        <v>5.0717796803281354E-2</v>
      </c>
      <c r="AM80" s="17">
        <f t="shared" si="245"/>
        <v>4.3016086740840481E-2</v>
      </c>
      <c r="AN80" s="17">
        <f t="shared" si="245"/>
        <v>5.3850843324527532E-2</v>
      </c>
      <c r="AO80" s="17">
        <f t="shared" si="245"/>
        <v>7.5251378527408375E-2</v>
      </c>
      <c r="AP80" s="17">
        <f t="shared" si="245"/>
        <v>5.5639236420644923E-2</v>
      </c>
      <c r="AQ80" s="17">
        <f t="shared" ref="AQ80:BB80" si="246">AQ69/AQ47</f>
        <v>0</v>
      </c>
      <c r="AR80" s="17">
        <f t="shared" si="246"/>
        <v>0</v>
      </c>
      <c r="AS80" s="17">
        <f t="shared" si="246"/>
        <v>0</v>
      </c>
      <c r="AT80" s="17">
        <f t="shared" si="246"/>
        <v>0</v>
      </c>
      <c r="AU80" s="17" t="e">
        <f t="shared" si="246"/>
        <v>#DIV/0!</v>
      </c>
      <c r="AV80" s="17" t="e">
        <f t="shared" si="246"/>
        <v>#DIV/0!</v>
      </c>
      <c r="AW80" s="17" t="e">
        <f t="shared" si="246"/>
        <v>#DIV/0!</v>
      </c>
      <c r="AX80" s="17" t="e">
        <f t="shared" si="246"/>
        <v>#DIV/0!</v>
      </c>
      <c r="AY80" s="17" t="e">
        <f t="shared" si="246"/>
        <v>#DIV/0!</v>
      </c>
      <c r="AZ80" s="17" t="e">
        <f t="shared" si="246"/>
        <v>#DIV/0!</v>
      </c>
      <c r="BA80" s="17" t="e">
        <f t="shared" si="246"/>
        <v>#DIV/0!</v>
      </c>
      <c r="BB80" s="17" t="e">
        <f t="shared" si="246"/>
        <v>#DIV/0!</v>
      </c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6"/>
      <c r="BP80" s="13"/>
      <c r="BQ80" s="13"/>
      <c r="BR80" s="13"/>
      <c r="BS80" s="13"/>
      <c r="BT80" s="13"/>
      <c r="BU80" s="13"/>
      <c r="BV80" s="17">
        <f t="shared" ref="BV80:CE80" si="247">BV69/BV47</f>
        <v>7.1096577821651866E-2</v>
      </c>
      <c r="BW80" s="17">
        <f t="shared" si="247"/>
        <v>5.9616729348175308E-2</v>
      </c>
      <c r="BX80" s="17">
        <f t="shared" si="247"/>
        <v>3.5616074981210485E-2</v>
      </c>
      <c r="BY80" s="17">
        <f t="shared" si="247"/>
        <v>5.7254209018322337E-2</v>
      </c>
      <c r="BZ80" s="17">
        <f t="shared" si="247"/>
        <v>0</v>
      </c>
      <c r="CA80" s="17" t="e">
        <f t="shared" si="247"/>
        <v>#DIV/0!</v>
      </c>
      <c r="CB80" s="17" t="e">
        <f t="shared" si="247"/>
        <v>#DIV/0!</v>
      </c>
      <c r="CC80" s="77" t="e">
        <f t="shared" si="247"/>
        <v>#DIV/0!</v>
      </c>
      <c r="CD80" s="17" t="e">
        <f t="shared" si="247"/>
        <v>#DIV/0!</v>
      </c>
      <c r="CE80" s="17" t="e">
        <f t="shared" si="247"/>
        <v>#DIV/0!</v>
      </c>
    </row>
    <row r="81" spans="2:83" collapsed="1" x14ac:dyDescent="0.15">
      <c r="B81" s="1" t="str">
        <f t="shared" si="240"/>
        <v>Technology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>
        <f t="shared" ref="AQ81:BB81" si="248">AQ70/AQ48</f>
        <v>6.3934114062648761E-2</v>
      </c>
      <c r="AR81" s="17">
        <f t="shared" si="248"/>
        <v>8.6958475642638866E-2</v>
      </c>
      <c r="AS81" s="17">
        <f t="shared" si="248"/>
        <v>7.583558774762196E-2</v>
      </c>
      <c r="AT81" s="17">
        <f t="shared" si="248"/>
        <v>5.3444036919108463E-2</v>
      </c>
      <c r="AU81" s="17">
        <f t="shared" si="248"/>
        <v>3.1809228448095216E-2</v>
      </c>
      <c r="AV81" s="17">
        <f t="shared" si="248"/>
        <v>7.6465523988416689E-2</v>
      </c>
      <c r="AW81" s="17">
        <f t="shared" si="248"/>
        <v>8.3326971524543852E-2</v>
      </c>
      <c r="AX81" s="17">
        <f t="shared" si="248"/>
        <v>7.5989091044943405E-2</v>
      </c>
      <c r="AY81" s="17">
        <f t="shared" si="248"/>
        <v>4.4234952864394488E-2</v>
      </c>
      <c r="AZ81" s="17">
        <f t="shared" si="248"/>
        <v>8.1551832901100435E-2</v>
      </c>
      <c r="BA81" s="17">
        <f t="shared" si="248"/>
        <v>9.5550790672741887E-2</v>
      </c>
      <c r="BB81" s="17">
        <f t="shared" si="248"/>
        <v>7.6422548303565499E-2</v>
      </c>
      <c r="BC81" s="49">
        <f>AY81+0.2%</f>
        <v>4.6234952864394489E-2</v>
      </c>
      <c r="BD81" s="49">
        <f t="shared" ref="BD81" si="249">AZ81+0.2%</f>
        <v>8.3551832901100437E-2</v>
      </c>
      <c r="BE81" s="49">
        <f t="shared" ref="BE81" si="250">BA81+0.2%</f>
        <v>9.7550790672741888E-2</v>
      </c>
      <c r="BF81" s="49">
        <f t="shared" ref="BF81" si="251">BB81+0.2%</f>
        <v>7.8422548303565501E-2</v>
      </c>
      <c r="BG81" s="49">
        <f>BC81+0.5%</f>
        <v>5.1234952864394487E-2</v>
      </c>
      <c r="BH81" s="49">
        <f t="shared" ref="BH81:BN82" si="252">BD81+0.5%</f>
        <v>8.8551832901100441E-2</v>
      </c>
      <c r="BI81" s="49">
        <f t="shared" si="252"/>
        <v>0.10255079067274189</v>
      </c>
      <c r="BJ81" s="49">
        <f t="shared" si="252"/>
        <v>8.3422548303565505E-2</v>
      </c>
      <c r="BK81" s="49">
        <f t="shared" si="252"/>
        <v>5.6234952864394484E-2</v>
      </c>
      <c r="BL81" s="49">
        <f t="shared" si="252"/>
        <v>9.3551832901100446E-2</v>
      </c>
      <c r="BM81" s="49">
        <f t="shared" si="252"/>
        <v>0.1075507906727419</v>
      </c>
      <c r="BN81" s="49">
        <f t="shared" si="252"/>
        <v>8.842254830356551E-2</v>
      </c>
      <c r="BO81" s="36"/>
      <c r="BP81" s="13"/>
      <c r="BQ81" s="13"/>
      <c r="BR81" s="13"/>
      <c r="BS81" s="13"/>
      <c r="BT81" s="13"/>
      <c r="BU81" s="13"/>
      <c r="BV81" s="17" t="e">
        <f t="shared" ref="BV81:CE81" si="253">BV70/BV48</f>
        <v>#DIV/0!</v>
      </c>
      <c r="BW81" s="17" t="e">
        <f t="shared" si="253"/>
        <v>#DIV/0!</v>
      </c>
      <c r="BX81" s="17" t="e">
        <f t="shared" si="253"/>
        <v>#DIV/0!</v>
      </c>
      <c r="BY81" s="17" t="e">
        <f t="shared" si="253"/>
        <v>#DIV/0!</v>
      </c>
      <c r="BZ81" s="17" t="e">
        <f t="shared" si="253"/>
        <v>#DIV/0!</v>
      </c>
      <c r="CA81" s="17">
        <f t="shared" si="253"/>
        <v>6.7689001758155884E-2</v>
      </c>
      <c r="CB81" s="17">
        <f t="shared" si="253"/>
        <v>7.5323656335817973E-2</v>
      </c>
      <c r="CC81" s="77">
        <f t="shared" si="253"/>
        <v>7.7323656335817961E-2</v>
      </c>
      <c r="CD81" s="17">
        <f t="shared" si="253"/>
        <v>8.2323656335817966E-2</v>
      </c>
      <c r="CE81" s="17">
        <f t="shared" si="253"/>
        <v>8.732365633581797E-2</v>
      </c>
    </row>
    <row r="82" spans="2:83" x14ac:dyDescent="0.15">
      <c r="B82" s="1" t="str">
        <f t="shared" si="240"/>
        <v>BPO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>
        <f t="shared" ref="AQ82:BB82" si="254">AQ71/AQ49</f>
        <v>0.14986492250817574</v>
      </c>
      <c r="AR82" s="17">
        <f t="shared" si="254"/>
        <v>0.15958660260620097</v>
      </c>
      <c r="AS82" s="17">
        <f t="shared" si="254"/>
        <v>0.17535252453050881</v>
      </c>
      <c r="AT82" s="17">
        <f t="shared" si="254"/>
        <v>0.12299958965941732</v>
      </c>
      <c r="AU82" s="17">
        <f t="shared" si="254"/>
        <v>6.2481146304675717E-2</v>
      </c>
      <c r="AV82" s="17">
        <f t="shared" si="254"/>
        <v>7.5026251946264985E-2</v>
      </c>
      <c r="AW82" s="17">
        <f t="shared" si="254"/>
        <v>8.2882948238964055E-2</v>
      </c>
      <c r="AX82" s="17">
        <f t="shared" si="254"/>
        <v>9.9453401629481936E-2</v>
      </c>
      <c r="AY82" s="17">
        <f t="shared" si="254"/>
        <v>3.5192660550458714E-2</v>
      </c>
      <c r="AZ82" s="17">
        <f t="shared" si="254"/>
        <v>5.3505467578539294E-2</v>
      </c>
      <c r="BA82" s="17">
        <f t="shared" si="254"/>
        <v>7.8220433092726263E-2</v>
      </c>
      <c r="BB82" s="17">
        <f t="shared" si="254"/>
        <v>5.8863528855250709E-2</v>
      </c>
      <c r="BC82" s="49">
        <f>AY82+1.1%</f>
        <v>4.6192660550458717E-2</v>
      </c>
      <c r="BD82" s="49">
        <f t="shared" ref="BD82:BF82" si="255">AZ82+1.1%</f>
        <v>6.4505467578539297E-2</v>
      </c>
      <c r="BE82" s="49">
        <f t="shared" si="255"/>
        <v>8.9220433092726259E-2</v>
      </c>
      <c r="BF82" s="49">
        <f t="shared" si="255"/>
        <v>6.9863528855250712E-2</v>
      </c>
      <c r="BG82" s="49">
        <f>BC82+0.5%</f>
        <v>5.1192660550458714E-2</v>
      </c>
      <c r="BH82" s="49">
        <f t="shared" si="252"/>
        <v>6.9505467578539301E-2</v>
      </c>
      <c r="BI82" s="49">
        <f t="shared" si="252"/>
        <v>9.4220433092726263E-2</v>
      </c>
      <c r="BJ82" s="49">
        <f t="shared" si="252"/>
        <v>7.4863528855250716E-2</v>
      </c>
      <c r="BK82" s="49">
        <f t="shared" si="252"/>
        <v>5.6192660550458712E-2</v>
      </c>
      <c r="BL82" s="49">
        <f t="shared" si="252"/>
        <v>7.4505467578539306E-2</v>
      </c>
      <c r="BM82" s="49">
        <f t="shared" si="252"/>
        <v>9.9220433092726268E-2</v>
      </c>
      <c r="BN82" s="49">
        <f t="shared" si="252"/>
        <v>7.9863528855250721E-2</v>
      </c>
      <c r="BO82" s="36"/>
      <c r="BP82" s="13"/>
      <c r="BQ82" s="13"/>
      <c r="BR82" s="13"/>
      <c r="BS82" s="13"/>
      <c r="BT82" s="13"/>
      <c r="BU82" s="13"/>
      <c r="BV82" s="17" t="e">
        <f t="shared" ref="BV82:CE82" si="256">BV71/BV49</f>
        <v>#DIV/0!</v>
      </c>
      <c r="BW82" s="17" t="e">
        <f t="shared" si="256"/>
        <v>#DIV/0!</v>
      </c>
      <c r="BX82" s="17" t="e">
        <f t="shared" si="256"/>
        <v>#DIV/0!</v>
      </c>
      <c r="BY82" s="17" t="e">
        <f t="shared" si="256"/>
        <v>#DIV/0!</v>
      </c>
      <c r="BZ82" s="17" t="e">
        <f t="shared" si="256"/>
        <v>#DIV/0!</v>
      </c>
      <c r="CA82" s="17">
        <f t="shared" si="256"/>
        <v>8.0391714427546376E-2</v>
      </c>
      <c r="CB82" s="17">
        <f t="shared" si="256"/>
        <v>5.6869652742828382E-2</v>
      </c>
      <c r="CC82" s="77">
        <f t="shared" si="256"/>
        <v>6.7800989348350937E-2</v>
      </c>
      <c r="CD82" s="17">
        <f t="shared" si="256"/>
        <v>7.2800989348350928E-2</v>
      </c>
      <c r="CE82" s="17">
        <f t="shared" si="256"/>
        <v>7.7800989348350946E-2</v>
      </c>
    </row>
    <row r="83" spans="2:83" hidden="1" outlineLevel="1" x14ac:dyDescent="0.15">
      <c r="B83" s="48" t="str">
        <f t="shared" si="240"/>
        <v xml:space="preserve">Solution 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17">
        <f t="shared" ref="AA83:AP83" si="257">AA72/AA50</f>
        <v>0.22325581395348837</v>
      </c>
      <c r="AB83" s="17">
        <f t="shared" si="257"/>
        <v>0</v>
      </c>
      <c r="AC83" s="17">
        <f t="shared" si="257"/>
        <v>-3.6960985626283367E-2</v>
      </c>
      <c r="AD83" s="17">
        <f t="shared" si="257"/>
        <v>-0.2384937238493724</v>
      </c>
      <c r="AE83" s="17">
        <f t="shared" si="257"/>
        <v>-0.22131754256106587</v>
      </c>
      <c r="AF83" s="17">
        <f t="shared" si="257"/>
        <v>-9.526401741970604E-2</v>
      </c>
      <c r="AG83" s="17">
        <f t="shared" si="257"/>
        <v>-0.20258620689655171</v>
      </c>
      <c r="AH83" s="17">
        <f t="shared" si="257"/>
        <v>-0.39044229791560753</v>
      </c>
      <c r="AI83" s="17">
        <f t="shared" si="257"/>
        <v>-1.509453781512605</v>
      </c>
      <c r="AJ83" s="17">
        <f t="shared" si="257"/>
        <v>-1.0177705977382876</v>
      </c>
      <c r="AK83" s="17">
        <f t="shared" si="257"/>
        <v>-0.68738229755178903</v>
      </c>
      <c r="AL83" s="17">
        <f t="shared" si="257"/>
        <v>-0.52996352266805624</v>
      </c>
      <c r="AM83" s="17">
        <f t="shared" si="257"/>
        <v>-0.40486015589179275</v>
      </c>
      <c r="AN83" s="17">
        <f t="shared" si="257"/>
        <v>-0.24585436193222782</v>
      </c>
      <c r="AO83" s="17">
        <f t="shared" si="257"/>
        <v>-0.23870532703978423</v>
      </c>
      <c r="AP83" s="17">
        <f t="shared" si="257"/>
        <v>-0.24168719211822659</v>
      </c>
      <c r="AQ83" s="17" t="e">
        <f t="shared" ref="AQ83:BB83" si="258">AQ72/AQ50</f>
        <v>#DIV/0!</v>
      </c>
      <c r="AR83" s="17" t="e">
        <f t="shared" si="258"/>
        <v>#DIV/0!</v>
      </c>
      <c r="AS83" s="17" t="e">
        <f t="shared" si="258"/>
        <v>#DIV/0!</v>
      </c>
      <c r="AT83" s="17" t="e">
        <f t="shared" si="258"/>
        <v>#DIV/0!</v>
      </c>
      <c r="AU83" s="17" t="e">
        <f t="shared" si="258"/>
        <v>#DIV/0!</v>
      </c>
      <c r="AV83" s="17" t="e">
        <f t="shared" si="258"/>
        <v>#DIV/0!</v>
      </c>
      <c r="AW83" s="17" t="e">
        <f t="shared" si="258"/>
        <v>#DIV/0!</v>
      </c>
      <c r="AX83" s="17" t="e">
        <f t="shared" si="258"/>
        <v>#DIV/0!</v>
      </c>
      <c r="AY83" s="17" t="e">
        <f t="shared" si="258"/>
        <v>#DIV/0!</v>
      </c>
      <c r="AZ83" s="17" t="e">
        <f t="shared" si="258"/>
        <v>#DIV/0!</v>
      </c>
      <c r="BA83" s="17" t="e">
        <f t="shared" si="258"/>
        <v>#DIV/0!</v>
      </c>
      <c r="BB83" s="17" t="e">
        <f t="shared" si="258"/>
        <v>#DIV/0!</v>
      </c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36"/>
      <c r="BP83" s="13"/>
      <c r="BQ83" s="13"/>
      <c r="BR83" s="13"/>
      <c r="BS83" s="13"/>
      <c r="BT83" s="13"/>
      <c r="BU83" s="13"/>
      <c r="BV83" s="17">
        <f t="shared" ref="BV83:CE83" si="259">BV72/BV50</f>
        <v>-2.037351443123939E-2</v>
      </c>
      <c r="BW83" s="17">
        <f t="shared" si="259"/>
        <v>-0.2307802025388675</v>
      </c>
      <c r="BX83" s="17">
        <f t="shared" si="259"/>
        <v>-0.84338828481234651</v>
      </c>
      <c r="BY83" s="17">
        <f t="shared" si="259"/>
        <v>-0.27379353567911185</v>
      </c>
      <c r="BZ83" s="17" t="e">
        <f t="shared" si="259"/>
        <v>#DIV/0!</v>
      </c>
      <c r="CA83" s="17" t="e">
        <f t="shared" si="259"/>
        <v>#DIV/0!</v>
      </c>
      <c r="CB83" s="17" t="e">
        <f t="shared" si="259"/>
        <v>#DIV/0!</v>
      </c>
      <c r="CC83" s="77" t="e">
        <f t="shared" si="259"/>
        <v>#DIV/0!</v>
      </c>
      <c r="CD83" s="17" t="e">
        <f t="shared" si="259"/>
        <v>#DIV/0!</v>
      </c>
      <c r="CE83" s="17" t="e">
        <f t="shared" si="259"/>
        <v>#DIV/0!</v>
      </c>
    </row>
    <row r="84" spans="2:83" collapsed="1" x14ac:dyDescent="0.15">
      <c r="B84" s="1" t="str">
        <f t="shared" si="240"/>
        <v>Career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17">
        <f t="shared" ref="AA84:AP84" si="260">AA73/AA51</f>
        <v>0.20363583759282478</v>
      </c>
      <c r="AB84" s="17">
        <f t="shared" si="260"/>
        <v>0.16435994680589075</v>
      </c>
      <c r="AC84" s="17">
        <f t="shared" si="260"/>
        <v>0.15136511529212052</v>
      </c>
      <c r="AD84" s="17">
        <f t="shared" si="260"/>
        <v>0.20290961530304957</v>
      </c>
      <c r="AE84" s="17">
        <f t="shared" si="260"/>
        <v>0.19971124039237334</v>
      </c>
      <c r="AF84" s="17">
        <f t="shared" si="260"/>
        <v>0.19735837189451458</v>
      </c>
      <c r="AG84" s="17">
        <f t="shared" si="260"/>
        <v>7.0166721872584742E-2</v>
      </c>
      <c r="AH84" s="17">
        <f t="shared" si="260"/>
        <v>0.14851992215507528</v>
      </c>
      <c r="AI84" s="17">
        <f t="shared" si="260"/>
        <v>8.9439591133297677E-2</v>
      </c>
      <c r="AJ84" s="17">
        <f t="shared" si="260"/>
        <v>-0.10606765983860957</v>
      </c>
      <c r="AK84" s="17">
        <f t="shared" si="260"/>
        <v>-3.4277307833762413E-2</v>
      </c>
      <c r="AL84" s="17">
        <f t="shared" si="260"/>
        <v>4.0533891007504E-2</v>
      </c>
      <c r="AM84" s="17">
        <f t="shared" si="260"/>
        <v>0.11720259061470288</v>
      </c>
      <c r="AN84" s="17">
        <f t="shared" si="260"/>
        <v>6.5167243367935404E-2</v>
      </c>
      <c r="AO84" s="17">
        <f t="shared" si="260"/>
        <v>0.10480162549459951</v>
      </c>
      <c r="AP84" s="17">
        <f t="shared" si="260"/>
        <v>9.7573376473307147E-2</v>
      </c>
      <c r="AQ84" s="17">
        <f t="shared" ref="AQ84:BB84" si="261">AQ73/AQ51</f>
        <v>0.2426646830316555</v>
      </c>
      <c r="AR84" s="17">
        <f t="shared" si="261"/>
        <v>0.19576230299131553</v>
      </c>
      <c r="AS84" s="17">
        <f t="shared" si="261"/>
        <v>0.17602708108939838</v>
      </c>
      <c r="AT84" s="17">
        <f t="shared" si="261"/>
        <v>0.16408163265306122</v>
      </c>
      <c r="AU84" s="17">
        <f t="shared" si="261"/>
        <v>0.20829415083693811</v>
      </c>
      <c r="AV84" s="17">
        <f t="shared" si="261"/>
        <v>0.1666772533824557</v>
      </c>
      <c r="AW84" s="17">
        <f t="shared" si="261"/>
        <v>0.18008282645269832</v>
      </c>
      <c r="AX84" s="17">
        <f t="shared" si="261"/>
        <v>0.22190184771095681</v>
      </c>
      <c r="AY84" s="17">
        <f t="shared" si="261"/>
        <v>0.25588060347158387</v>
      </c>
      <c r="AZ84" s="17">
        <f t="shared" si="261"/>
        <v>0.20455748391230466</v>
      </c>
      <c r="BA84" s="17">
        <f t="shared" si="261"/>
        <v>0.19663655639141422</v>
      </c>
      <c r="BB84" s="17">
        <f t="shared" si="261"/>
        <v>0.18193019580531969</v>
      </c>
      <c r="BC84" s="49">
        <f>AU84+1%</f>
        <v>0.21829415083693812</v>
      </c>
      <c r="BD84" s="49">
        <f t="shared" ref="BD84:BF84" si="262">AV84+1%</f>
        <v>0.17667725338245571</v>
      </c>
      <c r="BE84" s="49">
        <f t="shared" si="262"/>
        <v>0.19008282645269833</v>
      </c>
      <c r="BF84" s="49">
        <f t="shared" si="262"/>
        <v>0.23190184771095682</v>
      </c>
      <c r="BG84" s="49">
        <f>BC84+0.5%</f>
        <v>0.22329415083693813</v>
      </c>
      <c r="BH84" s="49">
        <f t="shared" ref="BH84:BN84" si="263">BD84+0.5%</f>
        <v>0.18167725338245572</v>
      </c>
      <c r="BI84" s="49">
        <f t="shared" si="263"/>
        <v>0.19508282645269834</v>
      </c>
      <c r="BJ84" s="49">
        <f t="shared" si="263"/>
        <v>0.23690184771095682</v>
      </c>
      <c r="BK84" s="49">
        <f t="shared" si="263"/>
        <v>0.22829415083693813</v>
      </c>
      <c r="BL84" s="49">
        <f t="shared" si="263"/>
        <v>0.18667725338245572</v>
      </c>
      <c r="BM84" s="49">
        <f t="shared" si="263"/>
        <v>0.20008282645269834</v>
      </c>
      <c r="BN84" s="49">
        <f t="shared" si="263"/>
        <v>0.24190184771095682</v>
      </c>
      <c r="BO84" s="36"/>
      <c r="BP84" s="13"/>
      <c r="BQ84" s="13"/>
      <c r="BR84" s="13"/>
      <c r="BS84" s="13"/>
      <c r="BT84" s="13"/>
      <c r="BU84" s="13"/>
      <c r="BV84" s="17">
        <f t="shared" ref="BV84:CE84" si="264">BV73/BV51</f>
        <v>0.18122924555782116</v>
      </c>
      <c r="BW84" s="17">
        <f t="shared" si="264"/>
        <v>0.1589852363148308</v>
      </c>
      <c r="BX84" s="17">
        <f t="shared" si="264"/>
        <v>5.5566747246843943E-3</v>
      </c>
      <c r="BY84" s="17">
        <f t="shared" si="264"/>
        <v>9.6494374261082108E-2</v>
      </c>
      <c r="BZ84" s="17">
        <f t="shared" si="264"/>
        <v>0.19279957115233665</v>
      </c>
      <c r="CA84" s="17">
        <f t="shared" si="264"/>
        <v>0.19488790496086808</v>
      </c>
      <c r="CB84" s="17">
        <f t="shared" si="264"/>
        <v>0.20995540806802862</v>
      </c>
      <c r="CC84" s="77">
        <f t="shared" si="264"/>
        <v>0.20476313830452558</v>
      </c>
      <c r="CD84" s="17">
        <f t="shared" si="264"/>
        <v>0.20976313830452564</v>
      </c>
      <c r="CE84" s="17">
        <f t="shared" si="264"/>
        <v>0.21476313830452565</v>
      </c>
    </row>
    <row r="85" spans="2:83" x14ac:dyDescent="0.15">
      <c r="B85" s="1" t="str">
        <f t="shared" ref="B85" si="265">B74</f>
        <v>APAC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17">
        <f t="shared" ref="AA85:AP85" si="266">AA74/AA52</f>
        <v>2.2981818181818181E-3</v>
      </c>
      <c r="AB85" s="17">
        <f t="shared" si="266"/>
        <v>5.9711323672604387E-3</v>
      </c>
      <c r="AC85" s="17">
        <f t="shared" si="266"/>
        <v>4.5135479711015695E-3</v>
      </c>
      <c r="AD85" s="17">
        <f t="shared" si="266"/>
        <v>7.1372039120357281E-3</v>
      </c>
      <c r="AE85" s="17">
        <f t="shared" si="266"/>
        <v>-2.3279412642511787E-3</v>
      </c>
      <c r="AF85" s="17">
        <f t="shared" si="266"/>
        <v>-1.8107610945044838E-3</v>
      </c>
      <c r="AG85" s="17">
        <f t="shared" si="266"/>
        <v>-8.6805555555555559E-3</v>
      </c>
      <c r="AH85" s="17">
        <f t="shared" si="266"/>
        <v>6.4059770180247997E-3</v>
      </c>
      <c r="AI85" s="17">
        <f t="shared" si="266"/>
        <v>-4.8196423158532887E-3</v>
      </c>
      <c r="AJ85" s="17">
        <f t="shared" si="266"/>
        <v>-1.2661031967827687E-2</v>
      </c>
      <c r="AK85" s="17">
        <f t="shared" si="266"/>
        <v>-5.5534093104114349E-3</v>
      </c>
      <c r="AL85" s="17">
        <f t="shared" si="266"/>
        <v>-1.2821107657093368E-2</v>
      </c>
      <c r="AM85" s="17">
        <f t="shared" si="266"/>
        <v>-2.436632692479125E-3</v>
      </c>
      <c r="AN85" s="17">
        <f t="shared" si="266"/>
        <v>6.1861505700962294E-3</v>
      </c>
      <c r="AO85" s="17">
        <f t="shared" si="266"/>
        <v>1.2643468243822261E-4</v>
      </c>
      <c r="AP85" s="17">
        <f t="shared" si="266"/>
        <v>9.5286051826315998E-3</v>
      </c>
      <c r="AQ85" s="17">
        <f t="shared" ref="AQ85:BB85" si="267">AQ74/AQ52</f>
        <v>2.292019469384712E-2</v>
      </c>
      <c r="AR85" s="17">
        <f t="shared" si="267"/>
        <v>2.542988369357297E-2</v>
      </c>
      <c r="AS85" s="17">
        <f t="shared" si="267"/>
        <v>3.2260668624304989E-2</v>
      </c>
      <c r="AT85" s="17">
        <f t="shared" si="267"/>
        <v>-1.8398494668618022E-3</v>
      </c>
      <c r="AU85" s="17">
        <f t="shared" si="267"/>
        <v>2.5374258084072399E-2</v>
      </c>
      <c r="AV85" s="17">
        <f t="shared" si="267"/>
        <v>2.7250034669255303E-2</v>
      </c>
      <c r="AW85" s="17">
        <f t="shared" si="267"/>
        <v>2.1105193075898802E-2</v>
      </c>
      <c r="AX85" s="17">
        <f t="shared" si="267"/>
        <v>2.1703525625676439E-2</v>
      </c>
      <c r="AY85" s="17">
        <f t="shared" si="267"/>
        <v>2.7691360694737894E-2</v>
      </c>
      <c r="AZ85" s="17">
        <f t="shared" si="267"/>
        <v>3.1987092478295384E-2</v>
      </c>
      <c r="BA85" s="17">
        <f t="shared" si="267"/>
        <v>2.5001848641453935E-2</v>
      </c>
      <c r="BB85" s="17">
        <f t="shared" si="267"/>
        <v>1.3543188673280186E-2</v>
      </c>
      <c r="BC85" s="49">
        <f>AY85</f>
        <v>2.7691360694737894E-2</v>
      </c>
      <c r="BD85" s="49">
        <f t="shared" ref="BD85:BJ85" si="268">AZ85</f>
        <v>3.1987092478295384E-2</v>
      </c>
      <c r="BE85" s="49">
        <f t="shared" si="268"/>
        <v>2.5001848641453935E-2</v>
      </c>
      <c r="BF85" s="49">
        <f t="shared" si="268"/>
        <v>1.3543188673280186E-2</v>
      </c>
      <c r="BG85" s="49">
        <f t="shared" si="268"/>
        <v>2.7691360694737894E-2</v>
      </c>
      <c r="BH85" s="49">
        <f t="shared" si="268"/>
        <v>3.1987092478295384E-2</v>
      </c>
      <c r="BI85" s="49">
        <f t="shared" si="268"/>
        <v>2.5001848641453935E-2</v>
      </c>
      <c r="BJ85" s="49">
        <f t="shared" si="268"/>
        <v>1.3543188673280186E-2</v>
      </c>
      <c r="BK85" s="49">
        <f>BG85</f>
        <v>2.7691360694737894E-2</v>
      </c>
      <c r="BL85" s="49">
        <f t="shared" ref="BL85:BN85" si="269">BH85</f>
        <v>3.1987092478295384E-2</v>
      </c>
      <c r="BM85" s="49">
        <f t="shared" si="269"/>
        <v>2.5001848641453935E-2</v>
      </c>
      <c r="BN85" s="49">
        <f t="shared" si="269"/>
        <v>1.3543188673280186E-2</v>
      </c>
      <c r="BO85" s="36"/>
      <c r="BP85" s="13">
        <f t="shared" ref="BP85:BU85" si="270">SUMIF($C$5:$BO$5,BP$3,$C85:$BO85)</f>
        <v>0</v>
      </c>
      <c r="BQ85" s="13">
        <f t="shared" si="270"/>
        <v>0</v>
      </c>
      <c r="BR85" s="13">
        <f t="shared" si="270"/>
        <v>0</v>
      </c>
      <c r="BS85" s="13">
        <f t="shared" si="270"/>
        <v>0</v>
      </c>
      <c r="BT85" s="13">
        <f t="shared" si="270"/>
        <v>0</v>
      </c>
      <c r="BU85" s="13">
        <f t="shared" si="270"/>
        <v>0</v>
      </c>
      <c r="BV85" s="17">
        <f t="shared" ref="BV85:CE85" si="271">BV74/BV52</f>
        <v>5.0003422424445476E-3</v>
      </c>
      <c r="BW85" s="17">
        <f t="shared" si="271"/>
        <v>-1.4858786630019872E-3</v>
      </c>
      <c r="BX85" s="17">
        <f t="shared" si="271"/>
        <v>-8.8885530549181347E-3</v>
      </c>
      <c r="BY85" s="17">
        <f t="shared" si="271"/>
        <v>3.591394439887226E-3</v>
      </c>
      <c r="BZ85" s="17">
        <f t="shared" si="271"/>
        <v>1.9820966902944808E-2</v>
      </c>
      <c r="CA85" s="17">
        <f t="shared" si="271"/>
        <v>2.3817137873391962E-2</v>
      </c>
      <c r="CB85" s="17">
        <f t="shared" si="271"/>
        <v>2.458291588164746E-2</v>
      </c>
      <c r="CC85" s="77">
        <f t="shared" si="271"/>
        <v>2.458291588164746E-2</v>
      </c>
      <c r="CD85" s="17">
        <f t="shared" si="271"/>
        <v>2.458291588164746E-2</v>
      </c>
      <c r="CE85" s="17">
        <f t="shared" si="271"/>
        <v>2.458291588164746E-2</v>
      </c>
    </row>
    <row r="86" spans="2:83" x14ac:dyDescent="0.15">
      <c r="CC86" s="74"/>
    </row>
    <row r="87" spans="2:83" x14ac:dyDescent="0.15">
      <c r="B87" s="33" t="s">
        <v>24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87"/>
      <c r="CD87" s="34"/>
      <c r="CE87" s="34"/>
    </row>
    <row r="88" spans="2:83" x14ac:dyDescent="0.15">
      <c r="CC88" s="74"/>
    </row>
    <row r="89" spans="2:83" x14ac:dyDescent="0.15">
      <c r="B89" s="1" t="s">
        <v>64</v>
      </c>
      <c r="BP89" s="27">
        <v>44225</v>
      </c>
      <c r="BQ89" s="27">
        <v>36292</v>
      </c>
      <c r="BR89" s="27">
        <v>60645</v>
      </c>
      <c r="BS89" s="27">
        <v>51227</v>
      </c>
      <c r="BT89" s="27">
        <v>69439</v>
      </c>
      <c r="BU89" s="27">
        <v>89624</v>
      </c>
      <c r="BV89" s="27">
        <v>69029</v>
      </c>
      <c r="BW89" s="27">
        <v>78247</v>
      </c>
      <c r="BX89" s="27">
        <v>83161</v>
      </c>
      <c r="BY89" s="27">
        <v>107545</v>
      </c>
      <c r="BZ89" s="27">
        <v>101233</v>
      </c>
      <c r="CA89" s="27">
        <v>108369</v>
      </c>
      <c r="CB89" s="27">
        <v>82818</v>
      </c>
      <c r="CC89" s="88">
        <f>CB89+CC155</f>
        <v>89229.913159050484</v>
      </c>
      <c r="CD89" s="12">
        <f t="shared" ref="CD89:CE89" si="272">CC89+CD155</f>
        <v>98770.353965827875</v>
      </c>
      <c r="CE89" s="12">
        <f t="shared" si="272"/>
        <v>112155.3940367748</v>
      </c>
    </row>
    <row r="90" spans="2:83" x14ac:dyDescent="0.15">
      <c r="B90" s="1" t="s">
        <v>65</v>
      </c>
      <c r="BP90" s="27">
        <v>31997</v>
      </c>
      <c r="BQ90" s="27">
        <v>44046</v>
      </c>
      <c r="BR90" s="27">
        <v>60149</v>
      </c>
      <c r="BS90" s="27">
        <v>69524</v>
      </c>
      <c r="BT90" s="27">
        <v>83260</v>
      </c>
      <c r="BU90" s="27">
        <v>120254</v>
      </c>
      <c r="BV90" s="27">
        <v>122908</v>
      </c>
      <c r="BW90" s="27">
        <v>128571</v>
      </c>
      <c r="BX90" s="27">
        <v>133047</v>
      </c>
      <c r="BY90" s="27">
        <v>150173</v>
      </c>
      <c r="BZ90" s="27">
        <v>162853</v>
      </c>
      <c r="CA90" s="27">
        <v>169008</v>
      </c>
      <c r="CB90" s="27">
        <v>179794</v>
      </c>
      <c r="CC90" s="88">
        <f>CC122*CC6/365</f>
        <v>190296.61475243894</v>
      </c>
      <c r="CD90" s="12">
        <f>CD122*CD6/365</f>
        <v>199489.90574591004</v>
      </c>
      <c r="CE90" s="12">
        <f>CE122*CE6/365</f>
        <v>209115.25503968922</v>
      </c>
    </row>
    <row r="91" spans="2:83" x14ac:dyDescent="0.15">
      <c r="B91" s="1" t="s">
        <v>17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6"/>
      <c r="BP91" s="27">
        <v>4384</v>
      </c>
      <c r="BQ91" s="27">
        <v>7125</v>
      </c>
      <c r="BR91" s="27">
        <v>9902</v>
      </c>
      <c r="BS91" s="27">
        <v>9860</v>
      </c>
      <c r="BT91" s="27">
        <v>12541</v>
      </c>
      <c r="BU91" s="27">
        <v>20674</v>
      </c>
      <c r="BV91" s="27">
        <v>17908</v>
      </c>
      <c r="BW91" s="27">
        <v>16731</v>
      </c>
      <c r="BX91" s="27">
        <v>20735</v>
      </c>
      <c r="BY91" s="27">
        <v>29179</v>
      </c>
      <c r="BZ91" s="27">
        <v>37359</v>
      </c>
      <c r="CA91" s="27">
        <v>35313</v>
      </c>
      <c r="CB91" s="27">
        <v>37362</v>
      </c>
      <c r="CC91" s="89">
        <f>CB91</f>
        <v>37362</v>
      </c>
      <c r="CD91" s="30">
        <f t="shared" ref="CD91:CE91" si="273">CC91</f>
        <v>37362</v>
      </c>
      <c r="CE91" s="30">
        <f t="shared" si="273"/>
        <v>37362</v>
      </c>
    </row>
    <row r="92" spans="2:83" x14ac:dyDescent="0.15">
      <c r="B92" s="1" t="s">
        <v>66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6"/>
      <c r="BP92" s="50">
        <v>80606</v>
      </c>
      <c r="BQ92" s="50">
        <v>87463</v>
      </c>
      <c r="BR92" s="50">
        <v>130696</v>
      </c>
      <c r="BS92" s="50">
        <v>130611</v>
      </c>
      <c r="BT92" s="50">
        <v>165240</v>
      </c>
      <c r="BU92" s="50">
        <v>230552</v>
      </c>
      <c r="BV92" s="50">
        <v>209845</v>
      </c>
      <c r="BW92" s="50">
        <v>223549</v>
      </c>
      <c r="BX92" s="50">
        <v>236943</v>
      </c>
      <c r="BY92" s="50">
        <v>286897</v>
      </c>
      <c r="BZ92" s="50">
        <v>301445</v>
      </c>
      <c r="CA92" s="50">
        <v>312690</v>
      </c>
      <c r="CB92" s="50">
        <v>299974</v>
      </c>
      <c r="CC92" s="90">
        <f>SUM(CC89:CC91)</f>
        <v>316888.52791148942</v>
      </c>
      <c r="CD92" s="58">
        <f t="shared" ref="CD92:CE92" si="274">SUM(CD89:CD91)</f>
        <v>335622.25971173792</v>
      </c>
      <c r="CE92" s="58">
        <f t="shared" si="274"/>
        <v>358632.649076464</v>
      </c>
    </row>
    <row r="93" spans="2:83" x14ac:dyDescent="0.15"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6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27"/>
      <c r="CA93" s="27"/>
      <c r="CB93" s="27"/>
      <c r="CC93" s="88"/>
      <c r="CD93" s="12"/>
      <c r="CE93" s="12"/>
    </row>
    <row r="94" spans="2:83" x14ac:dyDescent="0.15">
      <c r="B94" s="1" t="s">
        <v>67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6"/>
      <c r="BP94" s="12">
        <v>3943</v>
      </c>
      <c r="BQ94" s="12">
        <v>3720</v>
      </c>
      <c r="BR94" s="12">
        <v>3996</v>
      </c>
      <c r="BS94" s="12">
        <v>4510</v>
      </c>
      <c r="BT94" s="12">
        <v>4840</v>
      </c>
      <c r="BU94" s="12">
        <v>7993</v>
      </c>
      <c r="BV94" s="12">
        <v>7657</v>
      </c>
      <c r="BW94" s="12">
        <v>12603</v>
      </c>
      <c r="BX94" s="12">
        <v>11988</v>
      </c>
      <c r="BY94" s="12">
        <v>13414</v>
      </c>
      <c r="BZ94" s="27">
        <v>9229</v>
      </c>
      <c r="CA94" s="27">
        <v>9575</v>
      </c>
      <c r="CB94" s="27">
        <v>10714</v>
      </c>
      <c r="CC94" s="88">
        <f>-CC138-CC159+CB94</f>
        <v>10714</v>
      </c>
      <c r="CD94" s="12">
        <f>-CD138-CD159+CC94</f>
        <v>10714</v>
      </c>
      <c r="CE94" s="12">
        <f>-CE138-CE159+CD94</f>
        <v>10714</v>
      </c>
    </row>
    <row r="95" spans="2:83" x14ac:dyDescent="0.15">
      <c r="B95" s="1" t="s">
        <v>68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6"/>
      <c r="BP95" s="12">
        <f t="shared" ref="BP95:BY96" si="275">SUMIFS($C95:$BO95,$C$5:$BO$5,BP$3,$C$3:$BO$3, "Q4")</f>
        <v>0</v>
      </c>
      <c r="BQ95" s="12">
        <f t="shared" si="275"/>
        <v>0</v>
      </c>
      <c r="BR95" s="12">
        <f t="shared" si="275"/>
        <v>0</v>
      </c>
      <c r="BS95" s="12">
        <f t="shared" si="275"/>
        <v>0</v>
      </c>
      <c r="BT95" s="12">
        <f t="shared" si="275"/>
        <v>0</v>
      </c>
      <c r="BU95" s="12">
        <f t="shared" si="275"/>
        <v>0</v>
      </c>
      <c r="BV95" s="12">
        <f t="shared" si="275"/>
        <v>0</v>
      </c>
      <c r="BW95" s="12">
        <f t="shared" si="275"/>
        <v>0</v>
      </c>
      <c r="BX95" s="12">
        <f t="shared" si="275"/>
        <v>0</v>
      </c>
      <c r="BY95" s="12">
        <f t="shared" si="275"/>
        <v>0</v>
      </c>
      <c r="BZ95" s="27">
        <v>28168</v>
      </c>
      <c r="CA95" s="27">
        <v>35973</v>
      </c>
      <c r="CB95" s="27">
        <v>49078</v>
      </c>
      <c r="CC95" s="89">
        <f>CB95</f>
        <v>49078</v>
      </c>
      <c r="CD95" s="30">
        <f t="shared" ref="CD95:CE95" si="276">CC95</f>
        <v>49078</v>
      </c>
      <c r="CE95" s="30">
        <f t="shared" si="276"/>
        <v>49078</v>
      </c>
    </row>
    <row r="96" spans="2:83" x14ac:dyDescent="0.15">
      <c r="B96" s="1" t="s">
        <v>69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6"/>
      <c r="BP96" s="12">
        <f t="shared" si="275"/>
        <v>0</v>
      </c>
      <c r="BQ96" s="12">
        <f t="shared" si="275"/>
        <v>0</v>
      </c>
      <c r="BR96" s="12">
        <f t="shared" si="275"/>
        <v>0</v>
      </c>
      <c r="BS96" s="12">
        <f t="shared" si="275"/>
        <v>0</v>
      </c>
      <c r="BT96" s="12">
        <f t="shared" si="275"/>
        <v>0</v>
      </c>
      <c r="BU96" s="12">
        <f t="shared" si="275"/>
        <v>0</v>
      </c>
      <c r="BV96" s="12">
        <f t="shared" si="275"/>
        <v>0</v>
      </c>
      <c r="BW96" s="12">
        <f t="shared" si="275"/>
        <v>0</v>
      </c>
      <c r="BX96" s="12">
        <f t="shared" si="275"/>
        <v>0</v>
      </c>
      <c r="BY96" s="12">
        <f t="shared" si="275"/>
        <v>0</v>
      </c>
      <c r="BZ96" s="27">
        <v>58465</v>
      </c>
      <c r="CA96" s="27">
        <v>59019</v>
      </c>
      <c r="CB96" s="27">
        <v>70065</v>
      </c>
      <c r="CC96" s="89">
        <f t="shared" ref="CC96:CE96" si="277">CB96</f>
        <v>70065</v>
      </c>
      <c r="CD96" s="30">
        <f t="shared" si="277"/>
        <v>70065</v>
      </c>
      <c r="CE96" s="30">
        <f t="shared" si="277"/>
        <v>70065</v>
      </c>
    </row>
    <row r="97" spans="2:83" x14ac:dyDescent="0.15">
      <c r="B97" s="1" t="s">
        <v>70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6"/>
      <c r="BP97" s="12">
        <v>2638</v>
      </c>
      <c r="BQ97" s="12">
        <v>72335</v>
      </c>
      <c r="BR97" s="12">
        <v>80803</v>
      </c>
      <c r="BS97" s="12">
        <v>86187</v>
      </c>
      <c r="BT97" s="12">
        <v>82867</v>
      </c>
      <c r="BU97" s="12">
        <v>133894</v>
      </c>
      <c r="BV97" s="12">
        <v>122372</v>
      </c>
      <c r="BW97" s="12">
        <v>104582</v>
      </c>
      <c r="BX97" s="12">
        <v>98706</v>
      </c>
      <c r="BY97" s="12">
        <v>95129</v>
      </c>
      <c r="BZ97" s="27">
        <v>35250</v>
      </c>
      <c r="CA97" s="27">
        <v>39655</v>
      </c>
      <c r="CB97" s="27">
        <v>48544</v>
      </c>
      <c r="CC97" s="88">
        <f>CB97-CC140-CC160</f>
        <v>52189.732050000006</v>
      </c>
      <c r="CD97" s="12">
        <f t="shared" ref="CD97:CE97" si="278">CC97-CD140-CD160</f>
        <v>55628.744051500005</v>
      </c>
      <c r="CE97" s="12">
        <f t="shared" si="278"/>
        <v>58780.825058955001</v>
      </c>
    </row>
    <row r="98" spans="2:83" x14ac:dyDescent="0.15">
      <c r="B98" s="1" t="s">
        <v>17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6"/>
      <c r="BP98" s="12">
        <v>10403</v>
      </c>
      <c r="BQ98" s="12">
        <v>13913</v>
      </c>
      <c r="BR98" s="12">
        <v>13167</v>
      </c>
      <c r="BS98" s="12">
        <v>14929</v>
      </c>
      <c r="BT98" s="12">
        <v>15415</v>
      </c>
      <c r="BU98" s="12">
        <v>29895</v>
      </c>
      <c r="BV98" s="12">
        <v>30964</v>
      </c>
      <c r="BW98" s="12">
        <v>30257</v>
      </c>
      <c r="BX98" s="12">
        <v>33540</v>
      </c>
      <c r="BY98" s="12">
        <v>29670</v>
      </c>
      <c r="BZ98" s="27">
        <v>56171</v>
      </c>
      <c r="CA98" s="27">
        <v>61818</v>
      </c>
      <c r="CB98" s="27">
        <v>61370</v>
      </c>
      <c r="CC98" s="89">
        <f>CB98</f>
        <v>61370</v>
      </c>
      <c r="CD98" s="30">
        <f t="shared" ref="CD98:CE98" si="279">CC98</f>
        <v>61370</v>
      </c>
      <c r="CE98" s="30">
        <f t="shared" si="279"/>
        <v>61370</v>
      </c>
    </row>
    <row r="99" spans="2:83" s="3" customFormat="1" x14ac:dyDescent="0.15">
      <c r="B99" s="1" t="s">
        <v>71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2"/>
      <c r="BP99" s="58">
        <v>97592</v>
      </c>
      <c r="BQ99" s="58">
        <v>177433</v>
      </c>
      <c r="BR99" s="58">
        <v>228663</v>
      </c>
      <c r="BS99" s="58">
        <v>236238</v>
      </c>
      <c r="BT99" s="58">
        <v>268364</v>
      </c>
      <c r="BU99" s="58">
        <v>402336</v>
      </c>
      <c r="BV99" s="58">
        <v>370839</v>
      </c>
      <c r="BW99" s="58">
        <v>370993</v>
      </c>
      <c r="BX99" s="58">
        <v>381179</v>
      </c>
      <c r="BY99" s="58">
        <v>425110</v>
      </c>
      <c r="BZ99" s="50">
        <v>488728</v>
      </c>
      <c r="CA99" s="50">
        <v>518730</v>
      </c>
      <c r="CB99" s="50">
        <v>539746</v>
      </c>
      <c r="CC99" s="90">
        <f>SUM(CC92:CC98)</f>
        <v>560305.25996148936</v>
      </c>
      <c r="CD99" s="58">
        <f t="shared" ref="CD99:CE99" si="280">SUM(CD92:CD98)</f>
        <v>582478.00376323797</v>
      </c>
      <c r="CE99" s="58">
        <f t="shared" si="280"/>
        <v>608640.474135419</v>
      </c>
    </row>
    <row r="100" spans="2:83" s="3" customFormat="1" x14ac:dyDescent="0.15">
      <c r="B100" s="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27"/>
      <c r="CA100" s="27"/>
      <c r="CB100" s="27"/>
      <c r="CC100" s="88"/>
      <c r="CD100" s="12"/>
      <c r="CE100" s="12"/>
    </row>
    <row r="101" spans="2:83" x14ac:dyDescent="0.15">
      <c r="B101" s="1" t="s">
        <v>72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6"/>
      <c r="BP101" s="12">
        <v>15301</v>
      </c>
      <c r="BQ101" s="12">
        <v>20783</v>
      </c>
      <c r="BR101" s="12">
        <v>28665</v>
      </c>
      <c r="BS101" s="12">
        <v>33152</v>
      </c>
      <c r="BT101" s="12">
        <v>47627</v>
      </c>
      <c r="BU101" s="12">
        <v>67409</v>
      </c>
      <c r="BV101" s="12">
        <v>68307</v>
      </c>
      <c r="BW101" s="12">
        <v>69266</v>
      </c>
      <c r="BX101" s="12">
        <v>73592</v>
      </c>
      <c r="BY101" s="12">
        <v>81813</v>
      </c>
      <c r="BZ101" s="27">
        <v>93688</v>
      </c>
      <c r="CA101" s="27">
        <v>95270</v>
      </c>
      <c r="CB101" s="27">
        <v>99508</v>
      </c>
      <c r="CC101" s="88">
        <f>CC123*CC10/-365</f>
        <v>106010.75428845602</v>
      </c>
      <c r="CD101" s="12">
        <f>CD123*CD10/-365</f>
        <v>110518.63050950613</v>
      </c>
      <c r="CE101" s="12">
        <f>CE123*CE10/-365</f>
        <v>115168.57373037792</v>
      </c>
    </row>
    <row r="102" spans="2:83" x14ac:dyDescent="0.15">
      <c r="B102" s="1" t="s">
        <v>73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6"/>
      <c r="BP102" s="12">
        <v>16</v>
      </c>
      <c r="BQ102" s="12">
        <v>4783</v>
      </c>
      <c r="BR102" s="12">
        <v>19739</v>
      </c>
      <c r="BS102" s="12">
        <v>5427</v>
      </c>
      <c r="BT102" s="12">
        <v>5053</v>
      </c>
      <c r="BU102" s="12">
        <v>89928</v>
      </c>
      <c r="BV102" s="12">
        <v>15045</v>
      </c>
      <c r="BW102" s="12">
        <v>15300</v>
      </c>
      <c r="BX102" s="12">
        <v>10634</v>
      </c>
      <c r="BY102" s="12">
        <v>11466</v>
      </c>
      <c r="BZ102" s="27">
        <v>21174</v>
      </c>
      <c r="CA102" s="27">
        <v>14144</v>
      </c>
      <c r="CB102" s="27">
        <v>10300</v>
      </c>
      <c r="CC102" s="89">
        <f>CB102</f>
        <v>10300</v>
      </c>
      <c r="CD102" s="30">
        <f t="shared" ref="CD102:CE102" si="281">CC102</f>
        <v>10300</v>
      </c>
      <c r="CE102" s="30">
        <f t="shared" si="281"/>
        <v>10300</v>
      </c>
    </row>
    <row r="103" spans="2:83" x14ac:dyDescent="0.15">
      <c r="B103" s="1" t="s">
        <v>105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6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27">
        <v>14005</v>
      </c>
      <c r="CA103" s="27">
        <v>15010</v>
      </c>
      <c r="CB103" s="27">
        <v>16996</v>
      </c>
      <c r="CC103" s="89">
        <f>CB103</f>
        <v>16996</v>
      </c>
      <c r="CD103" s="30">
        <f t="shared" ref="CD103:CE103" si="282">CC103</f>
        <v>16996</v>
      </c>
      <c r="CE103" s="30">
        <f t="shared" si="282"/>
        <v>16996</v>
      </c>
    </row>
    <row r="104" spans="2:83" x14ac:dyDescent="0.15">
      <c r="B104" s="1" t="s">
        <v>17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6"/>
      <c r="BP104" s="12">
        <v>13861</v>
      </c>
      <c r="BQ104" s="12">
        <v>18588</v>
      </c>
      <c r="BR104" s="12">
        <v>38165</v>
      </c>
      <c r="BS104" s="12">
        <v>28903</v>
      </c>
      <c r="BT104" s="12">
        <v>35233</v>
      </c>
      <c r="BU104" s="12">
        <v>59765</v>
      </c>
      <c r="BV104" s="12">
        <v>61567</v>
      </c>
      <c r="BW104" s="12">
        <v>55486</v>
      </c>
      <c r="BX104" s="12">
        <v>61351</v>
      </c>
      <c r="BY104" s="12">
        <v>74614</v>
      </c>
      <c r="BZ104" s="27">
        <f>249552-SUM(BZ101:BZ103)</f>
        <v>120685</v>
      </c>
      <c r="CA104" s="27">
        <f>257416-SUM(CA101:CA103)</f>
        <v>132992</v>
      </c>
      <c r="CB104" s="27">
        <f>266159-SUM(CB101:CB103)</f>
        <v>139355</v>
      </c>
      <c r="CC104" s="89">
        <f>CB104+2000</f>
        <v>141355</v>
      </c>
      <c r="CD104" s="30">
        <f t="shared" ref="CD104:CE104" si="283">CC104+2000</f>
        <v>143355</v>
      </c>
      <c r="CE104" s="30">
        <f t="shared" si="283"/>
        <v>145355</v>
      </c>
    </row>
    <row r="105" spans="2:83" x14ac:dyDescent="0.15">
      <c r="B105" s="1" t="s">
        <v>74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6"/>
      <c r="BP105" s="58">
        <v>29178</v>
      </c>
      <c r="BQ105" s="58">
        <v>44154</v>
      </c>
      <c r="BR105" s="58">
        <v>86569</v>
      </c>
      <c r="BS105" s="58">
        <v>67482</v>
      </c>
      <c r="BT105" s="58">
        <v>87913</v>
      </c>
      <c r="BU105" s="58">
        <v>217102</v>
      </c>
      <c r="BV105" s="58">
        <v>144919</v>
      </c>
      <c r="BW105" s="58">
        <v>140052</v>
      </c>
      <c r="BX105" s="58">
        <v>145577</v>
      </c>
      <c r="BY105" s="58">
        <v>167893</v>
      </c>
      <c r="BZ105" s="50">
        <v>249552</v>
      </c>
      <c r="CA105" s="50">
        <v>257416</v>
      </c>
      <c r="CB105" s="50">
        <v>266159</v>
      </c>
      <c r="CC105" s="90">
        <f>SUM(CC101:CC104)</f>
        <v>274661.75428845605</v>
      </c>
      <c r="CD105" s="58">
        <f t="shared" ref="CD105:CE105" si="284">SUM(CD101:CD104)</f>
        <v>281169.6305095061</v>
      </c>
      <c r="CE105" s="58">
        <f t="shared" si="284"/>
        <v>287819.57373037795</v>
      </c>
    </row>
    <row r="106" spans="2:83" x14ac:dyDescent="0.15"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6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27"/>
      <c r="CA106" s="27"/>
      <c r="CB106" s="27"/>
      <c r="CC106" s="88"/>
      <c r="CD106" s="12"/>
      <c r="CE106" s="12"/>
    </row>
    <row r="107" spans="2:83" x14ac:dyDescent="0.15">
      <c r="B107" s="1" t="s">
        <v>75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6"/>
      <c r="BP107" s="12">
        <v>0</v>
      </c>
      <c r="BQ107" s="12">
        <v>33560</v>
      </c>
      <c r="BR107" s="12">
        <v>28718</v>
      </c>
      <c r="BS107" s="12">
        <v>25844</v>
      </c>
      <c r="BT107" s="12">
        <v>20457</v>
      </c>
      <c r="BU107" s="12">
        <v>15713</v>
      </c>
      <c r="BV107" s="12">
        <v>45748</v>
      </c>
      <c r="BW107" s="12">
        <v>55728</v>
      </c>
      <c r="BX107" s="12">
        <v>51629</v>
      </c>
      <c r="BY107" s="12">
        <v>40000</v>
      </c>
      <c r="BZ107" s="27">
        <v>30117</v>
      </c>
      <c r="CA107" s="27">
        <v>20000</v>
      </c>
      <c r="CB107" s="27">
        <v>20000</v>
      </c>
      <c r="CC107" s="89">
        <f>CB107</f>
        <v>20000</v>
      </c>
      <c r="CD107" s="30">
        <f t="shared" ref="CD107:CE109" si="285">CC107</f>
        <v>20000</v>
      </c>
      <c r="CE107" s="30">
        <f t="shared" si="285"/>
        <v>20000</v>
      </c>
    </row>
    <row r="108" spans="2:83" x14ac:dyDescent="0.15">
      <c r="B108" s="1" t="s">
        <v>106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6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27">
        <v>12813</v>
      </c>
      <c r="CA108" s="27">
        <v>19835</v>
      </c>
      <c r="CB108" s="27">
        <v>29984</v>
      </c>
      <c r="CC108" s="89">
        <f>CB108</f>
        <v>29984</v>
      </c>
      <c r="CD108" s="30">
        <f t="shared" ref="CD108:CE108" si="286">CC108</f>
        <v>29984</v>
      </c>
      <c r="CE108" s="30">
        <f t="shared" si="286"/>
        <v>29984</v>
      </c>
    </row>
    <row r="109" spans="2:83" x14ac:dyDescent="0.15">
      <c r="B109" s="1" t="s">
        <v>17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6"/>
      <c r="BP109" s="12">
        <v>3958</v>
      </c>
      <c r="BQ109" s="12">
        <v>9914</v>
      </c>
      <c r="BR109" s="12">
        <v>9406</v>
      </c>
      <c r="BS109" s="12">
        <v>9411</v>
      </c>
      <c r="BT109" s="12">
        <v>6177</v>
      </c>
      <c r="BU109" s="12">
        <v>9528</v>
      </c>
      <c r="BV109" s="12">
        <v>9247</v>
      </c>
      <c r="BW109" s="12">
        <v>11307</v>
      </c>
      <c r="BX109" s="12">
        <v>10372</v>
      </c>
      <c r="BY109" s="12">
        <v>12850</v>
      </c>
      <c r="BZ109" s="27">
        <f>55647-SUM(BZ107:BZ108)</f>
        <v>12717</v>
      </c>
      <c r="CA109" s="27">
        <f>52996-SUM(CA107:CA108)</f>
        <v>13161</v>
      </c>
      <c r="CB109" s="27">
        <f>67203-SUM(CB107:CB108)</f>
        <v>17219</v>
      </c>
      <c r="CC109" s="89">
        <f>CB109</f>
        <v>17219</v>
      </c>
      <c r="CD109" s="30">
        <f t="shared" si="285"/>
        <v>17219</v>
      </c>
      <c r="CE109" s="30">
        <f t="shared" si="285"/>
        <v>17219</v>
      </c>
    </row>
    <row r="110" spans="2:83" x14ac:dyDescent="0.15">
      <c r="B110" s="1" t="s">
        <v>76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6"/>
      <c r="BP110" s="58">
        <v>33136</v>
      </c>
      <c r="BQ110" s="58">
        <v>87628</v>
      </c>
      <c r="BR110" s="58">
        <v>124693</v>
      </c>
      <c r="BS110" s="58">
        <v>102737</v>
      </c>
      <c r="BT110" s="58">
        <v>114547</v>
      </c>
      <c r="BU110" s="58">
        <v>242343</v>
      </c>
      <c r="BV110" s="58">
        <v>199914</v>
      </c>
      <c r="BW110" s="58">
        <v>207087</v>
      </c>
      <c r="BX110" s="58">
        <v>207578</v>
      </c>
      <c r="BY110" s="58">
        <v>220743</v>
      </c>
      <c r="BZ110" s="58">
        <v>305199</v>
      </c>
      <c r="CA110" s="58">
        <v>310412</v>
      </c>
      <c r="CB110" s="58">
        <v>333362</v>
      </c>
      <c r="CC110" s="90">
        <f>SUM(CC105:CC109)</f>
        <v>341864.75428845605</v>
      </c>
      <c r="CD110" s="58">
        <f t="shared" ref="CD110:CE110" si="287">SUM(CD105:CD109)</f>
        <v>348372.6305095061</v>
      </c>
      <c r="CE110" s="58">
        <f t="shared" si="287"/>
        <v>355022.57373037795</v>
      </c>
    </row>
    <row r="111" spans="2:83" x14ac:dyDescent="0.15"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6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27"/>
      <c r="CA111" s="27"/>
      <c r="CB111" s="27"/>
      <c r="CC111" s="88"/>
      <c r="CD111" s="12"/>
      <c r="CE111" s="12"/>
    </row>
    <row r="112" spans="2:83" x14ac:dyDescent="0.15">
      <c r="B112" s="1" t="s">
        <v>77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6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27">
        <v>17479</v>
      </c>
      <c r="CA112" s="27">
        <v>17479</v>
      </c>
      <c r="CB112" s="27">
        <v>17479</v>
      </c>
      <c r="CC112" s="89">
        <f>CB112</f>
        <v>17479</v>
      </c>
      <c r="CD112" s="30">
        <f t="shared" ref="CD112:CE117" si="288">CC112</f>
        <v>17479</v>
      </c>
      <c r="CE112" s="30">
        <f t="shared" si="288"/>
        <v>17479</v>
      </c>
    </row>
    <row r="113" spans="2:83" x14ac:dyDescent="0.15">
      <c r="B113" s="1" t="s">
        <v>78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6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27">
        <v>12272</v>
      </c>
      <c r="CA113" s="27">
        <v>4751</v>
      </c>
      <c r="CB113" s="27">
        <v>-7728</v>
      </c>
      <c r="CC113" s="89">
        <f>CB113</f>
        <v>-7728</v>
      </c>
      <c r="CD113" s="30">
        <f t="shared" si="288"/>
        <v>-7728</v>
      </c>
      <c r="CE113" s="30">
        <f t="shared" si="288"/>
        <v>-7728</v>
      </c>
    </row>
    <row r="114" spans="2:83" x14ac:dyDescent="0.15">
      <c r="B114" s="1" t="s">
        <v>79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6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27">
        <v>154926</v>
      </c>
      <c r="CA114" s="27">
        <v>165979</v>
      </c>
      <c r="CB114" s="27">
        <v>185466</v>
      </c>
      <c r="CC114" s="89">
        <f>CB114+CC27+CC148</f>
        <v>207523.50567303342</v>
      </c>
      <c r="CD114" s="30">
        <f t="shared" ref="CD114:CE114" si="289">CC114+CD27+CD148</f>
        <v>233188.37325373181</v>
      </c>
      <c r="CE114" s="30">
        <f t="shared" si="289"/>
        <v>262700.90040504106</v>
      </c>
    </row>
    <row r="115" spans="2:83" x14ac:dyDescent="0.15">
      <c r="B115" s="1" t="s">
        <v>80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6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27">
        <v>-19459</v>
      </c>
      <c r="CA115" s="27">
        <v>-9584</v>
      </c>
      <c r="CB115" s="27">
        <v>-13448</v>
      </c>
      <c r="CC115" s="88">
        <f>CB115+CC147</f>
        <v>-23448</v>
      </c>
      <c r="CD115" s="12">
        <f t="shared" ref="CD115:CE115" si="290">CC115+CD147</f>
        <v>-33448</v>
      </c>
      <c r="CE115" s="12">
        <f t="shared" si="290"/>
        <v>-43448</v>
      </c>
    </row>
    <row r="116" spans="2:83" s="3" customFormat="1" x14ac:dyDescent="0.15">
      <c r="B116" s="1" t="s">
        <v>81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2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27">
        <v>4452</v>
      </c>
      <c r="CA116" s="27">
        <v>13724</v>
      </c>
      <c r="CB116" s="27">
        <v>7864</v>
      </c>
      <c r="CC116" s="89">
        <f>CB116</f>
        <v>7864</v>
      </c>
      <c r="CD116" s="30">
        <f t="shared" si="288"/>
        <v>7864</v>
      </c>
      <c r="CE116" s="30">
        <f t="shared" si="288"/>
        <v>7864</v>
      </c>
    </row>
    <row r="117" spans="2:83" x14ac:dyDescent="0.15">
      <c r="B117" s="1" t="s">
        <v>82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6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27">
        <v>13859</v>
      </c>
      <c r="CA117" s="27">
        <v>15968</v>
      </c>
      <c r="CB117" s="27">
        <v>16749</v>
      </c>
      <c r="CC117" s="89">
        <f>CB117</f>
        <v>16749</v>
      </c>
      <c r="CD117" s="30">
        <f t="shared" si="288"/>
        <v>16749</v>
      </c>
      <c r="CE117" s="30">
        <f t="shared" si="288"/>
        <v>16749</v>
      </c>
    </row>
    <row r="118" spans="2:83" x14ac:dyDescent="0.15">
      <c r="B118" s="1" t="s">
        <v>83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6"/>
      <c r="BP118" s="58">
        <v>64455</v>
      </c>
      <c r="BQ118" s="58">
        <v>89803</v>
      </c>
      <c r="BR118" s="58">
        <v>103969</v>
      </c>
      <c r="BS118" s="58">
        <v>133501</v>
      </c>
      <c r="BT118" s="58">
        <v>153816</v>
      </c>
      <c r="BU118" s="58">
        <v>159992</v>
      </c>
      <c r="BV118" s="58">
        <v>170925</v>
      </c>
      <c r="BW118" s="58">
        <v>163906</v>
      </c>
      <c r="BX118" s="58">
        <v>173600</v>
      </c>
      <c r="BY118" s="58">
        <v>204367</v>
      </c>
      <c r="BZ118" s="50">
        <v>183529</v>
      </c>
      <c r="CA118" s="50">
        <v>208317</v>
      </c>
      <c r="CB118" s="50">
        <v>206382</v>
      </c>
      <c r="CC118" s="90">
        <f>SUM(CC112:CC117)</f>
        <v>218439.50567303342</v>
      </c>
      <c r="CD118" s="58">
        <f t="shared" ref="CD118:CE118" si="291">SUM(CD112:CD117)</f>
        <v>234104.37325373181</v>
      </c>
      <c r="CE118" s="58">
        <f t="shared" si="291"/>
        <v>253616.90040504106</v>
      </c>
    </row>
    <row r="119" spans="2:83" x14ac:dyDescent="0.15"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6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27"/>
      <c r="CA119" s="27"/>
      <c r="CB119" s="27"/>
      <c r="CC119" s="88"/>
      <c r="CD119" s="12"/>
      <c r="CE119" s="12"/>
    </row>
    <row r="120" spans="2:83" x14ac:dyDescent="0.15">
      <c r="B120" s="1" t="s">
        <v>84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6"/>
      <c r="BP120" s="12">
        <v>97592</v>
      </c>
      <c r="BQ120" s="12">
        <v>177433</v>
      </c>
      <c r="BR120" s="12">
        <v>228663</v>
      </c>
      <c r="BS120" s="12">
        <v>236238</v>
      </c>
      <c r="BT120" s="12">
        <v>268364</v>
      </c>
      <c r="BU120" s="12">
        <v>402336</v>
      </c>
      <c r="BV120" s="12">
        <v>370839</v>
      </c>
      <c r="BW120" s="12">
        <v>370993</v>
      </c>
      <c r="BX120" s="12">
        <v>381179</v>
      </c>
      <c r="BY120" s="12">
        <v>425110</v>
      </c>
      <c r="BZ120" s="27">
        <v>488728</v>
      </c>
      <c r="CA120" s="27">
        <v>518730</v>
      </c>
      <c r="CB120" s="27">
        <v>539746</v>
      </c>
      <c r="CC120" s="88">
        <f>CC118+CC110</f>
        <v>560304.25996148947</v>
      </c>
      <c r="CD120" s="12">
        <f t="shared" ref="CD120:CE120" si="292">CD118+CD110</f>
        <v>582477.00376323797</v>
      </c>
      <c r="CE120" s="12">
        <f t="shared" si="292"/>
        <v>608639.474135419</v>
      </c>
    </row>
    <row r="121" spans="2:83" x14ac:dyDescent="0.15"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3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88">
        <f>CC120-CC99</f>
        <v>-0.99999999988358468</v>
      </c>
      <c r="CD121" s="12">
        <f t="shared" ref="CD121:CE121" si="293">CD120-CD99</f>
        <v>-1</v>
      </c>
      <c r="CE121" s="12">
        <f t="shared" si="293"/>
        <v>-1</v>
      </c>
    </row>
    <row r="122" spans="2:83" x14ac:dyDescent="0.15">
      <c r="B122" s="1" t="s">
        <v>25</v>
      </c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3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12">
        <f t="shared" ref="BP122:CB122" si="294">BP90/BP6*365</f>
        <v>47.238646291742164</v>
      </c>
      <c r="BQ122" s="12">
        <f t="shared" si="294"/>
        <v>44.351111344068372</v>
      </c>
      <c r="BR122" s="12">
        <f t="shared" si="294"/>
        <v>54.741445084975666</v>
      </c>
      <c r="BS122" s="12">
        <f t="shared" si="294"/>
        <v>49.027061594251897</v>
      </c>
      <c r="BT122" s="12">
        <f t="shared" si="294"/>
        <v>51.334724110845528</v>
      </c>
      <c r="BU122" s="12">
        <f t="shared" si="294"/>
        <v>60.777822241730973</v>
      </c>
      <c r="BV122" s="12">
        <f t="shared" si="294"/>
        <v>48.455981629218698</v>
      </c>
      <c r="BW122" s="12">
        <f t="shared" si="294"/>
        <v>48.351296967149267</v>
      </c>
      <c r="BX122" s="12">
        <f t="shared" si="294"/>
        <v>51.079237674104519</v>
      </c>
      <c r="BY122" s="12">
        <f t="shared" si="294"/>
        <v>51.666987151390387</v>
      </c>
      <c r="BZ122" s="12">
        <f t="shared" si="294"/>
        <v>47.835920229130807</v>
      </c>
      <c r="CA122" s="12">
        <f t="shared" si="294"/>
        <v>46.482443601685752</v>
      </c>
      <c r="CB122" s="12">
        <f t="shared" si="294"/>
        <v>45.219881232437409</v>
      </c>
      <c r="CC122" s="88">
        <f>CB122</f>
        <v>45.219881232437409</v>
      </c>
      <c r="CD122" s="12">
        <f t="shared" ref="CD122:CE122" si="295">CC122</f>
        <v>45.219881232437409</v>
      </c>
      <c r="CE122" s="12">
        <f t="shared" si="295"/>
        <v>45.219881232437409</v>
      </c>
    </row>
    <row r="123" spans="2:83" x14ac:dyDescent="0.15">
      <c r="B123" s="1" t="s">
        <v>26</v>
      </c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3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12">
        <f t="shared" ref="BP123:CB123" si="296">BP101/BP10*-365</f>
        <v>26.880294366793734</v>
      </c>
      <c r="BQ123" s="12">
        <f t="shared" si="296"/>
        <v>27.370917343801864</v>
      </c>
      <c r="BR123" s="12">
        <f t="shared" si="296"/>
        <v>34.356734267663171</v>
      </c>
      <c r="BS123" s="12">
        <f t="shared" si="296"/>
        <v>30.638004810735534</v>
      </c>
      <c r="BT123" s="12">
        <f t="shared" si="296"/>
        <v>38.700535854617989</v>
      </c>
      <c r="BU123" s="12">
        <f t="shared" si="296"/>
        <v>44.35242318542754</v>
      </c>
      <c r="BV123" s="12">
        <f t="shared" si="296"/>
        <v>34.661504710823422</v>
      </c>
      <c r="BW123" s="12">
        <f t="shared" si="296"/>
        <v>33.416236992470068</v>
      </c>
      <c r="BX123" s="12">
        <f t="shared" si="296"/>
        <v>35.847801107420302</v>
      </c>
      <c r="BY123" s="12">
        <f t="shared" si="296"/>
        <v>36.414275366560332</v>
      </c>
      <c r="BZ123" s="12">
        <f t="shared" si="296"/>
        <v>35.593114136753435</v>
      </c>
      <c r="CA123" s="12">
        <f t="shared" si="296"/>
        <v>33.893604246551043</v>
      </c>
      <c r="CB123" s="12">
        <f t="shared" si="296"/>
        <v>32.454736352994793</v>
      </c>
      <c r="CC123" s="88">
        <f t="shared" ref="CC123:CE123" si="297">CB123</f>
        <v>32.454736352994793</v>
      </c>
      <c r="CD123" s="12">
        <f t="shared" si="297"/>
        <v>32.454736352994793</v>
      </c>
      <c r="CE123" s="12">
        <f t="shared" si="297"/>
        <v>32.454736352994793</v>
      </c>
    </row>
    <row r="124" spans="2:83" x14ac:dyDescent="0.15">
      <c r="B124" s="1" t="s">
        <v>85</v>
      </c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3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19">
        <f t="shared" ref="BP124:CB124" si="298">BP27/BP118</f>
        <v>9.1350554650531379E-2</v>
      </c>
      <c r="BQ124" s="19">
        <f t="shared" si="298"/>
        <v>0.10976248009531976</v>
      </c>
      <c r="BR124" s="19">
        <f t="shared" si="298"/>
        <v>0.12911540940087912</v>
      </c>
      <c r="BS124" s="19">
        <f t="shared" si="298"/>
        <v>0.13000651680511757</v>
      </c>
      <c r="BT124" s="19">
        <f t="shared" si="298"/>
        <v>0.1158527071305976</v>
      </c>
      <c r="BU124" s="19">
        <f t="shared" si="298"/>
        <v>4.8558677933896698E-2</v>
      </c>
      <c r="BV124" s="19">
        <f t="shared" si="298"/>
        <v>0.14252449904929063</v>
      </c>
      <c r="BW124" s="19">
        <f t="shared" si="298"/>
        <v>4.6441252913255161E-2</v>
      </c>
      <c r="BX124" s="19">
        <f t="shared" si="298"/>
        <v>8.8369815668202761E-2</v>
      </c>
      <c r="BY124" s="19">
        <f t="shared" si="298"/>
        <v>0.15612109587164269</v>
      </c>
      <c r="BZ124" s="19">
        <f t="shared" si="298"/>
        <v>0.12401854747751037</v>
      </c>
      <c r="CA124" s="19">
        <f t="shared" si="298"/>
        <v>0.14387207957103837</v>
      </c>
      <c r="CB124" s="19">
        <f t="shared" si="298"/>
        <v>0.17380876239206908</v>
      </c>
      <c r="CC124" s="77">
        <f t="shared" ref="CC124:CE124" si="299">CC27/CC118</f>
        <v>0.19293792825239989</v>
      </c>
      <c r="CD124" s="19">
        <f t="shared" si="299"/>
        <v>0.20864524238480087</v>
      </c>
      <c r="CE124" s="19">
        <f t="shared" si="299"/>
        <v>0.22229254870928716</v>
      </c>
    </row>
    <row r="125" spans="2:83" x14ac:dyDescent="0.15">
      <c r="AO125" s="44"/>
      <c r="CC125" s="74"/>
    </row>
    <row r="126" spans="2:83" x14ac:dyDescent="0.15">
      <c r="B126" s="33" t="s">
        <v>16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87"/>
      <c r="CD126" s="34"/>
      <c r="CE126" s="34"/>
    </row>
    <row r="127" spans="2:83" x14ac:dyDescent="0.15">
      <c r="AO127" s="29"/>
      <c r="CC127" s="74"/>
    </row>
    <row r="128" spans="2:83" x14ac:dyDescent="0.15">
      <c r="B128" s="1" t="s">
        <v>86</v>
      </c>
      <c r="AO128" s="29"/>
      <c r="BP128" s="27">
        <v>10019</v>
      </c>
      <c r="BQ128" s="27">
        <v>17302</v>
      </c>
      <c r="BR128" s="27">
        <v>22716</v>
      </c>
      <c r="BS128" s="27">
        <v>28982</v>
      </c>
      <c r="BT128" s="27">
        <v>30200</v>
      </c>
      <c r="BU128" s="27">
        <v>20578</v>
      </c>
      <c r="BV128" s="27">
        <v>42691</v>
      </c>
      <c r="BW128" s="27">
        <v>20331</v>
      </c>
      <c r="BX128" s="27">
        <v>27864</v>
      </c>
      <c r="BY128" s="27">
        <v>50043</v>
      </c>
      <c r="BZ128" s="27">
        <v>41249</v>
      </c>
      <c r="CA128" s="27">
        <v>48926</v>
      </c>
      <c r="CB128" s="27">
        <v>57156</v>
      </c>
      <c r="CC128" s="83">
        <f>CC21</f>
        <v>66886.76617126276</v>
      </c>
      <c r="CD128" s="28">
        <f>CD21</f>
        <v>77037.520758889048</v>
      </c>
      <c r="CE128" s="28">
        <f>CE21</f>
        <v>88450.223010281858</v>
      </c>
    </row>
    <row r="129" spans="2:83" x14ac:dyDescent="0.15">
      <c r="B129" s="1" t="s">
        <v>29</v>
      </c>
      <c r="AO129" s="29"/>
      <c r="BP129" s="27">
        <v>605</v>
      </c>
      <c r="BQ129" s="27">
        <v>2550</v>
      </c>
      <c r="BR129" s="27">
        <v>2749</v>
      </c>
      <c r="BS129" s="27">
        <v>3061</v>
      </c>
      <c r="BT129" s="27">
        <v>3988</v>
      </c>
      <c r="BU129" s="27">
        <v>4907</v>
      </c>
      <c r="BV129" s="27">
        <v>7249</v>
      </c>
      <c r="BW129" s="27">
        <v>9466</v>
      </c>
      <c r="BX129" s="27">
        <v>10760</v>
      </c>
      <c r="BY129" s="27">
        <v>12150</v>
      </c>
      <c r="BZ129" s="27">
        <v>30315</v>
      </c>
      <c r="CA129" s="27">
        <v>29634</v>
      </c>
      <c r="CB129" s="27">
        <v>32984</v>
      </c>
      <c r="CC129" s="88">
        <f>CC157</f>
        <v>35328.267949999994</v>
      </c>
      <c r="CD129" s="12">
        <f t="shared" ref="CD129:CE129" si="300">CD157</f>
        <v>37034.987998500001</v>
      </c>
      <c r="CE129" s="12">
        <f t="shared" si="300"/>
        <v>38821.918992545005</v>
      </c>
    </row>
    <row r="130" spans="2:83" x14ac:dyDescent="0.15">
      <c r="B130" s="1" t="s">
        <v>17</v>
      </c>
      <c r="AO130" s="29"/>
      <c r="BP130" s="27">
        <v>1539</v>
      </c>
      <c r="BQ130" s="27">
        <v>-512</v>
      </c>
      <c r="BR130" s="27">
        <v>12911</v>
      </c>
      <c r="BS130" s="27">
        <v>-7448</v>
      </c>
      <c r="BT130" s="27">
        <v>15253</v>
      </c>
      <c r="BU130" s="27">
        <v>26175</v>
      </c>
      <c r="BV130" s="27">
        <v>5753</v>
      </c>
      <c r="BW130" s="27">
        <v>14943</v>
      </c>
      <c r="BX130" s="27">
        <v>7344</v>
      </c>
      <c r="BY130" s="27">
        <v>-2366</v>
      </c>
      <c r="BZ130" s="27">
        <v>23042</v>
      </c>
      <c r="CA130" s="27">
        <v>21034</v>
      </c>
      <c r="CB130" s="27">
        <v>-6196</v>
      </c>
      <c r="CC130" s="89">
        <v>0</v>
      </c>
      <c r="CD130" s="30">
        <f t="shared" ref="CD130:CE130" si="301">CC130</f>
        <v>0</v>
      </c>
      <c r="CE130" s="30">
        <f t="shared" si="301"/>
        <v>0</v>
      </c>
    </row>
    <row r="131" spans="2:83" x14ac:dyDescent="0.15">
      <c r="B131" s="1" t="s">
        <v>87</v>
      </c>
      <c r="AO131" s="29"/>
      <c r="BP131" s="27">
        <v>-378</v>
      </c>
      <c r="BQ131" s="27">
        <v>-1493</v>
      </c>
      <c r="BR131" s="27">
        <v>-7651</v>
      </c>
      <c r="BS131" s="27">
        <v>-5864</v>
      </c>
      <c r="BT131" s="27">
        <v>-7017</v>
      </c>
      <c r="BU131" s="27">
        <v>-10851</v>
      </c>
      <c r="BV131" s="27">
        <v>-4872</v>
      </c>
      <c r="BW131" s="27">
        <v>-6283</v>
      </c>
      <c r="BX131" s="27">
        <v>-3617</v>
      </c>
      <c r="BY131" s="27">
        <v>-28855</v>
      </c>
      <c r="BZ131" s="27">
        <v>3087</v>
      </c>
      <c r="CA131" s="27">
        <v>-1736</v>
      </c>
      <c r="CB131" s="27">
        <v>-3635</v>
      </c>
      <c r="CC131" s="88">
        <f>CB90-CC90+CC101-CB101</f>
        <v>-3999.8604639829136</v>
      </c>
      <c r="CD131" s="12">
        <f t="shared" ref="CD131:CE131" si="302">CC90-CD90+CD101-CC101</f>
        <v>-4685.4147724210052</v>
      </c>
      <c r="CE131" s="12">
        <f t="shared" si="302"/>
        <v>-4975.4060729073826</v>
      </c>
    </row>
    <row r="132" spans="2:83" x14ac:dyDescent="0.15">
      <c r="B132" s="15" t="s">
        <v>88</v>
      </c>
      <c r="AO132" s="29"/>
      <c r="BP132" s="27">
        <v>87</v>
      </c>
      <c r="BQ132" s="27">
        <v>104</v>
      </c>
      <c r="BR132" s="27">
        <v>114</v>
      </c>
      <c r="BS132" s="27">
        <v>108</v>
      </c>
      <c r="BT132" s="27">
        <v>141</v>
      </c>
      <c r="BU132" s="27">
        <v>205</v>
      </c>
      <c r="BV132" s="27">
        <v>257</v>
      </c>
      <c r="BW132" s="27">
        <v>333</v>
      </c>
      <c r="BX132" s="27">
        <v>213</v>
      </c>
      <c r="BY132" s="27">
        <v>280</v>
      </c>
      <c r="BZ132" s="27">
        <v>353</v>
      </c>
      <c r="CA132" s="27">
        <v>594</v>
      </c>
      <c r="CB132" s="27">
        <v>1080</v>
      </c>
      <c r="CC132" s="74"/>
    </row>
    <row r="133" spans="2:83" x14ac:dyDescent="0.15">
      <c r="B133" s="15" t="s">
        <v>89</v>
      </c>
      <c r="AO133" s="29"/>
      <c r="BP133" s="27">
        <v>-5</v>
      </c>
      <c r="BQ133" s="27">
        <v>-353</v>
      </c>
      <c r="BR133" s="27">
        <v>-110</v>
      </c>
      <c r="BS133" s="27">
        <v>-143</v>
      </c>
      <c r="BT133" s="27">
        <v>-155</v>
      </c>
      <c r="BU133" s="27">
        <v>-456</v>
      </c>
      <c r="BV133" s="27">
        <v>-840</v>
      </c>
      <c r="BW133" s="27">
        <v>-583</v>
      </c>
      <c r="BX133" s="27">
        <v>-353</v>
      </c>
      <c r="BY133" s="27">
        <v>-265</v>
      </c>
      <c r="BZ133" s="27">
        <v>-716</v>
      </c>
      <c r="CA133" s="27">
        <v>-911</v>
      </c>
      <c r="CB133" s="27">
        <v>-1343</v>
      </c>
      <c r="CC133" s="95">
        <v>0</v>
      </c>
      <c r="CD133" s="96">
        <v>0</v>
      </c>
      <c r="CE133" s="96">
        <v>0</v>
      </c>
    </row>
    <row r="134" spans="2:83" x14ac:dyDescent="0.15">
      <c r="B134" s="15" t="s">
        <v>90</v>
      </c>
      <c r="AO134" s="29"/>
      <c r="BP134" s="27">
        <v>-5252</v>
      </c>
      <c r="BQ134" s="27">
        <v>-9089</v>
      </c>
      <c r="BR134" s="27">
        <v>-10332</v>
      </c>
      <c r="BS134" s="27">
        <v>-11756</v>
      </c>
      <c r="BT134" s="27">
        <v>-10236</v>
      </c>
      <c r="BU134" s="27">
        <v>-17148</v>
      </c>
      <c r="BV134" s="27">
        <v>-17739</v>
      </c>
      <c r="BW134" s="27">
        <v>-19373</v>
      </c>
      <c r="BX134" s="27">
        <v>-12473</v>
      </c>
      <c r="BY134" s="27">
        <v>-12542</v>
      </c>
      <c r="BZ134" s="27">
        <v>-25262</v>
      </c>
      <c r="CA134" s="27">
        <v>-21523</v>
      </c>
      <c r="CB134" s="27">
        <v>-14826</v>
      </c>
      <c r="CC134" s="83">
        <f>CC23</f>
        <v>-22741.500498229339</v>
      </c>
      <c r="CD134" s="28">
        <f t="shared" ref="CD134:CE134" si="303">CD23</f>
        <v>-26192.757058022275</v>
      </c>
      <c r="CE134" s="28">
        <f t="shared" si="303"/>
        <v>-30073.07582349583</v>
      </c>
    </row>
    <row r="135" spans="2:83" x14ac:dyDescent="0.15">
      <c r="B135" s="15" t="s">
        <v>17</v>
      </c>
      <c r="AO135" s="29"/>
      <c r="BP135" s="27">
        <f>BP136-SUM(BP128:BP134)</f>
        <v>1172</v>
      </c>
      <c r="BQ135" s="27">
        <f t="shared" ref="BQ135:BY135" si="304">BQ136-SUM(BQ128:BQ134)</f>
        <v>2354</v>
      </c>
      <c r="BR135" s="27">
        <f t="shared" si="304"/>
        <v>8497</v>
      </c>
      <c r="BS135" s="27">
        <f t="shared" si="304"/>
        <v>6339</v>
      </c>
      <c r="BT135" s="27">
        <f t="shared" si="304"/>
        <v>7443</v>
      </c>
      <c r="BU135" s="27">
        <f t="shared" si="304"/>
        <v>11593</v>
      </c>
      <c r="BV135" s="27">
        <f t="shared" si="304"/>
        <v>9854</v>
      </c>
      <c r="BW135" s="27">
        <f t="shared" si="304"/>
        <v>9758</v>
      </c>
      <c r="BX135" s="27">
        <f t="shared" si="304"/>
        <v>7067</v>
      </c>
      <c r="BY135" s="27">
        <f t="shared" si="304"/>
        <v>32247</v>
      </c>
      <c r="BZ135" s="27">
        <f t="shared" ref="BZ135" si="305">BZ136-SUM(BZ128:BZ134)</f>
        <v>-3088</v>
      </c>
      <c r="CA135" s="27">
        <f t="shared" ref="CA135" si="306">CA136-SUM(CA128:CA134)</f>
        <v>1735</v>
      </c>
      <c r="CB135" s="27">
        <f t="shared" ref="CB135" si="307">CB136-SUM(CB128:CB134)</f>
        <v>3634</v>
      </c>
      <c r="CC135" s="74"/>
    </row>
    <row r="136" spans="2:83" x14ac:dyDescent="0.15">
      <c r="B136" s="1" t="s">
        <v>91</v>
      </c>
      <c r="AO136" s="29"/>
      <c r="BP136" s="50">
        <v>7787</v>
      </c>
      <c r="BQ136" s="50">
        <v>10863</v>
      </c>
      <c r="BR136" s="50">
        <v>28894</v>
      </c>
      <c r="BS136" s="50">
        <v>13279</v>
      </c>
      <c r="BT136" s="50">
        <v>39617</v>
      </c>
      <c r="BU136" s="50">
        <v>35003</v>
      </c>
      <c r="BV136" s="50">
        <v>42353</v>
      </c>
      <c r="BW136" s="50">
        <v>28592</v>
      </c>
      <c r="BX136" s="50">
        <v>36805</v>
      </c>
      <c r="BY136" s="50">
        <v>50692</v>
      </c>
      <c r="BZ136" s="50">
        <v>68980</v>
      </c>
      <c r="CA136" s="50">
        <v>77753</v>
      </c>
      <c r="CB136" s="50">
        <v>68854</v>
      </c>
      <c r="CC136" s="84">
        <f>SUM(CC128:CC135)</f>
        <v>75473.673159050493</v>
      </c>
      <c r="CD136" s="65">
        <f t="shared" ref="CD136:CE136" si="308">SUM(CD128:CD135)</f>
        <v>83194.336926945776</v>
      </c>
      <c r="CE136" s="65">
        <f t="shared" si="308"/>
        <v>92223.660106423646</v>
      </c>
    </row>
    <row r="137" spans="2:83" x14ac:dyDescent="0.15">
      <c r="AO137" s="29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74"/>
    </row>
    <row r="138" spans="2:83" x14ac:dyDescent="0.15">
      <c r="B138" s="1" t="s">
        <v>92</v>
      </c>
      <c r="AO138" s="29"/>
      <c r="BP138" s="27">
        <v>-248</v>
      </c>
      <c r="BQ138" s="27">
        <v>-578</v>
      </c>
      <c r="BR138" s="27">
        <v>-873</v>
      </c>
      <c r="BS138" s="27">
        <v>-1491</v>
      </c>
      <c r="BT138" s="27">
        <v>-1285</v>
      </c>
      <c r="BU138" s="27">
        <v>-1949</v>
      </c>
      <c r="BV138" s="27">
        <v>-2373</v>
      </c>
      <c r="BW138" s="27">
        <v>-4919</v>
      </c>
      <c r="BX138" s="27">
        <v>-3666</v>
      </c>
      <c r="BY138" s="27">
        <v>-2604</v>
      </c>
      <c r="BZ138" s="27">
        <v>-3257</v>
      </c>
      <c r="CA138" s="27">
        <v>-3279</v>
      </c>
      <c r="CB138" s="27">
        <v>-5139</v>
      </c>
      <c r="CC138" s="88">
        <f>CB138</f>
        <v>-5139</v>
      </c>
      <c r="CD138" s="12">
        <f t="shared" ref="CD138:CE138" si="309">CC138</f>
        <v>-5139</v>
      </c>
      <c r="CE138" s="12">
        <f t="shared" si="309"/>
        <v>-5139</v>
      </c>
    </row>
    <row r="139" spans="2:83" x14ac:dyDescent="0.15">
      <c r="B139" s="1" t="s">
        <v>93</v>
      </c>
      <c r="AO139" s="29"/>
      <c r="BP139" s="27">
        <v>1</v>
      </c>
      <c r="BQ139" s="27">
        <v>676</v>
      </c>
      <c r="BR139" s="27">
        <v>71</v>
      </c>
      <c r="BS139" s="27">
        <v>0</v>
      </c>
      <c r="BT139" s="27">
        <v>3</v>
      </c>
      <c r="BU139" s="27">
        <v>148</v>
      </c>
      <c r="BV139" s="27">
        <v>883</v>
      </c>
      <c r="BW139" s="27">
        <v>169</v>
      </c>
      <c r="BX139" s="27">
        <v>318</v>
      </c>
      <c r="BY139" s="27">
        <v>1877</v>
      </c>
      <c r="BZ139" s="27">
        <v>0</v>
      </c>
      <c r="CA139" s="27">
        <v>0</v>
      </c>
      <c r="CB139" s="27">
        <v>0</v>
      </c>
      <c r="CC139" s="74"/>
    </row>
    <row r="140" spans="2:83" x14ac:dyDescent="0.15">
      <c r="B140" s="1" t="s">
        <v>94</v>
      </c>
      <c r="AO140" s="29"/>
      <c r="BP140" s="27">
        <v>-128</v>
      </c>
      <c r="BQ140" s="27">
        <v>-1793</v>
      </c>
      <c r="BR140" s="27">
        <v>-1354</v>
      </c>
      <c r="BS140" s="27">
        <v>-2791</v>
      </c>
      <c r="BT140" s="27">
        <v>-5640</v>
      </c>
      <c r="BU140" s="27">
        <v>-4350</v>
      </c>
      <c r="BV140" s="27">
        <v>-7076</v>
      </c>
      <c r="BW140" s="27">
        <v>-8496</v>
      </c>
      <c r="BX140" s="27">
        <v>-7735</v>
      </c>
      <c r="BY140" s="27">
        <v>-8383</v>
      </c>
      <c r="BZ140" s="27">
        <v>-9440</v>
      </c>
      <c r="CA140" s="27">
        <v>-12207</v>
      </c>
      <c r="CB140" s="27">
        <v>-13284</v>
      </c>
      <c r="CC140" s="88">
        <f>CB140-1000</f>
        <v>-14284</v>
      </c>
      <c r="CD140" s="12">
        <f t="shared" ref="CD140:CE140" si="310">CC140-1000</f>
        <v>-15284</v>
      </c>
      <c r="CE140" s="12">
        <f t="shared" si="310"/>
        <v>-16284</v>
      </c>
    </row>
    <row r="141" spans="2:83" x14ac:dyDescent="0.15">
      <c r="B141" s="1" t="s">
        <v>95</v>
      </c>
      <c r="BP141" s="21">
        <v>-32</v>
      </c>
      <c r="BQ141" s="21">
        <v>-49724</v>
      </c>
      <c r="BR141" s="21">
        <v>-11065</v>
      </c>
      <c r="BS141" s="21">
        <v>-10457</v>
      </c>
      <c r="BT141" s="21">
        <v>-2518</v>
      </c>
      <c r="BU141" s="21">
        <v>-61818</v>
      </c>
      <c r="BV141" s="21">
        <v>-3202</v>
      </c>
      <c r="BW141" s="21">
        <v>-2366</v>
      </c>
      <c r="BX141" s="21">
        <v>-224</v>
      </c>
      <c r="BY141" s="21">
        <v>-250</v>
      </c>
      <c r="BZ141" s="21">
        <v>-3321</v>
      </c>
      <c r="CA141" s="21">
        <v>-646</v>
      </c>
      <c r="CB141" s="21">
        <v>-17839</v>
      </c>
      <c r="CC141" s="75">
        <f t="shared" ref="CC141:CE152" si="311">SUMIF($C$5:$BO$5,CC$3,$C141:$BO141)</f>
        <v>0</v>
      </c>
      <c r="CD141" s="13">
        <f t="shared" si="311"/>
        <v>0</v>
      </c>
      <c r="CE141" s="13">
        <f t="shared" si="311"/>
        <v>0</v>
      </c>
    </row>
    <row r="142" spans="2:83" x14ac:dyDescent="0.15">
      <c r="B142" s="1" t="s">
        <v>96</v>
      </c>
      <c r="BP142" s="21">
        <v>-556</v>
      </c>
      <c r="BQ142" s="21">
        <v>789</v>
      </c>
      <c r="BR142" s="21">
        <v>-237</v>
      </c>
      <c r="BS142" s="21">
        <v>-326</v>
      </c>
      <c r="BT142" s="21">
        <v>-265</v>
      </c>
      <c r="BU142" s="21">
        <v>1385</v>
      </c>
      <c r="BV142" s="21">
        <v>-2490</v>
      </c>
      <c r="BW142" s="21">
        <v>-1795</v>
      </c>
      <c r="BX142" s="21">
        <v>-1563</v>
      </c>
      <c r="BY142" s="21">
        <v>4180</v>
      </c>
      <c r="BZ142" s="21">
        <v>-6769</v>
      </c>
      <c r="CA142" s="21">
        <v>-2868</v>
      </c>
      <c r="CB142" s="21">
        <v>6497</v>
      </c>
      <c r="CC142" s="75">
        <f t="shared" si="311"/>
        <v>0</v>
      </c>
      <c r="CD142" s="13">
        <f t="shared" si="311"/>
        <v>0</v>
      </c>
      <c r="CE142" s="13">
        <f t="shared" si="311"/>
        <v>0</v>
      </c>
    </row>
    <row r="143" spans="2:83" x14ac:dyDescent="0.15">
      <c r="B143" s="1" t="s">
        <v>97</v>
      </c>
      <c r="BP143" s="50">
        <v>-964</v>
      </c>
      <c r="BQ143" s="50">
        <v>-51306</v>
      </c>
      <c r="BR143" s="50">
        <v>-13529</v>
      </c>
      <c r="BS143" s="50">
        <v>-15065</v>
      </c>
      <c r="BT143" s="50">
        <v>-9708</v>
      </c>
      <c r="BU143" s="50">
        <v>-66732</v>
      </c>
      <c r="BV143" s="50">
        <v>-15141</v>
      </c>
      <c r="BW143" s="50">
        <v>-17576</v>
      </c>
      <c r="BX143" s="50">
        <v>-13188</v>
      </c>
      <c r="BY143" s="50">
        <v>-7057</v>
      </c>
      <c r="BZ143" s="50">
        <v>-22787</v>
      </c>
      <c r="CA143" s="50">
        <v>-19000</v>
      </c>
      <c r="CB143" s="50">
        <v>-29765</v>
      </c>
      <c r="CC143" s="79">
        <f>SUM(CC138:CC142)</f>
        <v>-19423</v>
      </c>
      <c r="CD143" s="61">
        <f t="shared" ref="CD143" si="312">SUM(CD138:CD142)</f>
        <v>-20423</v>
      </c>
      <c r="CE143" s="61">
        <f t="shared" ref="CE143" si="313">SUM(CE138:CE142)</f>
        <v>-21423</v>
      </c>
    </row>
    <row r="144" spans="2:83" x14ac:dyDescent="0.15"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75"/>
      <c r="CD144" s="13"/>
      <c r="CE144" s="13"/>
    </row>
    <row r="145" spans="2:83" x14ac:dyDescent="0.15">
      <c r="B145" s="1" t="s">
        <v>103</v>
      </c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>
        <v>-16124</v>
      </c>
      <c r="CA145" s="21">
        <v>-16876</v>
      </c>
      <c r="CB145" s="21">
        <v>-19051</v>
      </c>
      <c r="CC145" s="91">
        <f>CB145-500</f>
        <v>-19551</v>
      </c>
      <c r="CD145" s="68">
        <f t="shared" ref="CD145:CE145" si="314">CC145-500</f>
        <v>-20051</v>
      </c>
      <c r="CE145" s="68">
        <f t="shared" si="314"/>
        <v>-20551</v>
      </c>
    </row>
    <row r="146" spans="2:83" x14ac:dyDescent="0.15">
      <c r="B146" s="1" t="s">
        <v>98</v>
      </c>
      <c r="BP146" s="21">
        <v>-131</v>
      </c>
      <c r="BQ146" s="21">
        <v>2774</v>
      </c>
      <c r="BR146" s="21">
        <v>10452</v>
      </c>
      <c r="BS146" s="21">
        <v>-4147</v>
      </c>
      <c r="BT146" s="21">
        <v>-4937</v>
      </c>
      <c r="BU146" s="21">
        <v>55790</v>
      </c>
      <c r="BV146" s="21">
        <v>-63101</v>
      </c>
      <c r="BW146" s="21">
        <v>10340</v>
      </c>
      <c r="BX146" s="21">
        <v>-8995</v>
      </c>
      <c r="BY146" s="21">
        <v>-1161</v>
      </c>
      <c r="BZ146" s="21">
        <f>104269-94173-15515</f>
        <v>-5419</v>
      </c>
      <c r="CA146" s="21">
        <f>166839-174713-190-10000</f>
        <v>-18064</v>
      </c>
      <c r="CB146" s="21">
        <f>45469-50293-10001+10000</f>
        <v>-4825</v>
      </c>
      <c r="CC146" s="75">
        <v>0</v>
      </c>
      <c r="CD146" s="13">
        <v>0</v>
      </c>
      <c r="CE146" s="13">
        <v>0</v>
      </c>
    </row>
    <row r="147" spans="2:83" x14ac:dyDescent="0.15">
      <c r="B147" s="1" t="s">
        <v>99</v>
      </c>
      <c r="BP147" s="21">
        <v>-1</v>
      </c>
      <c r="BQ147" s="21">
        <v>-1</v>
      </c>
      <c r="BR147" s="21">
        <v>-3</v>
      </c>
      <c r="BS147" s="21">
        <v>-11</v>
      </c>
      <c r="BT147" s="21">
        <v>-3001</v>
      </c>
      <c r="BU147" s="21">
        <v>-1276</v>
      </c>
      <c r="BV147" s="21">
        <v>-5</v>
      </c>
      <c r="BW147" s="21">
        <v>-5007</v>
      </c>
      <c r="BX147" s="21">
        <v>-1903</v>
      </c>
      <c r="BY147" s="21"/>
      <c r="BZ147" s="21">
        <v>-10000</v>
      </c>
      <c r="CA147" s="21">
        <v>0</v>
      </c>
      <c r="CB147" s="21">
        <v>-20000</v>
      </c>
      <c r="CC147" s="75">
        <v>-10000</v>
      </c>
      <c r="CD147" s="13">
        <v>-10000</v>
      </c>
      <c r="CE147" s="13">
        <v>-10000</v>
      </c>
    </row>
    <row r="148" spans="2:83" x14ac:dyDescent="0.15">
      <c r="B148" s="1" t="s">
        <v>100</v>
      </c>
      <c r="BP148" s="21">
        <v>-952</v>
      </c>
      <c r="BQ148" s="21">
        <v>-1380</v>
      </c>
      <c r="BR148" s="21">
        <v>-2046</v>
      </c>
      <c r="BS148" s="21">
        <v>-2721</v>
      </c>
      <c r="BT148" s="21">
        <v>-3522</v>
      </c>
      <c r="BU148" s="21">
        <v>-4209</v>
      </c>
      <c r="BV148" s="21">
        <v>-4677</v>
      </c>
      <c r="BW148" s="21">
        <v>-7001</v>
      </c>
      <c r="BX148" s="21">
        <v>-6485</v>
      </c>
      <c r="BY148" s="21">
        <v>-7651</v>
      </c>
      <c r="BZ148" s="21">
        <v>-9907</v>
      </c>
      <c r="CA148" s="21">
        <v>-18921</v>
      </c>
      <c r="CB148" s="21">
        <v>-19809</v>
      </c>
      <c r="CC148" s="75">
        <f>-CC166</f>
        <v>-20087.760000000002</v>
      </c>
      <c r="CD148" s="13">
        <f t="shared" ref="CD148:CE148" si="315">-CD166</f>
        <v>-23179.896120168381</v>
      </c>
      <c r="CE148" s="13">
        <f t="shared" si="315"/>
        <v>-26864.620035476724</v>
      </c>
    </row>
    <row r="149" spans="2:83" x14ac:dyDescent="0.15">
      <c r="B149" s="1" t="s">
        <v>17</v>
      </c>
      <c r="BP149" s="21">
        <v>66</v>
      </c>
      <c r="BQ149" s="21">
        <v>30901</v>
      </c>
      <c r="BR149" s="21">
        <v>534</v>
      </c>
      <c r="BS149" s="21">
        <v>-334</v>
      </c>
      <c r="BT149" s="21">
        <v>-195</v>
      </c>
      <c r="BU149" s="21">
        <v>-119</v>
      </c>
      <c r="BV149" s="21">
        <v>19618</v>
      </c>
      <c r="BW149" s="21">
        <v>-319</v>
      </c>
      <c r="BX149" s="21">
        <v>-590</v>
      </c>
      <c r="BY149" s="21">
        <v>-12333</v>
      </c>
      <c r="BZ149" s="21">
        <v>-328</v>
      </c>
      <c r="CA149" s="21">
        <v>60</v>
      </c>
      <c r="CB149" s="21">
        <v>-192</v>
      </c>
      <c r="CC149" s="75">
        <v>0</v>
      </c>
      <c r="CD149" s="13">
        <v>0</v>
      </c>
      <c r="CE149" s="13">
        <v>0</v>
      </c>
    </row>
    <row r="150" spans="2:83" x14ac:dyDescent="0.15">
      <c r="B150" s="1" t="s">
        <v>101</v>
      </c>
      <c r="BP150" s="50">
        <v>-1018</v>
      </c>
      <c r="BQ150" s="50">
        <v>32294</v>
      </c>
      <c r="BR150" s="50">
        <v>8937</v>
      </c>
      <c r="BS150" s="50">
        <v>-7213</v>
      </c>
      <c r="BT150" s="50">
        <v>-11655</v>
      </c>
      <c r="BU150" s="50">
        <v>50186</v>
      </c>
      <c r="BV150" s="50">
        <v>-48165</v>
      </c>
      <c r="BW150" s="50">
        <v>-1987</v>
      </c>
      <c r="BX150" s="50">
        <v>-17973</v>
      </c>
      <c r="BY150" s="50">
        <v>-21145</v>
      </c>
      <c r="BZ150" s="50">
        <v>-41779</v>
      </c>
      <c r="CA150" s="50">
        <v>-53803</v>
      </c>
      <c r="CB150" s="50">
        <v>-63878</v>
      </c>
      <c r="CC150" s="79">
        <f>SUM(CC145:CC149)</f>
        <v>-49638.76</v>
      </c>
      <c r="CD150" s="61">
        <f t="shared" ref="CD150:CE150" si="316">SUM(CD145:CD149)</f>
        <v>-53230.896120168385</v>
      </c>
      <c r="CE150" s="61">
        <f t="shared" si="316"/>
        <v>-57415.620035476721</v>
      </c>
    </row>
    <row r="151" spans="2:83" x14ac:dyDescent="0.15"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75"/>
      <c r="CD151" s="13"/>
      <c r="CE151" s="13"/>
    </row>
    <row r="152" spans="2:83" x14ac:dyDescent="0.15">
      <c r="B152" s="1" t="s">
        <v>102</v>
      </c>
      <c r="BP152" s="21">
        <v>97</v>
      </c>
      <c r="BQ152" s="21">
        <v>281</v>
      </c>
      <c r="BR152" s="21">
        <v>-54</v>
      </c>
      <c r="BS152" s="21">
        <v>-67</v>
      </c>
      <c r="BT152" s="21">
        <v>-10</v>
      </c>
      <c r="BU152" s="21">
        <v>1727</v>
      </c>
      <c r="BV152" s="21">
        <v>356</v>
      </c>
      <c r="BW152" s="21">
        <v>38</v>
      </c>
      <c r="BX152" s="21">
        <v>-689</v>
      </c>
      <c r="BY152" s="21">
        <v>1078</v>
      </c>
      <c r="BZ152" s="21">
        <v>886</v>
      </c>
      <c r="CA152" s="21">
        <v>2186</v>
      </c>
      <c r="CB152" s="21">
        <v>-761</v>
      </c>
      <c r="CC152" s="75">
        <f t="shared" si="311"/>
        <v>0</v>
      </c>
      <c r="CD152" s="13">
        <f t="shared" si="311"/>
        <v>0</v>
      </c>
      <c r="CE152" s="13">
        <f t="shared" si="311"/>
        <v>0</v>
      </c>
    </row>
    <row r="153" spans="2:83" x14ac:dyDescent="0.15">
      <c r="CC153" s="74"/>
    </row>
    <row r="154" spans="2:83" x14ac:dyDescent="0.15">
      <c r="B154" s="1" t="s">
        <v>27</v>
      </c>
      <c r="BP154" s="12">
        <f t="shared" ref="BP154:BU154" si="317">BP136+BP138</f>
        <v>7539</v>
      </c>
      <c r="BQ154" s="12">
        <f t="shared" si="317"/>
        <v>10285</v>
      </c>
      <c r="BR154" s="12">
        <f t="shared" si="317"/>
        <v>28021</v>
      </c>
      <c r="BS154" s="12">
        <f t="shared" si="317"/>
        <v>11788</v>
      </c>
      <c r="BT154" s="12">
        <f t="shared" si="317"/>
        <v>38332</v>
      </c>
      <c r="BU154" s="12">
        <f t="shared" si="317"/>
        <v>33054</v>
      </c>
      <c r="BV154" s="12">
        <f t="shared" ref="BV154:BZ154" si="318">BV136+BV138+BV145+BV140</f>
        <v>32904</v>
      </c>
      <c r="BW154" s="12">
        <f t="shared" si="318"/>
        <v>15177</v>
      </c>
      <c r="BX154" s="12">
        <f t="shared" si="318"/>
        <v>25404</v>
      </c>
      <c r="BY154" s="12">
        <f t="shared" si="318"/>
        <v>39705</v>
      </c>
      <c r="BZ154" s="12">
        <f t="shared" si="318"/>
        <v>40159</v>
      </c>
      <c r="CA154" s="12">
        <f>CA136+CA138+CA145+CA140</f>
        <v>45391</v>
      </c>
      <c r="CB154" s="12">
        <f t="shared" ref="CB154:CE154" si="319">CB136+CB138+CB145+CB140</f>
        <v>31380</v>
      </c>
      <c r="CC154" s="88">
        <f t="shared" si="319"/>
        <v>36499.673159050493</v>
      </c>
      <c r="CD154" s="12">
        <f t="shared" si="319"/>
        <v>42720.336926945776</v>
      </c>
      <c r="CE154" s="12">
        <f t="shared" si="319"/>
        <v>50249.660106423646</v>
      </c>
    </row>
    <row r="155" spans="2:83" x14ac:dyDescent="0.15">
      <c r="B155" s="1" t="s">
        <v>28</v>
      </c>
      <c r="BP155" s="28">
        <f t="shared" ref="BP155:CB155" si="320">BP152+BP150+BP143+BP136</f>
        <v>5902</v>
      </c>
      <c r="BQ155" s="28">
        <f t="shared" si="320"/>
        <v>-7868</v>
      </c>
      <c r="BR155" s="28">
        <f t="shared" si="320"/>
        <v>24248</v>
      </c>
      <c r="BS155" s="28">
        <f t="shared" si="320"/>
        <v>-9066</v>
      </c>
      <c r="BT155" s="28">
        <f t="shared" si="320"/>
        <v>18244</v>
      </c>
      <c r="BU155" s="28">
        <f t="shared" si="320"/>
        <v>20184</v>
      </c>
      <c r="BV155" s="28">
        <f t="shared" si="320"/>
        <v>-20597</v>
      </c>
      <c r="BW155" s="28">
        <f t="shared" si="320"/>
        <v>9067</v>
      </c>
      <c r="BX155" s="28">
        <f t="shared" si="320"/>
        <v>4955</v>
      </c>
      <c r="BY155" s="28">
        <f t="shared" si="320"/>
        <v>23568</v>
      </c>
      <c r="BZ155" s="28">
        <f t="shared" si="320"/>
        <v>5300</v>
      </c>
      <c r="CA155" s="28">
        <f t="shared" si="320"/>
        <v>7136</v>
      </c>
      <c r="CB155" s="28">
        <f t="shared" si="320"/>
        <v>-25550</v>
      </c>
      <c r="CC155" s="83">
        <f>CC152+CC150+CC143+CC136</f>
        <v>6411.913159050484</v>
      </c>
      <c r="CD155" s="28">
        <f t="shared" ref="CD155:CE155" si="321">CD152+CD150+CD143+CD136</f>
        <v>9540.4408067773911</v>
      </c>
      <c r="CE155" s="28">
        <f t="shared" si="321"/>
        <v>13385.040070946925</v>
      </c>
    </row>
    <row r="156" spans="2:83" x14ac:dyDescent="0.15">
      <c r="CC156" s="74"/>
    </row>
    <row r="157" spans="2:83" x14ac:dyDescent="0.15">
      <c r="B157" s="1" t="s">
        <v>29</v>
      </c>
      <c r="BP157" s="12">
        <f t="shared" ref="BP157:CB157" si="322">BP129</f>
        <v>605</v>
      </c>
      <c r="BQ157" s="12">
        <f t="shared" si="322"/>
        <v>2550</v>
      </c>
      <c r="BR157" s="12">
        <f t="shared" si="322"/>
        <v>2749</v>
      </c>
      <c r="BS157" s="12">
        <f t="shared" si="322"/>
        <v>3061</v>
      </c>
      <c r="BT157" s="12">
        <f t="shared" si="322"/>
        <v>3988</v>
      </c>
      <c r="BU157" s="12">
        <f t="shared" si="322"/>
        <v>4907</v>
      </c>
      <c r="BV157" s="12">
        <f t="shared" si="322"/>
        <v>7249</v>
      </c>
      <c r="BW157" s="12">
        <f t="shared" si="322"/>
        <v>9466</v>
      </c>
      <c r="BX157" s="12">
        <f t="shared" si="322"/>
        <v>10760</v>
      </c>
      <c r="BY157" s="12">
        <f t="shared" si="322"/>
        <v>12150</v>
      </c>
      <c r="BZ157" s="12">
        <f t="shared" si="322"/>
        <v>30315</v>
      </c>
      <c r="CA157" s="12">
        <f t="shared" si="322"/>
        <v>29634</v>
      </c>
      <c r="CB157" s="12">
        <f t="shared" si="322"/>
        <v>32984</v>
      </c>
      <c r="CC157" s="86">
        <f>CC158*CC6</f>
        <v>35328.267949999994</v>
      </c>
      <c r="CD157" s="27">
        <f>CD158*CD6</f>
        <v>37034.987998500001</v>
      </c>
      <c r="CE157" s="27">
        <f>CE158*CE6</f>
        <v>38821.918992545005</v>
      </c>
    </row>
    <row r="158" spans="2:83" x14ac:dyDescent="0.15">
      <c r="B158" s="22" t="s">
        <v>32</v>
      </c>
      <c r="BP158" s="19">
        <f t="shared" ref="BP158:CB158" si="323">BP157/BP6</f>
        <v>2.4470942272844941E-3</v>
      </c>
      <c r="BQ158" s="19">
        <f t="shared" si="323"/>
        <v>7.0346962252647669E-3</v>
      </c>
      <c r="BR158" s="19">
        <f t="shared" si="323"/>
        <v>6.8544043724567145E-3</v>
      </c>
      <c r="BS158" s="19">
        <f t="shared" si="323"/>
        <v>5.9138673523996465E-3</v>
      </c>
      <c r="BT158" s="19">
        <f t="shared" si="323"/>
        <v>6.7365433829677619E-3</v>
      </c>
      <c r="BU158" s="19">
        <f t="shared" si="323"/>
        <v>6.794676695519003E-3</v>
      </c>
      <c r="BV158" s="19">
        <f t="shared" si="323"/>
        <v>7.829832645293135E-3</v>
      </c>
      <c r="BW158" s="19">
        <f t="shared" si="323"/>
        <v>9.7530116261338676E-3</v>
      </c>
      <c r="BX158" s="19">
        <f t="shared" si="323"/>
        <v>1.1317714326585479E-2</v>
      </c>
      <c r="BY158" s="19">
        <f t="shared" si="323"/>
        <v>1.1452615862297141E-2</v>
      </c>
      <c r="BZ158" s="19">
        <f t="shared" si="323"/>
        <v>2.4396250147874353E-2</v>
      </c>
      <c r="CA158" s="19">
        <f t="shared" si="323"/>
        <v>2.2329505253092592E-2</v>
      </c>
      <c r="CB158" s="19">
        <f t="shared" si="323"/>
        <v>2.2728181042668397E-2</v>
      </c>
      <c r="CC158" s="77">
        <v>2.3E-2</v>
      </c>
      <c r="CD158" s="19">
        <v>2.3E-2</v>
      </c>
      <c r="CE158" s="19">
        <v>2.3E-2</v>
      </c>
    </row>
    <row r="159" spans="2:83" x14ac:dyDescent="0.15">
      <c r="B159" s="15" t="s">
        <v>30</v>
      </c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27">
        <f>-BZ138</f>
        <v>3257</v>
      </c>
      <c r="CA159" s="27">
        <f t="shared" ref="CA159:CB159" si="324">-CA138</f>
        <v>3279</v>
      </c>
      <c r="CB159" s="27">
        <f t="shared" si="324"/>
        <v>5139</v>
      </c>
      <c r="CC159" s="86">
        <f>CC138*-1</f>
        <v>5139</v>
      </c>
      <c r="CD159" s="27">
        <f t="shared" ref="CD159:CE159" si="325">CD138*-1</f>
        <v>5139</v>
      </c>
      <c r="CE159" s="27">
        <f t="shared" si="325"/>
        <v>5139</v>
      </c>
    </row>
    <row r="160" spans="2:83" x14ac:dyDescent="0.15">
      <c r="B160" s="15" t="s">
        <v>31</v>
      </c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>
        <f>BZ157-BZ159-BZ161</f>
        <v>10934</v>
      </c>
      <c r="CA160" s="12">
        <f t="shared" ref="CA160:CE160" si="326">CA157-CA159-CA161</f>
        <v>9479</v>
      </c>
      <c r="CB160" s="12">
        <f t="shared" si="326"/>
        <v>8794</v>
      </c>
      <c r="CC160" s="88">
        <f t="shared" si="326"/>
        <v>10638.267949999994</v>
      </c>
      <c r="CD160" s="12">
        <f t="shared" si="326"/>
        <v>11844.987998500001</v>
      </c>
      <c r="CE160" s="12">
        <f t="shared" si="326"/>
        <v>13131.918992545005</v>
      </c>
    </row>
    <row r="161" spans="2:83" x14ac:dyDescent="0.15">
      <c r="B161" s="15" t="s">
        <v>104</v>
      </c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>
        <f>-BZ145</f>
        <v>16124</v>
      </c>
      <c r="CA161" s="12">
        <f t="shared" ref="CA161:CB161" si="327">-CA145</f>
        <v>16876</v>
      </c>
      <c r="CB161" s="12">
        <f t="shared" si="327"/>
        <v>19051</v>
      </c>
      <c r="CC161" s="86">
        <f>-CC145</f>
        <v>19551</v>
      </c>
      <c r="CD161" s="27">
        <f t="shared" ref="CD161:CE161" si="328">-CD145</f>
        <v>20051</v>
      </c>
      <c r="CE161" s="27">
        <f t="shared" si="328"/>
        <v>20551</v>
      </c>
    </row>
    <row r="162" spans="2:83" x14ac:dyDescent="0.15">
      <c r="B162" s="15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86"/>
      <c r="CD162" s="27"/>
      <c r="CE162" s="27"/>
    </row>
    <row r="163" spans="2:83" x14ac:dyDescent="0.15">
      <c r="B163" s="15" t="s">
        <v>107</v>
      </c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86">
        <v>22000</v>
      </c>
      <c r="CD163" s="27">
        <v>22000</v>
      </c>
      <c r="CE163" s="27">
        <v>22000</v>
      </c>
    </row>
    <row r="164" spans="2:83" x14ac:dyDescent="0.15">
      <c r="CC164" s="74"/>
    </row>
    <row r="165" spans="2:83" x14ac:dyDescent="0.15">
      <c r="B165" s="1" t="s">
        <v>35</v>
      </c>
      <c r="CC165" s="74"/>
    </row>
    <row r="166" spans="2:83" x14ac:dyDescent="0.15">
      <c r="B166" s="15" t="s">
        <v>33</v>
      </c>
      <c r="BP166" s="28">
        <f t="shared" ref="BP166:CB166" si="329">BP148*-1</f>
        <v>952</v>
      </c>
      <c r="BQ166" s="28">
        <f t="shared" si="329"/>
        <v>1380</v>
      </c>
      <c r="BR166" s="28">
        <f t="shared" si="329"/>
        <v>2046</v>
      </c>
      <c r="BS166" s="28">
        <f t="shared" si="329"/>
        <v>2721</v>
      </c>
      <c r="BT166" s="28">
        <f t="shared" si="329"/>
        <v>3522</v>
      </c>
      <c r="BU166" s="28">
        <f t="shared" si="329"/>
        <v>4209</v>
      </c>
      <c r="BV166" s="28">
        <f t="shared" si="329"/>
        <v>4677</v>
      </c>
      <c r="BW166" s="28">
        <f t="shared" si="329"/>
        <v>7001</v>
      </c>
      <c r="BX166" s="28">
        <f t="shared" si="329"/>
        <v>6485</v>
      </c>
      <c r="BY166" s="28">
        <f t="shared" si="329"/>
        <v>7651</v>
      </c>
      <c r="BZ166" s="28">
        <f t="shared" si="329"/>
        <v>9907</v>
      </c>
      <c r="CA166" s="28">
        <f t="shared" si="329"/>
        <v>18921</v>
      </c>
      <c r="CB166" s="28">
        <f t="shared" si="329"/>
        <v>19809</v>
      </c>
      <c r="CC166" s="83">
        <f>CC167*CB27</f>
        <v>20087.760000000002</v>
      </c>
      <c r="CD166" s="28">
        <f t="shared" ref="CD166:CE166" si="330">CD167*CC27</f>
        <v>23179.896120168381</v>
      </c>
      <c r="CE166" s="28">
        <f t="shared" si="330"/>
        <v>26864.620035476724</v>
      </c>
    </row>
    <row r="167" spans="2:83" x14ac:dyDescent="0.15">
      <c r="B167" s="22" t="s">
        <v>34</v>
      </c>
      <c r="BP167" s="19">
        <f t="shared" ref="BP167:CB167" si="331">BP166/BP27</f>
        <v>0.16168478260869565</v>
      </c>
      <c r="BQ167" s="19">
        <f t="shared" si="331"/>
        <v>0.14000202901491327</v>
      </c>
      <c r="BR167" s="19">
        <f t="shared" si="331"/>
        <v>0.15241358760429083</v>
      </c>
      <c r="BS167" s="19">
        <f t="shared" si="331"/>
        <v>0.15677575478220787</v>
      </c>
      <c r="BT167" s="19">
        <f t="shared" si="331"/>
        <v>0.19764309764309765</v>
      </c>
      <c r="BU167" s="19">
        <f t="shared" si="331"/>
        <v>0.54176856738318957</v>
      </c>
      <c r="BV167" s="19">
        <f t="shared" si="331"/>
        <v>0.19198719264398012</v>
      </c>
      <c r="BW167" s="19">
        <f t="shared" si="331"/>
        <v>0.91973200210194428</v>
      </c>
      <c r="BX167" s="19">
        <f t="shared" si="331"/>
        <v>0.42272342089824655</v>
      </c>
      <c r="BY167" s="19">
        <f t="shared" si="331"/>
        <v>0.23979815708644142</v>
      </c>
      <c r="BZ167" s="19">
        <f t="shared" si="331"/>
        <v>0.43526207108650761</v>
      </c>
      <c r="CA167" s="19">
        <f t="shared" si="331"/>
        <v>0.63131026659103795</v>
      </c>
      <c r="CB167" s="19">
        <f t="shared" si="331"/>
        <v>0.55222881993811157</v>
      </c>
      <c r="CC167" s="92">
        <v>0.56000000000000005</v>
      </c>
      <c r="CD167" s="69">
        <v>0.55000000000000004</v>
      </c>
      <c r="CE167" s="69">
        <v>0.55000000000000004</v>
      </c>
    </row>
    <row r="168" spans="2:83" x14ac:dyDescent="0.15">
      <c r="B168" s="15" t="s">
        <v>36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