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bookViews>
    <workbookView xWindow="27000" yWindow="500" windowWidth="24040" windowHeight="28140" tabRatio="829" xr2:uid="{43AACDF1-CAA6-4B1D-BF95-82C7ADDD53FA}"/>
  </bookViews>
  <sheets>
    <sheet name="Valuation &amp; Returns" sheetId="51" r:id="rId1"/>
    <sheet name="220k EBITDA" sheetId="59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51" l="1"/>
  <c r="F10" i="51" l="1"/>
  <c r="E10" i="51" l="1"/>
  <c r="J10" i="51" s="1"/>
  <c r="J32" i="51" l="1"/>
  <c r="K18" i="51"/>
  <c r="M32" i="51"/>
  <c r="L32" i="51"/>
  <c r="K32" i="51"/>
  <c r="J9" i="51"/>
  <c r="J16" i="51" s="1"/>
  <c r="J20" i="51" s="1"/>
  <c r="F9" i="51"/>
  <c r="K9" i="51" s="1"/>
  <c r="J33" i="51" l="1"/>
  <c r="J36" i="51"/>
  <c r="J34" i="51"/>
  <c r="J21" i="51"/>
  <c r="J22" i="51" s="1"/>
  <c r="J35" i="51"/>
  <c r="G9" i="51"/>
  <c r="L9" i="51" s="1"/>
  <c r="G10" i="51"/>
  <c r="K10" i="51" l="1"/>
  <c r="K19" i="51"/>
  <c r="J11" i="51"/>
  <c r="L10" i="51" l="1"/>
  <c r="L19" i="51"/>
  <c r="K11" i="51"/>
  <c r="M19" i="51" l="1"/>
  <c r="J28" i="51" s="1"/>
  <c r="L11" i="51"/>
  <c r="E12" i="51" l="1"/>
  <c r="J12" i="51" s="1"/>
  <c r="F12" i="51" l="1"/>
  <c r="K12" i="51" s="1"/>
  <c r="K13" i="51" s="1"/>
  <c r="K17" i="51"/>
  <c r="J13" i="51"/>
  <c r="K20" i="51" l="1"/>
  <c r="K36" i="51"/>
  <c r="K33" i="51"/>
  <c r="L17" i="51"/>
  <c r="L20" i="51" s="1"/>
  <c r="L34" i="51" s="1"/>
  <c r="K35" i="51"/>
  <c r="K21" i="51"/>
  <c r="K34" i="51"/>
  <c r="G12" i="51"/>
  <c r="L12" i="51" s="1"/>
  <c r="O9" i="51" s="1"/>
  <c r="L35" i="51" l="1"/>
  <c r="L21" i="51"/>
  <c r="L36" i="51"/>
  <c r="L33" i="51"/>
  <c r="K22" i="51"/>
  <c r="M17" i="51"/>
  <c r="J26" i="51" s="1"/>
  <c r="O10" i="51"/>
  <c r="L13" i="51"/>
  <c r="L22" i="51"/>
  <c r="M20" i="51" l="1"/>
  <c r="M33" i="51" s="1"/>
  <c r="N33" i="51" s="1"/>
  <c r="J27" i="51"/>
  <c r="M34" i="51" l="1"/>
  <c r="N34" i="51" s="1"/>
  <c r="M36" i="51"/>
  <c r="N36" i="51" s="1"/>
  <c r="P10" i="51" s="1"/>
  <c r="M35" i="51"/>
  <c r="N35" i="51" s="1"/>
  <c r="P9" i="51" s="1"/>
  <c r="M21" i="51"/>
  <c r="M22" i="51" s="1"/>
</calcChain>
</file>

<file path=xl/sharedStrings.xml><?xml version="1.0" encoding="utf-8"?>
<sst xmlns="http://schemas.openxmlformats.org/spreadsheetml/2006/main" count="121" uniqueCount="69">
  <si>
    <t>Pro Forma Model</t>
  </si>
  <si>
    <t>Actuals</t>
  </si>
  <si>
    <t>Company1574 EBITDA Calculation</t>
  </si>
  <si>
    <t>% Revenue</t>
  </si>
  <si>
    <t>Revenue</t>
  </si>
  <si>
    <t>Labor</t>
  </si>
  <si>
    <t>Doctor Labor</t>
  </si>
  <si>
    <t>Staff Labor</t>
  </si>
  <si>
    <t>Benefits</t>
  </si>
  <si>
    <t>Payroll Taxes</t>
  </si>
  <si>
    <t>Labor Expense Total</t>
  </si>
  <si>
    <t>Non-Labor Expense</t>
  </si>
  <si>
    <t>Supplies</t>
  </si>
  <si>
    <t>Rent</t>
  </si>
  <si>
    <t>Occupancy Other</t>
  </si>
  <si>
    <t>Equipment</t>
  </si>
  <si>
    <t>Marketing</t>
  </si>
  <si>
    <t>Licenses</t>
  </si>
  <si>
    <t>Office Expense</t>
  </si>
  <si>
    <t>Professional Fees</t>
  </si>
  <si>
    <t>IT / Phone / Internet</t>
  </si>
  <si>
    <t>Travel</t>
  </si>
  <si>
    <t>Admin - Other</t>
  </si>
  <si>
    <t>Non-Labor Expense Total</t>
  </si>
  <si>
    <t>Total Practice Expenses</t>
  </si>
  <si>
    <t>Clinical EBITDA</t>
  </si>
  <si>
    <t>Clinical Revenue</t>
  </si>
  <si>
    <t>Accounting</t>
  </si>
  <si>
    <t>2023 TTM</t>
  </si>
  <si>
    <t xml:space="preserve"> Revenue</t>
  </si>
  <si>
    <t>Person0161 (MD)</t>
  </si>
  <si>
    <t>*Sept 2023 TTM*</t>
  </si>
  <si>
    <t>Valuations &amp; Returns</t>
  </si>
  <si>
    <t>($ in 000'S)</t>
  </si>
  <si>
    <t>FY2024</t>
  </si>
  <si>
    <t>FY2025</t>
  </si>
  <si>
    <t>Valuation</t>
  </si>
  <si>
    <t>IRR</t>
  </si>
  <si>
    <t>Purchase Price</t>
  </si>
  <si>
    <t>Practice Revenue</t>
  </si>
  <si>
    <t>Revenue Multiple</t>
  </si>
  <si>
    <t>EBITDA</t>
  </si>
  <si>
    <t>Practice EBITDA</t>
  </si>
  <si>
    <t>EBITDA Multiple</t>
  </si>
  <si>
    <t>Initial</t>
  </si>
  <si>
    <t>Annual Practice EBITDA</t>
  </si>
  <si>
    <t>Transition CapEx</t>
  </si>
  <si>
    <t>Practice Net Cash Flows</t>
  </si>
  <si>
    <t>Cumulative Cash Flows</t>
  </si>
  <si>
    <t>Fraction Row</t>
  </si>
  <si>
    <t>Key Figures</t>
  </si>
  <si>
    <t>Payback Period (Years)</t>
  </si>
  <si>
    <t>&gt;3 years</t>
  </si>
  <si>
    <t>Cumulative EBITDA</t>
  </si>
  <si>
    <t>Invested Capital</t>
  </si>
  <si>
    <t>Proforma</t>
  </si>
  <si>
    <t>MINUS DR Product0014</t>
  </si>
  <si>
    <t>QofE Revenue</t>
  </si>
  <si>
    <t>2023 FY</t>
  </si>
  <si>
    <t>FY 2023</t>
  </si>
  <si>
    <t>Combines 2023 with Doctor leaving</t>
  </si>
  <si>
    <t>FY2026</t>
  </si>
  <si>
    <t>2026 ROIC</t>
  </si>
  <si>
    <t>New Doctor Revenue</t>
  </si>
  <si>
    <t>Key Assumptions</t>
  </si>
  <si>
    <t>Purchase Price:</t>
  </si>
  <si>
    <t>Maintenance CapEx</t>
  </si>
  <si>
    <t>Maintenance CapEx % of revenue:</t>
  </si>
  <si>
    <t>EV/EBITDA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</si>
</sst>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* #,##0_);_(* \(#,##0\);_(* &quot;-&quot;??_);_(@_)"/>
    <numFmt numFmtId="167" formatCode="0.0%;\(0.0%\)"/>
    <numFmt numFmtId="168" formatCode="#,###,##0.00;\(#,###,##0.00\)"/>
    <numFmt numFmtId="169" formatCode="#,##0.00%;\(#,##0.00%\)"/>
    <numFmt numFmtId="170" formatCode="0.0\x"/>
    <numFmt numFmtId="171" formatCode="0.0"/>
    <numFmt numFmtId="172" formatCode="0.0000%"/>
  </numFmts>
  <fonts count="36" x14ac:knownFonts="1">
    <font>
      <sz val="8.25"/>
      <color rgb="FF000000"/>
      <name val="Microsoft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.25"/>
      <color rgb="FF000000"/>
      <name val="Microsoft Sans Serif"/>
      <family val="2"/>
    </font>
    <font>
      <sz val="10"/>
      <name val="Calibri"/>
      <family val="2"/>
      <scheme val="minor"/>
    </font>
    <font>
      <sz val="8.25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8.25"/>
      <name val="Calibri"/>
      <family val="2"/>
      <scheme val="minor"/>
    </font>
    <font>
      <sz val="11"/>
      <color theme="1"/>
      <name val="Calibri"/>
      <family val="2"/>
    </font>
    <font>
      <b/>
      <i/>
      <sz val="10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indexed="0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432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36">
    <xf numFmtId="0" fontId="0" fillId="0" borderId="0" applyAlignment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5" fillId="0" borderId="0"/>
    <xf numFmtId="0" fontId="11" fillId="0" borderId="0" applyAlignment="0"/>
    <xf numFmtId="0" fontId="6" fillId="0" borderId="0"/>
    <xf numFmtId="0" fontId="6" fillId="0" borderId="0"/>
    <xf numFmtId="44" fontId="6" fillId="0" borderId="0" applyFont="0" applyFill="0" applyBorder="0" applyAlignment="0" applyProtection="0"/>
    <xf numFmtId="0" fontId="11" fillId="0" borderId="0" applyAlignment="0"/>
    <xf numFmtId="0" fontId="17" fillId="0" borderId="0"/>
    <xf numFmtId="4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16" fillId="0" borderId="0"/>
    <xf numFmtId="0" fontId="16" fillId="0" borderId="0"/>
    <xf numFmtId="0" fontId="6" fillId="0" borderId="0"/>
    <xf numFmtId="0" fontId="18" fillId="0" borderId="0" applyNumberFormat="0" applyFill="0" applyBorder="0" applyProtection="0"/>
    <xf numFmtId="0" fontId="20" fillId="0" borderId="0"/>
    <xf numFmtId="44" fontId="20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1" fillId="0" borderId="0" applyAlignment="0"/>
    <xf numFmtId="9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22" fillId="0" borderId="0"/>
    <xf numFmtId="0" fontId="5" fillId="0" borderId="0"/>
    <xf numFmtId="43" fontId="5" fillId="0" borderId="0" applyFont="0" applyFill="0" applyBorder="0" applyAlignment="0" applyProtection="0"/>
    <xf numFmtId="0" fontId="23" fillId="0" borderId="0"/>
    <xf numFmtId="44" fontId="23" fillId="0" borderId="0" applyFont="0" applyFill="0" applyBorder="0" applyAlignment="0" applyProtection="0"/>
    <xf numFmtId="0" fontId="24" fillId="0" borderId="0"/>
    <xf numFmtId="168" fontId="24" fillId="0" borderId="0"/>
    <xf numFmtId="169" fontId="24" fillId="0" borderId="0"/>
    <xf numFmtId="0" fontId="20" fillId="0" borderId="0"/>
    <xf numFmtId="43" fontId="11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5" fillId="0" borderId="0"/>
    <xf numFmtId="43" fontId="25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166">
    <xf numFmtId="0" fontId="0" fillId="0" borderId="0" xfId="0"/>
    <xf numFmtId="0" fontId="7" fillId="0" borderId="0" xfId="0" applyFont="1" applyAlignment="1"/>
    <xf numFmtId="0" fontId="9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8" fillId="0" borderId="0" xfId="0" applyFont="1" applyAlignment="1"/>
    <xf numFmtId="0" fontId="12" fillId="0" borderId="0" xfId="0" applyFont="1" applyAlignment="1"/>
    <xf numFmtId="0" fontId="7" fillId="0" borderId="0" xfId="0" applyFont="1"/>
    <xf numFmtId="17" fontId="8" fillId="0" borderId="0" xfId="0" applyNumberFormat="1" applyFont="1" applyAlignment="1">
      <alignment horizontal="center"/>
    </xf>
    <xf numFmtId="0" fontId="13" fillId="2" borderId="0" xfId="0" applyFont="1" applyFill="1"/>
    <xf numFmtId="0" fontId="11" fillId="0" borderId="0" xfId="0" applyFont="1"/>
    <xf numFmtId="0" fontId="19" fillId="2" borderId="0" xfId="0" applyFont="1" applyFill="1"/>
    <xf numFmtId="0" fontId="8" fillId="0" borderId="8" xfId="0" applyFont="1" applyBorder="1" applyAlignment="1">
      <alignment horizontal="center"/>
    </xf>
    <xf numFmtId="17" fontId="8" fillId="0" borderId="8" xfId="0" applyNumberFormat="1" applyFont="1" applyBorder="1" applyAlignment="1">
      <alignment horizontal="center"/>
    </xf>
    <xf numFmtId="164" fontId="0" fillId="0" borderId="0" xfId="0" applyNumberFormat="1"/>
    <xf numFmtId="0" fontId="0" fillId="0" borderId="6" xfId="0" applyBorder="1"/>
    <xf numFmtId="0" fontId="21" fillId="4" borderId="24" xfId="28" applyFont="1" applyFill="1" applyBorder="1" applyAlignment="1">
      <alignment horizontal="centerContinuous"/>
    </xf>
    <xf numFmtId="164" fontId="12" fillId="0" borderId="3" xfId="2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21" xfId="0" applyFont="1" applyBorder="1" applyAlignment="1">
      <alignment horizontal="center"/>
    </xf>
    <xf numFmtId="0" fontId="9" fillId="0" borderId="6" xfId="0" applyFont="1" applyBorder="1" applyAlignment="1">
      <alignment horizontal="centerContinuous"/>
    </xf>
    <xf numFmtId="0" fontId="7" fillId="0" borderId="3" xfId="0" applyFont="1" applyBorder="1" applyAlignment="1">
      <alignment horizontal="center"/>
    </xf>
    <xf numFmtId="17" fontId="8" fillId="0" borderId="21" xfId="0" applyNumberFormat="1" applyFont="1" applyBorder="1" applyAlignment="1">
      <alignment horizontal="center"/>
    </xf>
    <xf numFmtId="17" fontId="9" fillId="0" borderId="3" xfId="0" applyNumberFormat="1" applyFont="1" applyBorder="1" applyAlignment="1">
      <alignment horizontal="center"/>
    </xf>
    <xf numFmtId="164" fontId="12" fillId="0" borderId="6" xfId="2" applyNumberFormat="1" applyFont="1" applyBorder="1" applyAlignment="1">
      <alignment horizontal="center"/>
    </xf>
    <xf numFmtId="167" fontId="12" fillId="0" borderId="6" xfId="3" applyNumberFormat="1" applyFont="1" applyBorder="1" applyAlignment="1">
      <alignment horizontal="center"/>
    </xf>
    <xf numFmtId="165" fontId="8" fillId="0" borderId="6" xfId="2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7" fontId="7" fillId="0" borderId="0" xfId="3" applyNumberFormat="1" applyFont="1" applyBorder="1" applyAlignment="1">
      <alignment horizontal="center"/>
    </xf>
    <xf numFmtId="167" fontId="7" fillId="0" borderId="1" xfId="3" applyNumberFormat="1" applyFont="1" applyFill="1" applyBorder="1" applyAlignment="1">
      <alignment horizontal="center"/>
    </xf>
    <xf numFmtId="164" fontId="7" fillId="0" borderId="2" xfId="2" applyNumberFormat="1" applyFont="1" applyBorder="1" applyAlignment="1">
      <alignment horizontal="center"/>
    </xf>
    <xf numFmtId="167" fontId="7" fillId="0" borderId="2" xfId="3" applyNumberFormat="1" applyFont="1" applyFill="1" applyBorder="1" applyAlignment="1">
      <alignment horizontal="center"/>
    </xf>
    <xf numFmtId="164" fontId="8" fillId="0" borderId="1" xfId="2" applyNumberFormat="1" applyFont="1" applyBorder="1"/>
    <xf numFmtId="167" fontId="12" fillId="0" borderId="0" xfId="3" applyNumberFormat="1" applyFont="1" applyBorder="1" applyAlignment="1">
      <alignment horizontal="center"/>
    </xf>
    <xf numFmtId="0" fontId="7" fillId="0" borderId="1" xfId="0" applyFont="1" applyBorder="1"/>
    <xf numFmtId="167" fontId="7" fillId="0" borderId="1" xfId="3" applyNumberFormat="1" applyFont="1" applyBorder="1" applyAlignment="1">
      <alignment horizontal="center"/>
    </xf>
    <xf numFmtId="164" fontId="7" fillId="0" borderId="1" xfId="2" applyNumberFormat="1" applyFont="1" applyBorder="1"/>
    <xf numFmtId="167" fontId="7" fillId="0" borderId="2" xfId="3" applyNumberFormat="1" applyFont="1" applyBorder="1" applyAlignment="1">
      <alignment horizontal="center"/>
    </xf>
    <xf numFmtId="165" fontId="8" fillId="0" borderId="1" xfId="3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7" fillId="0" borderId="2" xfId="2" applyNumberFormat="1" applyFont="1" applyFill="1" applyBorder="1"/>
    <xf numFmtId="167" fontId="12" fillId="0" borderId="1" xfId="3" applyNumberFormat="1" applyFont="1" applyBorder="1" applyAlignment="1">
      <alignment horizontal="center"/>
    </xf>
    <xf numFmtId="167" fontId="7" fillId="0" borderId="0" xfId="3" applyNumberFormat="1" applyFont="1" applyFill="1" applyBorder="1" applyAlignment="1">
      <alignment horizontal="center"/>
    </xf>
    <xf numFmtId="164" fontId="8" fillId="0" borderId="7" xfId="2" applyNumberFormat="1" applyFont="1" applyBorder="1"/>
    <xf numFmtId="165" fontId="8" fillId="0" borderId="0" xfId="3" applyNumberFormat="1" applyFont="1" applyBorder="1" applyAlignment="1">
      <alignment horizontal="center"/>
    </xf>
    <xf numFmtId="165" fontId="8" fillId="0" borderId="7" xfId="2" applyNumberFormat="1" applyFont="1" applyBorder="1" applyAlignment="1">
      <alignment horizontal="center"/>
    </xf>
    <xf numFmtId="165" fontId="8" fillId="0" borderId="0" xfId="2" applyNumberFormat="1" applyFont="1" applyBorder="1" applyAlignment="1">
      <alignment horizontal="center"/>
    </xf>
    <xf numFmtId="164" fontId="12" fillId="0" borderId="0" xfId="2" applyNumberFormat="1" applyFont="1" applyBorder="1" applyAlignment="1">
      <alignment horizontal="center"/>
    </xf>
    <xf numFmtId="166" fontId="7" fillId="0" borderId="6" xfId="1" applyNumberFormat="1" applyFont="1" applyBorder="1" applyAlignment="1">
      <alignment horizontal="center"/>
    </xf>
    <xf numFmtId="164" fontId="7" fillId="0" borderId="1" xfId="2" applyNumberFormat="1" applyFont="1" applyBorder="1" applyAlignment="1">
      <alignment horizontal="center"/>
    </xf>
    <xf numFmtId="0" fontId="29" fillId="0" borderId="0" xfId="28" applyFont="1" applyAlignment="1">
      <alignment horizontal="left"/>
    </xf>
    <xf numFmtId="0" fontId="31" fillId="0" borderId="0" xfId="39" applyFont="1" applyAlignment="1">
      <alignment horizontal="centerContinuous"/>
    </xf>
    <xf numFmtId="0" fontId="32" fillId="0" borderId="0" xfId="39" applyFont="1"/>
    <xf numFmtId="0" fontId="30" fillId="0" borderId="0" xfId="39" applyFont="1" applyAlignment="1">
      <alignment horizontal="centerContinuous"/>
    </xf>
    <xf numFmtId="0" fontId="1" fillId="0" borderId="0" xfId="39" applyFont="1"/>
    <xf numFmtId="0" fontId="1" fillId="0" borderId="0" xfId="39" applyFont="1" applyAlignment="1">
      <alignment horizontal="centerContinuous"/>
    </xf>
    <xf numFmtId="0" fontId="28" fillId="0" borderId="0" xfId="39" applyFont="1" applyAlignment="1">
      <alignment horizontal="center"/>
    </xf>
    <xf numFmtId="0" fontId="33" fillId="0" borderId="16" xfId="39" applyFont="1" applyBorder="1" applyAlignment="1">
      <alignment horizontal="center"/>
    </xf>
    <xf numFmtId="0" fontId="28" fillId="7" borderId="17" xfId="39" applyFont="1" applyFill="1" applyBorder="1" applyAlignment="1">
      <alignment horizontal="center"/>
    </xf>
    <xf numFmtId="0" fontId="28" fillId="0" borderId="0" xfId="39" applyFont="1"/>
    <xf numFmtId="164" fontId="1" fillId="0" borderId="0" xfId="22" applyNumberFormat="1" applyFont="1"/>
    <xf numFmtId="0" fontId="28" fillId="0" borderId="13" xfId="39" applyFont="1" applyBorder="1"/>
    <xf numFmtId="164" fontId="1" fillId="0" borderId="6" xfId="22" applyNumberFormat="1" applyFont="1" applyBorder="1"/>
    <xf numFmtId="164" fontId="1" fillId="0" borderId="0" xfId="22" applyNumberFormat="1" applyFont="1" applyBorder="1"/>
    <xf numFmtId="164" fontId="1" fillId="0" borderId="14" xfId="22" applyNumberFormat="1" applyFont="1" applyBorder="1"/>
    <xf numFmtId="170" fontId="1" fillId="0" borderId="17" xfId="39" applyNumberFormat="1" applyFont="1" applyBorder="1" applyAlignment="1">
      <alignment horizontal="center"/>
    </xf>
    <xf numFmtId="164" fontId="1" fillId="0" borderId="17" xfId="39" applyNumberFormat="1" applyFont="1" applyBorder="1"/>
    <xf numFmtId="9" fontId="1" fillId="0" borderId="17" xfId="39" applyNumberFormat="1" applyFont="1" applyBorder="1" applyAlignment="1">
      <alignment horizontal="center"/>
    </xf>
    <xf numFmtId="164" fontId="26" fillId="0" borderId="0" xfId="22" applyNumberFormat="1" applyFont="1"/>
    <xf numFmtId="164" fontId="28" fillId="0" borderId="0" xfId="22" applyNumberFormat="1" applyFont="1" applyBorder="1"/>
    <xf numFmtId="164" fontId="28" fillId="0" borderId="14" xfId="22" applyNumberFormat="1" applyFont="1" applyBorder="1"/>
    <xf numFmtId="0" fontId="33" fillId="0" borderId="0" xfId="39" applyFont="1"/>
    <xf numFmtId="170" fontId="1" fillId="0" borderId="0" xfId="39" applyNumberFormat="1" applyFont="1" applyAlignment="1">
      <alignment horizontal="center"/>
    </xf>
    <xf numFmtId="0" fontId="33" fillId="0" borderId="13" xfId="39" applyFont="1" applyBorder="1"/>
    <xf numFmtId="170" fontId="1" fillId="0" borderId="14" xfId="39" applyNumberFormat="1" applyFont="1" applyBorder="1" applyAlignment="1">
      <alignment horizontal="center"/>
    </xf>
    <xf numFmtId="0" fontId="33" fillId="0" borderId="15" xfId="39" applyFont="1" applyBorder="1"/>
    <xf numFmtId="170" fontId="1" fillId="0" borderId="3" xfId="39" applyNumberFormat="1" applyFont="1" applyBorder="1" applyAlignment="1">
      <alignment horizontal="center"/>
    </xf>
    <xf numFmtId="170" fontId="1" fillId="0" borderId="18" xfId="39" applyNumberFormat="1" applyFont="1" applyBorder="1" applyAlignment="1">
      <alignment horizontal="center"/>
    </xf>
    <xf numFmtId="0" fontId="1" fillId="0" borderId="16" xfId="39" applyFont="1" applyBorder="1"/>
    <xf numFmtId="0" fontId="1" fillId="0" borderId="13" xfId="39" applyFont="1" applyBorder="1"/>
    <xf numFmtId="164" fontId="26" fillId="0" borderId="6" xfId="22" applyNumberFormat="1" applyFont="1" applyBorder="1"/>
    <xf numFmtId="164" fontId="26" fillId="0" borderId="0" xfId="22" applyNumberFormat="1" applyFont="1" applyBorder="1"/>
    <xf numFmtId="0" fontId="1" fillId="0" borderId="14" xfId="39" applyFont="1" applyBorder="1"/>
    <xf numFmtId="164" fontId="1" fillId="0" borderId="14" xfId="39" applyNumberFormat="1" applyFont="1" applyBorder="1"/>
    <xf numFmtId="164" fontId="26" fillId="0" borderId="14" xfId="22" applyNumberFormat="1" applyFont="1" applyBorder="1"/>
    <xf numFmtId="0" fontId="27" fillId="0" borderId="0" xfId="39" applyFont="1"/>
    <xf numFmtId="164" fontId="28" fillId="0" borderId="11" xfId="22" applyNumberFormat="1" applyFont="1" applyBorder="1"/>
    <xf numFmtId="164" fontId="28" fillId="0" borderId="12" xfId="22" applyNumberFormat="1" applyFont="1" applyBorder="1"/>
    <xf numFmtId="0" fontId="1" fillId="0" borderId="15" xfId="39" applyFont="1" applyBorder="1"/>
    <xf numFmtId="164" fontId="26" fillId="0" borderId="3" xfId="22" applyNumberFormat="1" applyFont="1" applyBorder="1"/>
    <xf numFmtId="164" fontId="26" fillId="0" borderId="18" xfId="22" applyNumberFormat="1" applyFont="1" applyBorder="1"/>
    <xf numFmtId="43" fontId="26" fillId="0" borderId="0" xfId="1" applyFont="1" applyBorder="1" applyAlignment="1">
      <alignment horizontal="center"/>
    </xf>
    <xf numFmtId="1" fontId="1" fillId="0" borderId="0" xfId="39" applyNumberFormat="1" applyFont="1"/>
    <xf numFmtId="0" fontId="28" fillId="7" borderId="10" xfId="39" applyFont="1" applyFill="1" applyBorder="1" applyAlignment="1">
      <alignment horizontal="centerContinuous"/>
    </xf>
    <xf numFmtId="0" fontId="28" fillId="7" borderId="12" xfId="39" applyFont="1" applyFill="1" applyBorder="1" applyAlignment="1">
      <alignment horizontal="centerContinuous"/>
    </xf>
    <xf numFmtId="0" fontId="1" fillId="0" borderId="16" xfId="39" applyFont="1" applyBorder="1" applyAlignment="1">
      <alignment horizontal="left"/>
    </xf>
    <xf numFmtId="171" fontId="1" fillId="0" borderId="19" xfId="39" applyNumberFormat="1" applyFont="1" applyBorder="1" applyAlignment="1">
      <alignment horizontal="center"/>
    </xf>
    <xf numFmtId="9" fontId="1" fillId="0" borderId="14" xfId="3" applyFont="1" applyBorder="1" applyAlignment="1">
      <alignment horizontal="center"/>
    </xf>
    <xf numFmtId="44" fontId="1" fillId="0" borderId="0" xfId="39" applyNumberFormat="1" applyFont="1"/>
    <xf numFmtId="0" fontId="33" fillId="0" borderId="13" xfId="39" applyFont="1" applyBorder="1" applyAlignment="1">
      <alignment horizontal="left" indent="1"/>
    </xf>
    <xf numFmtId="164" fontId="1" fillId="0" borderId="0" xfId="39" applyNumberFormat="1" applyFont="1"/>
    <xf numFmtId="9" fontId="1" fillId="0" borderId="0" xfId="39" applyNumberFormat="1" applyFont="1"/>
    <xf numFmtId="43" fontId="1" fillId="0" borderId="0" xfId="1" applyFont="1"/>
    <xf numFmtId="44" fontId="1" fillId="0" borderId="0" xfId="2" applyFont="1"/>
    <xf numFmtId="43" fontId="1" fillId="0" borderId="0" xfId="39" applyNumberFormat="1" applyFont="1"/>
    <xf numFmtId="17" fontId="8" fillId="0" borderId="20" xfId="0" applyNumberFormat="1" applyFont="1" applyBorder="1" applyAlignment="1">
      <alignment horizontal="center"/>
    </xf>
    <xf numFmtId="167" fontId="7" fillId="0" borderId="21" xfId="3" applyNumberFormat="1" applyFont="1" applyFill="1" applyBorder="1" applyAlignment="1">
      <alignment horizontal="center"/>
    </xf>
    <xf numFmtId="167" fontId="7" fillId="0" borderId="22" xfId="3" applyNumberFormat="1" applyFont="1" applyFill="1" applyBorder="1" applyAlignment="1">
      <alignment horizontal="center"/>
    </xf>
    <xf numFmtId="167" fontId="7" fillId="0" borderId="21" xfId="3" applyNumberFormat="1" applyFont="1" applyBorder="1" applyAlignment="1">
      <alignment horizontal="center"/>
    </xf>
    <xf numFmtId="165" fontId="8" fillId="0" borderId="20" xfId="2" applyNumberFormat="1" applyFont="1" applyBorder="1" applyAlignment="1">
      <alignment horizontal="center"/>
    </xf>
    <xf numFmtId="167" fontId="12" fillId="0" borderId="21" xfId="3" applyNumberFormat="1" applyFont="1" applyBorder="1" applyAlignment="1">
      <alignment horizontal="center"/>
    </xf>
    <xf numFmtId="167" fontId="7" fillId="0" borderId="22" xfId="3" applyNumberFormat="1" applyFont="1" applyBorder="1" applyAlignment="1">
      <alignment horizontal="center"/>
    </xf>
    <xf numFmtId="0" fontId="7" fillId="0" borderId="21" xfId="0" applyFont="1" applyBorder="1"/>
    <xf numFmtId="165" fontId="8" fillId="0" borderId="21" xfId="3" applyNumberFormat="1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165" fontId="8" fillId="3" borderId="17" xfId="3" applyNumberFormat="1" applyFont="1" applyFill="1" applyBorder="1" applyAlignment="1">
      <alignment horizontal="center"/>
    </xf>
    <xf numFmtId="0" fontId="8" fillId="0" borderId="20" xfId="0" applyFont="1" applyBorder="1" applyAlignment="1">
      <alignment horizontal="left"/>
    </xf>
    <xf numFmtId="0" fontId="7" fillId="0" borderId="21" xfId="0" applyFont="1" applyBorder="1" applyAlignment="1">
      <alignment horizontal="left" indent="1"/>
    </xf>
    <xf numFmtId="0" fontId="8" fillId="0" borderId="21" xfId="0" applyFont="1" applyBorder="1" applyAlignment="1">
      <alignment horizontal="left"/>
    </xf>
    <xf numFmtId="0" fontId="7" fillId="0" borderId="22" xfId="0" applyFont="1" applyBorder="1" applyAlignment="1">
      <alignment horizontal="left" indent="1"/>
    </xf>
    <xf numFmtId="0" fontId="14" fillId="0" borderId="21" xfId="0" applyFont="1" applyBorder="1" applyAlignment="1">
      <alignment horizontal="left"/>
    </xf>
    <xf numFmtId="0" fontId="12" fillId="0" borderId="21" xfId="0" applyFont="1" applyBorder="1" applyAlignment="1">
      <alignment horizontal="left" indent="1"/>
    </xf>
    <xf numFmtId="0" fontId="7" fillId="0" borderId="21" xfId="0" applyFont="1" applyBorder="1" applyAlignment="1">
      <alignment horizontal="left"/>
    </xf>
    <xf numFmtId="0" fontId="8" fillId="0" borderId="21" xfId="0" applyFont="1" applyBorder="1"/>
    <xf numFmtId="0" fontId="8" fillId="3" borderId="22" xfId="0" applyFont="1" applyFill="1" applyBorder="1"/>
    <xf numFmtId="166" fontId="8" fillId="0" borderId="7" xfId="1" applyNumberFormat="1" applyFont="1" applyBorder="1"/>
    <xf numFmtId="166" fontId="7" fillId="0" borderId="7" xfId="1" applyNumberFormat="1" applyFont="1" applyBorder="1" applyAlignment="1">
      <alignment horizontal="center"/>
    </xf>
    <xf numFmtId="164" fontId="8" fillId="3" borderId="23" xfId="2" applyNumberFormat="1" applyFont="1" applyFill="1" applyBorder="1"/>
    <xf numFmtId="165" fontId="8" fillId="3" borderId="23" xfId="3" applyNumberFormat="1" applyFont="1" applyFill="1" applyBorder="1" applyAlignment="1">
      <alignment horizontal="center"/>
    </xf>
    <xf numFmtId="0" fontId="0" fillId="0" borderId="3" xfId="0" applyBorder="1"/>
    <xf numFmtId="166" fontId="8" fillId="0" borderId="20" xfId="1" applyNumberFormat="1" applyFont="1" applyBorder="1"/>
    <xf numFmtId="164" fontId="7" fillId="0" borderId="21" xfId="2" applyNumberFormat="1" applyFont="1" applyBorder="1" applyAlignment="1">
      <alignment horizontal="center"/>
    </xf>
    <xf numFmtId="164" fontId="7" fillId="0" borderId="22" xfId="2" applyNumberFormat="1" applyFont="1" applyBorder="1" applyAlignment="1">
      <alignment horizontal="center"/>
    </xf>
    <xf numFmtId="164" fontId="8" fillId="0" borderId="21" xfId="2" applyNumberFormat="1" applyFont="1" applyBorder="1"/>
    <xf numFmtId="164" fontId="7" fillId="0" borderId="21" xfId="2" applyNumberFormat="1" applyFont="1" applyBorder="1"/>
    <xf numFmtId="164" fontId="7" fillId="0" borderId="22" xfId="2" applyNumberFormat="1" applyFont="1" applyFill="1" applyBorder="1"/>
    <xf numFmtId="164" fontId="8" fillId="0" borderId="20" xfId="2" applyNumberFormat="1" applyFont="1" applyBorder="1"/>
    <xf numFmtId="164" fontId="8" fillId="3" borderId="17" xfId="2" applyNumberFormat="1" applyFont="1" applyFill="1" applyBorder="1"/>
    <xf numFmtId="166" fontId="7" fillId="0" borderId="20" xfId="1" applyNumberFormat="1" applyFont="1" applyBorder="1" applyAlignment="1">
      <alignment horizontal="center"/>
    </xf>
    <xf numFmtId="17" fontId="8" fillId="0" borderId="22" xfId="0" applyNumberFormat="1" applyFont="1" applyBorder="1" applyAlignment="1">
      <alignment horizontal="center"/>
    </xf>
    <xf numFmtId="0" fontId="21" fillId="4" borderId="17" xfId="28" applyFont="1" applyFill="1" applyBorder="1" applyAlignment="1">
      <alignment horizontal="centerContinuous"/>
    </xf>
    <xf numFmtId="0" fontId="8" fillId="0" borderId="20" xfId="0" applyFont="1" applyBorder="1" applyAlignment="1">
      <alignment horizontal="center"/>
    </xf>
    <xf numFmtId="167" fontId="7" fillId="0" borderId="3" xfId="3" applyNumberFormat="1" applyFont="1" applyFill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0" fillId="0" borderId="0" xfId="0" applyAlignment="1">
      <alignment wrapText="1"/>
    </xf>
    <xf numFmtId="164" fontId="7" fillId="0" borderId="22" xfId="2" applyNumberFormat="1" applyFont="1" applyBorder="1"/>
    <xf numFmtId="172" fontId="0" fillId="0" borderId="0" xfId="3" applyNumberFormat="1" applyFont="1"/>
    <xf numFmtId="172" fontId="0" fillId="0" borderId="0" xfId="0" applyNumberFormat="1"/>
    <xf numFmtId="0" fontId="7" fillId="0" borderId="0" xfId="0" applyFont="1" applyAlignment="1">
      <alignment horizontal="center"/>
    </xf>
    <xf numFmtId="0" fontId="0" fillId="0" borderId="3" xfId="0" applyBorder="1" applyAlignment="1">
      <alignment horizontal="center" wrapText="1"/>
    </xf>
    <xf numFmtId="0" fontId="21" fillId="6" borderId="10" xfId="28" applyFont="1" applyFill="1" applyBorder="1" applyAlignment="1">
      <alignment horizontal="center"/>
    </xf>
    <xf numFmtId="0" fontId="21" fillId="6" borderId="12" xfId="28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21" fillId="5" borderId="4" xfId="28" applyFont="1" applyFill="1" applyBorder="1" applyAlignment="1">
      <alignment horizontal="center"/>
    </xf>
    <xf numFmtId="0" fontId="21" fillId="5" borderId="5" xfId="28" applyFont="1" applyFill="1" applyBorder="1" applyAlignment="1">
      <alignment horizontal="center"/>
    </xf>
    <xf numFmtId="0" fontId="21" fillId="5" borderId="10" xfId="28" applyFont="1" applyFill="1" applyBorder="1" applyAlignment="1">
      <alignment horizontal="center"/>
    </xf>
    <xf numFmtId="0" fontId="21" fillId="5" borderId="12" xfId="28" applyFont="1" applyFill="1" applyBorder="1" applyAlignment="1">
      <alignment horizontal="center"/>
    </xf>
    <xf numFmtId="0" fontId="30" fillId="0" borderId="0" xfId="39" applyFont="1" applyAlignment="1">
      <alignment vertical="center"/>
    </xf>
    <xf numFmtId="0" fontId="34" fillId="0" borderId="0" xfId="0" applyFont="1"/>
    <xf numFmtId="8" fontId="35" fillId="8" borderId="25" xfId="0" applyNumberFormat="1" applyFont="1" applyFill="1" applyBorder="1" applyAlignment="1">
      <alignment vertical="center"/>
    </xf>
    <xf numFmtId="10" fontId="35" fillId="8" borderId="25" xfId="0" applyNumberFormat="1" applyFont="1" applyFill="1" applyBorder="1" applyAlignment="1">
      <alignment vertical="center"/>
    </xf>
    <xf numFmtId="0" fontId="33" fillId="0" borderId="15" xfId="39" applyFont="1" applyBorder="1" applyAlignment="1">
      <alignment horizontal="left" indent="1"/>
    </xf>
    <xf numFmtId="170" fontId="1" fillId="0" borderId="14" xfId="39" applyNumberFormat="1" applyFont="1" applyBorder="1" applyAlignment="1">
      <alignment horizontal="right"/>
    </xf>
    <xf numFmtId="0" fontId="28" fillId="0" borderId="18" xfId="39" applyFont="1" applyBorder="1" applyAlignment="1">
      <alignment horizontal="right"/>
    </xf>
    <xf numFmtId="164" fontId="28" fillId="0" borderId="3" xfId="39" applyNumberFormat="1" applyFont="1" applyBorder="1" applyAlignment="1">
      <alignment horizontal="center"/>
    </xf>
    <xf numFmtId="9" fontId="28" fillId="0" borderId="3" xfId="39" applyNumberFormat="1" applyFont="1" applyBorder="1" applyAlignment="1">
      <alignment horizontal="center"/>
    </xf>
  </cellXfs>
  <cellStyles count="136">
    <cellStyle name="Comma" xfId="1" builtinId="3"/>
    <cellStyle name="Comma 2" xfId="14" xr:uid="{8D528FF6-705E-497E-A2B6-235F25A6D401}"/>
    <cellStyle name="Comma 2 2" xfId="40" xr:uid="{71CD60D8-15E4-4438-A6B9-D8CD3826C771}"/>
    <cellStyle name="Comma 2 3" xfId="45" xr:uid="{30022871-B6DD-45AA-9F56-42EA5E09C245}"/>
    <cellStyle name="Comma 2 3 2" xfId="71" xr:uid="{57B6F32F-6891-4E3B-8669-09B16A096338}"/>
    <cellStyle name="Comma 2 3 2 2" xfId="126" xr:uid="{DF1D4CC7-7780-4407-B933-533C716AA355}"/>
    <cellStyle name="Comma 2 3 3" xfId="100" xr:uid="{66B795DC-328A-44C1-AFC7-79F89DCCFD48}"/>
    <cellStyle name="Comma 2 4" xfId="58" xr:uid="{A84621DB-F30F-4D41-942B-F08B111B1BBF}"/>
    <cellStyle name="Comma 2 4 2" xfId="113" xr:uid="{ED4BD4B3-AD1C-4A5B-965F-A56A08B071CF}"/>
    <cellStyle name="Comma 2 5" xfId="87" xr:uid="{75896892-0A60-4BC3-8E73-86D4304E861D}"/>
    <cellStyle name="Comma 3" xfId="33" xr:uid="{B697685E-3E0D-4182-A9E7-AD3023A09704}"/>
    <cellStyle name="Comma 3 2" xfId="53" xr:uid="{DFA131B3-194F-4B38-90EE-370866CB82BA}"/>
    <cellStyle name="Comma 3 2 2" xfId="79" xr:uid="{69A7CCA2-BC48-45BD-964B-520951F749EC}"/>
    <cellStyle name="Comma 3 2 2 2" xfId="134" xr:uid="{AA74FC6F-A347-40A9-B6DD-1B4B31B1FE54}"/>
    <cellStyle name="Comma 3 2 3" xfId="108" xr:uid="{2F492DAB-9509-4B85-85FC-E25D688DB3B9}"/>
    <cellStyle name="Comma 3 3" xfId="66" xr:uid="{7CBEE4B9-1C99-4058-810C-FD1F92893A9F}"/>
    <cellStyle name="Comma 3 3 2" xfId="121" xr:uid="{224A5A27-B371-46F6-822A-094EBF23178F}"/>
    <cellStyle name="Comma 3 4" xfId="95" xr:uid="{598B02F2-8056-4ED9-AB77-84F940F62916}"/>
    <cellStyle name="Comma 4" xfId="82" xr:uid="{AE228781-90D7-416C-BD31-3CF93BAAB11F}"/>
    <cellStyle name="Currency" xfId="2" builtinId="4"/>
    <cellStyle name="Currency 2" xfId="8" xr:uid="{0726EE26-916F-4B8B-B3A7-380EEAC60042}"/>
    <cellStyle name="Currency 2 2" xfId="23" xr:uid="{75EDFDBD-F129-4A16-894C-566717C24F59}"/>
    <cellStyle name="Currency 2 3" xfId="30" xr:uid="{FBB03D00-9D97-44F8-A740-669FE39C688E}"/>
    <cellStyle name="Currency 2 4" xfId="43" xr:uid="{A19A3C29-4DA8-46A0-A678-E954A4DBCF35}"/>
    <cellStyle name="Currency 2 4 2" xfId="69" xr:uid="{7FE3F6A6-9B2A-4911-8CA5-72EC4E45FD48}"/>
    <cellStyle name="Currency 2 4 2 2" xfId="124" xr:uid="{2A2C53E6-1A07-453F-85AB-47DB055B509A}"/>
    <cellStyle name="Currency 2 4 3" xfId="98" xr:uid="{099AA54D-FD1A-478C-943D-5766731D4AD2}"/>
    <cellStyle name="Currency 2 5" xfId="56" xr:uid="{8C86A95F-72A7-4B74-BCAE-86C7A2A0322C}"/>
    <cellStyle name="Currency 2 5 2" xfId="111" xr:uid="{78CA3CC9-6C6D-4A2B-B960-608D2D1E8D1D}"/>
    <cellStyle name="Currency 2 6" xfId="85" xr:uid="{24FD31CE-07AB-4582-B4F2-F88ED58A1673}"/>
    <cellStyle name="Currency 3" xfId="11" xr:uid="{AF65E402-62A2-4332-8681-004354A98EB1}"/>
    <cellStyle name="Currency 3 2" xfId="35" xr:uid="{62FA4857-7992-405F-B967-231D122A82D6}"/>
    <cellStyle name="Currency 4" xfId="22" xr:uid="{98DA331D-6F8B-4567-8675-4459D20AE0EC}"/>
    <cellStyle name="Currency 5" xfId="26" xr:uid="{5D465CA0-695A-4462-811A-2940B83C745F}"/>
    <cellStyle name="Currency 5 2" xfId="50" xr:uid="{F8BAF41D-F644-4A96-8FBF-A5C1CB988A42}"/>
    <cellStyle name="Currency 5 2 2" xfId="76" xr:uid="{883656A8-8F7B-437B-A0B3-50AE19A99A32}"/>
    <cellStyle name="Currency 5 2 2 2" xfId="131" xr:uid="{D8A98BA8-4EBA-468B-A330-184F10554B07}"/>
    <cellStyle name="Currency 5 2 3" xfId="105" xr:uid="{CDBD8AB3-7905-4D7F-888D-0443A3A17E7F}"/>
    <cellStyle name="Currency 5 3" xfId="63" xr:uid="{2DAE18A7-99A7-4921-82CF-111372055759}"/>
    <cellStyle name="Currency 5 3 2" xfId="118" xr:uid="{8F452077-83AE-4764-82CE-C4568ECE15B6}"/>
    <cellStyle name="Currency 5 4" xfId="92" xr:uid="{C8859922-1A79-478D-B726-5CEB310347E8}"/>
    <cellStyle name="FRxAmtStyle" xfId="37" xr:uid="{0E1D43C0-C8EC-457C-97FC-B478F2975790}"/>
    <cellStyle name="FRxPcntStyle" xfId="38" xr:uid="{DE5E7DA4-0AA0-44CF-9F63-7550DFC9DD01}"/>
    <cellStyle name="Normal" xfId="0" builtinId="0"/>
    <cellStyle name="Normal 10" xfId="20" xr:uid="{793CFC4A-F9D8-43BB-A5D7-B389835C3933}"/>
    <cellStyle name="Normal 11" xfId="21" xr:uid="{43245F45-AEFF-434D-A221-0C148CE394BC}"/>
    <cellStyle name="Normal 12" xfId="80" xr:uid="{60FA05B0-50F3-4DEC-92C8-211EACE75D04}"/>
    <cellStyle name="Normal 12 2" xfId="135" xr:uid="{D0FC387B-96F0-4F6C-9FC2-C5B3B8D86A2B}"/>
    <cellStyle name="Normal 13" xfId="81" xr:uid="{C354DE69-CF40-4507-956F-400A2510ED80}"/>
    <cellStyle name="Normal 2" xfId="4" xr:uid="{9BC619E5-58AF-4AA9-AA20-9BEF9FDE7D7C}"/>
    <cellStyle name="Normal 2 2" xfId="17" xr:uid="{F0B912AC-FAD4-407F-9548-B1F89E502009}"/>
    <cellStyle name="Normal 2 2 2" xfId="36" xr:uid="{80F5A785-7272-41EE-A9C2-96EBBCF82E58}"/>
    <cellStyle name="Normal 2 3" xfId="18" xr:uid="{5CAC1287-9E23-4106-A87C-C23B401C7C26}"/>
    <cellStyle name="Normal 2 4" xfId="6" xr:uid="{AE71E5F5-D010-4796-B0BF-A2D50EF82038}"/>
    <cellStyle name="Normal 2 4 2" xfId="41" xr:uid="{E18F44C4-9750-4A7B-B364-7BD2D3931595}"/>
    <cellStyle name="Normal 2 4 2 2" xfId="67" xr:uid="{13084789-D309-4960-80C3-C34CA70A265F}"/>
    <cellStyle name="Normal 2 4 2 2 2" xfId="122" xr:uid="{249C4BDE-9E71-4FC7-8F34-86C8235428A0}"/>
    <cellStyle name="Normal 2 4 2 3" xfId="96" xr:uid="{DCBE57BE-9B13-49AD-BFAF-31EF27051C43}"/>
    <cellStyle name="Normal 2 4 3" xfId="54" xr:uid="{98FB600B-3B8F-4A6C-A1E6-291ACDA7C24D}"/>
    <cellStyle name="Normal 2 4 3 2" xfId="109" xr:uid="{7A45B0B4-324F-493E-A29B-1A9231F4961F}"/>
    <cellStyle name="Normal 2 4 4" xfId="83" xr:uid="{5E49583C-5E33-4A17-9826-AF48AB62A034}"/>
    <cellStyle name="Normal 2 5" xfId="34" xr:uid="{0910E14B-AB6A-4193-AD12-0E8C94726618}"/>
    <cellStyle name="Normal 3" xfId="7" xr:uid="{974B147C-AC24-4D27-BBAF-A07B62B89E26}"/>
    <cellStyle name="Normal 3 2" xfId="25" xr:uid="{D09A4454-24A7-4922-B6A6-07978979612E}"/>
    <cellStyle name="Normal 3 2 2" xfId="49" xr:uid="{8E998F76-7FA6-4662-A756-0D0EE20AB0A7}"/>
    <cellStyle name="Normal 3 2 2 2" xfId="75" xr:uid="{59C0AD00-ED94-4E37-8683-15360DE99A34}"/>
    <cellStyle name="Normal 3 2 2 2 2" xfId="130" xr:uid="{08FC4C82-CB6C-41FA-8208-306FE39A9BA9}"/>
    <cellStyle name="Normal 3 2 2 3" xfId="104" xr:uid="{E928D10A-CEE1-4D8E-919D-500BA4C3A6D5}"/>
    <cellStyle name="Normal 3 2 3" xfId="62" xr:uid="{1DCB082F-6114-4686-9A08-7F7286584A27}"/>
    <cellStyle name="Normal 3 2 3 2" xfId="117" xr:uid="{8452D863-2F91-4BED-BDF5-5A5FCEFBAC13}"/>
    <cellStyle name="Normal 3 2 4" xfId="91" xr:uid="{0BDB2B5D-D1E7-4E16-ADEA-C0419A5EB192}"/>
    <cellStyle name="Normal 3 3" xfId="28" xr:uid="{2FD0FB06-E452-4770-A5E5-B961F8997A46}"/>
    <cellStyle name="Normal 3 4" xfId="42" xr:uid="{FC0EA164-80F1-452E-A2E3-576080373B43}"/>
    <cellStyle name="Normal 3 4 2" xfId="68" xr:uid="{8C91E0EA-E495-4D0E-9739-D4453F0F2544}"/>
    <cellStyle name="Normal 3 4 2 2" xfId="123" xr:uid="{2014DFEF-8017-496C-A344-DB9B727AD283}"/>
    <cellStyle name="Normal 3 4 3" xfId="97" xr:uid="{E11881AE-0748-463F-ACAF-A15F0F4429E4}"/>
    <cellStyle name="Normal 3 5" xfId="55" xr:uid="{5BE1DB2F-58EF-44F4-8408-2E34E77612DD}"/>
    <cellStyle name="Normal 3 5 2" xfId="110" xr:uid="{14A4FAA3-9FE2-40EC-9D05-25379618951D}"/>
    <cellStyle name="Normal 3 6" xfId="84" xr:uid="{9FE23044-4CBB-442B-9617-52BBE98A3206}"/>
    <cellStyle name="Normal 4" xfId="10" xr:uid="{E721DD14-BC0E-4794-B240-464B7C5379BB}"/>
    <cellStyle name="Normal 4 2" xfId="31" xr:uid="{EB02533C-CE57-4469-93D5-CD9B9DFE5839}"/>
    <cellStyle name="Normal 5" xfId="9" xr:uid="{2AAFF0A7-E81B-460E-87D9-9BC63C79DF6D}"/>
    <cellStyle name="Normal 5 2" xfId="39" xr:uid="{C88CB367-32E3-4FB1-9C30-586520A0ABF0}"/>
    <cellStyle name="Normal 6" xfId="13" xr:uid="{F803D5A0-3D25-4448-A961-71C7759144AF}"/>
    <cellStyle name="Normal 6 2" xfId="32" xr:uid="{F72358E3-FA54-48C2-800A-D8006901D904}"/>
    <cellStyle name="Normal 6 2 2" xfId="52" xr:uid="{639A0430-00F8-4C9C-AA09-4FE946198697}"/>
    <cellStyle name="Normal 6 2 2 2" xfId="78" xr:uid="{8592093F-67BE-42C0-8B78-703B103B910F}"/>
    <cellStyle name="Normal 6 2 2 2 2" xfId="133" xr:uid="{B2E906C2-FD56-4718-81C4-5538EC18591C}"/>
    <cellStyle name="Normal 6 2 2 3" xfId="107" xr:uid="{F9158618-9C71-4CA0-B35B-EF832CCAF3EE}"/>
    <cellStyle name="Normal 6 2 3" xfId="65" xr:uid="{EDF3186B-48BB-49D5-8A2B-74FA240D0FBF}"/>
    <cellStyle name="Normal 6 2 3 2" xfId="120" xr:uid="{40A06C87-F13D-4E42-8DF2-E675BD8A8CE6}"/>
    <cellStyle name="Normal 6 2 4" xfId="94" xr:uid="{79512C58-92E1-4CF9-8132-CD4A0918EE0F}"/>
    <cellStyle name="Normal 6 3" xfId="44" xr:uid="{E73BF8A2-C555-4BB7-9135-55DA5343ABD4}"/>
    <cellStyle name="Normal 6 3 2" xfId="70" xr:uid="{A83742A9-C205-4E85-8A2E-6BE1C337E1A0}"/>
    <cellStyle name="Normal 6 3 2 2" xfId="125" xr:uid="{C5C62CC4-0915-4744-9352-BBA3B4F43965}"/>
    <cellStyle name="Normal 6 3 3" xfId="99" xr:uid="{48400DF4-E5AF-47DC-A03B-27ED475B9829}"/>
    <cellStyle name="Normal 6 4" xfId="57" xr:uid="{742DAEAA-33CD-45B7-B4E7-FE9F81C7D24F}"/>
    <cellStyle name="Normal 6 4 2" xfId="112" xr:uid="{3E5F31E7-E078-4821-B648-9D2FDE31EF36}"/>
    <cellStyle name="Normal 6 5" xfId="86" xr:uid="{594DB05B-6BC5-44F3-AD49-A18345614E86}"/>
    <cellStyle name="Normal 7" xfId="16" xr:uid="{94208C44-1F6F-4853-A7F2-A14BC5F73F9C}"/>
    <cellStyle name="Normal 7 2" xfId="47" xr:uid="{78D3E955-F34D-482C-AB82-63B63ACEAD1C}"/>
    <cellStyle name="Normal 7 2 2" xfId="73" xr:uid="{4E78CE2F-B6A0-4C38-A848-1E968322F9A4}"/>
    <cellStyle name="Normal 7 2 2 2" xfId="128" xr:uid="{61D4517C-D64A-4BEC-B95E-9E212B1933B2}"/>
    <cellStyle name="Normal 7 2 3" xfId="102" xr:uid="{D546BA32-4CE7-478A-B0DE-34731E2F9DB5}"/>
    <cellStyle name="Normal 7 3" xfId="60" xr:uid="{E298B79B-F832-415C-813B-B753B847764E}"/>
    <cellStyle name="Normal 7 3 2" xfId="115" xr:uid="{DE4B8A1D-9771-4F6F-8A87-275AB19B0DFA}"/>
    <cellStyle name="Normal 7 4" xfId="89" xr:uid="{9C73EE38-1618-41C0-AD4D-F71F081125A6}"/>
    <cellStyle name="Normal 8" xfId="19" xr:uid="{B6E29A09-BC92-4022-A980-21C2DB84140B}"/>
    <cellStyle name="Normal 8 2" xfId="48" xr:uid="{643A27FF-AC2D-432D-91F6-9ED444C14F13}"/>
    <cellStyle name="Normal 8 2 2" xfId="74" xr:uid="{AA83C984-B240-499B-8CD5-1630DB372747}"/>
    <cellStyle name="Normal 8 2 2 2" xfId="129" xr:uid="{22ADC0DD-F694-49EC-B618-89B5F6F69F68}"/>
    <cellStyle name="Normal 8 2 3" xfId="103" xr:uid="{3D4CF873-E059-4442-BF4C-557DFFB65D2F}"/>
    <cellStyle name="Normal 8 3" xfId="61" xr:uid="{B1F26D32-6387-45E2-BAAC-314F5119C42A}"/>
    <cellStyle name="Normal 8 3 2" xfId="116" xr:uid="{76724428-1A0A-4AD1-94E7-7C7EE93E16DD}"/>
    <cellStyle name="Normal 8 4" xfId="90" xr:uid="{8CDD4A1D-A071-4329-A684-1CBC06BDC3BF}"/>
    <cellStyle name="Normal 9" xfId="5" xr:uid="{1470386A-8134-428D-92EA-9460C946E10D}"/>
    <cellStyle name="Percent" xfId="3" builtinId="5"/>
    <cellStyle name="Percent 2" xfId="12" xr:uid="{97CC977B-626B-4C2A-954C-7A9AAA83902F}"/>
    <cellStyle name="Percent 2 2" xfId="29" xr:uid="{BB4E9F8F-B952-4F4A-A74B-BEF61FFF143A}"/>
    <cellStyle name="Percent 3" xfId="15" xr:uid="{863A9C33-0DD7-4F26-B22D-48459ECD6896}"/>
    <cellStyle name="Percent 3 2" xfId="46" xr:uid="{D540819C-322B-4A5A-AB99-394EDF678163}"/>
    <cellStyle name="Percent 3 2 2" xfId="72" xr:uid="{B84290A5-AA4A-437D-91C5-63D088D4D6DE}"/>
    <cellStyle name="Percent 3 2 2 2" xfId="127" xr:uid="{1CC9C682-237F-4E73-A53F-86C836A0FFDF}"/>
    <cellStyle name="Percent 3 2 3" xfId="101" xr:uid="{92983EB2-E402-4D5A-A03E-245D13E65953}"/>
    <cellStyle name="Percent 3 3" xfId="59" xr:uid="{94D24A7A-7752-47D3-8370-BD3E53A6B16A}"/>
    <cellStyle name="Percent 3 3 2" xfId="114" xr:uid="{ED87F738-17DC-4442-9CA8-3DDDA549D95E}"/>
    <cellStyle name="Percent 3 4" xfId="88" xr:uid="{EE91A54D-8F4C-4E33-ADC3-E28E0383D41A}"/>
    <cellStyle name="Percent 4" xfId="24" xr:uid="{1AB3E611-A793-4AD4-8519-59713B001922}"/>
    <cellStyle name="Percent 5" xfId="27" xr:uid="{5B0C80AC-8034-4C70-9159-882D07E6DCAD}"/>
    <cellStyle name="Percent 5 2" xfId="51" xr:uid="{31E35E53-1597-4A26-9ABF-FEE265392BD2}"/>
    <cellStyle name="Percent 5 2 2" xfId="77" xr:uid="{428AC49C-8FD8-414B-972D-D6D594C660EF}"/>
    <cellStyle name="Percent 5 2 2 2" xfId="132" xr:uid="{C240381D-C887-4EB1-8013-873980C69964}"/>
    <cellStyle name="Percent 5 2 3" xfId="106" xr:uid="{6FEA9E73-655C-4508-8B12-C88CA8AC75B9}"/>
    <cellStyle name="Percent 5 3" xfId="64" xr:uid="{2850C6FA-4A71-4152-99DE-0065172F3D0D}"/>
    <cellStyle name="Percent 5 3 2" xfId="119" xr:uid="{60D8AB7F-99DC-43DD-8EDD-49A196A61061}"/>
    <cellStyle name="Percent 5 4" xfId="93" xr:uid="{D81CE186-323C-4A2E-B465-CEA734B96977}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6C10-D355-4CB9-A486-59CB3D7EAF22}">
  <dimension ref="A1:U46"/>
  <sheetViews>
    <sheetView showGridLines="0" tabSelected="1" topLeftCell="E1" zoomScale="130" zoomScaleNormal="130" workbookViewId="0">
      <selection activeCell="M34" sqref="M34"/>
    </sheetView>
  </sheetViews>
  <sheetFormatPr baseColWidth="10" defaultColWidth="9.25" defaultRowHeight="15" outlineLevelRow="1" outlineLevelCol="1" x14ac:dyDescent="0.2"/>
  <cols>
    <col min="1" max="1" width="9.25" style="53"/>
    <col min="2" max="3" width="10.75" style="53" customWidth="1" outlineLevel="1"/>
    <col min="4" max="4" width="39.75" style="53" customWidth="1" outlineLevel="1"/>
    <col min="5" max="5" width="20" style="53" bestFit="1" customWidth="1" outlineLevel="1"/>
    <col min="6" max="7" width="17.75" style="53" bestFit="1" customWidth="1" outlineLevel="1"/>
    <col min="8" max="8" width="9.25" style="53"/>
    <col min="9" max="9" width="28.75" style="53" customWidth="1"/>
    <col min="10" max="13" width="14.75" style="53" customWidth="1"/>
    <col min="14" max="14" width="25.75" style="53" bestFit="1" customWidth="1"/>
    <col min="15" max="16" width="14.75" style="53" customWidth="1"/>
    <col min="17" max="23" width="9.25" style="53"/>
    <col min="24" max="24" width="26" style="53" bestFit="1" customWidth="1"/>
    <col min="25" max="25" width="12.5" style="53" bestFit="1" customWidth="1"/>
    <col min="26" max="26" width="17.25" style="53" bestFit="1" customWidth="1"/>
    <col min="27" max="27" width="9" style="53" bestFit="1" customWidth="1"/>
    <col min="28" max="28" width="13.75" style="53" bestFit="1" customWidth="1"/>
    <col min="29" max="16384" width="9.25" style="53"/>
  </cols>
  <sheetData>
    <row r="1" spans="1:21" s="51" customFormat="1" ht="19" x14ac:dyDescent="0.2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2" spans="1:21" s="51" customFormat="1" ht="19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</row>
    <row r="3" spans="1:21" s="51" customFormat="1" ht="19" x14ac:dyDescent="0.25">
      <c r="A3" s="50"/>
      <c r="B3" s="50"/>
      <c r="C3" s="50"/>
      <c r="D3" s="58" t="s">
        <v>64</v>
      </c>
      <c r="E3" s="50"/>
      <c r="F3" s="50"/>
      <c r="G3" s="50"/>
      <c r="H3" s="50"/>
      <c r="I3" s="157" t="s">
        <v>32</v>
      </c>
      <c r="J3" s="50"/>
      <c r="K3" s="50"/>
      <c r="L3" s="50"/>
      <c r="M3" s="50"/>
      <c r="N3" s="50"/>
      <c r="O3" s="50"/>
      <c r="P3" s="50"/>
      <c r="Q3" s="50"/>
      <c r="R3" s="50"/>
    </row>
    <row r="4" spans="1:21" s="51" customFormat="1" ht="15" customHeight="1" x14ac:dyDescent="0.25">
      <c r="A4" s="50"/>
      <c r="B4" s="50"/>
      <c r="C4" s="50"/>
      <c r="D4" s="158" t="s">
        <v>65</v>
      </c>
      <c r="E4" s="159">
        <v>1650000</v>
      </c>
      <c r="F4" s="50"/>
      <c r="G4" s="50"/>
      <c r="H4" s="50"/>
      <c r="I4" s="157"/>
      <c r="J4" s="50"/>
      <c r="K4" s="50"/>
      <c r="L4" s="50"/>
      <c r="M4" s="50"/>
      <c r="N4" s="50"/>
      <c r="O4" s="50"/>
      <c r="P4" s="50"/>
      <c r="Q4" s="50"/>
      <c r="R4" s="50"/>
    </row>
    <row r="5" spans="1:21" s="51" customFormat="1" ht="15" customHeight="1" x14ac:dyDescent="0.25">
      <c r="A5" s="50"/>
      <c r="B5" s="50"/>
      <c r="C5" s="50"/>
      <c r="D5" s="158" t="s">
        <v>67</v>
      </c>
      <c r="E5" s="160">
        <v>0.02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</row>
    <row r="6" spans="1:21" ht="16" x14ac:dyDescent="0.2">
      <c r="F6" s="52"/>
      <c r="U6" s="52"/>
    </row>
    <row r="7" spans="1:21" x14ac:dyDescent="0.2">
      <c r="I7" s="49" t="s">
        <v>33</v>
      </c>
      <c r="J7" s="54"/>
      <c r="K7" s="54"/>
      <c r="L7" s="54"/>
    </row>
    <row r="8" spans="1:21" x14ac:dyDescent="0.2">
      <c r="E8" s="55" t="s">
        <v>34</v>
      </c>
      <c r="F8" s="55" t="s">
        <v>35</v>
      </c>
      <c r="G8" s="55" t="s">
        <v>61</v>
      </c>
      <c r="I8" s="56"/>
      <c r="J8" s="57" t="s">
        <v>34</v>
      </c>
      <c r="K8" s="57" t="s">
        <v>35</v>
      </c>
      <c r="L8" s="57" t="s">
        <v>61</v>
      </c>
      <c r="N8" s="57" t="s">
        <v>68</v>
      </c>
      <c r="O8" s="57" t="s">
        <v>36</v>
      </c>
      <c r="P8" s="57" t="s">
        <v>37</v>
      </c>
    </row>
    <row r="9" spans="1:21" x14ac:dyDescent="0.2">
      <c r="D9" s="58" t="s">
        <v>38</v>
      </c>
      <c r="E9" s="59">
        <v>-1650000</v>
      </c>
      <c r="F9" s="59">
        <f>E9</f>
        <v>-1650000</v>
      </c>
      <c r="G9" s="59">
        <f>F9</f>
        <v>-1650000</v>
      </c>
      <c r="I9" s="60" t="s">
        <v>38</v>
      </c>
      <c r="J9" s="61">
        <f t="shared" ref="J9:L10" si="0">E9/$D$39</f>
        <v>-1650</v>
      </c>
      <c r="K9" s="62">
        <f t="shared" si="0"/>
        <v>-1650</v>
      </c>
      <c r="L9" s="63">
        <f t="shared" si="0"/>
        <v>-1650</v>
      </c>
      <c r="N9" s="64">
        <v>10</v>
      </c>
      <c r="O9" s="65">
        <f>N9*$L$12</f>
        <v>4806.1127221811657</v>
      </c>
      <c r="P9" s="66">
        <f>N35</f>
        <v>0.59150530439552185</v>
      </c>
    </row>
    <row r="10" spans="1:21" x14ac:dyDescent="0.2">
      <c r="D10" s="58" t="s">
        <v>4</v>
      </c>
      <c r="E10" s="67">
        <f>'220k EBITDA'!AI12</f>
        <v>1842485.3469</v>
      </c>
      <c r="F10" s="67">
        <f>'220k EBITDA'!AL12</f>
        <v>2053503.1073070001</v>
      </c>
      <c r="G10" s="67">
        <f>'220k EBITDA'!AO12</f>
        <v>2115108.20052621</v>
      </c>
      <c r="I10" s="60" t="s">
        <v>39</v>
      </c>
      <c r="J10" s="68">
        <f>E10/$D$39</f>
        <v>1842.4853469</v>
      </c>
      <c r="K10" s="68">
        <f t="shared" si="0"/>
        <v>2053.5031073069999</v>
      </c>
      <c r="L10" s="69">
        <f t="shared" si="0"/>
        <v>2115.1082005262101</v>
      </c>
      <c r="N10" s="64">
        <v>11</v>
      </c>
      <c r="O10" s="65">
        <f>N10*$L$12</f>
        <v>5286.7239943992818</v>
      </c>
      <c r="P10" s="66">
        <f>N36</f>
        <v>0.63328291365565259</v>
      </c>
    </row>
    <row r="11" spans="1:21" x14ac:dyDescent="0.2">
      <c r="D11" s="70"/>
      <c r="E11" s="71"/>
      <c r="F11" s="71"/>
      <c r="G11" s="71"/>
      <c r="I11" s="72" t="s">
        <v>40</v>
      </c>
      <c r="J11" s="71">
        <f>-J$9/J10</f>
        <v>0.89552951005886783</v>
      </c>
      <c r="K11" s="71">
        <f>-K$9/K10</f>
        <v>0.8035049930671101</v>
      </c>
      <c r="L11" s="73">
        <f>-L$9/L10</f>
        <v>0.78010193501661163</v>
      </c>
    </row>
    <row r="12" spans="1:21" x14ac:dyDescent="0.2">
      <c r="D12" s="58" t="s">
        <v>41</v>
      </c>
      <c r="E12" s="67">
        <f>'220k EBITDA'!AI39</f>
        <v>341810.93242400116</v>
      </c>
      <c r="F12" s="67">
        <f>'220k EBITDA'!AL39</f>
        <v>455645.99648749176</v>
      </c>
      <c r="G12" s="67">
        <f>'220k EBITDA'!AO39</f>
        <v>480611.27221811656</v>
      </c>
      <c r="I12" s="60" t="s">
        <v>42</v>
      </c>
      <c r="J12" s="68">
        <f>E12/$D$39</f>
        <v>341.81093242400118</v>
      </c>
      <c r="K12" s="68">
        <f>F12/$D$39</f>
        <v>455.64599648749174</v>
      </c>
      <c r="L12" s="69">
        <f>G12/$D$39</f>
        <v>480.61127221811654</v>
      </c>
    </row>
    <row r="13" spans="1:21" x14ac:dyDescent="0.2">
      <c r="D13" s="70"/>
      <c r="E13" s="71"/>
      <c r="F13" s="71"/>
      <c r="G13" s="71"/>
      <c r="I13" s="74" t="s">
        <v>43</v>
      </c>
      <c r="J13" s="75">
        <f>-J$9/J12</f>
        <v>4.8272300370815779</v>
      </c>
      <c r="K13" s="75">
        <f>-K$9/K12</f>
        <v>3.621232300337561</v>
      </c>
      <c r="L13" s="76">
        <f>-L$9/L12</f>
        <v>3.4331279671925339</v>
      </c>
    </row>
    <row r="15" spans="1:21" x14ac:dyDescent="0.2">
      <c r="I15" s="77"/>
      <c r="J15" s="57" t="s">
        <v>44</v>
      </c>
      <c r="K15" s="57" t="s">
        <v>34</v>
      </c>
      <c r="L15" s="57" t="s">
        <v>35</v>
      </c>
      <c r="M15" s="57" t="s">
        <v>61</v>
      </c>
    </row>
    <row r="16" spans="1:21" x14ac:dyDescent="0.2">
      <c r="I16" s="78" t="s">
        <v>38</v>
      </c>
      <c r="J16" s="79">
        <f>J9</f>
        <v>-1650</v>
      </c>
      <c r="K16" s="80"/>
      <c r="L16" s="80"/>
      <c r="M16" s="81"/>
    </row>
    <row r="17" spans="9:18" x14ac:dyDescent="0.2">
      <c r="I17" s="78" t="s">
        <v>45</v>
      </c>
      <c r="J17" s="80"/>
      <c r="K17" s="80">
        <f>J12</f>
        <v>341.81093242400118</v>
      </c>
      <c r="L17" s="80">
        <f>K12</f>
        <v>455.64599648749174</v>
      </c>
      <c r="M17" s="82">
        <f>L12</f>
        <v>480.61127221811654</v>
      </c>
    </row>
    <row r="18" spans="9:18" x14ac:dyDescent="0.2">
      <c r="I18" s="78" t="s">
        <v>46</v>
      </c>
      <c r="J18" s="80"/>
      <c r="K18" s="80">
        <f>-(10000/$D$39)</f>
        <v>-10</v>
      </c>
      <c r="L18" s="80"/>
      <c r="M18" s="81"/>
    </row>
    <row r="19" spans="9:18" x14ac:dyDescent="0.2">
      <c r="I19" s="78" t="s">
        <v>66</v>
      </c>
      <c r="J19" s="80"/>
      <c r="K19" s="80">
        <f>-(0.02*J10)</f>
        <v>-36.849706937999997</v>
      </c>
      <c r="L19" s="80">
        <f>-(0.02*K10)</f>
        <v>-41.070062146139996</v>
      </c>
      <c r="M19" s="83">
        <f>-(0.02*L10)</f>
        <v>-42.302164010524201</v>
      </c>
      <c r="N19" s="84"/>
    </row>
    <row r="20" spans="9:18" x14ac:dyDescent="0.2">
      <c r="I20" s="60" t="s">
        <v>47</v>
      </c>
      <c r="J20" s="85">
        <f>SUM(J16:J19)</f>
        <v>-1650</v>
      </c>
      <c r="K20" s="85">
        <f>SUM(K16:K19)</f>
        <v>294.96122548600118</v>
      </c>
      <c r="L20" s="85">
        <f>SUM(L16:L19)</f>
        <v>414.57593434135174</v>
      </c>
      <c r="M20" s="86">
        <f>SUM(M16:M19)</f>
        <v>438.30910820759232</v>
      </c>
    </row>
    <row r="21" spans="9:18" x14ac:dyDescent="0.2">
      <c r="I21" s="87" t="s">
        <v>48</v>
      </c>
      <c r="J21" s="88">
        <f>J20</f>
        <v>-1650</v>
      </c>
      <c r="K21" s="88">
        <f>J21+K20</f>
        <v>-1355.0387745139988</v>
      </c>
      <c r="L21" s="88">
        <f>K21+L20</f>
        <v>-940.46284017264702</v>
      </c>
      <c r="M21" s="89">
        <f>L21+M20</f>
        <v>-502.1537319650547</v>
      </c>
    </row>
    <row r="22" spans="9:18" outlineLevel="1" x14ac:dyDescent="0.2">
      <c r="I22" s="53" t="s">
        <v>49</v>
      </c>
      <c r="J22" s="90" t="str">
        <f>IF(J21&lt;0,"-",ABS(I21/J20))</f>
        <v>-</v>
      </c>
      <c r="K22" s="90" t="str">
        <f>IF(K21&lt;0,"-",ABS(J21/K20))</f>
        <v>-</v>
      </c>
      <c r="L22" s="90" t="str">
        <f>IF(L21&lt;0,"-",ABS(K21/L20))</f>
        <v>-</v>
      </c>
      <c r="M22" s="90" t="str">
        <f>IF(M21&lt;0,"-",ABS(L21/M20))</f>
        <v>-</v>
      </c>
    </row>
    <row r="23" spans="9:18" x14ac:dyDescent="0.2">
      <c r="R23" s="91"/>
    </row>
    <row r="24" spans="9:18" x14ac:dyDescent="0.2">
      <c r="I24" s="92" t="s">
        <v>50</v>
      </c>
      <c r="J24" s="93"/>
      <c r="R24" s="91"/>
    </row>
    <row r="25" spans="9:18" x14ac:dyDescent="0.2">
      <c r="I25" s="94" t="s">
        <v>51</v>
      </c>
      <c r="J25" s="95" t="s">
        <v>52</v>
      </c>
      <c r="R25" s="91"/>
    </row>
    <row r="26" spans="9:18" x14ac:dyDescent="0.2">
      <c r="I26" s="60" t="s">
        <v>62</v>
      </c>
      <c r="J26" s="96">
        <f>SUM($K$17:$M$17)/-SUM($J$16,$J$18:$M$18,$J$19:$M$19)</f>
        <v>0.71792633118943128</v>
      </c>
      <c r="P26" s="97"/>
    </row>
    <row r="27" spans="9:18" outlineLevel="1" x14ac:dyDescent="0.2">
      <c r="I27" s="98" t="s">
        <v>53</v>
      </c>
      <c r="J27" s="83">
        <f>SUM(K17:M17)</f>
        <v>1278.0682011296094</v>
      </c>
    </row>
    <row r="28" spans="9:18" outlineLevel="1" x14ac:dyDescent="0.2">
      <c r="I28" s="161" t="s">
        <v>54</v>
      </c>
      <c r="J28" s="89">
        <f>-SUM(J16,J18:M18,J19:M19)</f>
        <v>1780.2219330946641</v>
      </c>
    </row>
    <row r="29" spans="9:18" x14ac:dyDescent="0.2">
      <c r="K29" s="70"/>
    </row>
    <row r="30" spans="9:18" x14ac:dyDescent="0.2">
      <c r="K30" s="70"/>
    </row>
    <row r="32" spans="9:18" outlineLevel="1" x14ac:dyDescent="0.2">
      <c r="I32" s="163" t="str">
        <f>N8</f>
        <v>EV/EBITDA Multiple</v>
      </c>
      <c r="J32" s="164" t="str">
        <f>J15</f>
        <v>Initial</v>
      </c>
      <c r="K32" s="164" t="str">
        <f>K15</f>
        <v>FY2024</v>
      </c>
      <c r="L32" s="164" t="str">
        <f>L15</f>
        <v>FY2025</v>
      </c>
      <c r="M32" s="164" t="str">
        <f>M15</f>
        <v>FY2026</v>
      </c>
      <c r="N32" s="165" t="s">
        <v>37</v>
      </c>
    </row>
    <row r="33" spans="4:14" outlineLevel="1" x14ac:dyDescent="0.2">
      <c r="I33" s="162">
        <v>8</v>
      </c>
      <c r="J33" s="99">
        <f>J20</f>
        <v>-1650</v>
      </c>
      <c r="K33" s="99">
        <f>K20</f>
        <v>294.96122548600118</v>
      </c>
      <c r="L33" s="99">
        <f>L20</f>
        <v>414.57593434135174</v>
      </c>
      <c r="M33" s="99">
        <f>M20+(I33*L12)</f>
        <v>4283.1992859525244</v>
      </c>
      <c r="N33" s="100">
        <f>IRR(J33:M33)</f>
        <v>0.49999755487350872</v>
      </c>
    </row>
    <row r="34" spans="4:14" outlineLevel="1" x14ac:dyDescent="0.2">
      <c r="I34" s="162">
        <v>9</v>
      </c>
      <c r="J34" s="99">
        <f>J20</f>
        <v>-1650</v>
      </c>
      <c r="K34" s="99">
        <f>K20</f>
        <v>294.96122548600118</v>
      </c>
      <c r="L34" s="99">
        <f>L20</f>
        <v>414.57593434135174</v>
      </c>
      <c r="M34" s="99">
        <f>M20+(I34*L12)</f>
        <v>4763.8105581706413</v>
      </c>
      <c r="N34" s="100">
        <f>IRR(J34:M34)</f>
        <v>0.54721650032072167</v>
      </c>
    </row>
    <row r="35" spans="4:14" outlineLevel="1" x14ac:dyDescent="0.2">
      <c r="I35" s="162">
        <v>10</v>
      </c>
      <c r="J35" s="99">
        <f>J20</f>
        <v>-1650</v>
      </c>
      <c r="K35" s="99">
        <f>K20</f>
        <v>294.96122548600118</v>
      </c>
      <c r="L35" s="99">
        <f>L20</f>
        <v>414.57593434135174</v>
      </c>
      <c r="M35" s="99">
        <f>M20+O9</f>
        <v>5244.4218303887583</v>
      </c>
      <c r="N35" s="100">
        <f>IRR(J35:M35)</f>
        <v>0.59150530439552185</v>
      </c>
    </row>
    <row r="36" spans="4:14" outlineLevel="1" x14ac:dyDescent="0.2">
      <c r="I36" s="162">
        <v>11</v>
      </c>
      <c r="J36" s="99">
        <f>J20</f>
        <v>-1650</v>
      </c>
      <c r="K36" s="99">
        <f>K20</f>
        <v>294.96122548600118</v>
      </c>
      <c r="L36" s="99">
        <f>L20</f>
        <v>414.57593434135174</v>
      </c>
      <c r="M36" s="99">
        <f>M20+O10</f>
        <v>5725.0331026068743</v>
      </c>
      <c r="N36" s="100">
        <f>IRR(J36:M36)</f>
        <v>0.63328291365565259</v>
      </c>
    </row>
    <row r="37" spans="4:14" x14ac:dyDescent="0.2">
      <c r="M37" s="99"/>
      <c r="N37" s="101"/>
    </row>
    <row r="38" spans="4:14" x14ac:dyDescent="0.2">
      <c r="N38" s="101"/>
    </row>
    <row r="39" spans="4:14" ht="16" x14ac:dyDescent="0.2">
      <c r="D39" s="52">
        <v>1000</v>
      </c>
      <c r="N39" s="101"/>
    </row>
    <row r="40" spans="4:14" x14ac:dyDescent="0.2">
      <c r="J40" s="100"/>
      <c r="N40" s="102"/>
    </row>
    <row r="41" spans="4:14" x14ac:dyDescent="0.2">
      <c r="I41" s="97"/>
      <c r="N41" s="102"/>
    </row>
    <row r="42" spans="4:14" x14ac:dyDescent="0.2">
      <c r="N42" s="101"/>
    </row>
    <row r="43" spans="4:14" x14ac:dyDescent="0.2">
      <c r="N43" s="103"/>
    </row>
    <row r="44" spans="4:14" x14ac:dyDescent="0.2">
      <c r="N44" s="103"/>
    </row>
    <row r="45" spans="4:14" x14ac:dyDescent="0.2">
      <c r="L45" s="100"/>
    </row>
    <row r="46" spans="4:14" x14ac:dyDescent="0.2">
      <c r="I46" s="100"/>
    </row>
  </sheetData>
  <pageMargins left="0.7" right="0.7" top="0.75" bottom="0.75" header="0.3" footer="0.3"/>
  <ignoredErrors>
    <ignoredError sqref="J11:L11 J12:L1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9D6D3-17B4-458F-A1CC-05D09441644F}">
  <dimension ref="C2:AS45"/>
  <sheetViews>
    <sheetView showGridLines="0" zoomScale="115" zoomScaleNormal="115" workbookViewId="0">
      <pane xSplit="4" topLeftCell="W1" activePane="topRight" state="frozen"/>
      <selection activeCell="A8" sqref="A8"/>
      <selection pane="topRight" activeCell="AG39" sqref="AG39"/>
    </sheetView>
  </sheetViews>
  <sheetFormatPr baseColWidth="10" defaultColWidth="8.75" defaultRowHeight="11" x14ac:dyDescent="0.15"/>
  <cols>
    <col min="1" max="2" width="0" hidden="1" customWidth="1"/>
    <col min="3" max="3" width="16.75" bestFit="1" customWidth="1"/>
    <col min="4" max="4" width="24.25" customWidth="1"/>
    <col min="5" max="5" width="12.75" hidden="1" customWidth="1"/>
    <col min="6" max="6" width="11.25" hidden="1" customWidth="1"/>
    <col min="7" max="7" width="2.25" hidden="1" customWidth="1"/>
    <col min="8" max="8" width="12.75" hidden="1" customWidth="1"/>
    <col min="9" max="9" width="11.25" hidden="1" customWidth="1"/>
    <col min="10" max="10" width="2.25" hidden="1" customWidth="1"/>
    <col min="11" max="11" width="16" hidden="1" customWidth="1"/>
    <col min="12" max="12" width="11.25" hidden="1" customWidth="1"/>
    <col min="13" max="13" width="2.25" hidden="1" customWidth="1"/>
    <col min="14" max="14" width="12.75" hidden="1" customWidth="1"/>
    <col min="15" max="15" width="11.25" hidden="1" customWidth="1"/>
    <col min="16" max="16" width="2" hidden="1" customWidth="1"/>
    <col min="17" max="17" width="12.75" hidden="1" customWidth="1"/>
    <col min="18" max="18" width="11.25" hidden="1" customWidth="1"/>
    <col min="19" max="19" width="2" hidden="1" customWidth="1"/>
    <col min="20" max="20" width="13.5" hidden="1" customWidth="1"/>
    <col min="21" max="21" width="11.25" hidden="1" customWidth="1"/>
    <col min="22" max="22" width="2.5" hidden="1" customWidth="1"/>
    <col min="23" max="23" width="15" bestFit="1" customWidth="1"/>
    <col min="24" max="24" width="13.75" customWidth="1"/>
    <col min="25" max="25" width="2.25" customWidth="1"/>
    <col min="26" max="26" width="15" bestFit="1" customWidth="1"/>
    <col min="27" max="27" width="11.25" customWidth="1"/>
    <col min="28" max="28" width="2.25" customWidth="1"/>
    <col min="29" max="29" width="12.75" hidden="1" customWidth="1"/>
    <col min="30" max="30" width="12.25" hidden="1" customWidth="1"/>
    <col min="31" max="31" width="2.25" hidden="1" customWidth="1"/>
    <col min="32" max="32" width="15" bestFit="1" customWidth="1"/>
    <col min="33" max="33" width="11.25" customWidth="1"/>
    <col min="34" max="34" width="2" customWidth="1"/>
    <col min="35" max="35" width="15" bestFit="1" customWidth="1"/>
    <col min="36" max="36" width="11.25" bestFit="1" customWidth="1"/>
    <col min="37" max="37" width="1.75" customWidth="1"/>
    <col min="38" max="38" width="15" bestFit="1" customWidth="1"/>
    <col min="39" max="39" width="11.25" customWidth="1"/>
    <col min="40" max="40" width="1.75" customWidth="1"/>
    <col min="41" max="41" width="12.75" bestFit="1" customWidth="1"/>
    <col min="42" max="42" width="11.25" bestFit="1" customWidth="1"/>
  </cols>
  <sheetData>
    <row r="2" spans="3:45" ht="19" x14ac:dyDescent="0.25">
      <c r="K2" s="3" t="s">
        <v>30</v>
      </c>
    </row>
    <row r="3" spans="3:45" ht="19" x14ac:dyDescent="0.25">
      <c r="K3" s="3" t="s">
        <v>0</v>
      </c>
    </row>
    <row r="4" spans="3:45" ht="14" x14ac:dyDescent="0.2">
      <c r="Z4" s="13"/>
      <c r="AC4" s="147" t="s">
        <v>57</v>
      </c>
      <c r="AD4" s="147"/>
    </row>
    <row r="5" spans="3:45" x14ac:dyDescent="0.15">
      <c r="AC5" t="s">
        <v>56</v>
      </c>
      <c r="AF5" s="143"/>
      <c r="AG5" s="143"/>
    </row>
    <row r="6" spans="3:45" ht="26.25" customHeight="1" thickBot="1" x14ac:dyDescent="0.25">
      <c r="D6" s="1"/>
      <c r="E6" s="151"/>
      <c r="F6" s="151"/>
      <c r="G6" s="17"/>
      <c r="H6" s="151"/>
      <c r="I6" s="151"/>
      <c r="J6" s="17"/>
      <c r="K6" s="151"/>
      <c r="L6" s="151"/>
      <c r="M6" s="17"/>
      <c r="N6" s="151"/>
      <c r="O6" s="151"/>
      <c r="P6" s="1"/>
      <c r="Q6" s="152"/>
      <c r="R6" s="152"/>
      <c r="S6" s="1"/>
      <c r="T6" s="1"/>
      <c r="U6" s="1"/>
      <c r="V6" s="5"/>
      <c r="W6" s="147" t="s">
        <v>31</v>
      </c>
      <c r="X6" s="147"/>
      <c r="Z6" s="147" t="s">
        <v>59</v>
      </c>
      <c r="AA6" s="147"/>
      <c r="AC6" s="147" t="s">
        <v>31</v>
      </c>
      <c r="AD6" s="147"/>
      <c r="AF6" s="148" t="s">
        <v>60</v>
      </c>
      <c r="AG6" s="148"/>
    </row>
    <row r="7" spans="3:45" ht="15" thickBot="1" x14ac:dyDescent="0.25">
      <c r="D7" s="4"/>
      <c r="E7" s="139" t="s">
        <v>1</v>
      </c>
      <c r="F7" s="15"/>
      <c r="G7" s="17"/>
      <c r="H7" s="139" t="s">
        <v>1</v>
      </c>
      <c r="I7" s="15"/>
      <c r="J7" s="17"/>
      <c r="K7" s="139" t="s">
        <v>1</v>
      </c>
      <c r="L7" s="15"/>
      <c r="M7" s="17"/>
      <c r="N7" s="139" t="s">
        <v>1</v>
      </c>
      <c r="O7" s="15"/>
      <c r="P7" s="1"/>
      <c r="Q7" s="153" t="s">
        <v>2</v>
      </c>
      <c r="R7" s="154"/>
      <c r="S7" s="1"/>
      <c r="T7" s="153" t="s">
        <v>2</v>
      </c>
      <c r="U7" s="154"/>
      <c r="V7" s="2"/>
      <c r="W7" s="155" t="s">
        <v>2</v>
      </c>
      <c r="X7" s="156"/>
      <c r="Z7" s="155" t="s">
        <v>2</v>
      </c>
      <c r="AA7" s="156"/>
      <c r="AC7" s="149" t="s">
        <v>2</v>
      </c>
      <c r="AD7" s="150"/>
      <c r="AF7" s="149" t="s">
        <v>2</v>
      </c>
      <c r="AG7" s="150"/>
      <c r="AI7" s="149" t="s">
        <v>55</v>
      </c>
      <c r="AJ7" s="150"/>
      <c r="AL7" s="149" t="s">
        <v>55</v>
      </c>
      <c r="AM7" s="150"/>
      <c r="AO7" s="149" t="s">
        <v>55</v>
      </c>
      <c r="AP7" s="150"/>
      <c r="AS7" s="9"/>
    </row>
    <row r="8" spans="3:45" ht="14" x14ac:dyDescent="0.2">
      <c r="D8" s="6"/>
      <c r="E8" s="142">
        <v>2020</v>
      </c>
      <c r="F8" s="138" t="s">
        <v>3</v>
      </c>
      <c r="G8" s="7"/>
      <c r="H8" s="142">
        <v>2021</v>
      </c>
      <c r="I8" s="138" t="s">
        <v>3</v>
      </c>
      <c r="J8" s="7"/>
      <c r="K8" s="142">
        <v>2022</v>
      </c>
      <c r="L8" s="138" t="s">
        <v>3</v>
      </c>
      <c r="M8" s="7"/>
      <c r="N8" s="142" t="s">
        <v>28</v>
      </c>
      <c r="O8" s="138" t="s">
        <v>3</v>
      </c>
      <c r="Q8" s="11">
        <v>2021</v>
      </c>
      <c r="R8" s="12" t="s">
        <v>3</v>
      </c>
      <c r="T8" s="11">
        <v>2022</v>
      </c>
      <c r="U8" s="12" t="s">
        <v>3</v>
      </c>
      <c r="V8" s="2"/>
      <c r="W8" s="142" t="s">
        <v>28</v>
      </c>
      <c r="X8" s="138" t="s">
        <v>3</v>
      </c>
      <c r="Z8" s="18" t="s">
        <v>58</v>
      </c>
      <c r="AA8" s="21" t="s">
        <v>3</v>
      </c>
      <c r="AC8" s="142" t="s">
        <v>28</v>
      </c>
      <c r="AD8" s="138" t="s">
        <v>3</v>
      </c>
      <c r="AF8" s="18" t="s">
        <v>58</v>
      </c>
      <c r="AG8" s="21" t="s">
        <v>3</v>
      </c>
      <c r="AI8" s="18">
        <v>2024</v>
      </c>
      <c r="AJ8" s="21" t="s">
        <v>3</v>
      </c>
      <c r="AL8" s="18">
        <v>2025</v>
      </c>
      <c r="AM8" s="21" t="s">
        <v>3</v>
      </c>
      <c r="AO8" s="140">
        <v>2026</v>
      </c>
      <c r="AP8" s="104" t="s">
        <v>3</v>
      </c>
      <c r="AS8" s="9"/>
    </row>
    <row r="9" spans="3:45" ht="14" x14ac:dyDescent="0.2">
      <c r="D9" s="115"/>
      <c r="E9" s="129"/>
      <c r="F9" s="137"/>
      <c r="G9" s="47"/>
      <c r="H9" s="129"/>
      <c r="I9" s="137"/>
      <c r="J9" s="47"/>
      <c r="K9" s="129"/>
      <c r="L9" s="137"/>
      <c r="M9" s="47"/>
      <c r="N9" s="129"/>
      <c r="O9" s="137"/>
      <c r="P9" s="14"/>
      <c r="Q9" s="124"/>
      <c r="R9" s="125"/>
      <c r="S9" s="14"/>
      <c r="T9" s="124"/>
      <c r="U9" s="125"/>
      <c r="V9" s="19"/>
      <c r="W9" s="129"/>
      <c r="X9" s="137"/>
      <c r="Z9" s="129"/>
      <c r="AA9" s="137"/>
      <c r="AC9" s="129"/>
      <c r="AD9" s="137"/>
      <c r="AF9" s="129"/>
      <c r="AG9" s="137"/>
      <c r="AI9" s="129"/>
      <c r="AJ9" s="137"/>
      <c r="AK9" s="14"/>
      <c r="AL9" s="129"/>
      <c r="AM9" s="137"/>
      <c r="AN9" s="14"/>
      <c r="AO9" s="129"/>
      <c r="AP9" s="137"/>
    </row>
    <row r="10" spans="3:45" ht="14" x14ac:dyDescent="0.2">
      <c r="C10" s="8" t="s">
        <v>26</v>
      </c>
      <c r="D10" s="116" t="s">
        <v>29</v>
      </c>
      <c r="E10" s="131">
        <v>1132420</v>
      </c>
      <c r="F10" s="106">
        <v>1</v>
      </c>
      <c r="G10" s="41"/>
      <c r="H10" s="131">
        <v>1152650</v>
      </c>
      <c r="I10" s="106">
        <v>1</v>
      </c>
      <c r="J10" s="41"/>
      <c r="K10" s="131">
        <v>1626511</v>
      </c>
      <c r="L10" s="106">
        <v>1</v>
      </c>
      <c r="M10" s="41"/>
      <c r="N10" s="131">
        <v>1745051.1400000001</v>
      </c>
      <c r="O10" s="106">
        <v>1</v>
      </c>
      <c r="P10" s="141"/>
      <c r="Q10" s="29"/>
      <c r="R10" s="30">
        <v>0</v>
      </c>
      <c r="S10" s="141"/>
      <c r="T10" s="29">
        <v>1626511</v>
      </c>
      <c r="U10" s="30">
        <v>1</v>
      </c>
      <c r="V10" s="22"/>
      <c r="W10" s="131">
        <v>1745051.1400000001</v>
      </c>
      <c r="X10" s="106">
        <v>1</v>
      </c>
      <c r="Z10" s="130">
        <v>1725748.88</v>
      </c>
      <c r="AA10" s="105">
        <v>1</v>
      </c>
      <c r="AC10" s="131">
        <v>1652239.4900000002</v>
      </c>
      <c r="AD10" s="106">
        <v>1</v>
      </c>
      <c r="AF10" s="130">
        <v>1632937.23</v>
      </c>
      <c r="AG10" s="105">
        <v>1</v>
      </c>
      <c r="AI10" s="130">
        <v>1681925.3469</v>
      </c>
      <c r="AJ10" s="105">
        <v>0.912856837493908</v>
      </c>
      <c r="AL10" s="130">
        <v>1732383.1073070001</v>
      </c>
      <c r="AM10" s="105">
        <v>0.84362331916744826</v>
      </c>
      <c r="AO10" s="130">
        <v>1784354.6005262102</v>
      </c>
      <c r="AP10" s="105">
        <v>0.84362331916744837</v>
      </c>
    </row>
    <row r="11" spans="3:45" ht="14" x14ac:dyDescent="0.2">
      <c r="D11" s="116" t="s">
        <v>63</v>
      </c>
      <c r="E11" s="130"/>
      <c r="F11" s="105"/>
      <c r="G11" s="41"/>
      <c r="H11" s="130"/>
      <c r="I11" s="105"/>
      <c r="J11" s="41"/>
      <c r="K11" s="130"/>
      <c r="L11" s="105"/>
      <c r="M11" s="41"/>
      <c r="N11" s="130"/>
      <c r="O11" s="105"/>
      <c r="Q11" s="48"/>
      <c r="R11" s="28">
        <v>0</v>
      </c>
      <c r="T11" s="48"/>
      <c r="U11" s="28">
        <v>0</v>
      </c>
      <c r="W11" s="130"/>
      <c r="X11" s="105"/>
      <c r="Z11" s="131">
        <v>0</v>
      </c>
      <c r="AA11" s="106">
        <v>0</v>
      </c>
      <c r="AC11" s="130"/>
      <c r="AD11" s="105"/>
      <c r="AF11" s="131">
        <v>0</v>
      </c>
      <c r="AG11" s="106">
        <v>0</v>
      </c>
      <c r="AI11" s="131">
        <v>160560</v>
      </c>
      <c r="AJ11" s="106">
        <v>8.7143162506091998E-2</v>
      </c>
      <c r="AL11" s="131">
        <v>321120</v>
      </c>
      <c r="AM11" s="106">
        <v>0.15637668083255174</v>
      </c>
      <c r="AO11" s="131">
        <v>330753.60000000003</v>
      </c>
      <c r="AP11" s="106">
        <v>0.15637668083255177</v>
      </c>
    </row>
    <row r="12" spans="3:45" ht="14" x14ac:dyDescent="0.2">
      <c r="C12" s="8"/>
      <c r="D12" s="115" t="s">
        <v>4</v>
      </c>
      <c r="E12" s="135">
        <v>1132420</v>
      </c>
      <c r="F12" s="108">
        <v>1</v>
      </c>
      <c r="G12" s="45"/>
      <c r="H12" s="135">
        <v>1152650</v>
      </c>
      <c r="I12" s="108">
        <v>1</v>
      </c>
      <c r="J12" s="45"/>
      <c r="K12" s="135">
        <v>1626511</v>
      </c>
      <c r="L12" s="108">
        <v>1</v>
      </c>
      <c r="M12" s="45"/>
      <c r="N12" s="135">
        <v>1745051.1400000001</v>
      </c>
      <c r="O12" s="108">
        <v>1</v>
      </c>
      <c r="P12" s="25"/>
      <c r="Q12" s="42"/>
      <c r="R12" s="44">
        <v>0</v>
      </c>
      <c r="S12" s="25"/>
      <c r="T12" s="42">
        <v>1626511</v>
      </c>
      <c r="U12" s="44">
        <v>1</v>
      </c>
      <c r="V12" s="24"/>
      <c r="W12" s="135">
        <v>1745051.1400000001</v>
      </c>
      <c r="X12" s="108">
        <v>1</v>
      </c>
      <c r="Z12" s="135">
        <v>1725748.88</v>
      </c>
      <c r="AA12" s="108">
        <v>1</v>
      </c>
      <c r="AC12" s="135">
        <v>1652239.4900000002</v>
      </c>
      <c r="AD12" s="108">
        <v>1</v>
      </c>
      <c r="AF12" s="135">
        <v>1632937.23</v>
      </c>
      <c r="AG12" s="108">
        <v>1</v>
      </c>
      <c r="AI12" s="135">
        <v>1842485.3469</v>
      </c>
      <c r="AJ12" s="108">
        <v>1</v>
      </c>
      <c r="AL12" s="135">
        <v>2053503.1073070001</v>
      </c>
      <c r="AM12" s="108">
        <v>1</v>
      </c>
      <c r="AO12" s="135">
        <v>2115108.20052621</v>
      </c>
      <c r="AP12" s="108">
        <v>1</v>
      </c>
    </row>
    <row r="13" spans="3:45" ht="14" x14ac:dyDescent="0.2">
      <c r="C13" s="8"/>
      <c r="D13" s="117"/>
      <c r="E13" s="111"/>
      <c r="F13" s="107"/>
      <c r="G13" s="27"/>
      <c r="H13" s="111"/>
      <c r="I13" s="107"/>
      <c r="J13" s="27"/>
      <c r="K13" s="111"/>
      <c r="L13" s="107"/>
      <c r="M13" s="27"/>
      <c r="N13" s="111"/>
      <c r="O13" s="107"/>
      <c r="P13" s="27"/>
      <c r="Q13" s="33"/>
      <c r="R13" s="34"/>
      <c r="S13" s="27"/>
      <c r="T13" s="33"/>
      <c r="U13" s="34"/>
      <c r="V13" s="32"/>
      <c r="W13" s="111"/>
      <c r="X13" s="107"/>
      <c r="Z13" s="111"/>
      <c r="AA13" s="107"/>
      <c r="AC13" s="111"/>
      <c r="AD13" s="107"/>
      <c r="AF13" s="111"/>
      <c r="AG13" s="107"/>
      <c r="AI13" s="111"/>
      <c r="AJ13" s="107"/>
      <c r="AL13" s="111"/>
      <c r="AM13" s="107"/>
      <c r="AO13" s="111"/>
      <c r="AP13" s="107"/>
    </row>
    <row r="14" spans="3:45" ht="14" x14ac:dyDescent="0.2">
      <c r="C14" s="8"/>
      <c r="D14" s="117" t="s">
        <v>5</v>
      </c>
      <c r="E14" s="111"/>
      <c r="F14" s="105"/>
      <c r="G14" s="41"/>
      <c r="H14" s="111"/>
      <c r="I14" s="105"/>
      <c r="J14" s="41"/>
      <c r="K14" s="111"/>
      <c r="L14" s="105"/>
      <c r="M14" s="41"/>
      <c r="N14" s="111"/>
      <c r="O14" s="105"/>
      <c r="P14" s="41"/>
      <c r="Q14" s="33"/>
      <c r="R14" s="28"/>
      <c r="S14" s="41"/>
      <c r="T14" s="33"/>
      <c r="U14" s="28"/>
      <c r="V14" s="32"/>
      <c r="W14" s="111"/>
      <c r="X14" s="105"/>
      <c r="Z14" s="111"/>
      <c r="AA14" s="105"/>
      <c r="AC14" s="111"/>
      <c r="AD14" s="105"/>
      <c r="AF14" s="111"/>
      <c r="AG14" s="105"/>
      <c r="AI14" s="111"/>
      <c r="AJ14" s="105"/>
      <c r="AL14" s="111"/>
      <c r="AM14" s="105"/>
      <c r="AO14" s="111"/>
      <c r="AP14" s="105"/>
    </row>
    <row r="15" spans="3:45" ht="14" x14ac:dyDescent="0.2">
      <c r="C15" s="8" t="s">
        <v>6</v>
      </c>
      <c r="D15" s="116" t="s">
        <v>6</v>
      </c>
      <c r="E15" s="133">
        <v>0</v>
      </c>
      <c r="F15" s="105">
        <v>0</v>
      </c>
      <c r="G15" s="41"/>
      <c r="H15" s="133">
        <v>0</v>
      </c>
      <c r="I15" s="105">
        <v>0</v>
      </c>
      <c r="J15" s="41"/>
      <c r="K15" s="133">
        <v>0</v>
      </c>
      <c r="L15" s="105">
        <v>0</v>
      </c>
      <c r="M15" s="41"/>
      <c r="N15" s="133">
        <v>0</v>
      </c>
      <c r="O15" s="105">
        <v>0</v>
      </c>
      <c r="P15" s="41"/>
      <c r="Q15" s="35"/>
      <c r="R15" s="28">
        <v>0</v>
      </c>
      <c r="S15" s="41"/>
      <c r="T15" s="35">
        <v>518200</v>
      </c>
      <c r="U15" s="28">
        <v>0.31859606236908328</v>
      </c>
      <c r="V15" s="46"/>
      <c r="W15" s="133">
        <v>460600</v>
      </c>
      <c r="X15" s="105">
        <v>0.26394641935823149</v>
      </c>
      <c r="Z15" s="133">
        <v>452674.828202456</v>
      </c>
      <c r="AA15" s="105">
        <v>0.26230631434769119</v>
      </c>
      <c r="AC15" s="133">
        <v>408600</v>
      </c>
      <c r="AD15" s="105">
        <v>0.24730071062518905</v>
      </c>
      <c r="AF15" s="133">
        <v>400674.828202456</v>
      </c>
      <c r="AG15" s="105">
        <v>0.2453706246886514</v>
      </c>
      <c r="AI15" s="133">
        <v>482963.07304852968</v>
      </c>
      <c r="AJ15" s="105">
        <v>0.26212586920222725</v>
      </c>
      <c r="AL15" s="133">
        <v>543511.92523998558</v>
      </c>
      <c r="AM15" s="105">
        <v>0.2646754822556644</v>
      </c>
      <c r="AO15" s="133">
        <v>559154.28299718513</v>
      </c>
      <c r="AP15" s="105">
        <v>0.26436202311450319</v>
      </c>
    </row>
    <row r="16" spans="3:45" ht="14" x14ac:dyDescent="0.2">
      <c r="C16" s="8" t="s">
        <v>7</v>
      </c>
      <c r="D16" s="116" t="s">
        <v>7</v>
      </c>
      <c r="E16" s="133">
        <v>529364</v>
      </c>
      <c r="F16" s="105">
        <v>0.46746260221472596</v>
      </c>
      <c r="G16" s="41"/>
      <c r="H16" s="133">
        <v>490292</v>
      </c>
      <c r="I16" s="105">
        <v>0.42536069058257059</v>
      </c>
      <c r="J16" s="41"/>
      <c r="K16" s="133">
        <v>648810</v>
      </c>
      <c r="L16" s="105">
        <v>0.3988967796713333</v>
      </c>
      <c r="M16" s="41"/>
      <c r="N16" s="133">
        <v>796610.35000000009</v>
      </c>
      <c r="O16" s="105">
        <v>0.45649685086019887</v>
      </c>
      <c r="P16" s="41"/>
      <c r="Q16" s="35"/>
      <c r="R16" s="28">
        <v>0</v>
      </c>
      <c r="S16" s="41"/>
      <c r="T16" s="35">
        <v>464210</v>
      </c>
      <c r="U16" s="28">
        <v>0.28540231206551936</v>
      </c>
      <c r="V16" s="46"/>
      <c r="W16" s="133">
        <v>549900</v>
      </c>
      <c r="X16" s="105">
        <v>0.31511970474401108</v>
      </c>
      <c r="Z16" s="133">
        <v>549900</v>
      </c>
      <c r="AA16" s="105">
        <v>0.31864427459457489</v>
      </c>
      <c r="AC16" s="133">
        <v>549900</v>
      </c>
      <c r="AD16" s="105">
        <v>0.33282100042288659</v>
      </c>
      <c r="AF16" s="133">
        <v>549900</v>
      </c>
      <c r="AG16" s="105">
        <v>0.33675513663192064</v>
      </c>
      <c r="AI16" s="133">
        <v>524943</v>
      </c>
      <c r="AJ16" s="105">
        <v>0.28491027127201951</v>
      </c>
      <c r="AL16" s="133">
        <v>535441.86</v>
      </c>
      <c r="AM16" s="105">
        <v>0.26074558061038816</v>
      </c>
      <c r="AO16" s="133">
        <v>546150.69720000005</v>
      </c>
      <c r="AP16" s="105">
        <v>0.2582140701190252</v>
      </c>
    </row>
    <row r="17" spans="3:42" ht="14" x14ac:dyDescent="0.2">
      <c r="C17" s="8" t="s">
        <v>8</v>
      </c>
      <c r="D17" s="116" t="s">
        <v>8</v>
      </c>
      <c r="E17" s="133">
        <v>13842</v>
      </c>
      <c r="F17" s="105">
        <v>1.2223380018014518E-2</v>
      </c>
      <c r="G17" s="41"/>
      <c r="H17" s="133">
        <v>2536</v>
      </c>
      <c r="I17" s="105">
        <v>2.200147486227389E-3</v>
      </c>
      <c r="J17" s="41"/>
      <c r="K17" s="133">
        <v>0</v>
      </c>
      <c r="L17" s="105">
        <v>0</v>
      </c>
      <c r="M17" s="41"/>
      <c r="N17" s="133">
        <v>0</v>
      </c>
      <c r="O17" s="105">
        <v>0</v>
      </c>
      <c r="P17" s="41"/>
      <c r="Q17" s="35"/>
      <c r="R17" s="28">
        <v>0</v>
      </c>
      <c r="S17" s="41"/>
      <c r="T17" s="35">
        <v>32530.22</v>
      </c>
      <c r="U17" s="28">
        <v>0.02</v>
      </c>
      <c r="V17" s="46"/>
      <c r="W17" s="133">
        <v>34901.022800000006</v>
      </c>
      <c r="X17" s="105">
        <v>0.02</v>
      </c>
      <c r="Z17" s="133">
        <v>33898.861199999999</v>
      </c>
      <c r="AA17" s="105">
        <v>1.9642986064113802E-2</v>
      </c>
      <c r="AC17" s="133">
        <v>33044.789800000006</v>
      </c>
      <c r="AD17" s="105">
        <v>0.02</v>
      </c>
      <c r="AF17" s="133">
        <v>32658.744600000002</v>
      </c>
      <c r="AG17" s="105">
        <v>0.02</v>
      </c>
      <c r="AI17" s="133">
        <v>36849.706938000003</v>
      </c>
      <c r="AJ17" s="105">
        <v>0.02</v>
      </c>
      <c r="AL17" s="133">
        <v>41070.062146140001</v>
      </c>
      <c r="AM17" s="105">
        <v>0.02</v>
      </c>
      <c r="AO17" s="133">
        <v>42302.164010524204</v>
      </c>
      <c r="AP17" s="105">
        <v>0.02</v>
      </c>
    </row>
    <row r="18" spans="3:42" ht="14" x14ac:dyDescent="0.2">
      <c r="C18" s="8" t="s">
        <v>9</v>
      </c>
      <c r="D18" s="118" t="s">
        <v>9</v>
      </c>
      <c r="E18" s="133">
        <v>1702</v>
      </c>
      <c r="F18" s="106">
        <v>1.502975927659349E-3</v>
      </c>
      <c r="G18" s="141"/>
      <c r="H18" s="133">
        <v>38869</v>
      </c>
      <c r="I18" s="106">
        <v>3.3721424543443367E-2</v>
      </c>
      <c r="J18" s="141"/>
      <c r="K18" s="133">
        <v>51055</v>
      </c>
      <c r="L18" s="106">
        <v>3.1389274342442194E-2</v>
      </c>
      <c r="M18" s="141"/>
      <c r="N18" s="134">
        <v>0</v>
      </c>
      <c r="O18" s="106">
        <v>0</v>
      </c>
      <c r="P18" s="141"/>
      <c r="Q18" s="39"/>
      <c r="R18" s="30">
        <v>0</v>
      </c>
      <c r="S18" s="141"/>
      <c r="T18" s="39">
        <v>75645.569999999992</v>
      </c>
      <c r="U18" s="30">
        <v>4.6507874831464402E-2</v>
      </c>
      <c r="V18" s="16"/>
      <c r="W18" s="134">
        <v>77808.5</v>
      </c>
      <c r="X18" s="106">
        <v>4.4588091555872678E-2</v>
      </c>
      <c r="Z18" s="134">
        <v>77198.26177158911</v>
      </c>
      <c r="AA18" s="106">
        <v>4.4733195348554487E-2</v>
      </c>
      <c r="AC18" s="134">
        <v>77808.5</v>
      </c>
      <c r="AD18" s="106">
        <v>4.7092749247870831E-2</v>
      </c>
      <c r="AF18" s="134">
        <v>77198.26177158911</v>
      </c>
      <c r="AG18" s="106">
        <v>4.7275706838767535E-2</v>
      </c>
      <c r="AI18" s="134">
        <v>77608.767624736778</v>
      </c>
      <c r="AJ18" s="106">
        <v>4.2121782816516996E-2</v>
      </c>
      <c r="AK18" s="128"/>
      <c r="AL18" s="134">
        <v>83079.441463478899</v>
      </c>
      <c r="AM18" s="106">
        <v>4.0457421840686049E-2</v>
      </c>
      <c r="AN18" s="128"/>
      <c r="AO18" s="134">
        <v>85108.483475183253</v>
      </c>
      <c r="AP18" s="106">
        <v>4.0238359178981685E-2</v>
      </c>
    </row>
    <row r="19" spans="3:42" ht="14" x14ac:dyDescent="0.2">
      <c r="C19" s="8"/>
      <c r="D19" s="115" t="s">
        <v>10</v>
      </c>
      <c r="E19" s="135">
        <v>544908</v>
      </c>
      <c r="F19" s="108">
        <v>0.48118895816039986</v>
      </c>
      <c r="G19" s="25"/>
      <c r="H19" s="135">
        <v>531697</v>
      </c>
      <c r="I19" s="108">
        <v>0.46128226261224131</v>
      </c>
      <c r="J19" s="25"/>
      <c r="K19" s="135">
        <v>699865</v>
      </c>
      <c r="L19" s="108">
        <v>0.43028605401377551</v>
      </c>
      <c r="M19" s="25"/>
      <c r="N19" s="135">
        <v>796610.35000000009</v>
      </c>
      <c r="O19" s="108">
        <v>0.45649685086019887</v>
      </c>
      <c r="P19" s="25"/>
      <c r="Q19" s="42"/>
      <c r="R19" s="44">
        <v>0</v>
      </c>
      <c r="S19" s="25"/>
      <c r="T19" s="42">
        <v>1090585.79</v>
      </c>
      <c r="U19" s="44">
        <v>0.67050624926606706</v>
      </c>
      <c r="V19" s="23"/>
      <c r="W19" s="135">
        <v>1123209.5227999999</v>
      </c>
      <c r="X19" s="108">
        <v>0.6436542156581152</v>
      </c>
      <c r="Z19" s="135">
        <v>1113671.9511740452</v>
      </c>
      <c r="AA19" s="108">
        <v>0.64532677035493446</v>
      </c>
      <c r="AC19" s="135">
        <v>1069353.2897999999</v>
      </c>
      <c r="AD19" s="108">
        <v>0.64721446029594643</v>
      </c>
      <c r="AF19" s="135">
        <v>1060431.8345740451</v>
      </c>
      <c r="AG19" s="108">
        <v>0.64940146815933952</v>
      </c>
      <c r="AI19" s="135">
        <v>1122364.5476112666</v>
      </c>
      <c r="AJ19" s="108">
        <v>0.60915792329076379</v>
      </c>
      <c r="AK19" s="14"/>
      <c r="AL19" s="135">
        <v>1203103.2888496045</v>
      </c>
      <c r="AM19" s="108">
        <v>0.58587848470673864</v>
      </c>
      <c r="AN19" s="14"/>
      <c r="AO19" s="135">
        <v>1232715.6276828926</v>
      </c>
      <c r="AP19" s="108">
        <v>0.58281445241251006</v>
      </c>
    </row>
    <row r="20" spans="3:42" ht="14" x14ac:dyDescent="0.2">
      <c r="C20" s="8"/>
      <c r="D20" s="119"/>
      <c r="E20" s="133"/>
      <c r="F20" s="105"/>
      <c r="G20" s="41"/>
      <c r="H20" s="133"/>
      <c r="I20" s="105"/>
      <c r="J20" s="41"/>
      <c r="K20" s="133"/>
      <c r="L20" s="105"/>
      <c r="M20" s="41"/>
      <c r="N20" s="133"/>
      <c r="O20" s="105"/>
      <c r="P20" s="41"/>
      <c r="Q20" s="35"/>
      <c r="R20" s="28"/>
      <c r="S20" s="41"/>
      <c r="T20" s="35"/>
      <c r="U20" s="28"/>
      <c r="V20" s="46"/>
      <c r="W20" s="133"/>
      <c r="X20" s="105"/>
      <c r="Z20" s="133"/>
      <c r="AA20" s="105"/>
      <c r="AC20" s="133"/>
      <c r="AD20" s="105"/>
      <c r="AF20" s="133"/>
      <c r="AG20" s="105"/>
      <c r="AI20" s="133"/>
      <c r="AJ20" s="105"/>
      <c r="AL20" s="133"/>
      <c r="AM20" s="105"/>
      <c r="AO20" s="133"/>
      <c r="AP20" s="105"/>
    </row>
    <row r="21" spans="3:42" ht="14" x14ac:dyDescent="0.2">
      <c r="C21" s="8"/>
      <c r="D21" s="117" t="s">
        <v>11</v>
      </c>
      <c r="E21" s="133"/>
      <c r="F21" s="107"/>
      <c r="G21" s="27"/>
      <c r="H21" s="133"/>
      <c r="I21" s="107"/>
      <c r="J21" s="27"/>
      <c r="K21" s="133"/>
      <c r="L21" s="107"/>
      <c r="M21" s="27"/>
      <c r="N21" s="133"/>
      <c r="O21" s="107"/>
      <c r="P21" s="27"/>
      <c r="Q21" s="35"/>
      <c r="R21" s="34"/>
      <c r="S21" s="27"/>
      <c r="T21" s="35"/>
      <c r="U21" s="34"/>
      <c r="V21" s="46"/>
      <c r="W21" s="133"/>
      <c r="X21" s="107"/>
      <c r="Z21" s="133"/>
      <c r="AA21" s="107"/>
      <c r="AC21" s="133"/>
      <c r="AD21" s="107"/>
      <c r="AF21" s="133"/>
      <c r="AG21" s="107"/>
      <c r="AI21" s="133"/>
      <c r="AJ21" s="107"/>
      <c r="AL21" s="133"/>
      <c r="AM21" s="107"/>
      <c r="AO21" s="133"/>
      <c r="AP21" s="107"/>
    </row>
    <row r="22" spans="3:42" ht="14" x14ac:dyDescent="0.2">
      <c r="C22" s="8" t="s">
        <v>12</v>
      </c>
      <c r="D22" s="116" t="s">
        <v>12</v>
      </c>
      <c r="E22" s="133">
        <v>73389</v>
      </c>
      <c r="F22" s="107">
        <v>6.480722700058282E-2</v>
      </c>
      <c r="G22" s="27"/>
      <c r="H22" s="133">
        <v>143679</v>
      </c>
      <c r="I22" s="107">
        <v>0.12465102155901618</v>
      </c>
      <c r="J22" s="27"/>
      <c r="K22" s="133">
        <v>86543</v>
      </c>
      <c r="L22" s="107">
        <v>5.3207755742199103E-2</v>
      </c>
      <c r="M22" s="27"/>
      <c r="N22" s="133">
        <v>115402.62</v>
      </c>
      <c r="O22" s="107">
        <v>6.6131368505337892E-2</v>
      </c>
      <c r="P22" s="27"/>
      <c r="Q22" s="35"/>
      <c r="R22" s="34">
        <v>0</v>
      </c>
      <c r="S22" s="27"/>
      <c r="T22" s="35">
        <v>86543</v>
      </c>
      <c r="U22" s="34">
        <v>5.3207755742199103E-2</v>
      </c>
      <c r="V22" s="46"/>
      <c r="W22" s="133">
        <v>115402.62</v>
      </c>
      <c r="X22" s="107">
        <v>6.6131368505337892E-2</v>
      </c>
      <c r="Z22" s="133">
        <v>109468.89</v>
      </c>
      <c r="AA22" s="107">
        <v>6.3432687842741059E-2</v>
      </c>
      <c r="AC22" s="133">
        <v>109264.90155765109</v>
      </c>
      <c r="AD22" s="107">
        <v>6.6131394521777881E-2</v>
      </c>
      <c r="AF22" s="133">
        <v>103581.59757738026</v>
      </c>
      <c r="AG22" s="107">
        <v>6.3432687842741059E-2</v>
      </c>
      <c r="AI22" s="133">
        <v>116873.79786473217</v>
      </c>
      <c r="AJ22" s="107">
        <v>6.3432687842741059E-2</v>
      </c>
      <c r="AL22" s="133">
        <v>130259.22158990373</v>
      </c>
      <c r="AM22" s="107">
        <v>6.3432687842741059E-2</v>
      </c>
      <c r="AO22" s="133">
        <v>134166.99823760084</v>
      </c>
      <c r="AP22" s="107">
        <v>6.3432687842741059E-2</v>
      </c>
    </row>
    <row r="23" spans="3:42" ht="14" x14ac:dyDescent="0.2">
      <c r="C23" s="10" t="s">
        <v>13</v>
      </c>
      <c r="D23" s="120" t="s">
        <v>13</v>
      </c>
      <c r="E23" s="133">
        <v>87600</v>
      </c>
      <c r="F23" s="109">
        <v>7.7356457851327248E-2</v>
      </c>
      <c r="G23" s="32"/>
      <c r="H23" s="133">
        <v>79354</v>
      </c>
      <c r="I23" s="109">
        <v>6.8844835813126268E-2</v>
      </c>
      <c r="J23" s="32"/>
      <c r="K23" s="133">
        <v>84218</v>
      </c>
      <c r="L23" s="109">
        <v>5.1778315670782428E-2</v>
      </c>
      <c r="M23" s="32"/>
      <c r="N23" s="133">
        <v>90578.680000000008</v>
      </c>
      <c r="O23" s="109">
        <v>5.1906031819789533E-2</v>
      </c>
      <c r="P23" s="32"/>
      <c r="Q23" s="35"/>
      <c r="R23" s="40">
        <v>0</v>
      </c>
      <c r="S23" s="32"/>
      <c r="T23" s="35">
        <v>84218</v>
      </c>
      <c r="U23" s="40">
        <v>5.1778315670782428E-2</v>
      </c>
      <c r="V23" s="46"/>
      <c r="W23" s="133">
        <v>90578.680000000008</v>
      </c>
      <c r="X23" s="109">
        <v>5.1906031819789533E-2</v>
      </c>
      <c r="Z23" s="133">
        <v>95722.47</v>
      </c>
      <c r="AA23" s="109">
        <v>5.5467206793145943E-2</v>
      </c>
      <c r="AC23" s="133">
        <v>90578.680000000008</v>
      </c>
      <c r="AD23" s="109">
        <v>5.4821761946871272E-2</v>
      </c>
      <c r="AF23" s="133">
        <v>95722.47</v>
      </c>
      <c r="AG23" s="109">
        <v>5.861980989924518E-2</v>
      </c>
      <c r="AI23" s="133">
        <v>95722.47</v>
      </c>
      <c r="AJ23" s="109">
        <v>5.1952907067105862E-2</v>
      </c>
      <c r="AL23" s="133">
        <v>97636.919399999999</v>
      </c>
      <c r="AM23" s="109">
        <v>4.7546516512479382E-2</v>
      </c>
      <c r="AO23" s="133">
        <v>99589.657787999997</v>
      </c>
      <c r="AP23" s="109">
        <v>4.708489984730968E-2</v>
      </c>
    </row>
    <row r="24" spans="3:42" ht="14" hidden="1" x14ac:dyDescent="0.2">
      <c r="C24" s="8" t="s">
        <v>14</v>
      </c>
      <c r="D24" s="116" t="s">
        <v>14</v>
      </c>
      <c r="E24" s="133">
        <v>0</v>
      </c>
      <c r="F24" s="107">
        <v>0</v>
      </c>
      <c r="G24" s="27"/>
      <c r="H24" s="133">
        <v>0</v>
      </c>
      <c r="I24" s="107">
        <v>0</v>
      </c>
      <c r="J24" s="27"/>
      <c r="K24" s="133">
        <v>0</v>
      </c>
      <c r="L24" s="107">
        <v>0</v>
      </c>
      <c r="M24" s="27"/>
      <c r="N24" s="133">
        <v>0</v>
      </c>
      <c r="O24" s="107">
        <v>0</v>
      </c>
      <c r="P24" s="27"/>
      <c r="Q24" s="35"/>
      <c r="R24" s="34">
        <v>0</v>
      </c>
      <c r="S24" s="27"/>
      <c r="T24" s="35">
        <v>0</v>
      </c>
      <c r="U24" s="34">
        <v>0</v>
      </c>
      <c r="V24" s="46"/>
      <c r="W24" s="133">
        <v>0</v>
      </c>
      <c r="X24" s="107">
        <v>0</v>
      </c>
      <c r="Z24" s="133">
        <v>0</v>
      </c>
      <c r="AA24" s="107">
        <v>0</v>
      </c>
      <c r="AC24" s="133">
        <v>0</v>
      </c>
      <c r="AD24" s="107">
        <v>0</v>
      </c>
      <c r="AF24" s="133">
        <v>0</v>
      </c>
      <c r="AG24" s="107">
        <v>0</v>
      </c>
      <c r="AI24" s="133">
        <v>0</v>
      </c>
      <c r="AJ24" s="107">
        <v>0</v>
      </c>
      <c r="AL24" s="133">
        <v>0</v>
      </c>
      <c r="AM24" s="107">
        <v>0</v>
      </c>
      <c r="AO24" s="133">
        <v>0</v>
      </c>
      <c r="AP24" s="107">
        <v>0</v>
      </c>
    </row>
    <row r="25" spans="3:42" ht="14" x14ac:dyDescent="0.2">
      <c r="C25" s="8" t="s">
        <v>15</v>
      </c>
      <c r="D25" s="116" t="s">
        <v>15</v>
      </c>
      <c r="E25" s="133">
        <v>16011</v>
      </c>
      <c r="F25" s="107">
        <v>1.4138747107963477E-2</v>
      </c>
      <c r="G25" s="27"/>
      <c r="H25" s="133">
        <v>27144</v>
      </c>
      <c r="I25" s="107">
        <v>2.3549212683815556E-2</v>
      </c>
      <c r="J25" s="27"/>
      <c r="K25" s="133">
        <v>26685</v>
      </c>
      <c r="L25" s="107">
        <v>1.6406283142259722E-2</v>
      </c>
      <c r="M25" s="27"/>
      <c r="N25" s="133">
        <v>11744.6</v>
      </c>
      <c r="O25" s="107">
        <v>6.7302325592589795E-3</v>
      </c>
      <c r="P25" s="27"/>
      <c r="Q25" s="35"/>
      <c r="R25" s="34">
        <v>0</v>
      </c>
      <c r="S25" s="27"/>
      <c r="T25" s="35">
        <v>26685</v>
      </c>
      <c r="U25" s="34">
        <v>1.6406283142259722E-2</v>
      </c>
      <c r="V25" s="46"/>
      <c r="W25" s="133">
        <v>11744.6</v>
      </c>
      <c r="X25" s="107">
        <v>6.7302325592589795E-3</v>
      </c>
      <c r="Z25" s="133">
        <v>21930.7</v>
      </c>
      <c r="AA25" s="107">
        <v>1.2707932338336503E-2</v>
      </c>
      <c r="AC25" s="133">
        <v>11744.6</v>
      </c>
      <c r="AD25" s="107">
        <v>7.1082915467660188E-3</v>
      </c>
      <c r="AF25" s="133">
        <v>21930.7</v>
      </c>
      <c r="AG25" s="107">
        <v>1.3430216175547667E-2</v>
      </c>
      <c r="AI25" s="133">
        <v>21930.7</v>
      </c>
      <c r="AJ25" s="107">
        <v>1.1902781228029099E-2</v>
      </c>
      <c r="AL25" s="133">
        <v>21930.7</v>
      </c>
      <c r="AM25" s="107">
        <v>1.0679652697852648E-2</v>
      </c>
      <c r="AO25" s="133">
        <v>21930.7</v>
      </c>
      <c r="AP25" s="107">
        <v>1.0368594852284125E-2</v>
      </c>
    </row>
    <row r="26" spans="3:42" ht="14" x14ac:dyDescent="0.2">
      <c r="C26" s="8" t="s">
        <v>16</v>
      </c>
      <c r="D26" s="116" t="s">
        <v>16</v>
      </c>
      <c r="E26" s="133">
        <v>6217</v>
      </c>
      <c r="F26" s="107">
        <v>5.49001253951714E-3</v>
      </c>
      <c r="G26" s="27"/>
      <c r="H26" s="133">
        <v>9433</v>
      </c>
      <c r="I26" s="107">
        <v>8.1837504880058996E-3</v>
      </c>
      <c r="J26" s="27"/>
      <c r="K26" s="133">
        <v>6916</v>
      </c>
      <c r="L26" s="107">
        <v>4.2520462511473943E-3</v>
      </c>
      <c r="M26" s="27"/>
      <c r="N26" s="133">
        <v>7878</v>
      </c>
      <c r="O26" s="107">
        <v>4.5144808764744854E-3</v>
      </c>
      <c r="P26" s="27"/>
      <c r="Q26" s="35"/>
      <c r="R26" s="34">
        <v>0</v>
      </c>
      <c r="S26" s="27"/>
      <c r="T26" s="35">
        <v>6916</v>
      </c>
      <c r="U26" s="34">
        <v>4.2520462511473943E-3</v>
      </c>
      <c r="V26" s="46"/>
      <c r="W26" s="133">
        <v>7878</v>
      </c>
      <c r="X26" s="107">
        <v>4.5144808764744854E-3</v>
      </c>
      <c r="Z26" s="133">
        <v>9099.51</v>
      </c>
      <c r="AA26" s="107">
        <v>5.2727891673323875E-3</v>
      </c>
      <c r="AC26" s="133">
        <v>7878</v>
      </c>
      <c r="AD26" s="107">
        <v>4.7680739067675953E-3</v>
      </c>
      <c r="AF26" s="133">
        <v>9099.51</v>
      </c>
      <c r="AG26" s="107">
        <v>5.5724799660547882E-3</v>
      </c>
      <c r="AI26" s="133">
        <v>15015</v>
      </c>
      <c r="AJ26" s="107">
        <v>8.1493185415356974E-3</v>
      </c>
      <c r="AL26" s="133">
        <v>15015</v>
      </c>
      <c r="AM26" s="107">
        <v>7.3118954369107009E-3</v>
      </c>
      <c r="AO26" s="133">
        <v>15015</v>
      </c>
      <c r="AP26" s="107">
        <v>7.0989276086511665E-3</v>
      </c>
    </row>
    <row r="27" spans="3:42" ht="14" x14ac:dyDescent="0.2">
      <c r="C27" s="8" t="s">
        <v>17</v>
      </c>
      <c r="D27" s="116" t="s">
        <v>17</v>
      </c>
      <c r="E27" s="133">
        <v>1754</v>
      </c>
      <c r="F27" s="107">
        <v>1.5488952862012329E-3</v>
      </c>
      <c r="G27" s="27"/>
      <c r="H27" s="133">
        <v>482</v>
      </c>
      <c r="I27" s="107">
        <v>4.1816683295015832E-4</v>
      </c>
      <c r="J27" s="27"/>
      <c r="K27" s="133">
        <v>6600</v>
      </c>
      <c r="L27" s="107">
        <v>4.0577653640215157E-3</v>
      </c>
      <c r="M27" s="27"/>
      <c r="N27" s="133">
        <v>1310</v>
      </c>
      <c r="O27" s="107">
        <v>7.506943320870241E-4</v>
      </c>
      <c r="P27" s="27"/>
      <c r="Q27" s="35"/>
      <c r="R27" s="34">
        <v>0</v>
      </c>
      <c r="S27" s="27"/>
      <c r="T27" s="35">
        <v>6600</v>
      </c>
      <c r="U27" s="34">
        <v>4.0577653640215157E-3</v>
      </c>
      <c r="V27" s="46"/>
      <c r="W27" s="133">
        <v>1310</v>
      </c>
      <c r="X27" s="107">
        <v>7.506943320870241E-4</v>
      </c>
      <c r="Z27" s="133">
        <v>1089</v>
      </c>
      <c r="AA27" s="107">
        <v>6.3103039649662122E-4</v>
      </c>
      <c r="AC27" s="133">
        <v>1310</v>
      </c>
      <c r="AD27" s="107">
        <v>7.9286326705579457E-4</v>
      </c>
      <c r="AF27" s="133">
        <v>1089</v>
      </c>
      <c r="AG27" s="107">
        <v>6.6689642442655309E-4</v>
      </c>
      <c r="AI27" s="133">
        <v>1089</v>
      </c>
      <c r="AJ27" s="107">
        <v>5.9104947663885269E-4</v>
      </c>
      <c r="AL27" s="133">
        <v>1089</v>
      </c>
      <c r="AM27" s="107">
        <v>5.3031329542429259E-4</v>
      </c>
      <c r="AO27" s="133">
        <v>1089</v>
      </c>
      <c r="AP27" s="107">
        <v>5.1486727711096375E-4</v>
      </c>
    </row>
    <row r="28" spans="3:42" ht="14" x14ac:dyDescent="0.2">
      <c r="C28" s="8" t="s">
        <v>18</v>
      </c>
      <c r="D28" s="116" t="s">
        <v>18</v>
      </c>
      <c r="E28" s="133">
        <v>2100</v>
      </c>
      <c r="F28" s="107">
        <v>1.8544356334222285E-3</v>
      </c>
      <c r="G28" s="27"/>
      <c r="H28" s="133">
        <v>958</v>
      </c>
      <c r="I28" s="107">
        <v>8.311282696395263E-4</v>
      </c>
      <c r="J28" s="27"/>
      <c r="K28" s="133">
        <v>208</v>
      </c>
      <c r="L28" s="107">
        <v>1.2788109026007203E-4</v>
      </c>
      <c r="M28" s="27"/>
      <c r="N28" s="133">
        <v>8276.9699999999993</v>
      </c>
      <c r="O28" s="107">
        <v>4.743110279278118E-3</v>
      </c>
      <c r="P28" s="27"/>
      <c r="Q28" s="35"/>
      <c r="R28" s="34">
        <v>0</v>
      </c>
      <c r="S28" s="27"/>
      <c r="T28" s="35">
        <v>208</v>
      </c>
      <c r="U28" s="34">
        <v>1.2788109026007203E-4</v>
      </c>
      <c r="V28" s="46"/>
      <c r="W28" s="133">
        <v>8276.9699999999993</v>
      </c>
      <c r="X28" s="107">
        <v>4.743110279278118E-3</v>
      </c>
      <c r="Z28" s="133">
        <v>6800.25</v>
      </c>
      <c r="AA28" s="107">
        <v>3.9404632266080335E-3</v>
      </c>
      <c r="AC28" s="133">
        <v>8276.9699999999993</v>
      </c>
      <c r="AD28" s="107">
        <v>5.0095461645212206E-3</v>
      </c>
      <c r="AF28" s="133">
        <v>6800.25</v>
      </c>
      <c r="AG28" s="107">
        <v>4.1644282922007969E-3</v>
      </c>
      <c r="AI28" s="133">
        <v>6800.25</v>
      </c>
      <c r="AJ28" s="107">
        <v>3.690802758047161E-3</v>
      </c>
      <c r="AL28" s="133">
        <v>6800.25</v>
      </c>
      <c r="AM28" s="107">
        <v>3.311536260063403E-3</v>
      </c>
      <c r="AO28" s="133">
        <v>6800.25</v>
      </c>
      <c r="AP28" s="107">
        <v>3.215083747634372E-3</v>
      </c>
    </row>
    <row r="29" spans="3:42" ht="14" x14ac:dyDescent="0.2">
      <c r="C29" s="8" t="s">
        <v>19</v>
      </c>
      <c r="D29" s="116" t="s">
        <v>19</v>
      </c>
      <c r="E29" s="133">
        <v>13521</v>
      </c>
      <c r="F29" s="107">
        <v>1.1939916285477119E-2</v>
      </c>
      <c r="G29" s="27"/>
      <c r="H29" s="133">
        <v>15752</v>
      </c>
      <c r="I29" s="107">
        <v>1.3665900316661607E-2</v>
      </c>
      <c r="J29" s="27"/>
      <c r="K29" s="133">
        <v>7320</v>
      </c>
      <c r="L29" s="107">
        <v>4.500430676460227E-3</v>
      </c>
      <c r="M29" s="27"/>
      <c r="N29" s="133">
        <v>1920</v>
      </c>
      <c r="O29" s="107">
        <v>1.100254288249684E-3</v>
      </c>
      <c r="P29" s="27"/>
      <c r="Q29" s="35"/>
      <c r="R29" s="34">
        <v>0</v>
      </c>
      <c r="S29" s="27"/>
      <c r="T29" s="35">
        <v>7320</v>
      </c>
      <c r="U29" s="34">
        <v>4.500430676460227E-3</v>
      </c>
      <c r="V29" s="46"/>
      <c r="W29" s="133">
        <v>1920</v>
      </c>
      <c r="X29" s="107">
        <v>1.100254288249684E-3</v>
      </c>
      <c r="Z29" s="133">
        <v>5053.75</v>
      </c>
      <c r="AA29" s="107">
        <v>2.9284388120246097E-3</v>
      </c>
      <c r="AC29" s="133">
        <v>1920</v>
      </c>
      <c r="AD29" s="107">
        <v>1.1620591395016225E-3</v>
      </c>
      <c r="AF29" s="133">
        <v>5053.75</v>
      </c>
      <c r="AG29" s="107">
        <v>3.0948832001337859E-3</v>
      </c>
      <c r="AI29" s="133">
        <v>0</v>
      </c>
      <c r="AJ29" s="107">
        <v>0</v>
      </c>
      <c r="AL29" s="133">
        <v>0</v>
      </c>
      <c r="AM29" s="107">
        <v>0</v>
      </c>
      <c r="AO29" s="133">
        <v>0</v>
      </c>
      <c r="AP29" s="107">
        <v>0</v>
      </c>
    </row>
    <row r="30" spans="3:42" ht="14" x14ac:dyDescent="0.2">
      <c r="C30" s="8" t="s">
        <v>27</v>
      </c>
      <c r="D30" s="116" t="s">
        <v>27</v>
      </c>
      <c r="E30" s="133">
        <v>0</v>
      </c>
      <c r="F30" s="107">
        <v>0</v>
      </c>
      <c r="G30" s="27"/>
      <c r="H30" s="133">
        <v>0</v>
      </c>
      <c r="I30" s="107">
        <v>0</v>
      </c>
      <c r="J30" s="27"/>
      <c r="K30" s="133">
        <v>0</v>
      </c>
      <c r="L30" s="107">
        <v>0</v>
      </c>
      <c r="M30" s="27"/>
      <c r="N30" s="133">
        <v>0</v>
      </c>
      <c r="O30" s="107">
        <v>0</v>
      </c>
      <c r="P30" s="27"/>
      <c r="Q30" s="35"/>
      <c r="R30" s="34">
        <v>0</v>
      </c>
      <c r="S30" s="27"/>
      <c r="T30" s="35">
        <v>0</v>
      </c>
      <c r="U30" s="34">
        <v>0</v>
      </c>
      <c r="V30" s="46"/>
      <c r="W30" s="133">
        <v>0</v>
      </c>
      <c r="X30" s="107">
        <v>0</v>
      </c>
      <c r="Z30" s="133">
        <v>0</v>
      </c>
      <c r="AA30" s="107">
        <v>0</v>
      </c>
      <c r="AC30" s="133">
        <v>0</v>
      </c>
      <c r="AD30" s="107">
        <v>0</v>
      </c>
      <c r="AF30" s="133">
        <v>0</v>
      </c>
      <c r="AG30" s="107">
        <v>0</v>
      </c>
      <c r="AI30" s="133">
        <v>24000</v>
      </c>
      <c r="AJ30" s="107">
        <v>1.3025883782674439E-2</v>
      </c>
      <c r="AL30" s="133">
        <v>24000</v>
      </c>
      <c r="AM30" s="107">
        <v>1.1687345353703419E-2</v>
      </c>
      <c r="AO30" s="133">
        <v>24000</v>
      </c>
      <c r="AP30" s="107">
        <v>1.1346937236605261E-2</v>
      </c>
    </row>
    <row r="31" spans="3:42" ht="14" x14ac:dyDescent="0.2">
      <c r="C31" s="8" t="s">
        <v>20</v>
      </c>
      <c r="D31" s="116" t="s">
        <v>20</v>
      </c>
      <c r="E31" s="133">
        <v>39404</v>
      </c>
      <c r="F31" s="107">
        <v>3.4796276999699761E-2</v>
      </c>
      <c r="G31" s="27"/>
      <c r="H31" s="133">
        <v>49024</v>
      </c>
      <c r="I31" s="107">
        <v>4.2531557714831039E-2</v>
      </c>
      <c r="J31" s="27"/>
      <c r="K31" s="133">
        <v>28809</v>
      </c>
      <c r="L31" s="107">
        <v>1.7712145813953917E-2</v>
      </c>
      <c r="M31" s="27"/>
      <c r="N31" s="133">
        <v>43578.270000000004</v>
      </c>
      <c r="O31" s="107">
        <v>2.4972488771876335E-2</v>
      </c>
      <c r="P31" s="27"/>
      <c r="Q31" s="35"/>
      <c r="R31" s="34">
        <v>0</v>
      </c>
      <c r="S31" s="27"/>
      <c r="T31" s="35">
        <v>28809</v>
      </c>
      <c r="U31" s="34">
        <v>1.7712145813953917E-2</v>
      </c>
      <c r="V31" s="46"/>
      <c r="W31" s="133">
        <v>43578.270000000004</v>
      </c>
      <c r="X31" s="107">
        <v>2.4972488771876335E-2</v>
      </c>
      <c r="Z31" s="133">
        <v>39674.550000000003</v>
      </c>
      <c r="AA31" s="107">
        <v>2.2989758509940336E-2</v>
      </c>
      <c r="AC31" s="133">
        <v>43578.270000000004</v>
      </c>
      <c r="AD31" s="107">
        <v>2.6375274446442384E-2</v>
      </c>
      <c r="AF31" s="133">
        <v>39674.550000000003</v>
      </c>
      <c r="AG31" s="107">
        <v>2.4296432998836093E-2</v>
      </c>
      <c r="AI31" s="133">
        <v>39674.550000000003</v>
      </c>
      <c r="AJ31" s="107">
        <v>2.1533169892912759E-2</v>
      </c>
      <c r="AL31" s="133">
        <v>39674.550000000003</v>
      </c>
      <c r="AM31" s="107">
        <v>1.9320423650115583E-2</v>
      </c>
      <c r="AO31" s="133">
        <v>39674.550000000003</v>
      </c>
      <c r="AP31" s="107">
        <v>1.8757692864189886E-2</v>
      </c>
    </row>
    <row r="32" spans="3:42" ht="14" x14ac:dyDescent="0.2">
      <c r="C32" s="8" t="s">
        <v>21</v>
      </c>
      <c r="D32" s="116" t="s">
        <v>21</v>
      </c>
      <c r="E32" s="133">
        <v>8077</v>
      </c>
      <c r="F32" s="107">
        <v>7.1325126719768281E-3</v>
      </c>
      <c r="G32" s="27"/>
      <c r="H32" s="133">
        <v>946</v>
      </c>
      <c r="I32" s="107">
        <v>8.2071747711794563E-4</v>
      </c>
      <c r="J32" s="27"/>
      <c r="K32" s="133">
        <v>4113</v>
      </c>
      <c r="L32" s="107">
        <v>2.5287255973061354E-3</v>
      </c>
      <c r="M32" s="27"/>
      <c r="N32" s="133">
        <v>12310.44</v>
      </c>
      <c r="O32" s="107">
        <v>7.0544866667918964E-3</v>
      </c>
      <c r="P32" s="27"/>
      <c r="Q32" s="35"/>
      <c r="R32" s="34">
        <v>0</v>
      </c>
      <c r="S32" s="27"/>
      <c r="T32" s="35">
        <v>4113</v>
      </c>
      <c r="U32" s="34">
        <v>2.5287255973061354E-3</v>
      </c>
      <c r="V32" s="46"/>
      <c r="W32" s="133">
        <v>12310.44</v>
      </c>
      <c r="X32" s="107">
        <v>7.0544866667918964E-3</v>
      </c>
      <c r="Z32" s="133">
        <v>11186.26</v>
      </c>
      <c r="AA32" s="107">
        <v>6.4819743646595913E-3</v>
      </c>
      <c r="AC32" s="133">
        <v>12310.44</v>
      </c>
      <c r="AD32" s="107">
        <v>7.4507600590033099E-3</v>
      </c>
      <c r="AF32" s="133">
        <v>11186.26</v>
      </c>
      <c r="AG32" s="107">
        <v>6.8503919161669183E-3</v>
      </c>
      <c r="AI32" s="133">
        <v>0</v>
      </c>
      <c r="AJ32" s="107">
        <v>0</v>
      </c>
      <c r="AL32" s="133">
        <v>0</v>
      </c>
      <c r="AM32" s="107">
        <v>0</v>
      </c>
      <c r="AO32" s="133">
        <v>0</v>
      </c>
      <c r="AP32" s="107">
        <v>0</v>
      </c>
    </row>
    <row r="33" spans="3:42" ht="14" x14ac:dyDescent="0.2">
      <c r="C33" s="8" t="s">
        <v>22</v>
      </c>
      <c r="D33" s="118" t="s">
        <v>22</v>
      </c>
      <c r="E33" s="144">
        <v>57971</v>
      </c>
      <c r="F33" s="110">
        <v>5.1192137192914287E-2</v>
      </c>
      <c r="G33" s="27"/>
      <c r="H33" s="144">
        <v>53098</v>
      </c>
      <c r="I33" s="110">
        <v>4.6066021775907691E-2</v>
      </c>
      <c r="J33" s="27"/>
      <c r="K33" s="144">
        <v>36402</v>
      </c>
      <c r="L33" s="110">
        <v>2.2380420421380488E-2</v>
      </c>
      <c r="M33" s="27"/>
      <c r="N33" s="134">
        <v>90781.78</v>
      </c>
      <c r="O33" s="110">
        <v>5.2022418093718444E-2</v>
      </c>
      <c r="P33" s="27"/>
      <c r="Q33" s="39"/>
      <c r="R33" s="36">
        <v>0</v>
      </c>
      <c r="S33" s="27"/>
      <c r="T33" s="39">
        <v>36402</v>
      </c>
      <c r="U33" s="36">
        <v>2.2380420421380488E-2</v>
      </c>
      <c r="V33" s="46"/>
      <c r="W33" s="134">
        <v>63874.929999999993</v>
      </c>
      <c r="X33" s="110">
        <v>3.6603471689660619E-2</v>
      </c>
      <c r="Z33" s="134">
        <v>57528.450000000004</v>
      </c>
      <c r="AA33" s="110">
        <v>3.333535409856387E-2</v>
      </c>
      <c r="AC33" s="134">
        <v>63874.929999999993</v>
      </c>
      <c r="AD33" s="110">
        <v>3.8659607391419985E-2</v>
      </c>
      <c r="AF33" s="134">
        <v>57528.450000000004</v>
      </c>
      <c r="AG33" s="110">
        <v>3.5230043716989665E-2</v>
      </c>
      <c r="AI33" s="134">
        <v>57204.099000000002</v>
      </c>
      <c r="AJ33" s="110">
        <v>3.1047247727775132E-2</v>
      </c>
      <c r="AL33" s="134">
        <v>58348.180980000005</v>
      </c>
      <c r="AM33" s="110">
        <v>2.8413972578068717E-2</v>
      </c>
      <c r="AO33" s="134">
        <v>59515.144599600004</v>
      </c>
      <c r="AP33" s="110">
        <v>2.813810876663116E-2</v>
      </c>
    </row>
    <row r="34" spans="3:42" ht="14" x14ac:dyDescent="0.2">
      <c r="D34" s="111"/>
      <c r="E34" s="111"/>
      <c r="F34" s="111"/>
      <c r="G34" s="6"/>
      <c r="H34" s="111"/>
      <c r="I34" s="111"/>
      <c r="J34" s="6"/>
      <c r="K34" s="111"/>
      <c r="L34" s="111"/>
      <c r="M34" s="6"/>
      <c r="N34" s="111"/>
      <c r="O34" s="111"/>
      <c r="P34" s="6"/>
      <c r="Q34" s="33"/>
      <c r="R34" s="33"/>
      <c r="S34" s="6"/>
      <c r="T34" s="33"/>
      <c r="U34" s="33"/>
      <c r="V34" s="32"/>
      <c r="W34" s="111"/>
      <c r="X34" s="111"/>
      <c r="Z34" s="111"/>
      <c r="AA34" s="111"/>
      <c r="AC34" s="111"/>
      <c r="AD34" s="111"/>
      <c r="AF34" s="111"/>
      <c r="AG34" s="111"/>
      <c r="AI34" s="111"/>
      <c r="AJ34" s="111"/>
      <c r="AL34" s="111"/>
      <c r="AM34" s="111"/>
      <c r="AO34" s="111"/>
      <c r="AP34" s="111"/>
    </row>
    <row r="35" spans="3:42" ht="14" x14ac:dyDescent="0.2">
      <c r="D35" s="117" t="s">
        <v>23</v>
      </c>
      <c r="E35" s="132">
        <v>306044</v>
      </c>
      <c r="F35" s="112">
        <v>0.27025661856908206</v>
      </c>
      <c r="G35" s="43"/>
      <c r="H35" s="132">
        <v>379870</v>
      </c>
      <c r="I35" s="112">
        <v>0.3295623129310718</v>
      </c>
      <c r="J35" s="43"/>
      <c r="K35" s="132">
        <v>287814</v>
      </c>
      <c r="L35" s="112">
        <v>0.17695176976977101</v>
      </c>
      <c r="M35" s="43"/>
      <c r="N35" s="132">
        <v>383781.36</v>
      </c>
      <c r="O35" s="112">
        <v>0.21992556619286238</v>
      </c>
      <c r="P35" s="43"/>
      <c r="Q35" s="31">
        <v>0</v>
      </c>
      <c r="R35" s="37">
        <v>0</v>
      </c>
      <c r="S35" s="43"/>
      <c r="T35" s="31">
        <v>287814</v>
      </c>
      <c r="U35" s="37">
        <v>0.17695176976977101</v>
      </c>
      <c r="V35" s="32"/>
      <c r="W35" s="132">
        <v>356874.51</v>
      </c>
      <c r="X35" s="112">
        <v>0.20450661978880458</v>
      </c>
      <c r="Z35" s="132">
        <v>357553.83</v>
      </c>
      <c r="AA35" s="112">
        <v>0.20718763554984898</v>
      </c>
      <c r="AC35" s="132">
        <v>350736.79155765113</v>
      </c>
      <c r="AD35" s="112">
        <v>0.21227963239012709</v>
      </c>
      <c r="AF35" s="132">
        <v>351666.53757738031</v>
      </c>
      <c r="AG35" s="112">
        <v>0.21535827043234254</v>
      </c>
      <c r="AI35" s="132">
        <v>378309.86686473218</v>
      </c>
      <c r="AJ35" s="112">
        <v>0.20532584831746006</v>
      </c>
      <c r="AL35" s="132">
        <v>394753.82196990371</v>
      </c>
      <c r="AM35" s="112">
        <v>0.19223434362735919</v>
      </c>
      <c r="AO35" s="132">
        <v>401781.30062520085</v>
      </c>
      <c r="AP35" s="112">
        <v>0.18995780004315768</v>
      </c>
    </row>
    <row r="36" spans="3:42" ht="14" x14ac:dyDescent="0.2">
      <c r="D36" s="121"/>
      <c r="E36" s="111"/>
      <c r="F36" s="107"/>
      <c r="G36" s="27"/>
      <c r="H36" s="111"/>
      <c r="I36" s="107"/>
      <c r="J36" s="27"/>
      <c r="K36" s="111"/>
      <c r="L36" s="107"/>
      <c r="M36" s="27"/>
      <c r="N36" s="111"/>
      <c r="O36" s="107"/>
      <c r="P36" s="27"/>
      <c r="Q36" s="33"/>
      <c r="R36" s="34"/>
      <c r="S36" s="27"/>
      <c r="T36" s="33"/>
      <c r="U36" s="34"/>
      <c r="V36" s="32"/>
      <c r="W36" s="111"/>
      <c r="X36" s="107"/>
      <c r="Z36" s="111"/>
      <c r="AA36" s="107"/>
      <c r="AC36" s="111"/>
      <c r="AD36" s="107"/>
      <c r="AF36" s="111"/>
      <c r="AG36" s="107"/>
      <c r="AI36" s="111"/>
      <c r="AJ36" s="107"/>
      <c r="AL36" s="111"/>
      <c r="AM36" s="107"/>
      <c r="AO36" s="111"/>
      <c r="AP36" s="107"/>
    </row>
    <row r="37" spans="3:42" ht="14" x14ac:dyDescent="0.2">
      <c r="D37" s="122" t="s">
        <v>24</v>
      </c>
      <c r="E37" s="132">
        <v>850952</v>
      </c>
      <c r="F37" s="112">
        <v>0.75144557672948198</v>
      </c>
      <c r="G37" s="43"/>
      <c r="H37" s="132">
        <v>911567</v>
      </c>
      <c r="I37" s="112">
        <v>0.79084457554331322</v>
      </c>
      <c r="J37" s="43"/>
      <c r="K37" s="132">
        <v>987679</v>
      </c>
      <c r="L37" s="112">
        <v>0.60723782378354652</v>
      </c>
      <c r="M37" s="43"/>
      <c r="N37" s="132">
        <v>1180391.71</v>
      </c>
      <c r="O37" s="112">
        <v>0.67642241705306116</v>
      </c>
      <c r="P37" s="43"/>
      <c r="Q37" s="31">
        <v>0</v>
      </c>
      <c r="R37" s="37">
        <v>0</v>
      </c>
      <c r="S37" s="43"/>
      <c r="T37" s="31">
        <v>1378399.79</v>
      </c>
      <c r="U37" s="37">
        <v>0.84745801903583806</v>
      </c>
      <c r="V37" s="26"/>
      <c r="W37" s="132">
        <v>1480084.0327999999</v>
      </c>
      <c r="X37" s="112">
        <v>0.84816083544691978</v>
      </c>
      <c r="Z37" s="132">
        <v>1471225.7811740453</v>
      </c>
      <c r="AA37" s="112">
        <v>0.85251440590478345</v>
      </c>
      <c r="AC37" s="132">
        <v>1420090.0813576509</v>
      </c>
      <c r="AD37" s="112">
        <v>0.85949409268607346</v>
      </c>
      <c r="AF37" s="132">
        <v>1412098.3721514256</v>
      </c>
      <c r="AG37" s="112">
        <v>0.8647597385916822</v>
      </c>
      <c r="AI37" s="132">
        <v>1500674.4144759988</v>
      </c>
      <c r="AJ37" s="112">
        <v>0.81448377160822394</v>
      </c>
      <c r="AL37" s="132">
        <v>1597857.1108195083</v>
      </c>
      <c r="AM37" s="112">
        <v>0.77811282833409789</v>
      </c>
      <c r="AO37" s="132">
        <v>1634496.9283080935</v>
      </c>
      <c r="AP37" s="112">
        <v>0.77277225245566772</v>
      </c>
    </row>
    <row r="38" spans="3:42" ht="14" x14ac:dyDescent="0.2">
      <c r="D38" s="111"/>
      <c r="E38" s="111"/>
      <c r="F38" s="113"/>
      <c r="G38" s="17"/>
      <c r="H38" s="111"/>
      <c r="I38" s="113"/>
      <c r="J38" s="17"/>
      <c r="K38" s="111"/>
      <c r="L38" s="113"/>
      <c r="M38" s="17"/>
      <c r="N38" s="111"/>
      <c r="O38" s="113"/>
      <c r="P38" s="17"/>
      <c r="Q38" s="33"/>
      <c r="R38" s="38"/>
      <c r="S38" s="17"/>
      <c r="T38" s="33"/>
      <c r="U38" s="38"/>
      <c r="V38" s="26"/>
      <c r="W38" s="111"/>
      <c r="X38" s="113"/>
      <c r="Z38" s="111"/>
      <c r="AA38" s="113"/>
      <c r="AC38" s="111"/>
      <c r="AD38" s="113"/>
      <c r="AF38" s="111"/>
      <c r="AG38" s="113"/>
      <c r="AI38" s="111"/>
      <c r="AJ38" s="113"/>
      <c r="AL38" s="111"/>
      <c r="AM38" s="113"/>
      <c r="AO38" s="111"/>
      <c r="AP38" s="113"/>
    </row>
    <row r="39" spans="3:42" ht="14" x14ac:dyDescent="0.2">
      <c r="D39" s="123" t="s">
        <v>25</v>
      </c>
      <c r="E39" s="136">
        <v>281468</v>
      </c>
      <c r="F39" s="114">
        <v>0.24855442327051799</v>
      </c>
      <c r="G39" s="20"/>
      <c r="H39" s="136">
        <v>241083</v>
      </c>
      <c r="I39" s="114">
        <v>0.20915542445668678</v>
      </c>
      <c r="J39" s="20"/>
      <c r="K39" s="136">
        <v>638832</v>
      </c>
      <c r="L39" s="114">
        <v>0.39276217621645348</v>
      </c>
      <c r="M39" s="20"/>
      <c r="N39" s="136">
        <v>564659.43000000017</v>
      </c>
      <c r="O39" s="114">
        <v>0.32357758294693878</v>
      </c>
      <c r="P39" s="128"/>
      <c r="Q39" s="126">
        <v>0</v>
      </c>
      <c r="R39" s="127">
        <v>0</v>
      </c>
      <c r="S39" s="128"/>
      <c r="T39" s="126">
        <v>248111.20999999996</v>
      </c>
      <c r="U39" s="127">
        <v>0.15254198096416191</v>
      </c>
      <c r="V39" s="128"/>
      <c r="W39" s="136">
        <v>264967.1072000002</v>
      </c>
      <c r="X39" s="114">
        <v>0.15183916455308019</v>
      </c>
      <c r="Z39" s="136">
        <v>254523.0988259546</v>
      </c>
      <c r="AA39" s="114">
        <v>0.14748559409521658</v>
      </c>
      <c r="AC39" s="136">
        <v>232149.4086423493</v>
      </c>
      <c r="AD39" s="114">
        <v>0.14050590731392654</v>
      </c>
      <c r="AF39" s="136">
        <v>220838.85784857441</v>
      </c>
      <c r="AG39" s="114">
        <v>0.13524026140831782</v>
      </c>
      <c r="AI39" s="136">
        <v>341810.93242400116</v>
      </c>
      <c r="AJ39" s="114">
        <v>0.18551622839177606</v>
      </c>
      <c r="AK39" s="128"/>
      <c r="AL39" s="136">
        <v>455645.99648749176</v>
      </c>
      <c r="AM39" s="114">
        <v>0.22188717166590213</v>
      </c>
      <c r="AN39" s="128"/>
      <c r="AO39" s="136">
        <v>480611.27221811656</v>
      </c>
      <c r="AP39" s="114">
        <v>0.22722774754433228</v>
      </c>
    </row>
    <row r="41" spans="3:42" hidden="1" x14ac:dyDescent="0.15">
      <c r="AC41" s="145">
        <v>5.3185260805594499E-2</v>
      </c>
    </row>
    <row r="42" spans="3:42" hidden="1" x14ac:dyDescent="0.15">
      <c r="AC42" s="146">
        <v>0.94681473919440551</v>
      </c>
    </row>
    <row r="45" spans="3:42" x14ac:dyDescent="0.15">
      <c r="AF45" s="13"/>
    </row>
  </sheetData>
  <mergeCells count="19">
    <mergeCell ref="AI7:AJ7"/>
    <mergeCell ref="AL7:AM7"/>
    <mergeCell ref="AO7:AP7"/>
    <mergeCell ref="E6:F6"/>
    <mergeCell ref="AF7:AG7"/>
    <mergeCell ref="Q6:R6"/>
    <mergeCell ref="N6:O6"/>
    <mergeCell ref="K6:L6"/>
    <mergeCell ref="H6:I6"/>
    <mergeCell ref="Q7:R7"/>
    <mergeCell ref="T7:U7"/>
    <mergeCell ref="W7:X7"/>
    <mergeCell ref="Z7:AA7"/>
    <mergeCell ref="AC7:AD7"/>
    <mergeCell ref="AC4:AD4"/>
    <mergeCell ref="W6:X6"/>
    <mergeCell ref="Z6:AA6"/>
    <mergeCell ref="AC6:AD6"/>
    <mergeCell ref="AF6:A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Valuation &amp; Returns</vt:lpstr>
      <vt:lpstr>220k EBITDA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