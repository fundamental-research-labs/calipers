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bookViews>
    <workbookView xWindow="-110" yWindow="-110" windowWidth="38620" windowHeight="21100" xr2:uid="{00000000-000D-0000-FFFF-FFFF00000000}"/>
  </bookViews>
  <sheets>
    <sheet name="GL-Summary" sheetId="1" r:id="rId1"/>
    <sheet name="GL-Transactions" sheetId="2" r:id="rId2"/>
    <sheet name="Sheet1" sheetId="4" r:id="rId3"/>
  </sheets>
  <definedNames>
    <definedName name="_xlnm._FilterDatabase" localSheetId="0" hidden="1">'GL-Summary'!$B$4:$F$4</definedName>
    <definedName name="_xlnm._FilterDatabase" localSheetId="1">'GL-Transactions'!$A$1:$G$5360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46149.0199884259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5" i="1" l="1"/>
  <c r="D57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E5" i="1"/>
  <c r="D5" i="1"/>
  <c r="F539" i="1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5" i="1" l="1"/>
  <c r="F575" i="1"/>
</calcChain>
</file>

<file path=xl/sharedStrings.xml><?xml version="1.0" encoding="utf-8"?>
<sst xmlns="http://schemas.openxmlformats.org/spreadsheetml/2006/main" count="8552" uniqueCount="2136">
  <si>
    <t>General Ledger Summary</t>
  </si>
  <si>
    <t>Account</t>
  </si>
  <si>
    <t>Description</t>
  </si>
  <si>
    <t>Total Debits</t>
  </si>
  <si>
    <t>Total Credits</t>
  </si>
  <si>
    <t>Net Balance</t>
  </si>
  <si>
    <t>Company1063 Company0081 Frais Missions</t>
  </si>
  <si>
    <t>Company0081 Honoraires</t>
  </si>
  <si>
    <t>Company0081 Chiffre d'affaires</t>
  </si>
  <si>
    <t>Company1063 DOSSIER Company0294 Frais Missions</t>
  </si>
  <si>
    <t>Company1063 DOSSIER Company0294 Dép.&amp;Transp.</t>
  </si>
  <si>
    <t>Company1063 DOSSIER Company0294 Autres frais d</t>
  </si>
  <si>
    <t>Company2372 Frais Missions</t>
  </si>
  <si>
    <t>Company2372 Honoraires</t>
  </si>
  <si>
    <t>Company2372 Chiffre d'affaires</t>
  </si>
  <si>
    <t>Company1063 DOSSIER Company1056 SAS Frais Missi</t>
  </si>
  <si>
    <t>Company1063 DOSSIER Company1056 SAS Honoraires</t>
  </si>
  <si>
    <t>Company1063 DOSSIER Company1056 SAS Chiffre d'a</t>
  </si>
  <si>
    <t>Company1063 NEW Company0999 GROUP Frais Missions</t>
  </si>
  <si>
    <t>Company1063 NEW Company0999 GROUP Dép.&amp;Transp.</t>
  </si>
  <si>
    <t>Company1063 NEW Company0999 GROUP Chiffre d'affai</t>
  </si>
  <si>
    <t>Company1063 DOSSIER Company0889  Frais Mis</t>
  </si>
  <si>
    <t>Company1063 DOSSIER Company0889  Dép.&amp;Tran</t>
  </si>
  <si>
    <t>Company1063 DOSSIER Company0889  Chiffre d</t>
  </si>
  <si>
    <t>Company1063 Company0294 Frais Missions</t>
  </si>
  <si>
    <t>Company1063 Company0294 Chiffre d'affaires</t>
  </si>
  <si>
    <t>Company1063 Company0049 Frais Missions</t>
  </si>
  <si>
    <t>Company1063 Company0546 Frais Missions</t>
  </si>
  <si>
    <t>Company0546 Honoraires</t>
  </si>
  <si>
    <t>Company1063 DOSSIER Company1635 Frais Missions</t>
  </si>
  <si>
    <t>Company1063 GRPE Company2860  Frais Missions</t>
  </si>
  <si>
    <t>Company1063 GRPE Company2860  Dép.&amp;Transp.</t>
  </si>
  <si>
    <t>Company1063 GRPE Company2860  Chiffre d'affai</t>
  </si>
  <si>
    <t>Company1063 DOSSIER Product0082 Product0117 Frais Missio</t>
  </si>
  <si>
    <t>Company1063 DOSSIER Product0082 Product0117 Dép.&amp;Transp.</t>
  </si>
  <si>
    <t>Company1063 DOSSIER Product0082 Product0117 Chiffre d'af</t>
  </si>
  <si>
    <t>Company1063 DOSSIER IMS Frais Missions</t>
  </si>
  <si>
    <t>Company1063 DOSSIER IMS Dép.&amp;Transp.</t>
  </si>
  <si>
    <t>Company1063 DOSSIER IMS Chiffre d'affaires</t>
  </si>
  <si>
    <t>Company1063 DOSSIER Company2249 Frais Missions</t>
  </si>
  <si>
    <t>Company1063 DOSSIER Company2249 Chiffre d'affair</t>
  </si>
  <si>
    <t>Company1063 Company2796 Frais Missions</t>
  </si>
  <si>
    <t>Company1063 Company2796 Dép.&amp;Transp.</t>
  </si>
  <si>
    <t>Company1063 Company2796 Chiffre d'affaires</t>
  </si>
  <si>
    <t>Company1063 Company2468 Company0711 Frais Missions</t>
  </si>
  <si>
    <t>Company1063 Company2468 Company0711 Honoraires</t>
  </si>
  <si>
    <t>Company1063 Company2468 Company0711 Chiffre d'affa</t>
  </si>
  <si>
    <t>Company1063 IVOIRE Company1988 Frais Missions</t>
  </si>
  <si>
    <t>Company1063 IVOIRE Company1988 Dép.&amp;Transp.</t>
  </si>
  <si>
    <t>Company1063 IVOIRE Company1988 Honoraires</t>
  </si>
  <si>
    <t>Company1063 IVOIRE Company1988 Chiffre d'affai</t>
  </si>
  <si>
    <t>Company1063 DOSSIER Company0580 Frais Missions</t>
  </si>
  <si>
    <t>Company1063 DOSSIER Company0580 Honoraires</t>
  </si>
  <si>
    <t>Company1063 DOSSIER Company0580 Chiffre d'affaire</t>
  </si>
  <si>
    <t>Company1063 Company1123 SENEGAL Honoraires</t>
  </si>
  <si>
    <t>Company1063 Company1123 SENEGAL Chiffre d'affaire</t>
  </si>
  <si>
    <t>Company1063 Company1305 Frais Missions</t>
  </si>
  <si>
    <t>Company1063 Company1305 Dép.&amp;Transp.</t>
  </si>
  <si>
    <t>Company1063 Company1305 Chiffre d'affaires</t>
  </si>
  <si>
    <t>Company1063 DOSSIER Company1892 AI Frais Missions</t>
  </si>
  <si>
    <t>Company1063 DOSSIER Company1892 AI Dép.&amp;Transp.</t>
  </si>
  <si>
    <t>Company1063 DOSSIER Company1892 AI Chiffre d'affa</t>
  </si>
  <si>
    <t>Company1063 Company0999 EXPORT Frais Missions</t>
  </si>
  <si>
    <t>Company1063 Person0282 I-E Frais Missions</t>
  </si>
  <si>
    <t>Company1063 Person0282 IMPORT/EXPORT Honoraires</t>
  </si>
  <si>
    <t>Company1063 Person0282 IMPOR Chiffre d'affaires</t>
  </si>
  <si>
    <t>Company1063 DOSSIER Product0082 Product0117 Honoraires</t>
  </si>
  <si>
    <t>Company1063 Company2084 Person0499 Person0329 Frais Mis</t>
  </si>
  <si>
    <t>Company1063 Company2084 Person0499 Person0329 Honoraire</t>
  </si>
  <si>
    <t>Company1063 Company2084 Person0499 Person0329 Chiffre d</t>
  </si>
  <si>
    <t>Company1063 DOSSIER Company2359 Company2350 Frais Mis</t>
  </si>
  <si>
    <t>Company1063 DOSSIER Company2359 Company2350 Honoraire</t>
  </si>
  <si>
    <t>Company1063 DOSSIER Company2359 Company2350 Chiffre d</t>
  </si>
  <si>
    <t>Company1063 DOSSIER Company0588 Frais Missions</t>
  </si>
  <si>
    <t>Company1063 DOSSIER Company0588 Honoraires</t>
  </si>
  <si>
    <t>Company1063 DOSSIER Company0588 Chiffre d'affair</t>
  </si>
  <si>
    <t>Company1063 Company0277 SAS Frais Missions</t>
  </si>
  <si>
    <t>Company1063 Company0277 SAS Chiffre d'affaire</t>
  </si>
  <si>
    <t>Company1063 Company1646 SAS Frais Missions</t>
  </si>
  <si>
    <t>Company1063 Company1646 SAS Chiffre d'affaires</t>
  </si>
  <si>
    <t>Company1063 Company0275 SA Frais Missions</t>
  </si>
  <si>
    <t>Company1063 Company0275 SA Chiffre d'affaires</t>
  </si>
  <si>
    <t>Company1063 DOSSIER Company2648 Frais Missions</t>
  </si>
  <si>
    <t>Company1063 DOSSIER Company2648 Chiffre d'affair</t>
  </si>
  <si>
    <t>Company1063 Company0898 MARKET Chiffre d'affair</t>
  </si>
  <si>
    <t>Company1063 Company2395 Frais Missions</t>
  </si>
  <si>
    <t>Company1063 Company2395 Chiffre d'affaires</t>
  </si>
  <si>
    <t>Company1063 GIC Company0899 Honoraires</t>
  </si>
  <si>
    <t>Company1063 Company1480 Frais Missions</t>
  </si>
  <si>
    <t>Company1063 Company1480 Chiffre d'affaires</t>
  </si>
  <si>
    <t>Company1063 Company0545 Frais Missions</t>
  </si>
  <si>
    <t>Company1063 Company0545 Honoraires</t>
  </si>
  <si>
    <t>Company1063 Company0545 Chiffre d'affaires</t>
  </si>
  <si>
    <t>Company0583 Frais Missions</t>
  </si>
  <si>
    <t>Company0583 Dép.&amp;Transp.</t>
  </si>
  <si>
    <t>Company1063 DOSS Company0583 Chiffre d'aff</t>
  </si>
  <si>
    <t>Company1063 AFF146 Frais Missions</t>
  </si>
  <si>
    <t>DOSSIER AFRICA FOOD Frais Missions</t>
  </si>
  <si>
    <t>Company1063 AFRICA FOOD Dép.&amp;Transp.</t>
  </si>
  <si>
    <t>AFRICA FOOD 147 Honoraires</t>
  </si>
  <si>
    <t>AFRICA FOOD Chiffre d'affaires</t>
  </si>
  <si>
    <t>DOSSIER ETS Company0273 Frais Missions</t>
  </si>
  <si>
    <t>Company1063 ETS Company0273 Dép.&amp;Transp.</t>
  </si>
  <si>
    <t>ETS Company0273 Chiffre d'affaires</t>
  </si>
  <si>
    <t>Company1063 DOSSIER Company0051 Company2371 Honoraire</t>
  </si>
  <si>
    <t>Company1063 DOSSIER Company0051 Company2371 Chiffre d</t>
  </si>
  <si>
    <t>Company1063 DOSSIER Company2404 Frais Missions</t>
  </si>
  <si>
    <t>Company1063 DOSSIER Company2404 Dép.&amp;Transp.</t>
  </si>
  <si>
    <t>Company1063 DOSSIER Company2404 Chiffre d'affaires</t>
  </si>
  <si>
    <t>Company1063 DOSSIER Company1864 INVEST Chiffre d</t>
  </si>
  <si>
    <t>Company1063 Company1989 FRUITS Frais Missions</t>
  </si>
  <si>
    <t>Company1063 Company1989 FRUITS Dép.&amp;Transp.</t>
  </si>
  <si>
    <t>Company1063 Company1989 FRUITS Chiffre d'affaire</t>
  </si>
  <si>
    <t>Company1063 INTER TRADE CENTER Frais Missio</t>
  </si>
  <si>
    <t>Company1063 INTER TRADE CENTER Dép.&amp;Transp.</t>
  </si>
  <si>
    <t>Company1063 INTER TRADE CENTER Chiffre d'af</t>
  </si>
  <si>
    <t>Company1063 DOSSIER Product0356 Frais Missions</t>
  </si>
  <si>
    <t>Company1063 DOSSIER Product0356 Dép.&amp;Transp.</t>
  </si>
  <si>
    <t>Company1063 RPG SENEGAL Dép.&amp;Transp.</t>
  </si>
  <si>
    <t>Company1063 Company0048 Frais Missions</t>
  </si>
  <si>
    <t>Company0048 Honoraires</t>
  </si>
  <si>
    <t>Company1063 Company1638 Frais Missions</t>
  </si>
  <si>
    <t>Company1063 Company1638 Honoraires</t>
  </si>
  <si>
    <t>Company0721 Frais Missions</t>
  </si>
  <si>
    <t>Company0720- Company0951 Dép.&amp;Transp.</t>
  </si>
  <si>
    <t>Company0720- Company0951 Honoraires</t>
  </si>
  <si>
    <t>Company1063 Company2090 Frais Missions</t>
  </si>
  <si>
    <t>Company1063 Company2090 Chiffre d'affaires</t>
  </si>
  <si>
    <t>Company1063 Company3024 Frais Missions</t>
  </si>
  <si>
    <t>Company1063 Company3024 Chiffre d'affaires</t>
  </si>
  <si>
    <t>Company1063 Company0153 RPG Frais Missions</t>
  </si>
  <si>
    <t>Company1063 Company2067 Frais Missions</t>
  </si>
  <si>
    <t>Company1063 Company2067 Dép.&amp;Transp.</t>
  </si>
  <si>
    <t>Company1063 Company2067 Honoraires</t>
  </si>
  <si>
    <t>Company1063 Company2067 Chiffre d'affaires</t>
  </si>
  <si>
    <t>Company1063 Company0304 Chiffre d'affaires</t>
  </si>
  <si>
    <t>Company1063 DOSSIER Company1888 Chiffre d'affair</t>
  </si>
  <si>
    <t>Company1063 DOSSIER Company2676 Company0999  Chiffre d'</t>
  </si>
  <si>
    <t>QUALITY CERT</t>
  </si>
  <si>
    <t>DOSSIER Company0468 Dép.&amp;Transp.</t>
  </si>
  <si>
    <t>DOSSIER Company0468  Honoraires</t>
  </si>
  <si>
    <t>RFA AFF301</t>
  </si>
  <si>
    <t>RFA AFF302 Dép.&amp;Transp.</t>
  </si>
  <si>
    <t>RFA AFF302 Honoraires</t>
  </si>
  <si>
    <t>RFA AFF302</t>
  </si>
  <si>
    <t>RFA RFA Company2465 Dép.&amp;Transp.</t>
  </si>
  <si>
    <t>RFA RFA Company2465 Honoraires</t>
  </si>
  <si>
    <t>RFA RFA Company2396 Dép.&amp;Transp.</t>
  </si>
  <si>
    <t>RFA Company2355 Dép.&amp;Transp.</t>
  </si>
  <si>
    <t>RFA AFF306 Frais Missions</t>
  </si>
  <si>
    <t>RFA AFF306 Dép.&amp;Transp.</t>
  </si>
  <si>
    <t>RFA BECIDAChiffre d'affaires</t>
  </si>
  <si>
    <t>RFA RFA Company2455 Frais Missions</t>
  </si>
  <si>
    <t>RFA Company2455 Dépl.Transp</t>
  </si>
  <si>
    <t>RFA RFA Company2455 Honoraires</t>
  </si>
  <si>
    <t>RFA RFA Company2455 Chiffre d'affaires</t>
  </si>
  <si>
    <t>RFA DOSSIER Company0573 Frais Missions</t>
  </si>
  <si>
    <t>RFA DOSSIER Company0573 Dép.&amp;Transp.</t>
  </si>
  <si>
    <t>RFA DOSSIER Company0573 Honoraires</t>
  </si>
  <si>
    <t>RFA DOSSIER Company0573 Chiffre d'affa</t>
  </si>
  <si>
    <t>RFA AFF 309 Frais Missions</t>
  </si>
  <si>
    <t>DOSSIER Company2361 Dép.&amp;Transp.</t>
  </si>
  <si>
    <t>RFA DOSSIER Company2361 Honoraires</t>
  </si>
  <si>
    <t>RFA AFF 309 Chiffre d'affaires</t>
  </si>
  <si>
    <t>RFA Company2350 AH Dép.&amp;Transp.</t>
  </si>
  <si>
    <t>RFA AFF312 Dép.&amp;Transp.</t>
  </si>
  <si>
    <t>RFA Person0018 Person0559 Frais Missions</t>
  </si>
  <si>
    <t>RFA Person0018 Person0559 Dép.&amp;Transp.</t>
  </si>
  <si>
    <t>RFA AFF313 Chiffre d'affaires</t>
  </si>
  <si>
    <t>RFA DOSSIER Company2449 Frais Missions</t>
  </si>
  <si>
    <t>RFA DOSSIER Company2449 Dép.&amp;Transp.</t>
  </si>
  <si>
    <t>RFA DOSSIER Company2449 Honoraires</t>
  </si>
  <si>
    <t>RFA AFF314 Chiffre d'affai</t>
  </si>
  <si>
    <t>RFA Company2340 Frais Missions</t>
  </si>
  <si>
    <t>RFA Company2340 Dép.&amp;Transp.</t>
  </si>
  <si>
    <t>RFA Company2340 Honoraires</t>
  </si>
  <si>
    <t>RFA AFF315 Chiffre d'affaires</t>
  </si>
  <si>
    <t>RFA Company0564 Frais Missions</t>
  </si>
  <si>
    <t>RFA Company0564 Dép.&amp;Transp.</t>
  </si>
  <si>
    <t>RFA Company0564 Honoraires</t>
  </si>
  <si>
    <t>RFA Company0564 Chiffre d'affaires</t>
  </si>
  <si>
    <t>DOSS Company0539 Frais Missions</t>
  </si>
  <si>
    <t>RFA Company0539 Dép.&amp;Transp.</t>
  </si>
  <si>
    <t>Company2309/Company0539 Honoraires</t>
  </si>
  <si>
    <t>RFA AFF 317 Chiffre d'affaires</t>
  </si>
  <si>
    <t>RFA Company2323 Frais Missions</t>
  </si>
  <si>
    <t>RFA Company2323 Dép.&amp;Transp.</t>
  </si>
  <si>
    <t>Company2323 Chiffre d'affaires</t>
  </si>
  <si>
    <t>DOSSIER Company0305 Frais Missions</t>
  </si>
  <si>
    <t>RFA AFF 319 Dép.&amp;Transp.</t>
  </si>
  <si>
    <t>RFA Company0305 Honoraires</t>
  </si>
  <si>
    <t>RFA AFF 319 Chiffre d'affaires</t>
  </si>
  <si>
    <t>RFA AFF 320 Frais Missions</t>
  </si>
  <si>
    <t>RFA AFF 320 Dép.&amp;Transp.</t>
  </si>
  <si>
    <t>RFA DOSSIER Company0435 Honoraires</t>
  </si>
  <si>
    <t>RFA AFF 320 Chiffre d'affaires</t>
  </si>
  <si>
    <t>DOSSIER Company2350 EK Frais Missions</t>
  </si>
  <si>
    <t>RFA Company2350 EK Dép.&amp;Transp.</t>
  </si>
  <si>
    <t>RFA Company2350 EK Honoraires</t>
  </si>
  <si>
    <t>RFA Company2350 EK Chiffre d'affaires</t>
  </si>
  <si>
    <t>Company2309/Company0571 Frais Missions</t>
  </si>
  <si>
    <t>Company2309/Company0571 Dép.&amp;Transp.</t>
  </si>
  <si>
    <t>Company2309/ Company0571 Honoraires</t>
  </si>
  <si>
    <t>Company2309/Company0579 Chiffre d'affaires</t>
  </si>
  <si>
    <t>RFA AFF 323 Chiffre d'affaires</t>
  </si>
  <si>
    <t>DOSSIER Company2350 Company0066 Frais Missions</t>
  </si>
  <si>
    <t>RFA Company2358 Company0066 Dép.&amp;Transp.</t>
  </si>
  <si>
    <t>RFA AFF 324 Chiffre d'affaires</t>
  </si>
  <si>
    <t>DOSSIER Company0440 Frais Missions</t>
  </si>
  <si>
    <t>RFA Company0440 Dép.&amp;Transp.</t>
  </si>
  <si>
    <t>DOSSIER Company0440 Honoraires</t>
  </si>
  <si>
    <t>RFA AFF 325 Chiffre d'affaires</t>
  </si>
  <si>
    <t>RFA Company0748 Frais Mis</t>
  </si>
  <si>
    <t>RFA DOSSIER Company0569 Dép.&amp;Tran</t>
  </si>
  <si>
    <t>RFA Company0569 Honoraire</t>
  </si>
  <si>
    <t>RFA DOSSIER Company0569 Chiffre d</t>
  </si>
  <si>
    <t>RFA DOSSIER Company0009 Frais Mis</t>
  </si>
  <si>
    <t>RFA DOSSIER Company0009  Dép.&amp;Tran</t>
  </si>
  <si>
    <t>RFA DOSSIER Company0009 Chiffre d</t>
  </si>
  <si>
    <t>RFA DOSSIER Company2333 Company0442 Frais Miss</t>
  </si>
  <si>
    <t>RFA Company0443 Company2333 Dép.&amp;Transp.</t>
  </si>
  <si>
    <t>RFA DOSSIER Company2333 Company0443 CA</t>
  </si>
  <si>
    <t>RFA Company2474 Person0795 Frais Missions</t>
  </si>
  <si>
    <t>RFA Company2474 Company1860 Dép.&amp;Transp.</t>
  </si>
  <si>
    <t>RFA DOSSIER Company2474 Person0795 Honoraires</t>
  </si>
  <si>
    <t>RFA DOSSIER Company2474 Company1860 CA</t>
  </si>
  <si>
    <t>RFA DOSSIER Company1537 COMPANY0693 Frais Missi</t>
  </si>
  <si>
    <t>RFA DOSSIER Company1535 COMPANY0693 Honoraires</t>
  </si>
  <si>
    <t>RFA DOSSIER Company1537 COMPANY0693 Chiffre d'a</t>
  </si>
  <si>
    <t>RFA DOSSIER Company0450 Frais Missions</t>
  </si>
  <si>
    <t>RFA DOSSIER Company0450 Dép.&amp;Transp.</t>
  </si>
  <si>
    <t>RFA DOSSIER Company0450 Chiffre d'affaire</t>
  </si>
  <si>
    <t>RFA IVOIRE Company1121 Frais Missions</t>
  </si>
  <si>
    <t>RFA IVOIRE Company1121 Dép.&amp;Transp.</t>
  </si>
  <si>
    <t>RFA IVOIRE Company1121 Honoraires</t>
  </si>
  <si>
    <t>RFA IVOIRE Company1121 Chiffre d'affaire</t>
  </si>
  <si>
    <t>RFA RFA Company0438 COMPANY0693 CA Frais Missions</t>
  </si>
  <si>
    <t>RFA RFA Company0438 COMPANY0693 CA Dép.&amp;Transp.</t>
  </si>
  <si>
    <t>RFA RFA Company0438 COMPANY0693 CA Honoraires</t>
  </si>
  <si>
    <t>RFA  Company0438 COMPANY0693 CA Chiffre d'affa</t>
  </si>
  <si>
    <t>RFA Company3046/ CA2B Frais Missions</t>
  </si>
  <si>
    <t>RFA CA2B Honoraires</t>
  </si>
  <si>
    <t>RFA Company3046/CA2B Chiffre d'affaires</t>
  </si>
  <si>
    <t>RFA Company2357 Frais Missions</t>
  </si>
  <si>
    <t>RFA Company2357 Dép.&amp;Transp.</t>
  </si>
  <si>
    <t>RFA Company2357 Honoraires</t>
  </si>
  <si>
    <t>RFA Company2357 Chiffre d'affaires</t>
  </si>
  <si>
    <t>RFA Company2341 Frais Missions</t>
  </si>
  <si>
    <t>RFA Company2341 Dép.&amp;Transp.</t>
  </si>
  <si>
    <t>RFA Company2341 Honoraires</t>
  </si>
  <si>
    <t>RFA Company2341 Chiffre d'affaires</t>
  </si>
  <si>
    <t>RFA Company0575/Company0443 Frais Missions</t>
  </si>
  <si>
    <t>RFA Company0575/Company0443 Dép.&amp;Transp.</t>
  </si>
  <si>
    <t>RFA Company0575/Company0443 Chiffre d'affai</t>
  </si>
  <si>
    <t>RFA Company0448 Company1102 Frais Missions</t>
  </si>
  <si>
    <t>RFA Company0448 Company1102 Honoraires</t>
  </si>
  <si>
    <t>RFA Company0448 Company1102 Chiffre d'affaire</t>
  </si>
  <si>
    <t>RFA Company2464 Chiffre d'affaires</t>
  </si>
  <si>
    <t>RFA DOSSIER Company2249 Chiffre d'affair</t>
  </si>
  <si>
    <t>RFA Company2856 DU Company0276 Frais Mission</t>
  </si>
  <si>
    <t>RFA Company2856 DU Company0276 Dép.&amp;Transp.</t>
  </si>
  <si>
    <t>RFA Company2856 DU Company0276 Chiffre d'aff</t>
  </si>
  <si>
    <t>RFA DOSSIER Company0538 COMPANY0693 Frais Mission</t>
  </si>
  <si>
    <t>RFA DOSSIER Company0538 COMPANY0693 Dép.&amp;Transp.</t>
  </si>
  <si>
    <t>RFA DOSSIER Company0538 COMPANY0693 Honoraires</t>
  </si>
  <si>
    <t>RFA DOSSIER Company0538 COMPANY0693 Chiffre d'aff</t>
  </si>
  <si>
    <t>RFA Company2339 Frais Missions</t>
  </si>
  <si>
    <t>RFA Company2339 Dép.&amp;Transp.</t>
  </si>
  <si>
    <t>RFA Company2339 Honoraires</t>
  </si>
  <si>
    <t>RFA Company2339 Chiffre d'affaires</t>
  </si>
  <si>
    <t>Company0583 Frais Missi</t>
  </si>
  <si>
    <t>Company0583 Dép.&amp;Transp</t>
  </si>
  <si>
    <t>Company0583 Honoraires</t>
  </si>
  <si>
    <t>Company0583 Chiffre d'a</t>
  </si>
  <si>
    <t>AFRICA ONE Frais Mis</t>
  </si>
  <si>
    <t>AFRICA ONE  Honoraire</t>
  </si>
  <si>
    <t>AFRICA ONE Chiffre d</t>
  </si>
  <si>
    <t>RFA Company2466 Frais Missi</t>
  </si>
  <si>
    <t>RFA Company2466 Dép.&amp;Transp</t>
  </si>
  <si>
    <t>RFA Company2466 SA Chiffre d'a</t>
  </si>
  <si>
    <t>RFA Company2461 Frais Missions</t>
  </si>
  <si>
    <t>RFA Company2461 Dép.&amp;Transp.</t>
  </si>
  <si>
    <t>RFA Company2461 Honoraires</t>
  </si>
  <si>
    <t>RFA Company2461 Chiffre d'affaires</t>
  </si>
  <si>
    <t>RFA Company2336 Company0566 Frais Missions</t>
  </si>
  <si>
    <t>RFA Company2336 Company0566 Dép.&amp;Transp.</t>
  </si>
  <si>
    <t>RFA Company2336 Company0566 Honoraires</t>
  </si>
  <si>
    <t>RFA Company2336 Company0566 Chiffre d'affaire</t>
  </si>
  <si>
    <t>RFA Company2353 Company0566 Frais Mission</t>
  </si>
  <si>
    <t>RFA Company2353 Company0566 Dép.&amp;Transp.</t>
  </si>
  <si>
    <t>RFA Company2353 Company0566 Honoraires</t>
  </si>
  <si>
    <t>RFA Company2353 Company0566 Chiffre d'aff</t>
  </si>
  <si>
    <t>RFA Company2452 Company0566 Frais Missions</t>
  </si>
  <si>
    <t>RFA Company2452 Company0566 Dép.&amp;Transp.</t>
  </si>
  <si>
    <t>RFA Company2452 Company0566 Honoraires</t>
  </si>
  <si>
    <t>RFA Company2452 Company0566 Chiffre d'affaire</t>
  </si>
  <si>
    <t>RFA Company2458 Frais Missions</t>
  </si>
  <si>
    <t>RFA Company2458 Dép.&amp;Transp.</t>
  </si>
  <si>
    <t>RFA Company2458 Honoraires</t>
  </si>
  <si>
    <t>RFA Company2458 Chiffre d'affaires</t>
  </si>
  <si>
    <t>RFA DOSSIER Company2448 Frais Missions</t>
  </si>
  <si>
    <t>RFA DOSSIER Company2448 Dép.&amp;Transp.</t>
  </si>
  <si>
    <t>RFA DOSSIER Company2448 Honoraires</t>
  </si>
  <si>
    <t>RFA DOSSIER Company2448 Chiffre d'affaire</t>
  </si>
  <si>
    <t>RFA DOSSIER Company2453 Frais Missions</t>
  </si>
  <si>
    <t>RFA DOSSIER Company2453 Dép.&amp;Transp.</t>
  </si>
  <si>
    <t>RFA DOSSIER Company2453 Honoraires</t>
  </si>
  <si>
    <t>RFA DOSSIER Company2453 Chiffre d'affaire</t>
  </si>
  <si>
    <t>RFA Company2460 Frais Missions</t>
  </si>
  <si>
    <t>RFA Company2460 Chiffre d'affaires</t>
  </si>
  <si>
    <t>RFA Company0443/Company0278 Frais Missions</t>
  </si>
  <si>
    <t>RFA Company0443/Company0278 Honoraires</t>
  </si>
  <si>
    <t>RFA Company0443/Company0278 Chiffre d'affaires</t>
  </si>
  <si>
    <t>RFA Company0271 Frais Missions</t>
  </si>
  <si>
    <t>RFA Company0443/Company2455 Honoraires</t>
  </si>
  <si>
    <t>RFA Company0271 Chiffre d'affa</t>
  </si>
  <si>
    <t>RFA Company2459 Company1122 Frais Missions</t>
  </si>
  <si>
    <t>RFA Company2459 Company1122 Honoraires</t>
  </si>
  <si>
    <t>RFA Company2459 Company1122 Chiffre d'affaires</t>
  </si>
  <si>
    <t>RFA Company2197 Frais Missions</t>
  </si>
  <si>
    <t>RFA Company2197 Dép.&amp;Transp.</t>
  </si>
  <si>
    <t>RFA Company2197 Honoraires</t>
  </si>
  <si>
    <t>RFA Company2197 Chiffre d'affaires</t>
  </si>
  <si>
    <t>RFA Company1845 Frais Missions</t>
  </si>
  <si>
    <t>RFA Company1845 Dép.&amp;Transp.</t>
  </si>
  <si>
    <t>RFA Company1845 Honoraires</t>
  </si>
  <si>
    <t>RFA Company1845 Chiffre d'affaires</t>
  </si>
  <si>
    <t>RFA Company2457 Chiffre d'affaires</t>
  </si>
  <si>
    <t>RFA DOSSIER Company2334 Frais Missions</t>
  </si>
  <si>
    <t>RFA DOSSIER Company2334 Honoraires</t>
  </si>
  <si>
    <t>RFA DOSSIER Company2334 Chiffre d'affaires</t>
  </si>
  <si>
    <t>RFA DOSSIER Company1894 Frais Missions</t>
  </si>
  <si>
    <t>RFA DOSSIER Company1894 Dép.&amp;Transp.</t>
  </si>
  <si>
    <t>RFA DOSSIER Company1894 Honoraires</t>
  </si>
  <si>
    <t>RFA DOSSIER Company1894 Chiffre d'affaire</t>
  </si>
  <si>
    <t>RFA DOSSIER Company2348 Frais Missions</t>
  </si>
  <si>
    <t>RFA DOSSIER Company2348 Dép.&amp;Transp.</t>
  </si>
  <si>
    <t>RFA DOSSIER Company2348 Honoraires</t>
  </si>
  <si>
    <t>RFA DOSSIER Company2348 Chiffre d'affaires</t>
  </si>
  <si>
    <t>RFA Company0443 Company0572 Frais Missions</t>
  </si>
  <si>
    <t>RFA DOSSIER Company0568 Honoraires</t>
  </si>
  <si>
    <t>RFA Company0443 Company0572 Chiffre d'affair</t>
  </si>
  <si>
    <t>RFA DOSSIER DAT Frais Missions</t>
  </si>
  <si>
    <t>RFA DOSSIER DAT Honoraires</t>
  </si>
  <si>
    <t>RFA DOSSIER DAT Chiffre d'affaires</t>
  </si>
  <si>
    <t>RFA Company2351 Company2358 Frais Missions</t>
  </si>
  <si>
    <t>RFA Company2351 Company2358 Dép.&amp;Transp.</t>
  </si>
  <si>
    <t>RFA  Company2351 Honoraires</t>
  </si>
  <si>
    <t>RFA Company2351 Chiffre d'affair</t>
  </si>
  <si>
    <t>RFA Company0443/Company0576 Dép.&amp;Transp.</t>
  </si>
  <si>
    <t>RFA Company0443/Company0576 Honoraires</t>
  </si>
  <si>
    <t xml:space="preserve"> Company0443/Company0576 Chiffre d'affaire</t>
  </si>
  <si>
    <t>RFA Company2000/Company1848 Chiffre d'af</t>
  </si>
  <si>
    <t>RFA Company2456 Frais Missions</t>
  </si>
  <si>
    <t>RFA Company2456 Chiffre d'affaires</t>
  </si>
  <si>
    <t>RFA Company0636 DU Company1891 Frais Miss</t>
  </si>
  <si>
    <t>RFA Company2857 DU Company1891 Dép.&amp;Trans</t>
  </si>
  <si>
    <t>Person0838 TRADING Frais Missions</t>
  </si>
  <si>
    <t>Person0838 TRADING Chiffre d'affaire</t>
  </si>
  <si>
    <t>Better coton</t>
  </si>
  <si>
    <t>ISO 9001 AFF401 Honoraires</t>
  </si>
  <si>
    <t>ISO 9001 AFF401 Chiffre d'affaires</t>
  </si>
  <si>
    <t>ISO 9001 AFF401</t>
  </si>
  <si>
    <t>Company1910 Honoraires</t>
  </si>
  <si>
    <t>ISO Company1910 Chiffre d'affaires</t>
  </si>
  <si>
    <t>ISO 9001 AFF402</t>
  </si>
  <si>
    <t>ISO 9001 Company2407  Dép.&amp;Transp.</t>
  </si>
  <si>
    <t>ISO 9001 Company2407 Honoraires</t>
  </si>
  <si>
    <t>ISO 9001 Company2407 CA</t>
  </si>
  <si>
    <t>ISO 9001 Company2310 Honoraires</t>
  </si>
  <si>
    <t>ISO 9001 AFF404 Chiffre d'affaires</t>
  </si>
  <si>
    <t>ISO 9001 DOSSIER Company0166 SA Frais Miss</t>
  </si>
  <si>
    <t>ISO 9001 DOSSIER Company0166 SA Dép.&amp;Trans</t>
  </si>
  <si>
    <t>ISO 9001 DOSSIER Company0166 SA Honoraires</t>
  </si>
  <si>
    <t>ISO 9001 DOSSIER Company0166 SA Chiffre d'</t>
  </si>
  <si>
    <t>ISO 9001 DOSSIER Company2386 Honoraires</t>
  </si>
  <si>
    <t>ISO 9001 DOSSIER Company2386 Chiffre d'affa</t>
  </si>
  <si>
    <t>ISO 9001 DOSSIER Company2394 Honoraires</t>
  </si>
  <si>
    <t>ISO 9001 DOSSIER Company2394 Chiffre d'aff</t>
  </si>
  <si>
    <t>ISO 9001 AFF METAL Company2473 Frais Mis</t>
  </si>
  <si>
    <t>ISO 9001 AFF METAL Company2473 Honoraire</t>
  </si>
  <si>
    <t>ISO 9001 AFF METAL Company2473 Chiffre d</t>
  </si>
  <si>
    <t>ISO 9001 LES JUS Person1099 Honorai</t>
  </si>
  <si>
    <t>LES JUS Person1099 Chiffre</t>
  </si>
  <si>
    <t>ISO 9001 Company1205 GRAPHICS Honora</t>
  </si>
  <si>
    <t>ISO 9001 Company1205 GRAPHICS  Chiffr</t>
  </si>
  <si>
    <t>ISO 9001 Company1531 CONSULTING Chiffr</t>
  </si>
  <si>
    <t>ISO 9001 Company2611 Honora</t>
  </si>
  <si>
    <t>ISO 9001</t>
  </si>
  <si>
    <t>ISO Company0047 Honoraires</t>
  </si>
  <si>
    <t>ISO 14001 AFF 454 Chiffre d'affaire</t>
  </si>
  <si>
    <t>ISO 14001 LES JUS Person1099 Dép.&amp;Trans</t>
  </si>
  <si>
    <t>ISO 14001 LES JUS Person1099 Chiffre d'</t>
  </si>
  <si>
    <t>ISO 14001 Company0736 Company1328 Honorair</t>
  </si>
  <si>
    <t>ISO 14001 Company0736 Company1328 Chiffre</t>
  </si>
  <si>
    <t>ISO 14001 DOSSIER ETS Company0280  Frais</t>
  </si>
  <si>
    <t>ISO 14001 DOSSIER ETS Company0280  Honora</t>
  </si>
  <si>
    <t>ISO 14001 DOSSIER ETS Company0280  Chiffr</t>
  </si>
  <si>
    <t>ISO 14001 Company0941 GLOBAL IMPORT  Frais</t>
  </si>
  <si>
    <t>ISO 14001 Company0941 GLOBAL IMPORT  Honor</t>
  </si>
  <si>
    <t>ISO 14001 Company0941 GLOBAL IMPORT  Chiff</t>
  </si>
  <si>
    <t>ISO 14001 Company0038 SKILL SERVICE Company1256</t>
  </si>
  <si>
    <t>ISO 14001 Company0038 SKILL SERVICE Person0231</t>
  </si>
  <si>
    <t>ISO 14001 Company0082/Company1654 Frais Mis</t>
  </si>
  <si>
    <t>ISO 14001 Company0082/Company1654 Honoraire</t>
  </si>
  <si>
    <t>ISO 14001 Company0082/Company1654 Chiffre d</t>
  </si>
  <si>
    <t>ISO 14001 ABASFE Frais Missions</t>
  </si>
  <si>
    <t>ISO 14001 ABASFE Honoraires</t>
  </si>
  <si>
    <t>ISO 14001 ABASFE Chiffre d'affaires</t>
  </si>
  <si>
    <t>ISO 14001 Company2610 SA Frais Missions</t>
  </si>
  <si>
    <t>ISO 14001 Company2610 SA Chiffre d'affaire</t>
  </si>
  <si>
    <t>ISO 14001 ITC/Company1650 Frais Missi</t>
  </si>
  <si>
    <t>ISO 14001 ITC/Company1650 Chiffre d'a</t>
  </si>
  <si>
    <t>ISO 14001 ITC/Company2610 SA Frais Mission</t>
  </si>
  <si>
    <t>ISO 14001 ITC/Company2610 SA Chiffre d'aff</t>
  </si>
  <si>
    <t>ISO 14001 DOSSIER Company0586 PRODUC Person0231</t>
  </si>
  <si>
    <t>Company1422</t>
  </si>
  <si>
    <t>ISO 22000 PROMO Company0999 BENIN Honorai</t>
  </si>
  <si>
    <t>ISO 22000 PROMO Company0999 BENIN Chiffre</t>
  </si>
  <si>
    <t>ISO 22000 Company0977 Chiffre d'affaires</t>
  </si>
  <si>
    <t>ISO 22000 Company0471 CI Frais Missions</t>
  </si>
  <si>
    <t>ISO 22000 Company0471 CI Honoraires</t>
  </si>
  <si>
    <t>ISO 22000 Company0471 CI Chiffre d'affair</t>
  </si>
  <si>
    <t>ISO 22000 LES JUS Person1099 Honoraires</t>
  </si>
  <si>
    <t>ISO 22000 LES JUS Person1099 Chiffre d'</t>
  </si>
  <si>
    <t>ISO 22000 DOSSIER ETS Company0280  Chiffr</t>
  </si>
  <si>
    <t>ISO 22000 Company0941 GLOBAL IMPORT  Chiff</t>
  </si>
  <si>
    <t>Company1072</t>
  </si>
  <si>
    <t>FORMAG DOSS 501 Frais Missions</t>
  </si>
  <si>
    <t>FORMAG DOSS 501 Dép.&amp;Transp.</t>
  </si>
  <si>
    <t>FORMAG DOSS 501 Autres frais d'opér</t>
  </si>
  <si>
    <t>FORMAG DOSS 501 Frais gx et fourn.</t>
  </si>
  <si>
    <t>FORMAG DOSS 501 Chiffre d'affaires</t>
  </si>
  <si>
    <t>FORMAG DOSS 501</t>
  </si>
  <si>
    <t>FORMAG DOSS 502 Frais Missions</t>
  </si>
  <si>
    <t>FORMAG DOSS 502 Dép.&amp;Transp.</t>
  </si>
  <si>
    <t>FORMAG DOSS 502 Frais gx et fourn.</t>
  </si>
  <si>
    <t>FORMAG DOSS 502 Chiffre d'affaires</t>
  </si>
  <si>
    <t>FORMAG DOSS 502</t>
  </si>
  <si>
    <t>FORMATION</t>
  </si>
  <si>
    <t>FORMSYS DOSS 601 Honoraires</t>
  </si>
  <si>
    <t>FORMSYS DOSS 601 Intétrêts et ch. f</t>
  </si>
  <si>
    <t>FORMSYS DOSS 601 Chiffre d'affaires</t>
  </si>
  <si>
    <t>FORMSYS DOSS 601</t>
  </si>
  <si>
    <t>FORMSYS DOSS 602 Dép.&amp;Transp.</t>
  </si>
  <si>
    <t>FORMSYS DOSS 602</t>
  </si>
  <si>
    <t>ETUDE PROJET</t>
  </si>
  <si>
    <t>FORMDIV Company0555 Chiffre d'affaires</t>
  </si>
  <si>
    <t>FORMDIV Company0555</t>
  </si>
  <si>
    <t>FORMDIV</t>
  </si>
  <si>
    <t>Company2038 Dép.&amp;Transp.</t>
  </si>
  <si>
    <t>Company2038 Autres frais d'opér</t>
  </si>
  <si>
    <t>Company2038 Chiffre d'affaires</t>
  </si>
  <si>
    <t>Company0888 ETA 701</t>
  </si>
  <si>
    <t>Company0888 ETA 702 Chiffre d'affaires</t>
  </si>
  <si>
    <t>Company0888 ETA 702</t>
  </si>
  <si>
    <t>Company0888 Company0561 CAFE -Company0422 Frais M</t>
  </si>
  <si>
    <t>Company0888 Company0561 CAFE -Company0422 Dép.&amp;Tr</t>
  </si>
  <si>
    <t>Company0888 Company0561 CAFE -Company0422 Autres</t>
  </si>
  <si>
    <t>Company0888 Company0561 CAFE -Company0422 Honorai</t>
  </si>
  <si>
    <t>Company0888 Company0561 CAFE -Company0422 Frais t</t>
  </si>
  <si>
    <t>Company0888 Company0561 CAFE -Company0422 Chiffre</t>
  </si>
  <si>
    <t>Company0888 PDC2V Frais Missions</t>
  </si>
  <si>
    <t>Company0888 PDC2V Dép.&amp;Transp.</t>
  </si>
  <si>
    <t>Company0888 PDC2V Autres frais d'opér.</t>
  </si>
  <si>
    <t>Company0888 PDC2V Honoraires</t>
  </si>
  <si>
    <t>Company0888 PDC2V Chiffre d'affaires</t>
  </si>
  <si>
    <t>Company0888</t>
  </si>
  <si>
    <t>ADMGLE PERS ADM Salaires &amp; chges pa</t>
  </si>
  <si>
    <t>ADMGLE PERS PROF. Salaires &amp; chges</t>
  </si>
  <si>
    <t>ADMGLE PERS PROF. Autres frais pers</t>
  </si>
  <si>
    <t>ADMGLE FP AUTRE</t>
  </si>
  <si>
    <t>ADMGLE FRAIS GENERAUX Dép.&amp;Transp.</t>
  </si>
  <si>
    <t>ADMGLE FRAIS GENERAUX Autres frais</t>
  </si>
  <si>
    <t>ADMGLE FRAIS GENERAUX Honoraires</t>
  </si>
  <si>
    <t>ADMGLE FRAIS GENERAUX Entretien &amp; m</t>
  </si>
  <si>
    <t>ADMGLE FRAIS GENERAUX Frais télép.</t>
  </si>
  <si>
    <t>ADMGLE Frais de personnel temporai</t>
  </si>
  <si>
    <t>ADMGLE FRAIS GENERAUX Promotion &amp; P</t>
  </si>
  <si>
    <t>ADMGLE FRAIS GENERAUX 'Eléments exc</t>
  </si>
  <si>
    <t>ADMGLE FRAIS GENERAUX 'Autres charg</t>
  </si>
  <si>
    <t>ADMGLE FRAIS GENERAUX Formations</t>
  </si>
  <si>
    <t>ADMGLE Informatique et télécom</t>
  </si>
  <si>
    <t>ADMGLE FRAIS GENERAUX Chiffre d'aff</t>
  </si>
  <si>
    <t>ADMGLE FRAIS GENERAUX</t>
  </si>
  <si>
    <t>Product0222 entretien &amp; reparation immob</t>
  </si>
  <si>
    <t>ADMGLE Frais opérat ind impu Honora</t>
  </si>
  <si>
    <t>Direction Générale</t>
  </si>
  <si>
    <t>FINCOMP SALAIRE Personnel permanent</t>
  </si>
  <si>
    <t>FINCOMP FRAIS GENERAUX</t>
  </si>
  <si>
    <t>FINCOMP FRAIS GENERAUX Entretien</t>
  </si>
  <si>
    <t>FINCOMP FRAIS GENERAUX Frais télép.</t>
  </si>
  <si>
    <t>FINCOMP FRAIS GENERAUX 'Autres char</t>
  </si>
  <si>
    <t>FINCOMP FRAIS GENERAUX Formations</t>
  </si>
  <si>
    <t>Comptabilité &amp; Contrôle de gestion</t>
  </si>
  <si>
    <t>MKGCOM PERS ADM Salaires &amp; chges pa</t>
  </si>
  <si>
    <t>MKGCOM FRAIS GENERAUX Frais télép.</t>
  </si>
  <si>
    <t>MKGCOM FRAIS GENERAUX Frais gx et f</t>
  </si>
  <si>
    <t>MKGCOM FRAIS GENERAUX Intétrêts et</t>
  </si>
  <si>
    <t>MKGCOM FRAIS GENERAUX</t>
  </si>
  <si>
    <t>Communication</t>
  </si>
  <si>
    <t>LOGMGX PERS ADM Salaires &amp; chges pa</t>
  </si>
  <si>
    <t>LOGMGX PERS AUTR Salaires &amp; chges p</t>
  </si>
  <si>
    <t>LOGMGX FRAIS GENERAUX Honoraires</t>
  </si>
  <si>
    <t>LOGMGX FRAIS GENERAUX Entretien &amp; m</t>
  </si>
  <si>
    <t>LOGMGX FRAIS GENERAUX Frais télép.</t>
  </si>
  <si>
    <t>LOGMGX FRAIS GENERAUX Autres frais</t>
  </si>
  <si>
    <t>LOGMGX FRAIS GENERAUX Promotion &amp; P</t>
  </si>
  <si>
    <t>LOGMGX FRAIS GENERAUX Abonn. cotisa</t>
  </si>
  <si>
    <t>LOGMGX FRAIS GENERAUX Frais gx et f</t>
  </si>
  <si>
    <t>LOGMGX FRAIS GENERAUX Intétrêts et</t>
  </si>
  <si>
    <t>LOGMGX FRAIS GENERAUX</t>
  </si>
  <si>
    <t>Company2503 VEHS2 Frais roulement Véh</t>
  </si>
  <si>
    <t>LOGMGX FR VHC S3 Frais roulement Vé</t>
  </si>
  <si>
    <t>LOGMGX VHC MISSION Frais roulement</t>
  </si>
  <si>
    <t>LOGMGX Frais opérat ind impu Honora</t>
  </si>
  <si>
    <t>Logistique</t>
  </si>
  <si>
    <t>DAA PERS PROF. Salaires &amp; chges</t>
  </si>
  <si>
    <t>DAA FRAIS GENERAUX Dép.&amp;Transp.</t>
  </si>
  <si>
    <t>DAA FRAIS GENERAUX Honoraires</t>
  </si>
  <si>
    <t>DAA FRAIS GENERAUX Entretien &amp;</t>
  </si>
  <si>
    <t>DAA FRAIS GENERAUX Frais télép.</t>
  </si>
  <si>
    <t>DAA FRAIS GENERAUX Autres frais</t>
  </si>
  <si>
    <t>DAA FRAIS GENERAUX Promotion &amp;</t>
  </si>
  <si>
    <t>DAA FRAIS GENERAUX Frais gx et</t>
  </si>
  <si>
    <t>DAA FRAIS GENERAUX Intétrêts et</t>
  </si>
  <si>
    <t>DAA FRAIS GENERAUX Charges et p</t>
  </si>
  <si>
    <t>DAA FRAIS GENERAUX</t>
  </si>
  <si>
    <t>DAA Frais opérat ind impu Redev</t>
  </si>
  <si>
    <t>DAA Frais opérat ind impu</t>
  </si>
  <si>
    <t>DAA Frais opérat ind impu Intét</t>
  </si>
  <si>
    <t>Frais commun Audit agricole</t>
  </si>
  <si>
    <t>Product0084 PERS PROF. Salaires &amp; chges</t>
  </si>
  <si>
    <t>Product0084 PERS PROF. Autres frais per</t>
  </si>
  <si>
    <t>Product0084 FRAIS GENERAUX Honoraires</t>
  </si>
  <si>
    <t>Product0084 FRAIS GENERAUX Entretien &amp;</t>
  </si>
  <si>
    <t>Product0084 FRAIS GENERAUX Frais télép.</t>
  </si>
  <si>
    <t>Product0084 FRAIS GENERAUX Autres frais</t>
  </si>
  <si>
    <t>Product0084 FRAIS GENERAUX Abonn. cotis</t>
  </si>
  <si>
    <t>Product0084 FRAIS GENERAUX Frais gx et</t>
  </si>
  <si>
    <t>Product0084 FRAIS GENERAUX Intétrêts et</t>
  </si>
  <si>
    <t>Product0084 FRAIS GENERAUX</t>
  </si>
  <si>
    <t>Product0084 Frais opérat ind impu Honor</t>
  </si>
  <si>
    <t>Frais commun certif système</t>
  </si>
  <si>
    <t>QUALDEV PERS PROF. Salaires &amp; chges</t>
  </si>
  <si>
    <t>QUALDEV PERS PROF. Autres frais per</t>
  </si>
  <si>
    <t>QUALDEV FRAIS GENERAUX Dép.&amp;Transp.</t>
  </si>
  <si>
    <t>QUALDEV FRAIS GENERAUX Autres frais</t>
  </si>
  <si>
    <t>QUALDEV FRAIS GENERAUX Honoraires</t>
  </si>
  <si>
    <t>QUALDEV FRAIS GENERAUX Entretien &amp;</t>
  </si>
  <si>
    <t>QUALDEV FRAIS GENERAUX Frais télép.</t>
  </si>
  <si>
    <t>QUALDEV FRAIS GENERAUX Salaires &amp; c</t>
  </si>
  <si>
    <t>QUALDEV FRAIS GENERAUX Promotion &amp;</t>
  </si>
  <si>
    <t>QUALDEV FRAIS GENERAUX Abonn. cotis</t>
  </si>
  <si>
    <t>QUALDEV FRAIS GENERAUX Frais gx et</t>
  </si>
  <si>
    <t>QUALDEV FRAIS GENERAUX Intétrêts et</t>
  </si>
  <si>
    <t>QUALDEV FRAIS GENERAUX</t>
  </si>
  <si>
    <t>QUALDEV FR VHC S3 Frais roulement V</t>
  </si>
  <si>
    <t>QUALDEV Frais opérat ind impu Redev</t>
  </si>
  <si>
    <t>QUALDEV Frais opérat ind impu Honor</t>
  </si>
  <si>
    <t>QUALDEV Frais opérat ind impu Intét</t>
  </si>
  <si>
    <t>Qualité et dévéloppement</t>
  </si>
  <si>
    <t>FCOSIEGE PERS ADM Salaires &amp; chges</t>
  </si>
  <si>
    <t>FCOSIEGE FRAIS GENERAUX Loyers et l</t>
  </si>
  <si>
    <t>FCOSIEGE FRAIS GENERAUX Frais télép</t>
  </si>
  <si>
    <t>FCOSIEGE FRAIS GENERAUX Autres frai</t>
  </si>
  <si>
    <t>FCOSIEGE FRAIS GENERAUX Frais gx et</t>
  </si>
  <si>
    <t>FCOSIEGE FRAIS GENERAUX Intétrêts e</t>
  </si>
  <si>
    <t>FCOSIEGE FRAIS GENERAUX Amort &amp; pro</t>
  </si>
  <si>
    <t>FCOSIEGE FRAIS GENERAUX Impôts et t</t>
  </si>
  <si>
    <t>Service du personnel RH</t>
  </si>
  <si>
    <t>GRAND TOTAL</t>
  </si>
  <si>
    <t>Balance</t>
  </si>
  <si>
    <t>Credits</t>
  </si>
  <si>
    <t>Debits</t>
  </si>
  <si>
    <t>Ref#</t>
  </si>
  <si>
    <t>Type</t>
  </si>
  <si>
    <t>Date</t>
  </si>
  <si>
    <t>PERDIEM AUDITS</t>
  </si>
  <si>
    <t>ACH</t>
  </si>
  <si>
    <t>PERDIEMS AUDITEUR MISSION Company1057 /Company0725</t>
  </si>
  <si>
    <t>Total</t>
  </si>
  <si>
    <t>HONORAIRE</t>
  </si>
  <si>
    <t>FA N°01 HONORAIRES Person0864 Person0726</t>
  </si>
  <si>
    <t>SERVICES VENDUS NON TAXABLES</t>
  </si>
  <si>
    <t>VTE</t>
  </si>
  <si>
    <t>AUDIT Company1063 ET QC FA 025 Company0081</t>
  </si>
  <si>
    <t>BQ 1</t>
  </si>
  <si>
    <t>CHQ N°2280895 RGLT PERDIEM Person1005 Person0010 MISSION Company0294</t>
  </si>
  <si>
    <t>PERDIEMS AUDITEUR MISSION Company0294/Company0725</t>
  </si>
  <si>
    <t>Frais voyages et dépl. audits</t>
  </si>
  <si>
    <t>FA N°0003471 Company2325 BILLET Person1005 Person0010 MISSION Product0082 DOR Company0551 NFG</t>
  </si>
  <si>
    <t>FRAIS DE RECEPTION</t>
  </si>
  <si>
    <t>FA N°0026 Company0831 CI FRAIS DE RESTAURAT° MISSION Company0294</t>
  </si>
  <si>
    <t>OD</t>
  </si>
  <si>
    <t>PERDIEMS AUDITEUR  MISSION Company2372</t>
  </si>
  <si>
    <t>PERDIEMS AUDITEUR MISSION Company2372</t>
  </si>
  <si>
    <t>HONORAIRES Person1008 Person0281 MISSION Company2372</t>
  </si>
  <si>
    <t>AUDIT QC ET Company1063 FA 033 Company2374</t>
  </si>
  <si>
    <t>COMPLEMENT Company1106 FA078 Company2373 Company0999</t>
  </si>
  <si>
    <t>FA 255 AUDIT DE RNVLLMT QC/Company2676 Company0999 SARL</t>
  </si>
  <si>
    <t>PRODUIT CONSTATER D'AVANCE/ FA 255 Company2372</t>
  </si>
  <si>
    <t>AUDIT QC ET Company1063 FA 051 Company1056 CI</t>
  </si>
  <si>
    <t>PERDIEMS AUDITEUR MISSION NFG et Company1305/ Company0725</t>
  </si>
  <si>
    <t>PERDIEMS AUDITEURS MISSION IVOIRE Company1988+NFG+Company0294+Company1305</t>
  </si>
  <si>
    <t>FA 002 NEW Company0999 GROUP AUDIT QUALITY CERT</t>
  </si>
  <si>
    <t>PERDIEMS AUDITEURS MISSION Company0041 Company0891 LOG /Company0725</t>
  </si>
  <si>
    <t>Company0725 N°048-2022 RGLT PERDIEMS AUDITEUR MISSIONS Company0034/IMS/Product0082 Product0117</t>
  </si>
  <si>
    <t>Company0725 N°049-2022 PERDIEMS COMPL AUDITEUR MISS° Company0034/IMS/Product0082 Product0117</t>
  </si>
  <si>
    <t xml:space="preserve"> ANNUL  049-BNA-TO 2022 COMPL PERDIEMS-MISSION Company0034/ IMS / Product0082 Product0117</t>
  </si>
  <si>
    <t>ANNUL FA 048-BNA-TO 2022  PERDIEMS-MISSION Company0034/ IMS / Product0082 Product0117</t>
  </si>
  <si>
    <t>PERDIEMS AUDITEUR MISSION Company0034/IMS/ Product0082 Product0117</t>
  </si>
  <si>
    <t>FA0000124 CBM Company2873 Person1005 Person0010/MISSION Company0041 Company0891 LOG</t>
  </si>
  <si>
    <t>FA0000132 CBM VOYAGES  Person0860 Person0035( Company0034+ IMS+Product0082 DOR)</t>
  </si>
  <si>
    <t>AUDIT DE RENOUV QC FA 081 Company0889 LOGISTIC</t>
  </si>
  <si>
    <t>AUDIT DE RENOUV QUALITY CERT FA N°243/Company0294</t>
  </si>
  <si>
    <t>AUDIT DE RENOUV QUALITY CERT FA  AVOIR N°244/Company0294</t>
  </si>
  <si>
    <t>AUDIT DE RENOUV QUALITY CERT FA N°245/ SC Company2848</t>
  </si>
  <si>
    <t>PRODUIT CONSTATER D'AVANCE/ FA 245 SC Company2847/Company0294</t>
  </si>
  <si>
    <t>PERDIEMS AUDITEUR MISSION Company0049/Company1989 FRUITS/ Company0725</t>
  </si>
  <si>
    <t>Company0725 N°045-2022 RGLT PERDIEMS CHAUFFEUR MISSION Company0546</t>
  </si>
  <si>
    <t>Company0725 N°047-2022 RGLT PERDIEMS AUDITEUR MISSION Company0546</t>
  </si>
  <si>
    <t>ANNUL FA 047-BNA-TO 2022  PERDIEMS-MISSION Company0546</t>
  </si>
  <si>
    <t>ANNUL FA 045-BNA-TO 2022  PERDIEMS-MISSION Company0546</t>
  </si>
  <si>
    <t>PERDIEMS AUDITEUR MISSION Company0546</t>
  </si>
  <si>
    <t>PERDIEMS AUDITEUR MISSION Company0547</t>
  </si>
  <si>
    <t>PERDIEMS AUDITEUR MISSION Company2798</t>
  </si>
  <si>
    <t>PERDIEMS AUDITEUR Person1005 MISSION Company2798</t>
  </si>
  <si>
    <t>PERDIEMS AUDITEURS MISSION Company2861/ Company0725</t>
  </si>
  <si>
    <t>PERDIEMS COMPL AUDITEUR MISSIONS Company2860 /Company0725</t>
  </si>
  <si>
    <t>FA000012 CBM Company2872 BILLET AVION Person0860/ MISSION Company2860 KORHOGO</t>
  </si>
  <si>
    <t>F N°085/BNA AUDIT DE RENOUVELLMT QC ET Company1106/GRPE Company2860</t>
  </si>
  <si>
    <t>FORAMATION AUDITEUR INTERNE QUALITY CERT FA N°131/ Company2860</t>
  </si>
  <si>
    <t>PERDIEMS AUDITEUR MISSION Product0082 Product0117/Company0725</t>
  </si>
  <si>
    <t>AUDIT QC Company1106 FA 060 Product0082 Product0117</t>
  </si>
  <si>
    <t>AUDIT DE RENOUV° QUALITY CERT FA N°143/ Product0082 Product0117 CI</t>
  </si>
  <si>
    <t>PERDIEMS Person0860 Person0035 MISSION IMS ET Company0583</t>
  </si>
  <si>
    <t>PERDIEM AUDITEUR MISSION IMS /Company0725</t>
  </si>
  <si>
    <t>Transport supporté sur audit, péage</t>
  </si>
  <si>
    <t>FA0000124 CBM Company2873 Person1005 Person0010/MISSION IMS</t>
  </si>
  <si>
    <t>F N°086/BNA AUDIT DE RENOUVELLMT QC ET Company1106/IMS</t>
  </si>
  <si>
    <t>PERDIEMS AUDITEUR MISSION Company2797/Company0725</t>
  </si>
  <si>
    <t>PERDIEMS AUDITEUR MISSION Company2249/Company0725</t>
  </si>
  <si>
    <t>AUDIT DE RENOUVELLEEMENT QC ET EVALUATION Company1106/ Company2249 FA N°115</t>
  </si>
  <si>
    <t>PERDIEMS AUDITEUR MISSION Company2799 Company0711/Company0725</t>
  </si>
  <si>
    <t>PERDIEMS COURSIER INTERIMAIRE</t>
  </si>
  <si>
    <t>FACT N°099/BNA, AUDIT DE RNVLLMT QC /Company2796</t>
  </si>
  <si>
    <t>PERDIEMS AUDITEUR  MISSION Company2468 Company0711</t>
  </si>
  <si>
    <t>FA N°02 HONORAIRES  POUR PLUSIEURS MISSION Company2468 Company0712-</t>
  </si>
  <si>
    <t>FACT  N°091/BNA AUDIT DE RENVLLEMENT QC ET Company1106</t>
  </si>
  <si>
    <t>AUDIT ADDITIONNEL DE LA STATION NOIX DE Company0543 FA N°225/Company2468 Company0710</t>
  </si>
  <si>
    <t>PERDIEMS AUDITEUR MISSION IVOIRE Company1988/Company0725</t>
  </si>
  <si>
    <t>PERDIEMS AUDITEUR MISSION IVOIRE Company1988</t>
  </si>
  <si>
    <t>PERDIEMS MISSION IVOIRE Company1988</t>
  </si>
  <si>
    <t>PERSON0371°0000130 CBM VOYAGES MISSION IVOIRE Company1987  /ACHAT DE BILLET D'AVION</t>
  </si>
  <si>
    <t>AUDIT DE RENOUVELLEMENT QC / IVOIRE Company1988 FA N°117</t>
  </si>
  <si>
    <t>FORMATIONDE Person1012 Person1200 QUALITY CERT FA N°232/IVOIRE Company1988</t>
  </si>
  <si>
    <t>FORMATIONDE Person1012 Person1200 QUALITY CERT FA  N°235/IVOIRE Company1988</t>
  </si>
  <si>
    <t>FORMATIONDE Person1012 Person1200 QUALITY CERT FA AVOIR N°234/IVOIRE Company1988</t>
  </si>
  <si>
    <t>Company0725 N°053-2022 RGLT PERDIEMS AUDITEUR MISSION Company0580</t>
  </si>
  <si>
    <t>ANNUL FA 053-BNA-TO 2022  PERDIEMS-MISSION Company0580</t>
  </si>
  <si>
    <t>PERDIEMS AUDITEUR MISSION Company0580</t>
  </si>
  <si>
    <t>AUDIT QC  FA 055 Company0580</t>
  </si>
  <si>
    <t>HONORAIRES Person1008 Person0281 MISSION Company1123 SENEGAL</t>
  </si>
  <si>
    <t>FACT N°098/BNA, AUDIT DE RNVLLMT QC ET Company1106/Company1123 SENEGAL</t>
  </si>
  <si>
    <t>FACT N°105/BNA, AUDIT DE REVNLLT QC Company1305</t>
  </si>
  <si>
    <t>PERDIEMS AUDITEUR  MISSION  Company1892 AI</t>
  </si>
  <si>
    <t>Company0427</t>
  </si>
  <si>
    <t>PIECE N°161 TEST COVID Person0860 Person0035 MISSION Company1893 AI</t>
  </si>
  <si>
    <t>AUDIT DE RENOUV QUALITY CERT FA N°148/Company1892 AI Company2497</t>
  </si>
  <si>
    <t>PERDIEMS AUDITEUR MISSION IVOIRE Company1988/ Company0725</t>
  </si>
  <si>
    <t>PERDIEMS AUDITEUR Person1005 MISSION Person0282 IMPORT EXPORT</t>
  </si>
  <si>
    <t>PERDIEMS AUDITEUR Person0989 Person1001 MISSION Person0282 IMPORT EXPORT</t>
  </si>
  <si>
    <t>FA N°01 HONO MISSION Person0282 Company1323/Company2067/Person0989</t>
  </si>
  <si>
    <t>AUDIT DE RENOUV QUALITY CERT FA N°199/Person0282 IMPORT EXPORT</t>
  </si>
  <si>
    <t>PERDIEM MISSION Product0082 Product0117/Person0864 Person0726</t>
  </si>
  <si>
    <t>PERDIEMS AUDITEUR Person1005 MISSION Product0082 Product0117</t>
  </si>
  <si>
    <t>PERDIEMS AUDITEUR MISSION Company2085 Person0499 Person0329</t>
  </si>
  <si>
    <t>PERDIEMS AUDITEUR Person0860 MISSION Company2085 Person0499 Person0329</t>
  </si>
  <si>
    <t>AUDIT DE RENOUV° Product0164 QMS FA N°168/Company2084 Person0499 Person0329</t>
  </si>
  <si>
    <t>FA 003-BNA-TO-22/PERDIEMS MISSIONS Company0588 ET Company2359 Company2350</t>
  </si>
  <si>
    <t>PERDIEMS AUDITEUR MISSION Company2359 Company2358</t>
  </si>
  <si>
    <t>AUDITDE RENOUV QUALITY CERT FA N°206  /Company2359 Company2358</t>
  </si>
  <si>
    <t>PERDIEMS AUDITEUR MISSION Company0588</t>
  </si>
  <si>
    <t>PERDIEM AUDITEUR MISSION Company3024/Company0588/Company1637</t>
  </si>
  <si>
    <t>AUDIT DE RENOUV QUALITY CERT FA N°149/Company0588</t>
  </si>
  <si>
    <t>AUDIT DE RENOUV° Product0164 Company1297 FA N°169/Company2084 Person0499 Person0329</t>
  </si>
  <si>
    <t>PERDIEMS MISSION Company0277 + Company1646</t>
  </si>
  <si>
    <t>AUDIT DE CERTIFICATION QUALITY CERT FA N°224/ Company0277 SAS</t>
  </si>
  <si>
    <t>AUDIT DE CERTIFICATION QUALITY CERT FA N°223/ Company1646 SAS</t>
  </si>
  <si>
    <t>PERDIEMS AUDITEUR MISSION Company0275</t>
  </si>
  <si>
    <t>AUDIT DE RENOUV° QUALITY CERT FA N°177/Company0275 SA</t>
  </si>
  <si>
    <t>PERDIEMS AUDITEUR MISSION Company2648</t>
  </si>
  <si>
    <t>AUDIT DE RENOUV° QUALITY CERT OPTION 1 Company1063 FA N°156/Company2648</t>
  </si>
  <si>
    <t>AUDIT DE RENOUV QUALITY CERT FA N°220/Company0898 MARKET</t>
  </si>
  <si>
    <t>PRODUIT CONSTATER D'AVANCE/ FA 220  Company0898 MARKET</t>
  </si>
  <si>
    <t>PERDIEMS MISSION Company2395 SA</t>
  </si>
  <si>
    <t>AUDIT DE RENOUV° QUALITY CERT FA N°233/Company2395 SA</t>
  </si>
  <si>
    <t>PERDIEM AUDITEUR MISSION Company1480</t>
  </si>
  <si>
    <t>PERDIEM DU PERSONNEL MISSION Company1480</t>
  </si>
  <si>
    <t>AUDIT DE RENOUV QUALITY CERT FA N°198 /Company1480</t>
  </si>
  <si>
    <t>PERDIEM AUDITEUR MISSION Company0544</t>
  </si>
  <si>
    <t>AUDIT DE RENOUV QUALITY CERT FA N°240/Company0543 CI</t>
  </si>
  <si>
    <t>PRODUIT CONSTATER D'AVANCE  Company0545</t>
  </si>
  <si>
    <t>AUDIT D'EVALUATION Company1106/Company0039 SARL(Company0583) FA N°107</t>
  </si>
  <si>
    <t>CHQ N°2282145 RGLT PERDIEMS MISSION Company2090</t>
  </si>
  <si>
    <t>PERDIEM MISSION Person0860 Person0035 ETS Company0273 ET AFRICA FOOD/Company0725</t>
  </si>
  <si>
    <t>FA 0000119 CBM VOYAGES BILLET Person0860 MISSION ETS Company0272 ET AFRICA FOOD</t>
  </si>
  <si>
    <t>FA 2022/02/020 Company0887 AUDIT Product0356 AFRICA Company0984</t>
  </si>
  <si>
    <t>AUDIT QC ET Company1063 FA 029 AFRICA FOOD</t>
  </si>
  <si>
    <t>AUDIT QC FA 037 ETS Company0273</t>
  </si>
  <si>
    <t>HONORAIRES Person1008 Person0281 MISSION Company0051 SENEGAL</t>
  </si>
  <si>
    <t>AUDIT QC ET Company1063 FA 045 Company0051 SENEGAL</t>
  </si>
  <si>
    <t>AUDITDE RENOUV QUALITY CERT FA N°207  /Company0051 SENEGAL COMPL</t>
  </si>
  <si>
    <t>PERDIEMS AUDITEURS MISSION Company2404/Company0725</t>
  </si>
  <si>
    <t>FA 0000117 CBM VOYAGES BILLET Person1005 Person0010 MISSION KGO</t>
  </si>
  <si>
    <t>AUDIT QC Company1106/ AH DE Company2466 ET Company2852 FA 061 Company2404</t>
  </si>
  <si>
    <t>AUDIT QC ET Company1063 FA079 Company1864 INVEST SA</t>
  </si>
  <si>
    <t>PRODUIT CONSTATER D'AVANCE/ FA 079 Company1864 INVEST</t>
  </si>
  <si>
    <t>PERDIEMS AUDITEURS MISSION Company1989 Company0999 /Company0725</t>
  </si>
  <si>
    <t>FA0000124 CBM Company2873 Person1005 Person0010/MISSION Company1989 Company0999</t>
  </si>
  <si>
    <t>F N°087/BNA AUDIT DE RENOUVELLMT QC ET Company1106/Company1989 FRUITS</t>
  </si>
  <si>
    <t>PERDIEMS AUDITEUR MISSION ESM( ITC)/Company0725</t>
  </si>
  <si>
    <t>PERSON0371°0000129 CBM VOYAGES COTE D'IVOIRE MISSION ESM ( ITC)</t>
  </si>
  <si>
    <t>FACT N°101/BNA, AUDIT DE CERTIFICATION QC /ITC</t>
  </si>
  <si>
    <t>FA N°256 AUDIT DE CERTIFICAT° QC/ITC</t>
  </si>
  <si>
    <t>PERDIEMS AUDITEUR MISSIONS Product0356 /Company0725</t>
  </si>
  <si>
    <t>PIECE N°25 REMBOURSEMENT PAYAGE MISSION Product0356</t>
  </si>
  <si>
    <t>FA0000125 CBM VOYAGES BILLET Person0697 Person0837/MISSION RPG SENEGAL</t>
  </si>
  <si>
    <t>PERDIEMS AUDITEUR  MISSION Company0048</t>
  </si>
  <si>
    <t>PERDIEMS AUDITEUR  MISSION Company1638</t>
  </si>
  <si>
    <t>PERDIEMS AUDITEUR MISSION Company0951</t>
  </si>
  <si>
    <t>PIECE N°205 TEST COVID Person0726 Person0864 MISSION</t>
  </si>
  <si>
    <t>ACHAT BILLET D'AVION Person0864 Person0726 MISSION Company0951</t>
  </si>
  <si>
    <t>PIECE N°219 LOCATION VEHICULE MISSION Company0952</t>
  </si>
  <si>
    <t>PERDIEMS  AUDITEUR MISSION Company2090</t>
  </si>
  <si>
    <t>AUDIT DE RENOUVELLEMENT QUALITY CERT FA N°017/Company2090</t>
  </si>
  <si>
    <t>PRODUIT CONSTATE D'AVCE FA N° 017 Company2090</t>
  </si>
  <si>
    <t>PERDIEMS  AUDITEUR MISSION Company3024</t>
  </si>
  <si>
    <t>PRODUIT CONSTATER D'AVANCE  Company3025</t>
  </si>
  <si>
    <t>PERDIEM DU PERSONNEL MISSION D'Company0153 RPG</t>
  </si>
  <si>
    <t>PERDIEM COURSIER MISSION D'Company0153 RPG</t>
  </si>
  <si>
    <t>PERDIEMS MISSION Company2067</t>
  </si>
  <si>
    <t>CHQ N°4051408 PERDIEMS MISSION Company2067</t>
  </si>
  <si>
    <t>FA N°0005949 BILLET Person0270 Person0860 +Person0989 MISSION Company2067</t>
  </si>
  <si>
    <t>FA N°259 AUDIT DE CERTIFICAT° QC/Company2067</t>
  </si>
  <si>
    <t>FA 252 AUDIT DE CERTIFICAT° QC/Company0303 SARL</t>
  </si>
  <si>
    <t>PRODUIT CONSTATER D'AVANCE/ FA 252  Company0303 SARL</t>
  </si>
  <si>
    <t>FA 253 AUDIT DE CERTIFICAT° QC/Company1888</t>
  </si>
  <si>
    <t>PRODUIT CONSTATER D'AVANCE/ FA 253  Company1888</t>
  </si>
  <si>
    <t>FA 254 AUDIT DE CERTIFICAT° QC/Company2676 Company0999 SARL</t>
  </si>
  <si>
    <t>PRODUIT CONSTATER D'AVANCE/ FA 251 Company2676 Company0999</t>
  </si>
  <si>
    <t>CHQ N°2280870 RGLT TPS DE VYGE Person0723 Person0002/MISSION Company2397</t>
  </si>
  <si>
    <t>CHQ N°2280871 RGLT TPS DE VOYAGE Person0577 Person0706 MISSION Company2396/Company0424</t>
  </si>
  <si>
    <t>HONORAIRE Person1221 Person0652 MISSION RA Company0424</t>
  </si>
  <si>
    <t>HONORAIRE Person0577 Person0706 Person0478 MISSION RA Company0424</t>
  </si>
  <si>
    <t>HONORAIRES MISSION Company2359</t>
  </si>
  <si>
    <t>HONORAIRES Person0390 /MISSION Company2359 ET Company2455</t>
  </si>
  <si>
    <t>HONORAIRES COMPANY0929 Person1012 /MISSION Company2359</t>
  </si>
  <si>
    <t>CHQ N°2280876 RGLT TPS DE VOYAGE Person1095 Person0801 MISSION Company2465</t>
  </si>
  <si>
    <t>HONORAIRES Person1095 Person0269/Company2465</t>
  </si>
  <si>
    <t>CHQ N°2280868 RGLT TPS DE VOYAGE Company0573/Company2350 AH/Company2396</t>
  </si>
  <si>
    <t>RGLT  CHQ N°2280873 TDV Person0575 Person0570 MISSION Company2455 &amp; Company2355</t>
  </si>
  <si>
    <t>CHQ N°2282013 RGLT PERDIEMS +PEAGE MISSION Company0290</t>
  </si>
  <si>
    <t>FA 007 Company0290 AUDIT RA</t>
  </si>
  <si>
    <t>PERDIEMS AUDITEURS MISSION Company2455</t>
  </si>
  <si>
    <t>CHQ N°3583183 RGLT TPS DE VOYAGE Person0723 Person0002 MISSION Company2455</t>
  </si>
  <si>
    <t>CHQ N°3583182 RGLT TPS DE VOYAGE Person0860 MISSION Company2455</t>
  </si>
  <si>
    <t>HONORAIRES Person0575 Person0032/MISSION Company2455</t>
  </si>
  <si>
    <t>AUDIT DE TRANSITION RA FA N°182 Company0443 WEST/Company2455 Company0577</t>
  </si>
  <si>
    <t>PERDIEMS AUDITEURS MISSION Company0573</t>
  </si>
  <si>
    <t>PERDIEMS COURSIER MISSION Company0574</t>
  </si>
  <si>
    <t>CHQ N°3583184 RGLT TPS DE Person1146 Person1012 MISSION Company0573</t>
  </si>
  <si>
    <t>CHQ N°3583185 RGLT TPS DE VOYAGE Person0577 Person0401 MISSION Company0573</t>
  </si>
  <si>
    <t>FACTURE D'HONORAIRES Person0577 Person0401 MISSION Company0449</t>
  </si>
  <si>
    <t>FACT D'HONORAIRES COMPANY0929 Person1012 MISSION Company0716</t>
  </si>
  <si>
    <t>AUDIT DE TRANSITION RA FA N°181 Company0443 WEST/Company0577 Company0573</t>
  </si>
  <si>
    <t>PERDIEM MISSION Company2361/Company0725</t>
  </si>
  <si>
    <t>CARBURANTS MISSIONS AUDIT OPERATION</t>
  </si>
  <si>
    <t>RECHARGEMENT Product0082 CARBURANT VIVO MISSION RA Company2361</t>
  </si>
  <si>
    <t>CHQ N°2280878 RGLT TPS DE VOYAGE Company2361/JB Person0557</t>
  </si>
  <si>
    <t>CHQ N°2280879 RGLT TPS DE VOYAGE Company2361/Person0390</t>
  </si>
  <si>
    <t>HONORAIRES Person1095 Person0695 MISSION Company2361</t>
  </si>
  <si>
    <t>HONORAIRES COMPANY0929 Person1012 MISSION Company2361</t>
  </si>
  <si>
    <t>AUDIT RA FA 048 Company2361 COMPANY0693</t>
  </si>
  <si>
    <t>LOCAT° DE MATERIEL DE TRANSPORT</t>
  </si>
  <si>
    <t>FA 0559214 Company2682 LOCATION SARL/LOCATION VHC MISS° Company2356</t>
  </si>
  <si>
    <t>PERDIEMS AUDITEURS MISSION Person0018 Person0559</t>
  </si>
  <si>
    <t>CHQ N°2280819 RGLT TPS DE VOYAGE MISS° Person0018 Person0559/JB Person0557</t>
  </si>
  <si>
    <t>RGLT TDV MISS° Person0018 Person0559 Person0581 Person1012</t>
  </si>
  <si>
    <t>FA 0559222 Company2682 LOCATION POUR MISSION RA</t>
  </si>
  <si>
    <t>FA 0559221 Company2682 LOCATION POUR MISSION RA</t>
  </si>
  <si>
    <t>FA 006 Person0018 Person0559 AUDIT RA</t>
  </si>
  <si>
    <t>PERDIEM MISSION Company2449/Company0725</t>
  </si>
  <si>
    <t>CHQ N°2280882 RGLT TPS DE VOYAGE Person0581 MISSION Company2449</t>
  </si>
  <si>
    <t>CHQ N°2280883 RGLT TPS DE VOYAGE Person1095 Person0801 MISSION Company2449</t>
  </si>
  <si>
    <t>FA 0559233 Company2682 LOCATION / LOCATION MISSION Company2449 MEAGUI</t>
  </si>
  <si>
    <t>HONORAIRES Person0581 Person0035 MISSION Company2450</t>
  </si>
  <si>
    <t>HONORAIRES Person1095 Person0695 MISSION Company2454</t>
  </si>
  <si>
    <t>FA 009 Company2449 AUDIT RA</t>
  </si>
  <si>
    <t>PERDIEMS AUDITEURS MISSION Company2340/Company0725</t>
  </si>
  <si>
    <t>CHQ N°2280902 TPS DE VOYAGE Person0390/MISSIONS Company2340</t>
  </si>
  <si>
    <t>CHQ N°2280901 TPS DE VOYAGE Person0581/MISSIONS Company2340</t>
  </si>
  <si>
    <t>FA0559243 Company2682 LOCATION/ LOCATION MISSION Company2340 TAHI/ PEAGE</t>
  </si>
  <si>
    <t>FA0559243 Company2682 LOCATION/ LOCATION MISSION Company2340 TAHI</t>
  </si>
  <si>
    <t>HONORAIRES Person0390  MISSION Company2340</t>
  </si>
  <si>
    <t>FA 010 Company2340 COMPANY0693 CA AUDIT RA</t>
  </si>
  <si>
    <t>AUDIT RA FA 053 Company2340</t>
  </si>
  <si>
    <t>FA 003-BNA-TO-22/PERDIEMS MISSIONS Company0564</t>
  </si>
  <si>
    <t>CHQ N°2280835 RGLT TPS DE VOYAGE Person0106 MISSION Company0564</t>
  </si>
  <si>
    <t>CHQ N°2280834 RGLT TPS DE VOYAGE Person0581 MISSION Company0564</t>
  </si>
  <si>
    <t>HONORAIRES Person0581 Person0569 MISSION Company0564</t>
  </si>
  <si>
    <t>HONORAIRES Person0106 Person0275 Person0185 MISSION Company2357 + Company2342+ EK+BIN+Company0563</t>
  </si>
  <si>
    <t>AUDIT RA FA 011 Company0564</t>
  </si>
  <si>
    <t>PERDIEM AUDITEURS MISSION Company0539/Company0725</t>
  </si>
  <si>
    <t>CHQ N°2280911 RGLT TPS DE VOYAGE Person0715 Person0112 MISSION Company0539</t>
  </si>
  <si>
    <t>CHQ N°2280910 RGLT TDV Person1221 Person0652 MISSION Company0539</t>
  </si>
  <si>
    <t>FA0559247 Company2682 LOCATION /LOCATION MISSION Company0539 SAN PEDRO</t>
  </si>
  <si>
    <t>HONORAIRE Person1221 Person0652 MISSION Company0539/Company0440</t>
  </si>
  <si>
    <t>HONORAIRE Person0715 Person0112  MISSION Company0539</t>
  </si>
  <si>
    <t>AUDIT RA FA 020 DE Company0539/Company2309</t>
  </si>
  <si>
    <t>CHQN°2282039 RGLT PERDIEMS AUDITEURS MISSION Company2323</t>
  </si>
  <si>
    <t>CHQ N°2280828 RGLT TPS DE VOYAGE Person1095 Person0801 MISSION Company2323</t>
  </si>
  <si>
    <t>AUDIT RA FA 026 Company2323</t>
  </si>
  <si>
    <t>FACTURE AVOIR N°119 Company2323</t>
  </si>
  <si>
    <t>AUDIT RA FA 044 Company2323</t>
  </si>
  <si>
    <t>PERDIEMS AUDITEURS MISSION Company0305/Company0725</t>
  </si>
  <si>
    <t>CHQ N°2280903 RGLT TPS DE VOYAGES Person0106/MISSION Company0305</t>
  </si>
  <si>
    <t>CHQ N°2280904 RGLT TPS DE VOYAGE Person1095 Person0801 MISSION Company0305</t>
  </si>
  <si>
    <t>FA0559244 Company2682 LOCATION /LOCATION MISSION Company0305 GAGNOA</t>
  </si>
  <si>
    <t>HONORAIRE Person1095 Person0796 Person0695 MISSION Company0305</t>
  </si>
  <si>
    <t>AUDIT RA FA N°030 COMPANY0693 Company0305</t>
  </si>
  <si>
    <t>ECART DE REGLEMENT Company0305</t>
  </si>
  <si>
    <t>ANNULATION ECART DE REGLEMENT Company0305</t>
  </si>
  <si>
    <t>CHQ N°2282048 RGLT PERDIEMS AUDITEURS MISSION Company0435</t>
  </si>
  <si>
    <t>CHQ N°2280838 RGLT TPS DE VOYAGE MISSION Company0435 JB Person0557</t>
  </si>
  <si>
    <t>CHQ N°2280839 RGLT TPS DE VOYAGE MISSION Company0435 Person0390</t>
  </si>
  <si>
    <t>HONORAIRES Person0557 JB MISSION Company0435/Company0438</t>
  </si>
  <si>
    <t>HONORAIRES Person0391 Person0699 MISSION Company0435</t>
  </si>
  <si>
    <t>AUDIT RA FA 032 Company0435</t>
  </si>
  <si>
    <t>PRODUIT CONSTATER D'AVANCCANS</t>
  </si>
  <si>
    <t>PERDIEM MISSION Company2358 EK/Company0725</t>
  </si>
  <si>
    <t>RECHARGEMENT Product0082 CARBURANT VIVO MISSION Company2350 EK</t>
  </si>
  <si>
    <t>CHQ N°2280886 RGLT TPS DE VOYAGE Person0715 Person0112 MISSION Company2358 EK</t>
  </si>
  <si>
    <t>CHQ N°2280885 RGLT TPS DE VOYAGE Person0106 MISSION Company2358 EK</t>
  </si>
  <si>
    <t>FA 0559230 Company2682 LOCATION LOCAT° VHC POUR MISSION Company1484</t>
  </si>
  <si>
    <t>HONORAIRES Person0715 Person0112 MISSION Company2350 EK</t>
  </si>
  <si>
    <t>AUDIT RA FA034 Company2472</t>
  </si>
  <si>
    <t>PERDIEM AUDITEURS MISSION Company0571/Company0725</t>
  </si>
  <si>
    <t>RGLT  CHQ N°2280912 TDV Person0575 Person0570 MISSION Company0571</t>
  </si>
  <si>
    <t>CHQ N°2280913 RGLT TPS DE VOYAGE Person0577 Person0706 MISSION Company0571</t>
  </si>
  <si>
    <t>FA0559245 Company2682 LOCATION /LOCATION MISSION Company0571 DIVO GUITRY</t>
  </si>
  <si>
    <t>HONORAIRE Person0575 Person0570  MISSIONS Company2474 Person0795 /Company0571</t>
  </si>
  <si>
    <t>HONORAIRE Person0577 Person0706 Person0479 MISSION Company0571</t>
  </si>
  <si>
    <t>AUDIT RA FA 035 DE Company0571/Company2309</t>
  </si>
  <si>
    <t>AUDIT RA FA 023 Company0585</t>
  </si>
  <si>
    <t>PRODUIT CONSTATE AVCE FA  023  Company0585</t>
  </si>
  <si>
    <t>PERDIEMS AUDITEURS MISSION Company2358 Company0066/Company0725</t>
  </si>
  <si>
    <t>PERDIEMS Person0575 Person1238 MISSION Company2358 Company0066 /Company0725</t>
  </si>
  <si>
    <t>PERDIEMS Person0575 Person1238 MISSION Company2358 Company0066 /Company0725/ PEAGE</t>
  </si>
  <si>
    <t>AUDIT RA FA 043 Company2000 IVOIRE SA/Company2350 Company0066</t>
  </si>
  <si>
    <t>PERDIEM MISSION Company0440/Company0725</t>
  </si>
  <si>
    <t>CHQ N°2280887 RGLT TDV Person1221 Person0652 MISSION Company0440</t>
  </si>
  <si>
    <t>CHQ N°2280888 RGLT TPS DE VOYAGE Person0577 Person0706 MISSION Company0440</t>
  </si>
  <si>
    <t>FA 0559229 Company2682 LOCATION /LOCATION VHC MISSION Company0440 ABENGOUROU</t>
  </si>
  <si>
    <t>HONORAIRE Person0577 Person0706 MISSION Company0440</t>
  </si>
  <si>
    <t>AUDIT RA FA 046 COMPANY0693 Company0440</t>
  </si>
  <si>
    <t>AUDIT RA FA 052 Company0567</t>
  </si>
  <si>
    <t>PERDIEMS AUDITEURS MISSION Company0569/Company0725</t>
  </si>
  <si>
    <t>CHQ N°2280909 RGLT TPS DE VOYAGE Person0798 Person0401 MISSION Company0569</t>
  </si>
  <si>
    <t>CHQ N°2280908 RGLT TPS DE VOYAGE Person1249 Person0723 MISSION Company0569</t>
  </si>
  <si>
    <t>FA0559246 Company2682 LOCATION /LOCATION MISSION Company0569 SAN PEDRO</t>
  </si>
  <si>
    <t>HONORAIRES Person0577 Person0798 Person0401 MISSION Company0569-CA2B</t>
  </si>
  <si>
    <t>HONORAIRES Person0577 Person1249 Person0723 Person0002 MISSION Company0569-CA2B</t>
  </si>
  <si>
    <t>AUDIT RA  FA 054 Company2309/Company0569</t>
  </si>
  <si>
    <t>PERDIEMS AUDITEURS MISSION COMPANY0693 CA Company0009/Company0725</t>
  </si>
  <si>
    <t>PERDIEMS COURSIER MISSION COMPANY0693 Company0009 /Company0725</t>
  </si>
  <si>
    <t>AUDIT RA FA 059 Company2000 IVOIRE SA/ Company0009</t>
  </si>
  <si>
    <t>FACT N°103/BNA, AUDIT DE TRANSITION RA POUR COMPANY0693 Company0009/Company2000 IVOIR</t>
  </si>
  <si>
    <t>FACT N°103/BNA, AUDIT DE TRANSI°  RA POUR COMPANY0693 Company0009/COMPL</t>
  </si>
  <si>
    <t>AVOIR A ETABLIR FA N°059 /Company2001</t>
  </si>
  <si>
    <t>AUDIT RA FA N°093 /Company2001</t>
  </si>
  <si>
    <t>AVOIR A ETABLIR FA N°093 /Company2001</t>
  </si>
  <si>
    <t>PERDIEM MISSION Company2333/Company0725</t>
  </si>
  <si>
    <t>CHQ N°2280889 RGLT TPS DE VOYAGE Person0870 Person0556 MISSION Company2333</t>
  </si>
  <si>
    <t>CHQ N°2280892 RGLT TPS DE VYGE Person0723 Person0002/MISSION  Company2333</t>
  </si>
  <si>
    <t>FA 0559235 Company2682 LOCATION /LOCATION  MISSION Company2333 MEAGUI</t>
  </si>
  <si>
    <t>AUDIT  RA FA 068 Company0443 WEST AFRICA/Company2333</t>
  </si>
  <si>
    <t>PERDIEMS AUDITEURS MISSION Company2474/ Company0725</t>
  </si>
  <si>
    <t>RGLT  CHQ N°2280925 TDV Person0575 Person0570 MISSION Company2474 Company1860</t>
  </si>
  <si>
    <t>CHQ N°2280926 RGLT TPS DE VYGE Person0723 Person0002/MISSION  Company2474 Company1860</t>
  </si>
  <si>
    <t>HONORAIRE  MISSION Company2474</t>
  </si>
  <si>
    <t>AUDIT  RA FA069 Company2474 Company1860</t>
  </si>
  <si>
    <t>PERDIEMS AUDITEURS MISSION Company0566 Company1537/Company0725</t>
  </si>
  <si>
    <t>HONORAIRES  MISSION Company1535</t>
  </si>
  <si>
    <t>AUDIT  RA FA070 Company1537 COMPANY0693</t>
  </si>
  <si>
    <t>PERDIEM MISSION Company0450/Company0725</t>
  </si>
  <si>
    <t>RECHARGEMENT Product0082 CARBURANT VIVO MISSION RA Company0450</t>
  </si>
  <si>
    <t>CHQ N°22800845 RGLT TPS DE VOYAGE Company0450 Person0390 Person0699</t>
  </si>
  <si>
    <t>CHQ N°22800846 RGLT TPS DE VOYAGE Company0450 JB Person0557</t>
  </si>
  <si>
    <t>FA 0559237 Company2682 LOCATION /LOCATION MISSION Company0450 GRAND BEREBI</t>
  </si>
  <si>
    <t>PRODUIT CONSTATER D'AVANCE Company0450</t>
  </si>
  <si>
    <t>PRODUIT CONSTATER D'AVANCE  Company2343</t>
  </si>
  <si>
    <t>PERDIEMS AUDITEURS MISSION IVOIRE Company1121</t>
  </si>
  <si>
    <t>CHQ N°2280905 RGLT TPS DE VOYAGE JB Person0557 MISSION IVOIRE Company1121</t>
  </si>
  <si>
    <t>CHQ N°2280905 RGLT TPS DE VOYAGE Person0715 Person0112 MISSION IVOIRE Company1121</t>
  </si>
  <si>
    <t>HONORAIRES MISSION Company2338+ IVOIRE Company1121+ Company0572</t>
  </si>
  <si>
    <t>HONORAIRES MISSION IVOIRE Company1121</t>
  </si>
  <si>
    <t>FACT COMPL AUDIT DE TRANSITION RA FA N°146/IVOIRE Company1121</t>
  </si>
  <si>
    <t>AUDIT DE TRANSITION RA FA N°167/IVOIRE Company1121</t>
  </si>
  <si>
    <t>FACTURE  COMPL AUDIT DE TRANSITION RA FA N°175/IVOIRE Company1121</t>
  </si>
  <si>
    <t>PRODUIT CONSTATER D'AVANCE  IVOIRE Company1121</t>
  </si>
  <si>
    <t>FA N°146 IVOIRE Company1121/ AVOIR A ETABLIR</t>
  </si>
  <si>
    <t>PERDIEMS AUDITEURS MISSION Company0571 /Company0725</t>
  </si>
  <si>
    <t>FA 0559256 Company2682 LOCATION/ LOCATION DE VHC MISSION COMPANY0693 Company0438</t>
  </si>
  <si>
    <t>HONORAIRES Person0577 Person0706 MISSION Company0438</t>
  </si>
  <si>
    <t>AUDIT DE TRANSITION RA FACT N°082/BNA Company0438 COMPANY0693 CA</t>
  </si>
  <si>
    <t>PERDIEMS AUDITEURS MISSION CA2B/Company0725</t>
  </si>
  <si>
    <t>FACT N°094/BNA, AUDIT DE TRANSITION RA/COMPANY0693 CA2B</t>
  </si>
  <si>
    <t>AUDIT DE TRANSITION RA FA N°129 Company3046(CA2B)</t>
  </si>
  <si>
    <t>AUDIT DE TRANSITION RA FA N°137 AVOIR /CA2B</t>
  </si>
  <si>
    <t>PERDIEMS Person0575 Person1238 MISSIONS Company2342+Company2357/Company0725</t>
  </si>
  <si>
    <t>PERDIEMS AUDITEURS MISSIONS Company2357/Company0725</t>
  </si>
  <si>
    <t>HONORAIRES Person0390 Person1195 MISSION Company2357 + Company2342</t>
  </si>
  <si>
    <t>F N°088/BNA AUDIT DE TRANSITION RA/Company2357 COMPANY0693 CA</t>
  </si>
  <si>
    <t>PERDIEMS AUDITEURS MISSIONS Company2342/Company0725</t>
  </si>
  <si>
    <t>FACT N°096/BNA, AUDIT DE TRANSITION RA DE Company2341 COMPANY0693/Company0443</t>
  </si>
  <si>
    <t>PERDIEMS AUDITEURS MISION COMPANY0693 ASO/ Company0725</t>
  </si>
  <si>
    <t>PERDIEMS COURSIER MISSION COMPANY0693 ASO/Company2368</t>
  </si>
  <si>
    <t>PERDIEMS AUDITEURS MISSION ASO</t>
  </si>
  <si>
    <t>REMBOURSEMENT CARBURANT MISSION Company2352</t>
  </si>
  <si>
    <t>REMBOURSEMENT PEAGE MISSION Company2352</t>
  </si>
  <si>
    <t>FA N°0000185 MISSION RA Company2352</t>
  </si>
  <si>
    <t>FACT N°106/BNA AUDIT DE TRANSITION RADE Company0575/Company0443</t>
  </si>
  <si>
    <t>FA N°106 Company0443 ASO/ FACTURE A ETABLIR</t>
  </si>
  <si>
    <t>PERDIEMS AUDITEURS MISSION Company0448 Company0566</t>
  </si>
  <si>
    <t>PERDIEMS COURSIER MISSION Company0448 Company1102</t>
  </si>
  <si>
    <t>FACT N°095/BNA, AUDIT DE TRANSITION RA/Company0448 Company1102 COMPANY0693</t>
  </si>
  <si>
    <t>FACT° COMPL° AUDIT DE TRANSITION RA FA N°158/Company0448 Company1102</t>
  </si>
  <si>
    <t>FACT N°092/BNA, AUDIT DE TRANSITION RA/Company2464</t>
  </si>
  <si>
    <t>FACTURE D AVOIR A ETABLIR/Company2464 COMPANY0693 CA</t>
  </si>
  <si>
    <t>AUDIT DE TRANSITION RA/ Company2249 FA N°116</t>
  </si>
  <si>
    <t>Company0725 N°046-2022 RGLT PERDIEMS AUDITEURS MISSION VDB</t>
  </si>
  <si>
    <t>ANNUL FA 046-BNA-TO 2022  PERDIEMS-MISSION Company2857 DU Company1891</t>
  </si>
  <si>
    <t>PERDIEMS AUDITEUR MISSION Company2857 DU Company0276</t>
  </si>
  <si>
    <t>FA N°0000149 CBM VOYAGES CI /Person0860 Person0035 MISSION</t>
  </si>
  <si>
    <t>AUDIT DE TRANSITION RA FA 125/ Company2857 DU Company0276</t>
  </si>
  <si>
    <t>PERDIEMS AUDITEURS MISSION Company0538 COMPANY0693</t>
  </si>
  <si>
    <t>Company0725 N°052-2022 RGLT PERDIEMS COURSIER MISSION Company0538</t>
  </si>
  <si>
    <t>ANNUL FA 052-BNA-TO 2022  PERDIEMS MISSION Company0538</t>
  </si>
  <si>
    <t>ANNUL FA 051-BNA-TO 2022  PERDIEMS MISSION Company0538</t>
  </si>
  <si>
    <t>PERDEIMS COURSIER MISSION Company0538</t>
  </si>
  <si>
    <t>PERDEIMS AUDITEURS MISSION Company0538</t>
  </si>
  <si>
    <t>Frais de voy. pers autres missions</t>
  </si>
  <si>
    <t>HONORAIRES MISSION Company0538 -Company2354/Person0575 A</t>
  </si>
  <si>
    <t>HONORAIRES MISSION Company0538 -Company0576/Person0577 Person0401</t>
  </si>
  <si>
    <t>AUDIT DE TRANSITION RA FA N°140/Company0538 COMPANY0693 CA</t>
  </si>
  <si>
    <t>PERDIEMS AUDITEURS MISSION Company2338 Company2358</t>
  </si>
  <si>
    <t>PERDIEMS COURSIER INTERIMAIRE MISSION Company2338 Company2358</t>
  </si>
  <si>
    <t>HONORAIRES MISSION Company2338 ET Company2448</t>
  </si>
  <si>
    <t>AUDIT DE TRANSITION RA FA N°141/Company2339</t>
  </si>
  <si>
    <t>AUDIT DE TRANSITION RA FA AVOIR N°154/Company2339</t>
  </si>
  <si>
    <t>AUDIT DE TRANSITION RA FA N°155/Company0443 WEST Company0037</t>
  </si>
  <si>
    <t>PERDIEMS AUDITEUR MISSION Company0581 SI/Company0034</t>
  </si>
  <si>
    <t>FA N°0003136 Company2325 BILLET ASSA MISSION Company0581 SI</t>
  </si>
  <si>
    <t>HONORAIRES MISSION Company0583 ET Company0889 LOGISTIC</t>
  </si>
  <si>
    <t>AUDIT DE TRANSITION RA FA N°165/AFRICA ONE /Company0582</t>
  </si>
  <si>
    <t>AUDIT DE TRANSITION RA FA N°166/Company0034</t>
  </si>
  <si>
    <t>AUDIT DE TRANSITION RA FA N°183 AFRICA ONE/Company0034</t>
  </si>
  <si>
    <t xml:space="preserve"> FACTURE D'AVOIR AUDIT DE TRANSITION RA FA N°184 Company0034</t>
  </si>
  <si>
    <t>ANNULATION FACT N°207/2021 IVOIRE Company1121</t>
  </si>
  <si>
    <t>PERDIEMS AUDITEURS MISSION Company2466 SA</t>
  </si>
  <si>
    <t>PERDIEM AUDITEUR MISSION Company2466 SA/Company0543</t>
  </si>
  <si>
    <t>FA N°0003636 Company2325 TRAVEL BILLET Person0270 Person0860 MISSION Company2466</t>
  </si>
  <si>
    <t>AUDIT DE TRANSITION RA FA N°157/Company2466</t>
  </si>
  <si>
    <t>AUDIT DE TRANSITION RA FA N°210/Company2466 SA Company0543</t>
  </si>
  <si>
    <t xml:space="preserve"> FACT D'AVOIR AUDIT DE TRANSITION RA FA N°216/Company2466 SA /Company0543</t>
  </si>
  <si>
    <t>AUDIT DE TRANSITION RA FA N°217 Company2466 SA /Company0543</t>
  </si>
  <si>
    <t>PERDIEMS AUDITEURS MISSION Company2461</t>
  </si>
  <si>
    <t>FA N°0559275 Company2682 LOCATION</t>
  </si>
  <si>
    <t>HONORAIRES Person0577 Person0706  MISSION Company2461</t>
  </si>
  <si>
    <t>AUDIT DE TRANSITION RA FA N°162/Company2461</t>
  </si>
  <si>
    <t>PERDIEMS AUDITEURS  MISSION Company2336 Company0566</t>
  </si>
  <si>
    <t>FA N°0559274 Company2682 LOCATION</t>
  </si>
  <si>
    <t>HONORAIRES Person0715 Person0112  MISSION Company2337</t>
  </si>
  <si>
    <t>HONORAIRES   MISSION Company2336/ Person0723</t>
  </si>
  <si>
    <t>FACTURE COMPL AUDIT DE TRANSITION RA FA N°163/Company2336</t>
  </si>
  <si>
    <t>FACTURE COMPL AUDIT DE TRANSITION RA FA N°170/Company2336</t>
  </si>
  <si>
    <t>PERDIEMS  AUDITEURS MISSION Company2353</t>
  </si>
  <si>
    <t>PERDIEMS MISSION SUIVI Company2353</t>
  </si>
  <si>
    <t>FA N°0559279 Company2682 LOCATION DU 28 AU 02/09/2022 A DIVO</t>
  </si>
  <si>
    <t>HONORAIRES MISSION Company2353/Person1095</t>
  </si>
  <si>
    <t xml:space="preserve"> AUDIT DE TRANSITION RA FA N°171/Company2353 Company0566</t>
  </si>
  <si>
    <t>AUDIT DE SUIVI RA FA N°246/ Company2353</t>
  </si>
  <si>
    <t>PERDIEMS AUDITEURS MISSION Company2452</t>
  </si>
  <si>
    <t>REMBOURSEMENT PERDIEMS Company2452 Person0390 Person0699</t>
  </si>
  <si>
    <t>REMBOURSEMENT PERDIEMS Company2452 Person0860 Person0035</t>
  </si>
  <si>
    <t>PERDIEMS COURSIER MISSION Company1894+Company2452+Company2463 Company1122+DAT</t>
  </si>
  <si>
    <t>PIECE N°270 PEAGE MISSION Company1895</t>
  </si>
  <si>
    <t>HONORAIRES MISSION Company2462+Company2452 Person0577 Person0706</t>
  </si>
  <si>
    <t>HONORAIRES MISSION Company2462+Company2452 /COMPANY0929</t>
  </si>
  <si>
    <t xml:space="preserve"> AUDIT DE TRANSITION RA FA N°172/Company2452 COMPANY0693 CA</t>
  </si>
  <si>
    <t>PERDIEMS  AUDITEURS MISSION Company2458</t>
  </si>
  <si>
    <t>FA N°0559278 Company2682 LOCATION DU 28 AU 29/08/2022 A DANANE</t>
  </si>
  <si>
    <t>HONORAIRES Person0390 Person0699  MISSION Company2458</t>
  </si>
  <si>
    <t>AUDIT DE TRANSITION RA FA N°186/Company2458 Company0566</t>
  </si>
  <si>
    <t>PERDIEMS AUDITEURS MISSION Company2448</t>
  </si>
  <si>
    <t>FA N°0559281 Company2682 LOCATION 04 AU 10 /09/2022 A OURAGAHIO</t>
  </si>
  <si>
    <t>HONORAIRES MISSION Company2448</t>
  </si>
  <si>
    <t>AUDIT DE TRANSITION RA FA N°179/Company2448 Company0577</t>
  </si>
  <si>
    <t>PERDIEMS AUDITEURS MISSION Company2453</t>
  </si>
  <si>
    <t>FA N°0559280 Company2682 LOCATION 04 AU 11 /09/2022 A SOUBRE</t>
  </si>
  <si>
    <t>AUDIT DE TRANSITION RA FA N°176/Company2453 Company0566</t>
  </si>
  <si>
    <t>PERDIEMS AUDITEURS MISSION Company2460</t>
  </si>
  <si>
    <t>AUDIT DE TRANSITION RA FA N°174/Company2460</t>
  </si>
  <si>
    <t>PERDIEMS  AUDITEURS MISSION Company0278 Company0577</t>
  </si>
  <si>
    <t>AUDIT DE TRANSITION RA FA N°180 Company0443 WEST/Company0278 Company0577</t>
  </si>
  <si>
    <t>PERDIEMS  AUDITEURS MISSION Company0271</t>
  </si>
  <si>
    <t>PERDIEMS  COURSIER MISSION Company0271</t>
  </si>
  <si>
    <t>AUDIT DE TRANSITION RA FA N°187/Company0271</t>
  </si>
  <si>
    <t>PERDIEMS AUDITEURS MISSION Company2462</t>
  </si>
  <si>
    <t>AUDIT DE TRANSITION RA FA N°188 /Company2459 Company1122</t>
  </si>
  <si>
    <t>PERDIEMS AUDITEURS MISSION Company2197</t>
  </si>
  <si>
    <t>PERDIEMS COURSIER MISSION Company2197</t>
  </si>
  <si>
    <t>HONORAIRES Person0569 Person0034  MISSION Company2198</t>
  </si>
  <si>
    <t>AUDIT DE TRANSITION RA FA N°189/Company2197</t>
  </si>
  <si>
    <t>PERDIEMS AUDITEURS MISSION Company1845</t>
  </si>
  <si>
    <t>REMBNOURSEMENT PEAGE PLV MISSION RA Company0576 +Company1845</t>
  </si>
  <si>
    <t>FA N°0000149 PLV VEHICULE LOCATION MISSION RA Company0576+ Company1845</t>
  </si>
  <si>
    <t>HONORAIRES MISSION Company1845</t>
  </si>
  <si>
    <t>HONORAIRES MISSION Company0572 ET Company1845</t>
  </si>
  <si>
    <t>AUDIT DE TRANSITION RA FA N°190/Company1845</t>
  </si>
  <si>
    <t>FACT AVOIR AUDIT DE TRANSITION RA FA N°226/Company1845</t>
  </si>
  <si>
    <t>AUDIT DE TRANSITION RA FA N°191/Company2457</t>
  </si>
  <si>
    <t>AUDIT DE TRANSITION RA FA AVOIR N°236/Company2457</t>
  </si>
  <si>
    <t>PERDIEMS AUDITEURS MISSION Company2334</t>
  </si>
  <si>
    <t>AUDIT DE TRANSITION RA FA N°192/Company2335</t>
  </si>
  <si>
    <t>PERDIEMS AUDITEURS MISSION Company1894</t>
  </si>
  <si>
    <t>PERDIEMS AUDITEUR MISSION Company1894 COMPANY0693 CA</t>
  </si>
  <si>
    <t>FACTURE D'HONORAIRES Person0577 Person0706 MISSION Company1894</t>
  </si>
  <si>
    <t>AUDIT DE TRANSITION RA FA N°194/Company1894</t>
  </si>
  <si>
    <t>PERDIEMS AUDITEURS MISSION Company2348</t>
  </si>
  <si>
    <t>REMBOURSEMENT CARBURANT MISSION Company2351 ET Company2438</t>
  </si>
  <si>
    <t>REMBOURSEMENT PEAGE MISSION Company2351 ET Company2438</t>
  </si>
  <si>
    <t>FA N°0000183 MISSION RA Company2351 ET Company2348</t>
  </si>
  <si>
    <t>HONORAIRES MISSION Company2348+Company2351/Person0994</t>
  </si>
  <si>
    <t>HONORAIRES MISSION Company2348+Company2351/Person0715</t>
  </si>
  <si>
    <t>AUDIT DE TRANSITION RA FA N°196/Company2358 Company2348</t>
  </si>
  <si>
    <t>PERDIEMS COURSIER MISSION Company0572</t>
  </si>
  <si>
    <t>PERDIEMS AUDITEURS MISSION Company0572</t>
  </si>
  <si>
    <t>AUDIT DE TRANSITION RA FA N°197 Company0443/Company0572</t>
  </si>
  <si>
    <t>PERDIEMS AUDITEURS MISSION DAT</t>
  </si>
  <si>
    <t>FACTURE D'HONORAIRES Person0870 Person0556 MISSION DAT</t>
  </si>
  <si>
    <t>AUDIT DE TRANSITION RA FA N°200/Company0578</t>
  </si>
  <si>
    <t>PERDIEMS AUDITEURS MISSION Company2351</t>
  </si>
  <si>
    <t>AUDIT DE TRANSITION RA FA N°211/Company2351</t>
  </si>
  <si>
    <t xml:space="preserve"> AUDIT DE TRANSITION RA FA N°218 Company0443/Company0576</t>
  </si>
  <si>
    <t>AUDIT DE TRANSITION RA FA N°193 Company2000 IVOIRE/Company1845</t>
  </si>
  <si>
    <t>PERDIEM COURSIER MISSION Company2456</t>
  </si>
  <si>
    <t>AUDIT DE TRANSITION RA FA  N°237/Company2456</t>
  </si>
  <si>
    <t>PERDIEMS AUDITEURS MISSIONS Company0576</t>
  </si>
  <si>
    <t>PERDIEMS MISSION Company2857 DU Company1891</t>
  </si>
  <si>
    <t>FA N°0005589 ACHAT DE BILLET Person0032 /Company2325</t>
  </si>
  <si>
    <t>PERDIEMS AUDITEURS MISSION Company2456</t>
  </si>
  <si>
    <t>AUDIT DE TRANSITION RA FA N°248 / Company2857 DU Company1891</t>
  </si>
  <si>
    <t>FA N°09 HONORAIRES Person0573 MISSION Company0499</t>
  </si>
  <si>
    <t>FA N°01 HONORAIRES MISSION Company0499</t>
  </si>
  <si>
    <t>AUDIT DE SURVEILLANCE ISO 9001:2015 FA N°173/Company0499</t>
  </si>
  <si>
    <t>FA N°004 HONORAIRES  Person0573 Person0921  MISSION Company1910</t>
  </si>
  <si>
    <t>FA 008 Company1910 AUDIT ISO 9001</t>
  </si>
  <si>
    <t>AUDIT DE CERTIFICATION COMPLEMENTAIRE ISO 9001/ Company1910 FA N°113</t>
  </si>
  <si>
    <t>FOURNITURES NON STOCKABLES-AUTRES E</t>
  </si>
  <si>
    <t>ACHAT DE CARBURANT AUDIT Company2407</t>
  </si>
  <si>
    <t>HONORAIRE Person0573 Person0921 MISSION Company2407</t>
  </si>
  <si>
    <t>FA N°02 HONORAIRES   Person0008 Person0003 MISSION Company2407</t>
  </si>
  <si>
    <t>AUDIT ISO 9001 FA 021 Company2407</t>
  </si>
  <si>
    <t>HONORAIRE Person0009 Person0003 FA N°01</t>
  </si>
  <si>
    <t>FA 002 HONORAIRE AUDIT SUPPLEMENTAIRE Company2310 Person0573 Person0921</t>
  </si>
  <si>
    <t>HONORAIRES Person0009 MISSION Company2310</t>
  </si>
  <si>
    <t>FA N°006 HONORAIRES MISSION Company2310</t>
  </si>
  <si>
    <t>AUDIT ISO 9001 FA 018 Company2310</t>
  </si>
  <si>
    <t>AUDIT DE SURVEILLANCE 1 ISO 9001:2015</t>
  </si>
  <si>
    <t>PIECE N°249 PERDIEMS Person0577 MISSION Company0166</t>
  </si>
  <si>
    <t>HONORAIRES MISSION Company0166/ Person1090</t>
  </si>
  <si>
    <t>FA N°005 HONORAIRES MISSION Company0166</t>
  </si>
  <si>
    <t>AUDIT DE SURVEILLANCE 1 ISO 9001 FA N°178/Company0166</t>
  </si>
  <si>
    <t>FA02/2022 HONORAIRE de Person1009 Person0328/MISSION Company2386 BENIN</t>
  </si>
  <si>
    <t>FA N°02 HONORAIRE Person0021 Person0041 MISSION Company2387</t>
  </si>
  <si>
    <t>PRODUIT CONSTATER D'AVANCE  Company2386</t>
  </si>
  <si>
    <t>HONORAIRES  MISSION Company2394</t>
  </si>
  <si>
    <t>FA N°001 HONORAIRES Person0576 MISSION Company2394 ET Company1205 GRAPHICS</t>
  </si>
  <si>
    <t>HONORAIRES MISSION Company2394 ETAPE 1 ET 2</t>
  </si>
  <si>
    <t>HONORAIRES MISSION Company2394</t>
  </si>
  <si>
    <t>FA N°007 HONORAIRES MISSION Company2394</t>
  </si>
  <si>
    <t>AUDIT ISO 9001 CAS DES ENTREPRISES Company2394 FA 066 Company0961</t>
  </si>
  <si>
    <t>AUDIT  DE CERTIFICATION CAS DES ENTREPRISES Company2394 FA N°118 Company0961</t>
  </si>
  <si>
    <t>REALISATION D'UN AUDIT INITIAL DE CERT° Company2394 FA N°228/Company2038</t>
  </si>
  <si>
    <t>REALISATION D'UN AUDIT INITIAL DE CERT° Company2394 FA N°230/Company2038 AVOIR</t>
  </si>
  <si>
    <t>REALISATION D'UN AUDIT INITIAL DE CERT° Company2394 FA N°231/Company2038 AVOIR</t>
  </si>
  <si>
    <t>REALISATION D'UN AUDIT INITIAL DE CERT° Company2394 FA N°238/Company2038 AVOIR</t>
  </si>
  <si>
    <t>REALISATION D'UN AUDIT INITIAL DE CERT° Company2394 FA N°239/Company2038</t>
  </si>
  <si>
    <t>FA 266 AUDIT DE CERTIFICATION Company2394 RAPPORT FINAL/Company2038</t>
  </si>
  <si>
    <t>AVOIR/FACTURE Company2394</t>
  </si>
  <si>
    <t>CHQ N°2280935 RGLT PERDIEMS Person0573 Person0921 MISSION METAL Company2473</t>
  </si>
  <si>
    <t>Honoraire Person0625 Person0945/METAL Company2473</t>
  </si>
  <si>
    <t>HONORAIRE Person0573 Person0921 MISSION METAL Company2473</t>
  </si>
  <si>
    <t>FACT COMPLEMENTAIRE N°090/BNA,METAL Company2473</t>
  </si>
  <si>
    <t>HONORAIRES Person1090 Person1096/Company1910</t>
  </si>
  <si>
    <t>SERVICES VENDUES TAXABLES</t>
  </si>
  <si>
    <t>REGUL COMPTE Company1910 /FACTURE 0031 MARS 2019</t>
  </si>
  <si>
    <t>REGUL COMPTE Company1910 /FACTURE 0020 MARS 2019</t>
  </si>
  <si>
    <t>FA N°007 HONORAIRE Person0573 Person0921 MISSION Company1205 GRAPHICS</t>
  </si>
  <si>
    <t>HONORAIRES  MISSION Company1205 GRAPHICS/Person0995</t>
  </si>
  <si>
    <t>FA N°008 HONORAIRES MISSION Company1205 Company1105</t>
  </si>
  <si>
    <t>FA 001 METAL Company2473 AUDIT ISO 9001</t>
  </si>
  <si>
    <t>AUDIT DE CERTIFICATION INITIAL ISO 9001 FA N°203/Company1205 GRAPHICS</t>
  </si>
  <si>
    <t>FA 266 AUDIT DE CERTIFICATION Company1205 GRAPHICS 50%/Company2038</t>
  </si>
  <si>
    <t>FA 266 AUDIT DE CERTIFICATION Company1205 GRAPHICS 40%/Company2038</t>
  </si>
  <si>
    <t>FORMATION ISO 9001 Company1467 Person0181 FA N°134/Company1531 CONSULTING Company0042</t>
  </si>
  <si>
    <t>FA N°001 HONORAIRES Person0707 Person0560 MISSION Company2610 SA</t>
  </si>
  <si>
    <t>FA N°03 HONORAIRE DE Person1009 MISSION ISO 22000 Company0047</t>
  </si>
  <si>
    <t>AUDIT ISO 22000 COMPL FA 049 Company0047</t>
  </si>
  <si>
    <t>FA N°0000174 CBM VOYAGE Person0996 MISSION LES JUS Person1099</t>
  </si>
  <si>
    <t>AUDIT DE SUIVI ISO 22000 ANNEE 2 FA N°128/ LES JUS Person1099</t>
  </si>
  <si>
    <t>FA N°07 HONORAIRES DE Person1009 MISSION Company0736 Company1328 BENIN</t>
  </si>
  <si>
    <t>AUDIT DE SURVEILLANCE 2 Company0736 Company1328 FA N°229/Company2067</t>
  </si>
  <si>
    <t>BQ5</t>
  </si>
  <si>
    <t>PERDIEMS MR Person0577 MISSION Company0828/Company0956/A2S/Company0082</t>
  </si>
  <si>
    <t>HONORAIRES Person0368 Person1279 MISSION Company0828+Company0956+Company1655+A2S+ABASFE</t>
  </si>
  <si>
    <t>FRAIS DE LOGISTIQUE AUDIT DE CERTIFIC° FA N°150/Company0834</t>
  </si>
  <si>
    <t>CERTIFICATION INITIALE HACCP+AUDIT DE SURVEILLANCES FA N°153/ Company0834</t>
  </si>
  <si>
    <t>AVOIR CERTIFICATION INITIALE HACCP FA N°152/Company0834</t>
  </si>
  <si>
    <t>FRAIS DE LOGISTIQUE AUDIT DE RENOUV° HACCP FA N°151/Company0941 GLOBAL I/E</t>
  </si>
  <si>
    <t>CERTIFICATION INITIAL HACCP +AUDIT FA N°159/A2S</t>
  </si>
  <si>
    <t>CERTIFICATION INITIAL HACCP +AUDIT FA N°160/Company0082 Company1655</t>
  </si>
  <si>
    <t>CERTIFICATION INITIAL HACCP +AUDIT FA N°161/Company0007</t>
  </si>
  <si>
    <t>PERDIEMS AUDITEUR MISSION Company2610 SA</t>
  </si>
  <si>
    <t>AUDITS A BLANCS HACCP FA N°185 Company2610 SA</t>
  </si>
  <si>
    <t>PERDIEMS Person0577 Person1163 MISSION Company2610 SA /Company1650</t>
  </si>
  <si>
    <t>CERTIFICATION INITIAL HACCP FA N°204  ITC /Company1650</t>
  </si>
  <si>
    <t>FACT D'AVOIR CERTIFICATION INITIAL HACCP FA N°212  ITC /Company1650</t>
  </si>
  <si>
    <t xml:space="preserve"> CERTIFICATION INITIAL HACCP FA N°214  ITC /Company1650</t>
  </si>
  <si>
    <t>CERTIFICATION INITIAL HACCP FA N°205  ITC /Company2610 SA</t>
  </si>
  <si>
    <t>FACT D'AVOIR CERTIFICATION INITIAL HACCP FA N°213  ITC /Company2610 SA</t>
  </si>
  <si>
    <t xml:space="preserve"> CERTIFICATION INITIAL HACCP FA N°215  ITC /Company2610 SA</t>
  </si>
  <si>
    <t>FA N°265 CERTIFICAT° INITIALE HACCP+ AUDIT DE SURVEILLANCE/CSP</t>
  </si>
  <si>
    <t>PRODUIT CONSTATE D'AVCE FA N°265 Company0586 SP</t>
  </si>
  <si>
    <t>HONORAIRES DE Person1009 MISSION PROMO Company0999</t>
  </si>
  <si>
    <t>AUDIT DE SURVEILLANCE 1 FA N°202/PROMO FRUITS BENIN</t>
  </si>
  <si>
    <t>FRAIS ANNEXE LOGISTIQUE FA N°227/PROMO Company0999 BENIN</t>
  </si>
  <si>
    <t>AUDIT DE SURVEILLANCE 1 ISO 22000 FA N°209/Company0977</t>
  </si>
  <si>
    <t>PRODUIT CONSTATE D'AVCE FA N* 209 Company0977</t>
  </si>
  <si>
    <t>PERDIEM DU PERSONNEL MISSION Company0471</t>
  </si>
  <si>
    <t>FA N°003 HONO FORMATION Company0471</t>
  </si>
  <si>
    <t>FORMATION Product0154 22000 FA N°241/Company0471 Company0494</t>
  </si>
  <si>
    <t>FORMATION Product0154 22000 FAVOIR N°249/Company0471 Company0494</t>
  </si>
  <si>
    <t>FORMATION METHODOLOGIE DE RESOLUTION FA N°250/Company0471</t>
  </si>
  <si>
    <t>FORMATION Product0154 22000 PERSON0371°251/Company0471 Company0494</t>
  </si>
  <si>
    <t>HONORAIRES DE Person1007 Person0328 MISSION LES JUS Person1099</t>
  </si>
  <si>
    <t>AUDIT COMPLEMENTAIRE ISO 22000 FA N°219/LES JUS Person1099</t>
  </si>
  <si>
    <t>AUDIT CERT HACCP FA 058 ETS Company0280 DISTRIBUTION ET Company0994 (Company0834)</t>
  </si>
  <si>
    <t>AUDIT DE RENOUVELLEMENT DE CERTIFICATION HACCP/Company0941 GLOBAL Company1322</t>
  </si>
  <si>
    <t>AUDIT DE RENOUV° DE CERTIF° ET DE SURVEIL° HACCP FA N°132/Company0941 Company1083</t>
  </si>
  <si>
    <t>AUDIT DE RENOUV° DE CERTIF° ET DE SURVEIL° FA N°139 AVOIR /Company0941 Company1083</t>
  </si>
  <si>
    <t>PERDIEMS AUDITEUR FORMATION TOT /Company0725</t>
  </si>
  <si>
    <t>PIECE N°84 PEAGE ALLER-RETOUR TIASSALE POUR LA FORMATION TOT</t>
  </si>
  <si>
    <t>PIECE N°94 PEAGE DEPLACEMENT TIASSALE Person0922 M Person0569 Person0268</t>
  </si>
  <si>
    <t>PIECE N°257 PAIEMENT PEAGE FORMATION TOT</t>
  </si>
  <si>
    <t>FRAIS DE FORMATION</t>
  </si>
  <si>
    <t>FA N°0018 REMBOURSEMENT DE FORMATION TOT 1 +TOT 2</t>
  </si>
  <si>
    <t>FA000154 Company0969 /HERBERGEMENT PETIT DEJEUNER</t>
  </si>
  <si>
    <t>FACTURE PROFORMA  Company0969 /HERBERGEMENT PETIT DEJEUNER</t>
  </si>
  <si>
    <t>FOURNITURE DE BUREAU NON STOCKABLE</t>
  </si>
  <si>
    <t>PERSON0371°00073 Company0850/ACHAT DE FOURNITURE DE MATERIELS FORMAT° ToT</t>
  </si>
  <si>
    <t>PIECE N°258 APPEL D'OFFRE PHOTOCOPIE+RELIURE FORMATION TOT</t>
  </si>
  <si>
    <t>FA N°77 FORMATION ToT SESSION DU 9 MAI/Product0090 Product0121</t>
  </si>
  <si>
    <t>FA N°71 FORMATION ToT SESSION DU 9 MAI/Person0833 Person0284</t>
  </si>
  <si>
    <t>FA N°74 FORMATION ToT SESSION DU 9 MAI/Person0834 M.</t>
  </si>
  <si>
    <t>FA N°75 FORMATION ToT SESSION DU 9 MAI/Person0103 Person0502</t>
  </si>
  <si>
    <t>FA N°76 FORMATION ToT SESSION DU 9 MAI/Company0076-3 PARTICIPANTS</t>
  </si>
  <si>
    <t>FORMATION ToT SESSION DU 9 MAI/Company0043 POUR Person1225 Person0570 FN°084/BNA</t>
  </si>
  <si>
    <t>FA N°108 FORMATION TOT Person0575 Person0032</t>
  </si>
  <si>
    <t>FA N°109 FORMATION TOT Person1277 Person0510/Company0602 CI</t>
  </si>
  <si>
    <t>FA N°110 FORMATION TOT Person0721 Person0276</t>
  </si>
  <si>
    <t>FA N°111 FORMATION TOT Person0107 Person0105/ Company0076</t>
  </si>
  <si>
    <t>FA N°112 FORMATION TOT POUR TROIS PARTICIPANTS/ Company0430</t>
  </si>
  <si>
    <t>FORMATION TOT( septembre 2022)FA N°123 AVOIR/ Company0282 WEST CENTRAL AFRI</t>
  </si>
  <si>
    <t>FORMATION TOT( septembre 2022)FA N°124 / Company0282 WEST CENTRAL AFRI</t>
  </si>
  <si>
    <t>FORMATION TOT Person0575 Person0032 FA N°135 AVOIR</t>
  </si>
  <si>
    <t>FORMATION TOT Person0721 Person0276 FA N°136 AVOIR</t>
  </si>
  <si>
    <t>AVOIR A ETABLIR /FORMATION Product0402 Product0121</t>
  </si>
  <si>
    <t>AVOIR A ETABLIR /FORMATION Company2673 COMPANY0693 Company0420 Person0570</t>
  </si>
  <si>
    <t>PERDIEMS Person0556 FORMATION TOT</t>
  </si>
  <si>
    <t>PERDIEMS Person0651 FORMATION TOT</t>
  </si>
  <si>
    <t>CARBURANT, LUBRIFIANT VEHICULES SER</t>
  </si>
  <si>
    <t>FA N°00090 Company0850 FORMATION TOT OCTOBRE 2022</t>
  </si>
  <si>
    <t>FA N°00091 Company0850 FORMATION TOT</t>
  </si>
  <si>
    <t>FACT N°089/BNA, FORMATION ToT SESSION SEPTEMBRE/Company0282</t>
  </si>
  <si>
    <t>FORMATION TOT SEPTEMBRE RA FA N°201/Company0282</t>
  </si>
  <si>
    <t>FACT D'AVOIR FORMATION TOT SEPT FA N°221/Company0282</t>
  </si>
  <si>
    <t xml:space="preserve"> FORMATION TOT SEPT FA N°222/Company0282</t>
  </si>
  <si>
    <t>HONORAIRE Person0286 Person0001 POUR LA FORMATION EN LIGNE Company2058/ISO 9001</t>
  </si>
  <si>
    <t>AUTRES FRAIS BANCAIRES</t>
  </si>
  <si>
    <t>RGLT HONO Person0286/Company1288</t>
  </si>
  <si>
    <t>FA 016 FORMATION LA ISO 9001/Person0577 Person1020</t>
  </si>
  <si>
    <t>FA 015 FORMATION LA ISO 9001/Person0576 Person0360</t>
  </si>
  <si>
    <t>FA N°114 FORMATION ISO 9001 Company1467 Person0181</t>
  </si>
  <si>
    <t>FORMATION ISO 9001 Company1467 Person0180 FA N°138 AVOIR</t>
  </si>
  <si>
    <t>REMBOURSEMENT SOLDE FORMATION ISO 9001 COMPANY0929 Person1012 2020</t>
  </si>
  <si>
    <t>FORMATION ISO 9001 FA N°041/ Person0794</t>
  </si>
  <si>
    <t>FORMATION ISO 9001 FA N°040/ Person0565 Person1195</t>
  </si>
  <si>
    <t>FORMATION ISO 9001 FA N°039/ Person0579 Person0368</t>
  </si>
  <si>
    <t>FORMATION ISO 9001 FA N°038/ Person0038</t>
  </si>
  <si>
    <t>PRODUIT CONSTATER D'AVANCE / FORMATION ISO 9001-BONGO</t>
  </si>
  <si>
    <t>PRODUIT CONSTATER D'AVANCE / FORMATION ISO 9001-</t>
  </si>
  <si>
    <t>PRODUIT CONSTATER D'AVANCE / FORMATION ISO 9001-SAINT CLAIRE Person0556</t>
  </si>
  <si>
    <t>ANNULATION DU REMBOURSEMENT FORMATION ISO 9001/ COMPANY0929</t>
  </si>
  <si>
    <t>AVOIR A ETABLIR FORMATION ISO 9001 FA N°041/ Person0794</t>
  </si>
  <si>
    <t>AVOIR A ETABLIR FORMATION ISO 9001 FA N°040/ Person0565 Person1195</t>
  </si>
  <si>
    <t>AVOIR A ETABLIR FORMATION ISO 9001 FA N°039/ Person0579 Person0368</t>
  </si>
  <si>
    <t>AVOIR A ETABLIR FORMATION ISO 9001 FA N°038/ Person0037 Person0365</t>
  </si>
  <si>
    <t>PRODUIT CONSTATER D'AVANCE / FORMATION ISO 9001-AVOIRV A ETABLIR</t>
  </si>
  <si>
    <t>AVOIR A ETABLIR/ FORMATION ISO 9001</t>
  </si>
  <si>
    <t>AVOIR A ETABLIR /FORMATION ISO 9001-Company1467 Company0483 CONSULTING</t>
  </si>
  <si>
    <t>PIECE N°53 FRAIS DE CARBURANT FORMATION Company2469</t>
  </si>
  <si>
    <t>FA 028 Company0555 LDC 4291</t>
  </si>
  <si>
    <t>FORMATION Company0555 FA N°144/LDC 6417</t>
  </si>
  <si>
    <t>FORMATION Company0555 FA N°147/LDC 6431</t>
  </si>
  <si>
    <t>FORMATION COLLECTIVE SUR LES BONNES PRATIQ FA N°208/Company0555</t>
  </si>
  <si>
    <t>FA N°260 LDC 7084 BNA/Company0555</t>
  </si>
  <si>
    <t>LDC N°4832 COMPLEMENT REMBOURSEM FA N°004 / Company0555</t>
  </si>
  <si>
    <t>PRODUIT CONSTATER D'AVANCE/ FA 260 Company0555</t>
  </si>
  <si>
    <t>LDC N°4832 COMPLEMENT REMBOURSEM FA N°004 / Company0556 A ETABLIR</t>
  </si>
  <si>
    <t>PIECE N°302 FRAIS DE TRANSPORT PROJET LABEL Company0999 QUALITE</t>
  </si>
  <si>
    <t>PIECE N°303 FRAIS DE TRANSPORT LABEL Company0999 QUALITE</t>
  </si>
  <si>
    <t>Frais remise plis et courriers clts</t>
  </si>
  <si>
    <t>PIECE N°296 Company0726 DE COURRIER M Person0569</t>
  </si>
  <si>
    <t>FA 067/SOLDE Company0153 FRUITS ET LEGUMES KORHOGO</t>
  </si>
  <si>
    <t>FA N°263 VALIDATION DU RAPPORT DE L'ETAPE 4/Company2038</t>
  </si>
  <si>
    <t>FA N°264 VALIDATION DU RAPPORT FINAL/Company2038</t>
  </si>
  <si>
    <t>PRODUIT CONSTATE AVCE FA 263 Person0855</t>
  </si>
  <si>
    <t>PRODUIT CONSTATE AVCE FA 264 Person0855</t>
  </si>
  <si>
    <t>AVOIR A ETABLIR FA N°222/ FORMATION Company2674 SEPT</t>
  </si>
  <si>
    <t>FACTURE AVANCE Company2038/CONCEPTION ET PROTECTION DE LA MARQUE</t>
  </si>
  <si>
    <t>FA AVANCE Company2038 /CONCEPTION ET PROTECTION DE LA MARQUE</t>
  </si>
  <si>
    <t>PERDIEMS ENQUETEURS PROJET Company0561 Company0425</t>
  </si>
  <si>
    <t>PERDIEMS ENQUETEURS MISSION PROJET Company0561 CAFE Company0422</t>
  </si>
  <si>
    <t>PERDIEMS DES ENQUETEURS PROJET Company0561 Company0425</t>
  </si>
  <si>
    <t>REMBOURSEMENT CARBURANT MISSION PROJET CCC</t>
  </si>
  <si>
    <t>REMBNOURSEMENT CARBURANT PLV PROJET CCC</t>
  </si>
  <si>
    <t>PIECE N°262 REMBOURSEMENT  PEAGE PROJET CCC</t>
  </si>
  <si>
    <t>REMBOURSEMENT PEAGE MISSION PROJET CCC</t>
  </si>
  <si>
    <t>FA Company1582 Company0561</t>
  </si>
  <si>
    <t>FA N°0000135 PLV VEHICULE LOCATION PROJRT CCC</t>
  </si>
  <si>
    <t>FA N°0000194 PLV PROJET CCC</t>
  </si>
  <si>
    <t>MISSIONS HORS OPERATIONS</t>
  </si>
  <si>
    <t>FA N°002 Company1582 Company0562 frais de mission PROJET CCC</t>
  </si>
  <si>
    <t>FA N°0000056 Company0832 PROJET CCC</t>
  </si>
  <si>
    <t>FACT N°63 Company0831 CI FORMATION ENQUETEURS PROJET PDC2V</t>
  </si>
  <si>
    <t>FA N°67 RESTAURATION HORS SITE PROJET CCC</t>
  </si>
  <si>
    <t>FA N°001 Company1582 Company0562 ACOMPTE HONORAIRES PROJET CCC</t>
  </si>
  <si>
    <t>FACT N°1 HONORAIRES Person1089 Person0691</t>
  </si>
  <si>
    <t>AUTRES FRAIS DE TELECOMMUNICATION</t>
  </si>
  <si>
    <t>PIECE N°273 ACHAT DE Product0082 DE RECHARGE Person0396 PROJET CCC</t>
  </si>
  <si>
    <t>ELABORATION DE DOCUMENTS TECHNIQUE FA N°195/Company0561 Company0425</t>
  </si>
  <si>
    <t>CHQ N°4051392 RGLT PERDIEMS Person0556 FORMATION RPG</t>
  </si>
  <si>
    <t>CHQ N°4051391 RGLT FRAIS D'HEBERGEMENT YOBOUE FORMATION RPG</t>
  </si>
  <si>
    <t>CHQ N°4051392 RGLT FRAIS D'HEBERGEMENT Person0266 MISSION Company3026</t>
  </si>
  <si>
    <t>PIECE N°294 PERDIEMS Person0016 Company0153 Company3026</t>
  </si>
  <si>
    <t>FRAIS D'HEBERGEMENT Person0266 MISSION Company3026 /PDC2V</t>
  </si>
  <si>
    <t>PERDIEMS PROJET CCC</t>
  </si>
  <si>
    <t>MISSION et PERDIEMS DE PRODUCT0315</t>
  </si>
  <si>
    <t>CHQN°4051389 RGLT PERDIEMS  MME Person0578 FORM° RPG</t>
  </si>
  <si>
    <t>CHQ N°4051391 RGLT FRAIS CARBURANT YOBOUE FORMATION RPG</t>
  </si>
  <si>
    <t>CHQ N°4051392 RGLT CARBURANT Person0266 MISSION Company3026</t>
  </si>
  <si>
    <t>CHQ N°4051412 CARBURANT MISSION PDC2V YOBOUE</t>
  </si>
  <si>
    <t>PIECE N°299 FRAIS DE TRANSPORT PDC2V</t>
  </si>
  <si>
    <t>PIECE N°281 DEJEUNER RENCONTRE POUR PROJET PDC2V+ACHAT NEWS</t>
  </si>
  <si>
    <t>FA N°00000018 HEBERGEMENT +RESTAURATION PROJET PDC2V</t>
  </si>
  <si>
    <t>FA N°68 RESTAURATION HORS SITE PROJET PDC2V</t>
  </si>
  <si>
    <t>PRESENTATION DU RAPPORT ET DEMARRAGE DE LA MISSION FA 247/PDC2V</t>
  </si>
  <si>
    <t>PRESENTATION DU RAPPORT ET DEMARRAGE DE LA MISSION FA N°247/ PDC2V</t>
  </si>
  <si>
    <t>TAXES SUR APPOINTEMENTS ET SALAIRES</t>
  </si>
  <si>
    <t>CHARGES PATRONNAL</t>
  </si>
  <si>
    <t>CHARGES PATRONALES IMPOTS FEVRIER 2022</t>
  </si>
  <si>
    <t>CHARGES PATRONALES IMPOTS MARS 2022</t>
  </si>
  <si>
    <t>CHARGES PATRONALES IMPOTS AVRIL 2022</t>
  </si>
  <si>
    <t>CHARGES PATRONALES IMPOTS MAI 2022</t>
  </si>
  <si>
    <t>CHARGES PATRONALES JUIN 2022</t>
  </si>
  <si>
    <t>CHARGES PATRONALES OCTOBRE 2022</t>
  </si>
  <si>
    <t>CHARGES PARTRONALES IMPOTS NOVEMBRE 2022</t>
  </si>
  <si>
    <t>CHARGES PATRONALES IMPOTS DECEMBRE 2022</t>
  </si>
  <si>
    <t>TAXES D'APPRENTISSAGE</t>
  </si>
  <si>
    <t>FORMATION PROFESSIONNELLE CONTINUE</t>
  </si>
  <si>
    <t>CHARGES PATRONALES SEPTEMBRE 2022</t>
  </si>
  <si>
    <t>APPOINTEMENT SALAIRES ET COMMISSION</t>
  </si>
  <si>
    <t>SALAIRE Company0344 JANVIER 2022</t>
  </si>
  <si>
    <t>SALAIRES Company0344 FEVRIER 2022</t>
  </si>
  <si>
    <t>SALAIRE Company0344 MARS 2022</t>
  </si>
  <si>
    <t>SALAIRE Company0344 AVRIL 2022</t>
  </si>
  <si>
    <t>SALAIRES BRUTS MAI 2022</t>
  </si>
  <si>
    <t>SALAIRE Company0344 BNA JUIN 2022</t>
  </si>
  <si>
    <t>SALAIRES Company0344 BNA OCTOBRE 2022</t>
  </si>
  <si>
    <t>SALAIRE Company0344 BNA NOVEMBRE 2022</t>
  </si>
  <si>
    <t>SALAIRE Company0344 BNA DECEMBRE 2022</t>
  </si>
  <si>
    <t>INDEMNITES DE TRANSPORT</t>
  </si>
  <si>
    <t>INDEMNITE DE TRANSPORT JANVIER 2022</t>
  </si>
  <si>
    <t>INDEMNITES DE TRANSPORT FEVRIER 2022</t>
  </si>
  <si>
    <t>INDEMNITES DE TRANSPORT MARS 2022</t>
  </si>
  <si>
    <t>INDEMNITES DE TRANSPORT AVRIL 2022</t>
  </si>
  <si>
    <t>INDEMNITES DE TRANSPORT MAI 2022</t>
  </si>
  <si>
    <t>INDEMNITE DE TRANSPORT BNA JUIN 2022</t>
  </si>
  <si>
    <t>INDEMNITE DE TRANSPORT BNA OCTOBRE 2022</t>
  </si>
  <si>
    <t>INDEMNITE DE TRANSPORT NOVEMBRE 2022</t>
  </si>
  <si>
    <t>INDEMNITE DE TRANSPORT DECEMBRE 2022</t>
  </si>
  <si>
    <t>CHARGE SOCIALE SUR RENUMERAT PERS N</t>
  </si>
  <si>
    <t>CHARGES PATRONNAL Company0530</t>
  </si>
  <si>
    <t>CHARGES PATRONALES Company0530 FEVRIER 2022</t>
  </si>
  <si>
    <t>CHARGES PATRONALES Company0530 MARS 2022</t>
  </si>
  <si>
    <t>CHARGES PATRONALES Company0530 AVRIL 2022</t>
  </si>
  <si>
    <t>CHARGES PATRONALES Company0530 MAI 2022</t>
  </si>
  <si>
    <t>CHARGES SOCIALES BNA JUIN 2022</t>
  </si>
  <si>
    <t>CHARGES SOCIALES OCTOBRE 2022</t>
  </si>
  <si>
    <t>CHARGES PARTRONALES Company0530 NOVEMBRE 2022</t>
  </si>
  <si>
    <t>CHARGES PATRONALES Company0530 DECEMBRE 2022</t>
  </si>
  <si>
    <t>CHARGES PATRONALES JUILLET 2022</t>
  </si>
  <si>
    <t>CHARGES PATRONALES AOUT 2022</t>
  </si>
  <si>
    <t>SALAIRES Company0344 BNA JUILLET 2022</t>
  </si>
  <si>
    <t>SALAIRES Company0344 BNA AOUT 2022</t>
  </si>
  <si>
    <t>SALAIRE Company0344 BNA SEPTEMBRE 2022</t>
  </si>
  <si>
    <t>INDEMNITE DE REPRESENTATION</t>
  </si>
  <si>
    <t>INDEMNITE DE REPRESENTATION DE JANVIER 22</t>
  </si>
  <si>
    <t>INDEMNITES DE REPRESENTATION FEVRIER 2022</t>
  </si>
  <si>
    <t>INDEMNITES DE REPRESENTATION MARS 2022</t>
  </si>
  <si>
    <t>INDEMNITES DE REPRESENTATION AVRIL 2022</t>
  </si>
  <si>
    <t>INDEMNITES DE REPRESENTATION MAI 2022</t>
  </si>
  <si>
    <t>INDEMNITE DE REPRESENTATION JUIN 2022</t>
  </si>
  <si>
    <t>INDEMNITES DE REPRESENTATION BNA JUILLET 2022</t>
  </si>
  <si>
    <t>INDEMNITE DE REPRESENTATION BNA AOUT 2022</t>
  </si>
  <si>
    <t>INDEMNITE DE REPRESENTATION BNA SEPTEMBRE 2022</t>
  </si>
  <si>
    <t>INDEMNITE DE REPRESENTATION BNA OCTOBRE 2022</t>
  </si>
  <si>
    <t>INDEMNITE DE REPRESENTATION NOVEMBRE 2022</t>
  </si>
  <si>
    <t>INDEMNITE DE REPRESENTATION DECEMBRE 2022</t>
  </si>
  <si>
    <t>INDEMNITES DE TRANSPORT BNA JUILLET 2022</t>
  </si>
  <si>
    <t>INDEMNITE DE TRANSPORT BNA AOUT 2022</t>
  </si>
  <si>
    <t>INDEMNITE DE TRANSPORT BNA SEPTEMBRE 2022</t>
  </si>
  <si>
    <t>CHARGES SOCIALES JUILLET 2022</t>
  </si>
  <si>
    <t>CHARGES SOCIALES AOUT 2022</t>
  </si>
  <si>
    <t>CHARGES SOCIALES SEPTEMBRE 2022</t>
  </si>
  <si>
    <t>FRAIS DE FORMATION DU PERSONNEL</t>
  </si>
  <si>
    <t>PIECE N°283 FRAIS DE PARTICIPATION A L'AFTER WORK FISCAL</t>
  </si>
  <si>
    <t>AUTRES REMUNERATIONS DIRECTES</t>
  </si>
  <si>
    <t>PIECE N°68 SALAIRE MARS 2022 Person0277 Person0993</t>
  </si>
  <si>
    <t>PIECE N°298 DEPLACEMENT MR Person0569 PROJET LABEL Company0999 QUALITE CI</t>
  </si>
  <si>
    <t>FA N°2215004171 Company0328 TRANSPORT &amp; LOGISTICS</t>
  </si>
  <si>
    <t>AUTRES FRAIS DE TRANSPORT</t>
  </si>
  <si>
    <t>PIECE N°243 FRET Product0082 DE VISITE ET DEPLIANTS</t>
  </si>
  <si>
    <t>PERSON0371°01 Person1196 Person0033 HONORAIRES JANV 2022</t>
  </si>
  <si>
    <t>FACT Company0421 Person0864 Person0580 Person0386/HONORAIRES ET FRAIS</t>
  </si>
  <si>
    <t>FA N°007 Company0893 HONORAIRE JANVIER 2022</t>
  </si>
  <si>
    <t>FA 14 Company0893 HONORAIRES FEVRIER 2022</t>
  </si>
  <si>
    <t>FA 02 HONORAIRES Person1196 Person0033 FEVRIER 2022</t>
  </si>
  <si>
    <t>FA 000165 Company1665 HONORAIRES DE RECRUTEMENT RA</t>
  </si>
  <si>
    <t>FA 0017 Company0893 HONORAIRES MENSUELS MARS 2022</t>
  </si>
  <si>
    <t>HONORAIRES MENSUEL Person1196 Person0033 MARS 2022</t>
  </si>
  <si>
    <t>HONORAIRE Person1196 Person0033 AVRIL 2022</t>
  </si>
  <si>
    <t>FA N°00000022 Company0893/HONORAIRE AVRIL 2022</t>
  </si>
  <si>
    <t>FA N°05 HONORAIRES  MAI 2022 Person1196 Person0033</t>
  </si>
  <si>
    <t>FA 031 HONORAIRE Company0893 / MAI 2022</t>
  </si>
  <si>
    <t>HONORAIRE Person1103 INTERPRETE Company0715</t>
  </si>
  <si>
    <t>HONORAIRE Person0556 Person0182 MOIS DE JUIN 2022</t>
  </si>
  <si>
    <t>HONORAIRE Person1196 Person0033 MOIS DE JUIN 2022</t>
  </si>
  <si>
    <t>FA N°0000984 HONORAIRES Company0870 INTERNATIONAL CONSULTING CI</t>
  </si>
  <si>
    <t>FA N°07 HONORAIRES DU MOIS DE JUILLET 2022/Person1196 Person0033</t>
  </si>
  <si>
    <t>FA N°05 HONORAIRES JUILLET 2022/Person0556 Person0182</t>
  </si>
  <si>
    <t>FA N°0000042 HONORAIRE Company0893 MOIS DE JUILLET 2022</t>
  </si>
  <si>
    <t>FA N°06 HONORAIRES Person0556 Person0182</t>
  </si>
  <si>
    <t xml:space="preserve"> HONORAIRES Person0982 Person0400 Person0437 MAI-JUIN 2021</t>
  </si>
  <si>
    <t>FA N°08 HONORAIRES Person1196 Person1196 MOIS D'AOUT 2022</t>
  </si>
  <si>
    <t>FA N°0028126 AC Company0561</t>
  </si>
  <si>
    <t>FA N°09 HONORAIRE Person1196 Person1196 MOIS DE SEPTEMBRE 2022</t>
  </si>
  <si>
    <t>HONORAIRES DU MOIS D'OCTOBRE 2022</t>
  </si>
  <si>
    <t>HONORAIRES DU MOIS DE SEPTEMBRE 2022</t>
  </si>
  <si>
    <t>FA N°0028128 HONORAIRES JURIDIQUE DANS LE CADRE DE L'ABONNEMENT</t>
  </si>
  <si>
    <t>FA N°09 HONORAIRES Person0556 NOVEMBRE 2022</t>
  </si>
  <si>
    <t>FA N°11 HONORAIRES Person1196 Person1196 NOVEMBRE 2022</t>
  </si>
  <si>
    <t>FACT N°28137 AC Company0561 HONO DECEMBRE 2022</t>
  </si>
  <si>
    <t>FA N°0028138 HONORAIRES JANVIER AC Company0561</t>
  </si>
  <si>
    <t>FA N°12 HONO DECEMBRE 2022</t>
  </si>
  <si>
    <t>FA N°HONORAIRES DEC 2022 Person0556 Person0182</t>
  </si>
  <si>
    <t>CHQ N°22800844 RGLT PRIME DE STAGE FEVR 2022 Person0024 Person0499 Person0175</t>
  </si>
  <si>
    <t>PRIME DE STAGE AVRIL 2022 Person0838</t>
  </si>
  <si>
    <t>PRIME DE STAGE MAI 2022 Person0838 Person0039</t>
  </si>
  <si>
    <t>CHQ N°2280798 RGLT PRIME DE STAGE JUIN 2022 Person0838 Person0039</t>
  </si>
  <si>
    <t>CHQ N°AE7463834 PRIME DE STAGE JUILLET 2022 Person0838 Person0039</t>
  </si>
  <si>
    <t>CHQ N°3583195 PRIME DE STAGE Person0838 Person0039 AOUT 2022</t>
  </si>
  <si>
    <t>CHQ N°3583219 PRIME DE STAGE Person0838 Person0039 SEPTEMBRE 2022</t>
  </si>
  <si>
    <t>ENTRETIEN ET REPARATION/ BIEN IMMOB</t>
  </si>
  <si>
    <t>FA N°578212 Company1691 Company0997/ENTRETIEN DES SPLITS+GAZ</t>
  </si>
  <si>
    <t>AUTRES ENTRETIENS ET REPARATIONS</t>
  </si>
  <si>
    <t>PIECE N°40 REPARATION ROBINET /Person0362 PLUS</t>
  </si>
  <si>
    <t>FA T2022R42500000668 COMPANY0242 REPARATION ORDINATEUR</t>
  </si>
  <si>
    <t>PIECE N°110 LAVAGE DE RIDEAUX BUREAU DG</t>
  </si>
  <si>
    <t>FRAIS DE TELEPHONE</t>
  </si>
  <si>
    <t>FA N°H001015448 Product0232 CI DOTATION APPEL FEV 2022</t>
  </si>
  <si>
    <t>FA H001016713 Product0232 CI DOTATION APPEL MARS 2022</t>
  </si>
  <si>
    <t>FA F001017989 DOTATION APPEL Product0232 CI AVRIL 2022</t>
  </si>
  <si>
    <t>FAH001028082 Product0232 CI DOTATION APPEL MAI 2022</t>
  </si>
  <si>
    <t>PIECE N°85 RECHARGE Person0556 Person0182</t>
  </si>
  <si>
    <t>FAH001029347 Product0232 CI DOTATION APPEL JUIN 2022</t>
  </si>
  <si>
    <t>FA H001030622 Product0232 AFRICA DOTATION DU MOIS DE JUILLET 2022</t>
  </si>
  <si>
    <t>FA H001031802 Product0232 AFRICA DOTATION DU MOIS D'AOUT 2022</t>
  </si>
  <si>
    <t>CHQ N°3586749 RGLT ABONNEMENT TELEPHONE FIXE BNA</t>
  </si>
  <si>
    <t>FA N°H001035321 Product0232 AFRICA DOTATION MOIS DE NOVEMBRE 2022</t>
  </si>
  <si>
    <t>FA N°H0010032975  DOTATION  DU MOIS D'OCTOBRE 2022</t>
  </si>
  <si>
    <t>FA N°H0010034141 Product0232 CI DOTATION DE SEPTEMBRE 2022</t>
  </si>
  <si>
    <t>FA N°H001036489 Product0232 AFRICA</t>
  </si>
  <si>
    <t>FA N°H001037662 Product0232 AFRICA DOTATION JANVIER 2023</t>
  </si>
  <si>
    <t>FA N°0006446SPCA ACHAT DE CARTES DE RECHARGE DEC 2022</t>
  </si>
  <si>
    <t>PIECE N°319 ACHAT DE PUCES Person0361 Person0696</t>
  </si>
  <si>
    <t>REGLEMENT WIFI DG</t>
  </si>
  <si>
    <t>FA N°0018105 Company2476 ACHAT DE RECHARGE TELEPHONIQUE ET INTERNET</t>
  </si>
  <si>
    <t>PIECE N°15 RGLT WIFI DG</t>
  </si>
  <si>
    <t>FA 0023945 Company2476/ACHAT DE CARTES DE  RECHARGE</t>
  </si>
  <si>
    <t>PIECE N°42 RGLT WIFI DG</t>
  </si>
  <si>
    <t>PIECE N°59 RGLT INTERNET DG</t>
  </si>
  <si>
    <t>FA 0024324 Company2476 /ACHAT RECHARGES INTERNET ET TELEPHONE</t>
  </si>
  <si>
    <t>FA N°0021206 Company2476 CI /ACHAT DE Product0082 DE RECHARGES</t>
  </si>
  <si>
    <t>PIECE N°87 ACHAT DE WIFI DE OAK</t>
  </si>
  <si>
    <t>FA N°0024092 Company2476 COTE D'IVOIRE / achat de cartes de recharges</t>
  </si>
  <si>
    <t>PIECE N°131 REMBOURSEMENT WIFI ET DEPENSES MISSION BENIN MME Person0578</t>
  </si>
  <si>
    <t>CHQ N°228219 RGLT ORANGE CI /WIFI DG</t>
  </si>
  <si>
    <t>FA N°0019260 Company2476/ achat de cartes de recharge</t>
  </si>
  <si>
    <t>CHQ N°7463924 RGLT ABONNEMENT Product0012 ORANGE CI DG</t>
  </si>
  <si>
    <t>FA N°0019107 Company2476 COTE D'IVOIRE/ achat de cartes de recharge</t>
  </si>
  <si>
    <t>PIECE N°191 TRAVAUX SUR LA LIGNE DE LA DIRECTRICE FIXE</t>
  </si>
  <si>
    <t>CHQ N°3586710 ORANGE COTE DIVOIRE/ WIFI DG</t>
  </si>
  <si>
    <t>FA N°0013048 Company2476 COTE D'IVOIRE</t>
  </si>
  <si>
    <t>FA N°INV 165684510 ZOOM (149.90$)</t>
  </si>
  <si>
    <t>CHQ N°3586750 RGLT ABONNEMENT WIFI DG /OCTOBRE 2022</t>
  </si>
  <si>
    <t>FA N°0012638 Company2476 OCTOBRE 2022 ACHAT DE Product0082 RECHARGE</t>
  </si>
  <si>
    <t>CHQ N°3583229 RECHARGEMENT WIFI DG NOVEMBRE 2022</t>
  </si>
  <si>
    <t>PIECE N°275 ACHAT D'UN TELEPHONE PORTABLE+PUCE</t>
  </si>
  <si>
    <t>PAIEMENT FACTURE Company1446 CONSULTING</t>
  </si>
  <si>
    <t>FA N°0001481 Company2476 NOVEMBRE 2022</t>
  </si>
  <si>
    <t>CHQN°4055100 RGLT ABONNEMENT WIFI DG</t>
  </si>
  <si>
    <t>Assurances responsablité du product</t>
  </si>
  <si>
    <t>FA N°941 Company1898 ASSURANCE /RENOUV ACCIDENT GROUPE</t>
  </si>
  <si>
    <t>FA N° 39701232100463T Company1898 ASSURANCE PRODUCTION SANTE Product0230</t>
  </si>
  <si>
    <t>AUTRES PRIMES D'ASSUR LIEES AU PERS</t>
  </si>
  <si>
    <t>FA N°39701192000332 INDIVIDUELLE ACCIDENT GROUPE</t>
  </si>
  <si>
    <t>FRAIS ASSURANCES</t>
  </si>
  <si>
    <t>FA045117-2022 289793 Company2319 ASSURANCE /ASSURANCE VOYAGE DG</t>
  </si>
  <si>
    <t>FA N°104 FORMATION PROFESSIONNELLE DE MANAGEMENT</t>
  </si>
  <si>
    <t>ASSURANCE ET ORGANISME DE SANTE</t>
  </si>
  <si>
    <t>FA N°1184 Company1898 ASSURANCE /ASSURANCE MALADIE</t>
  </si>
  <si>
    <t>FA N°937 Company1898 ASSURANCE /ASSURANCE MALADIE DG</t>
  </si>
  <si>
    <t>FA0000132 CBM VOYAGES MME Person0578 MISSION AU BENIN</t>
  </si>
  <si>
    <t>PUBLICITE PUBLICATIONS RELATIONS PU</t>
  </si>
  <si>
    <t>FA N°0009862 Company1704 COUVERTURE TELE  PRESSE ECRITE</t>
  </si>
  <si>
    <t>CATALOGUE IMPRIME PUBLICITAIRE</t>
  </si>
  <si>
    <t>FA N°172044 LUX Company1531 Company2075 REUNION ANNUELLE BNA</t>
  </si>
  <si>
    <t>FA N°0389906  COUVERTURE ET AUTRES</t>
  </si>
  <si>
    <t>CADEAUX A LA CLIENTELE</t>
  </si>
  <si>
    <t>FA N°005169 Company3023/ACHAT BON CADEAUX</t>
  </si>
  <si>
    <t>PIECE N° CADEAUX DIVERS</t>
  </si>
  <si>
    <t>PIECE N°76 Company1731 / ACHAT PANIERS MUSULMANS</t>
  </si>
  <si>
    <t>PIECE N°97 ACHAT CADEAUX PARTENAIRES BENIN</t>
  </si>
  <si>
    <t>CHQ N°746388 RGLT PERDIEMS MME Person0578</t>
  </si>
  <si>
    <t>PIECE N°140 ACHAT Product0082 VISA DG</t>
  </si>
  <si>
    <t>DONS</t>
  </si>
  <si>
    <t>PIECE N°21 ACHAT PAGNE Company1403</t>
  </si>
  <si>
    <t>PIECE N°17 DON FIN D'ANNEE AUX GARDIENS</t>
  </si>
  <si>
    <t>PIECE N°32 CONFECTION PANIER ACHAT Company0970  DE DEMANDE DE MESSE</t>
  </si>
  <si>
    <t>DOCUMENTATION GENERALE</t>
  </si>
  <si>
    <t>PIECE N°57 ATTESTATION DE NON FALLITE</t>
  </si>
  <si>
    <t>PIECE N°66 RETRAIT DE PIECES DU VEHICULE+CONSTAT+PC Person0016</t>
  </si>
  <si>
    <t>PIECE N°70 APPEL D'OFFRE BENIN(FRAIS CASIER JUDICIAIRE+EXTRAIT DE NAI</t>
  </si>
  <si>
    <t>PIECE N°42 RETRAIT DU PC Person0796 Person0016</t>
  </si>
  <si>
    <t>CONTRENVENTION Company1633 DE TCHVILLE CHANGAN MAUVAIS STATIONNEMENT</t>
  </si>
  <si>
    <t>PIECE N° 129 LEGALISATION DE DOCUMENT POUR LA DIRECTRICE</t>
  </si>
  <si>
    <t>PIECE N°214 Company0726 DE DOSSIERS A LA Company0481 DE COMMERCE ET Company1328</t>
  </si>
  <si>
    <t>DOCUMENTATION TECHNIQUE</t>
  </si>
  <si>
    <t>FA CHAIRE Company2813/ACHAT LIVRE</t>
  </si>
  <si>
    <t>FA N°001655 CONTRAT D'ACCOMPAGNEMENT Company0549</t>
  </si>
  <si>
    <t>COTISATION</t>
  </si>
  <si>
    <t>NOTE DE DEBIT N°AQ60/APPEL A COTISATION 2022</t>
  </si>
  <si>
    <t>Company0124/NGB/ DE 3514 Company0146 DES PROF° DE LA QUALITE  COTISATION</t>
  </si>
  <si>
    <t>AUTRES TAXES SUR VEHICULES</t>
  </si>
  <si>
    <t>PIECE N°246 PAIEMENT CONTRAVENTION VEHICULE</t>
  </si>
  <si>
    <t>PIECE N°248 STATIONNEMENT AEROPORT Person0016</t>
  </si>
  <si>
    <t>FOURNITURES DIV/KIT PARTICIP</t>
  </si>
  <si>
    <t>PIECE N°124 ACHAT PAPIER HYGIENIQUE</t>
  </si>
  <si>
    <t>PIECE N°99 ACHAT CHEMISE A RABAT</t>
  </si>
  <si>
    <t>FA N°0168015 Company1075 COMMUNICATION/IMPRESSION DE RAPPORT Company2038</t>
  </si>
  <si>
    <t>FA 030  Company0893 /ACHAT KAKEMONO GROS PERSON0130 ET CERTIFICAT</t>
  </si>
  <si>
    <t>FA N°0000041 Company0893</t>
  </si>
  <si>
    <t>PIECE N°277 ACHAT DE CARTONS</t>
  </si>
  <si>
    <t>ACHATS DE PETITS MATERIELS ET OUTIL</t>
  </si>
  <si>
    <t>FA N°00080 Company0850 / achat de souris sans fil</t>
  </si>
  <si>
    <t>PIECE N°156 ACHAT PINCEAUX POUR NETTOYER LES VITRES /DG</t>
  </si>
  <si>
    <t>FA N°00087 Company0850 CONFECTION CACHETS</t>
  </si>
  <si>
    <t>FA N°006 CONFECTION DE CACHET/Company0850</t>
  </si>
  <si>
    <t>PIECE N°294 PEAGE Person0016 Company0153 Company3026</t>
  </si>
  <si>
    <t>AUTRES FRAIS DE TRANSPORT ADMINIST</t>
  </si>
  <si>
    <t>RECHARGEMENT DE BADGE DG PEAGE Company1195</t>
  </si>
  <si>
    <t>PIECE N°69 PEAGE Person0016</t>
  </si>
  <si>
    <t>PIECE N°42 DEPLACEMENT CASIER+EXTRAIT DG</t>
  </si>
  <si>
    <t>PIECE N°105 Person0922 Person0016/PEAGE+STATIONNEMENT PARCKING</t>
  </si>
  <si>
    <t>PIECE N°135 RECHARGEMENT Product0082 PEAGE DG+ TROIS BOITIERS PEAGES</t>
  </si>
  <si>
    <t>PIECE N°188 RECHARGEMENT Product0082 PEAGE Company1195 3 VEHICULES BNA</t>
  </si>
  <si>
    <t>PIECE N°238 PEAGE DG</t>
  </si>
  <si>
    <t>PIECE N°247 RECHARGEMENT Product0082 PEAGE DG</t>
  </si>
  <si>
    <t>PIECE N°288 TRANSPORT Person1013 Company0153 DE PRESENTATION CCI</t>
  </si>
  <si>
    <t>FRAIS DE RESTAURATION</t>
  </si>
  <si>
    <t>FA N°01406 Company2032 CLUB HOTEL</t>
  </si>
  <si>
    <t>DEJEUNER D'AFFAIRE DG</t>
  </si>
  <si>
    <t>PIECE N°106 Person0922 Person0016/FRAIS DE RESTAURATION</t>
  </si>
  <si>
    <t>NATURE Company2315 ACHAT DE THE</t>
  </si>
  <si>
    <t>PIECE N°11 ACHAT ARACHIDE EAU ET CHIPS</t>
  </si>
  <si>
    <t>PIECE N°18 ACHAT DE CROISSANT</t>
  </si>
  <si>
    <t>PIECE N°39 Company0542 AUREVOIR Person0687</t>
  </si>
  <si>
    <t>PIECE N° ACHATS DIVERS Company2117</t>
  </si>
  <si>
    <t>PIECE N°43 DIVERS ACHATS</t>
  </si>
  <si>
    <t>PIECE N°45 CELEBRATION Company1403 2022</t>
  </si>
  <si>
    <t>PIECE N°49 ACHAT CAFE Product0254</t>
  </si>
  <si>
    <t>PIECE N°48 ACHAT DE BOUTEILLE D'ARACHIDE</t>
  </si>
  <si>
    <t>PIECE N°56 ACHAT DE THE DG</t>
  </si>
  <si>
    <t>ACHAT D'ARACHIDE DG</t>
  </si>
  <si>
    <t>ACHAT CAFE EXPRESSO DG</t>
  </si>
  <si>
    <t>ACHAT CAFE DG</t>
  </si>
  <si>
    <t>ACHAT AMUSE BOUCHE RENCONTRE RA</t>
  </si>
  <si>
    <t>PIECE N°91 ACHAT D'EAU DG</t>
  </si>
  <si>
    <t>PIECE N°93 ACHAT DE BOUTEILLE DE CACAHUETTE+ACHAT DE PACK D'EAU</t>
  </si>
  <si>
    <t>PIECE N°112 ACHAT PACK D'EAU DG</t>
  </si>
  <si>
    <t>PIECE N°113 ACHAT CAFE DG</t>
  </si>
  <si>
    <t>PIECE N°132 NOURRITURE AUDIT INTERNE Company0715 Person0575 Person1238 +Person0016</t>
  </si>
  <si>
    <t>PIECE N°134 ACHAT CINQ PACKS D'EAU DG</t>
  </si>
  <si>
    <t>PIECE N°164 DEJEUNER RESTAURANT Company1645 Company0768</t>
  </si>
  <si>
    <t>PIECE N°174 DEJEUNER REUNION DU 10/08/2022</t>
  </si>
  <si>
    <t>PIECE N°172 ACHAT DE SUCRE BNA</t>
  </si>
  <si>
    <t>PIECE N°175 DEJEUNER REUNION DU 11/08/2022</t>
  </si>
  <si>
    <t>PIECE N°176 ACHAT DE CROISSANT POUR REUNION SEMESTRIELLEDE BNA</t>
  </si>
  <si>
    <t>PIECE N°186 ACHAT CAPSULES Product0254+PACK D'EAU DG</t>
  </si>
  <si>
    <t>PIECE N°203 ACHAT PACK D'EAU</t>
  </si>
  <si>
    <t>PIECE N°210 ACHAT DE THE DG</t>
  </si>
  <si>
    <t>PIECE N°224 ACHAT DE DEJEUNER POUR LA REUNION DU 07/09/2022</t>
  </si>
  <si>
    <t>PERDIEMS JETONS DE PRESENCE DES MEMBRES DU COMITE DE MR Person0569</t>
  </si>
  <si>
    <t>FA N°00015 Company2961 Company0036 PROJET Company2038</t>
  </si>
  <si>
    <t>PIECE N°239 SEANCE DE DISCUSSION AVEC LEXPERT IMMOBILIER</t>
  </si>
  <si>
    <t>PIECE N°268 DEJEUNER AFFAIRE JURIDIQUE AVOCAT+DG</t>
  </si>
  <si>
    <t>PIECE N°269 PETIT DEJEUNER RENCONTRE GESTIONNAIRE + DG</t>
  </si>
  <si>
    <t>FA N°177 Company0476 SALLE COMPANY1803+PAUSE CAFE</t>
  </si>
  <si>
    <t>FA N°70 RESTAURATION REUNION BILAN</t>
  </si>
  <si>
    <t>FRAIS BANCAIRE SUR LES FACTURES Company0983</t>
  </si>
  <si>
    <t>FRAIS Company1969+ TAXE AOUT 2021</t>
  </si>
  <si>
    <t>COMMISSION DE MOUVEMENT +TAXE</t>
  </si>
  <si>
    <t>COMMISSION -AUTRES +TAXE</t>
  </si>
  <si>
    <t>DROIT DE TIMBRE</t>
  </si>
  <si>
    <t>FRAIS BANCAIRE Company0830</t>
  </si>
  <si>
    <t>FRAIS BANCAIRE SUR GRATIFICATION Person0027 Person0177</t>
  </si>
  <si>
    <t>GRATIFICATION Person0027 Person0177 2021/FRAIS BANCAIRE</t>
  </si>
  <si>
    <t>FRAIS BANCAIRE/ GRATIFICATION Person0830 Person0578 DG 2021</t>
  </si>
  <si>
    <t>FRAIS BANCAIRE/GRATIFICATION Person0830 Person0578 DG 2021</t>
  </si>
  <si>
    <t>FRAIS BANCAIRE/GRATIFICATION Person0016 Person0801 2021</t>
  </si>
  <si>
    <t>COMMISSION MOUVEMENT SUR COMPTE</t>
  </si>
  <si>
    <t>FRAIS BANCAIRE/SALAIRE  Person0027 Person0177 JANV 2022</t>
  </si>
  <si>
    <t>FRAIS BANCAIRE/SALAIRE Person0027 Person0177 JANV 2022</t>
  </si>
  <si>
    <t>FRAIS BANCAIRE/SALAIRE Person0016 Person0801 JANV 2022</t>
  </si>
  <si>
    <t>FRAIS BANCAIRE/SALAIRE Person0984 JANV 2022</t>
  </si>
  <si>
    <t>FRAIS BANCAIRE SUR SALAIRE JANV 2022</t>
  </si>
  <si>
    <t>FRAIS SUR SALAIRE</t>
  </si>
  <si>
    <t>COMMISSION DE MOUVEMENT SUR COMPTE</t>
  </si>
  <si>
    <t>FRAIS DE GESTION SUR LE COMPTE COURANT</t>
  </si>
  <si>
    <t>TAXE +COMMISSION</t>
  </si>
  <si>
    <t>TAXE +COMMISSION DE MOUVEMENT</t>
  </si>
  <si>
    <t>FRAIS BANCAIRE SUR HONORAIRES DE Person1009</t>
  </si>
  <si>
    <t>TAXE +COMMISSION -AUTRES</t>
  </si>
  <si>
    <t>COMMISSION DE MOUVEMENT ET TAXE</t>
  </si>
  <si>
    <t>COMMISSION -AUTRES ET TAXE</t>
  </si>
  <si>
    <t>FRAIS BANCAIRE SUR HONORAIRES Person0556 Person0182 AVRIL 2022</t>
  </si>
  <si>
    <t>FRAIS BANCAIRE SUR HONORAIRES JUIN 2022</t>
  </si>
  <si>
    <t>FRAISOMNI+TAXE SEPTEMBRE 2021</t>
  </si>
  <si>
    <t>FRAIS DU CORRESPONDANT</t>
  </si>
  <si>
    <t>FRAIS Company1969+TAXE</t>
  </si>
  <si>
    <t>COMMISSION DE MOUVEMENT+TAXE</t>
  </si>
  <si>
    <t>COMMISSION -AUTRES+TAXE</t>
  </si>
  <si>
    <t>REGUL FRAIS ET TAXE Company1969 JANV 2022</t>
  </si>
  <si>
    <t>COMMISION DE MOUVEMENT+TAXE</t>
  </si>
  <si>
    <t>COMMISION DE PLUS HAUT DEBIT+TAXE</t>
  </si>
  <si>
    <t>interets sur decouvert+taxe</t>
  </si>
  <si>
    <t>COMMISSION-AUTRES +TAXE</t>
  </si>
  <si>
    <t>FRAIS SUR SALAIRE Person0556</t>
  </si>
  <si>
    <t>FRAIS SUR HONO</t>
  </si>
  <si>
    <t>HONO SUR SALAIRE</t>
  </si>
  <si>
    <t>FRAIS SUR SALAIRE DEC 2022</t>
  </si>
  <si>
    <t>FRAIS SUR HONO DEC 2022</t>
  </si>
  <si>
    <t>FRAIS Company1969 ET TAXE</t>
  </si>
  <si>
    <t>COMMISSION DE MOUVEMENT SUR COMPTE ET TAXE</t>
  </si>
  <si>
    <t>COMMISSION-AUTRES ET TAXE</t>
  </si>
  <si>
    <t>PIECE N°95 DON BNA MME Person0571 (ACCOUCHEMENT)</t>
  </si>
  <si>
    <t>PIECE N°117 Person1194 FAMILLE Person0857 Person0189</t>
  </si>
  <si>
    <t>CHQ N°3583180 DON Person0016</t>
  </si>
  <si>
    <t>PIECE N°223 DON NAISSANCE BEBE Person0574</t>
  </si>
  <si>
    <t>PIECE N°221 DON NAISSANCE BEBE Person0579+ COMPANY0929</t>
  </si>
  <si>
    <t>CHQ N°4055110 ACHAT DE Product0082 VIVO DON AU DIRECTEUR DE L'Company1328</t>
  </si>
  <si>
    <t>CHEQUE 2282031 REJET INTER Company1642</t>
  </si>
  <si>
    <t>Autres chges diverses/exos anter.</t>
  </si>
  <si>
    <t>CHQ N°2282196 RGLT FRAIS DUS POUR ECHEANCE Company0070 CI</t>
  </si>
  <si>
    <t>CESSION DE BIEN FA N°242/PICCOLA BEACH</t>
  </si>
  <si>
    <t>ANNULATION DE L'ECRITURE FA 242 CESSION DE BIEN</t>
  </si>
  <si>
    <t>Pièces de rechanges entretien véh.</t>
  </si>
  <si>
    <t>FA N°701659 Company0423</t>
  </si>
  <si>
    <t>CHQ N°2282044 RGLT VIVO ENERGY DOTAT° CARBURANT DG</t>
  </si>
  <si>
    <t>CHQ N°2282075 RGLT VIVO ENERGY DOTATION Product0082 CARBURANT VHC DG</t>
  </si>
  <si>
    <t>CHQ N°2282155 RGLT VIVO ENERGY CI CARBURANT DG</t>
  </si>
  <si>
    <t>CHQ N°2282183 RGLT VIVO ENERGY DOTATION CARBURANT DG</t>
  </si>
  <si>
    <t>CHQ N°2282232 RGLT VIVO ENERGY DG JUIN 2022</t>
  </si>
  <si>
    <t>CHQ N°7463830 RGLT VIVO ENERGY DG/MOID D'AOUT 2022</t>
  </si>
  <si>
    <t>CHQ N°3586717 RCHARGE VIVO ENERGY DG MOIS SEPTEMBRE 2022</t>
  </si>
  <si>
    <t>CHQ N°3586752 RECHARGE VIVO ENERGY DG MOIS D'OCTOBRE 2022</t>
  </si>
  <si>
    <t>CHQ N°3583231 RECHARGEMENT VIVO Company0862 DG NOVEMBRE 2022</t>
  </si>
  <si>
    <t>CHQN°4051389 RGLT CARBURANT MME Person0578 FORM° RPG</t>
  </si>
  <si>
    <t>CHQ N°4055099 RGLT RECHARGEMENT CARBURANT DG DECEMBRE 2022</t>
  </si>
  <si>
    <t>REGLT CHEQUE 2282023 FA VIVO Company0860</t>
  </si>
  <si>
    <t>REGLT CHEQUE 2282022 FA VIVO Company0860</t>
  </si>
  <si>
    <t>MAINTENANCE</t>
  </si>
  <si>
    <t>FA N°7335168 Company0036 AUTO</t>
  </si>
  <si>
    <t>PIECE N°44 LAVAGE AUTO Product0222 VHC DG</t>
  </si>
  <si>
    <t>FA 00582 TOP AUTO RMPLACEMT BATTERIE VHC DG</t>
  </si>
  <si>
    <t>FA 01526 TOP AUTO REPARATION DE LA Product0222</t>
  </si>
  <si>
    <t>Company2389 ACHAT DE L'EAU DE REFROIDISSEMENT 2L</t>
  </si>
  <si>
    <t>PIECE N°165 LAVAGE DU VEHICULE DG</t>
  </si>
  <si>
    <t>PIECE N°178 LAVAGE VEHICULE DG</t>
  </si>
  <si>
    <t>PIECE N°185 LIQUIDE DE REFROIDISSEMENT POUR 4 VEHICULES</t>
  </si>
  <si>
    <t>PIECE N°195 LAVAGE DU VEHICULE DG</t>
  </si>
  <si>
    <t>PIECE N°209 LAVAGE DU VEHICULE DG</t>
  </si>
  <si>
    <t>PIECE N°217 LAVAGE DU VEHICULE Product0222</t>
  </si>
  <si>
    <t>PIECE N°225 MUTATION VEHICULE DG</t>
  </si>
  <si>
    <t>PIECE N°244 LAVAGE DE LA Product0222 DG</t>
  </si>
  <si>
    <t>PIECE N°272 LAVAGE VEHICULE Product0222</t>
  </si>
  <si>
    <t>FA N°Company0040 ENTRETIEN VEHICULE DG</t>
  </si>
  <si>
    <t>PIECE N°323 ACHAT DE PNEU DG</t>
  </si>
  <si>
    <t>ASSURANCES MATERIEL DE TRANSPORT</t>
  </si>
  <si>
    <t>FACT N°2535 Company2319 CI ASSURANCE AUTOS BNA 2022</t>
  </si>
  <si>
    <t>PERSON0371°02 HONORAIRE AVRIL 2022 Person0556 Person0182</t>
  </si>
  <si>
    <t>FA N°03 HONORAIRES  MAI 2022 Person0556 Person0182</t>
  </si>
  <si>
    <t>FA N°172 GRANT Company2671/HONORAIRES CONTROLE FISCAL EXO 2018/2019</t>
  </si>
  <si>
    <t>FA N°168 GRANT Company2671/HONO REVUE FISCALE et JURIDIQ EXOS 2021/2022</t>
  </si>
  <si>
    <t>FA N°370 HONO MISSION DE REVUE JURIDIQUE ET FISCALE</t>
  </si>
  <si>
    <t>PROVISIONS HONORAIRES DU CAC 2022</t>
  </si>
  <si>
    <t>PRIME DE STAGE AVRIL 2022 Person0393 Person0025 Person0695</t>
  </si>
  <si>
    <t>PRIME DE STAGE MAI 2022 Person0393 Person0025 Person0695</t>
  </si>
  <si>
    <t>CHQ N°2280800 RGLT PRIME DE STAGE JUIN 2022 Person0393 Person0285</t>
  </si>
  <si>
    <t>CHQ N°AE7463837 PRIME DE STAGE JUILLET 2022 Person0393 Person0025</t>
  </si>
  <si>
    <t>CHQ N°3583198 PRIME DE STAGE Person0393 Person0026 AOUT 2022</t>
  </si>
  <si>
    <t>CHQ N°3583222 PRIME DE STAGE Person0393 Person0026 SEPTEMBRE 2022</t>
  </si>
  <si>
    <t>PIECE N°41 ACHAT TELECOMMANDE CLIMATISEUR/Company1691 Company0997</t>
  </si>
  <si>
    <t>PIECE N°183 REPARATION DAME WC</t>
  </si>
  <si>
    <t>FA N°00002574 Company2476 Product0082 DE RECHARGE Person0396 &amp; Person0393</t>
  </si>
  <si>
    <t>PIECE N°155 TRANSPORT MME Person0571 FORMATION Company3026</t>
  </si>
  <si>
    <t>FA N°2690 Company1898 ASSURANCE</t>
  </si>
  <si>
    <t>FA N°3970 Company1898 ASSURANCE</t>
  </si>
  <si>
    <t>FA N°121166 Company0481 DE COMMERCE/FORMATION PROF° MME Person0571</t>
  </si>
  <si>
    <t>REçU N°06 Person1092 Person0003 ACHAT 01 PQ DE RAME A4</t>
  </si>
  <si>
    <t>RECU N°10 Person1092 Person0003 ACHAT RAME A4</t>
  </si>
  <si>
    <t>PIECE N°19 RELIURE</t>
  </si>
  <si>
    <t>PIECE N°137 IMPRESSION DE BILAN +COPIE COULEUR ET NOIR-BLANC/COUVERTU</t>
  </si>
  <si>
    <t>FA N°000297 Company1076 /CONFECTION DE Product0082 SIMPLE AS 1ere COMMANDE</t>
  </si>
  <si>
    <t>FA N°000296 Company1076 /CONFECTION DE Product0082 SIMPLE AS 2eme COMMANDE</t>
  </si>
  <si>
    <t>FA N°0746399 CARTOUCHES PRO</t>
  </si>
  <si>
    <t>PIECE N°286 ACHAT Person0690 PRATIQUE DE FISCALE DES Company0880</t>
  </si>
  <si>
    <t>FA N°0067 ACHAT D'ENCRE EASY TECH</t>
  </si>
  <si>
    <t>FRAIS DE TRANSPORT COURSIER</t>
  </si>
  <si>
    <t>PIECE N°20 FRAIS DE TRANSPORT</t>
  </si>
  <si>
    <t>PIECE N°138 TRANSPORT Company0726 DE BILAN AUX IMPOTS</t>
  </si>
  <si>
    <t>FRAIS BANCAIRE/GRATIFICATION Person1141 Person0654 Person0179 2021</t>
  </si>
  <si>
    <t>FRAIS SUR REJET COMPENSE</t>
  </si>
  <si>
    <t>FA N°0168044 IMPRESSION BACHE+KAKEMMO/Company1075 COMMUNICATION</t>
  </si>
  <si>
    <t>FA N°00281 HONORAIRE Company1665/RESPONSABLE  QUALITE+CHARGE DE COMMUNICATION</t>
  </si>
  <si>
    <t>FA N°04 HONORAIRES COURSIER INTERIMAIRE</t>
  </si>
  <si>
    <t>HONORAIRES Person0651 Person0499 COURSIER INTERIMAIRE</t>
  </si>
  <si>
    <t>FA N°05 HONORAIRES Person0651 Person0499 COURSIER INTERIMAIRE</t>
  </si>
  <si>
    <t>PRIME DE STAGE AVRIL 2022 Person0575 Person0041</t>
  </si>
  <si>
    <t>PRIME DE STAGE MAI 2022 Person0575 Person0041</t>
  </si>
  <si>
    <t>CHQ N°2280799 RGLT PRIME DE STAGE JUIN 2022 Person0575 Person0041</t>
  </si>
  <si>
    <t>CHQ N°AE7463835 PRIME DE STAGE JUILLET 2022 Person0575 Person0041</t>
  </si>
  <si>
    <t>CHQ N°3583197 PRIME DE STAGE Person0575 Person0041 AOUT 2022</t>
  </si>
  <si>
    <t>PRODUITS D ENTRETIEN</t>
  </si>
  <si>
    <t>PIECE N°316 ACHAT DU MOIS DE DECEMBRE 2022</t>
  </si>
  <si>
    <t>FA 0216475 Company0835 CONFECTION CLES A POINT</t>
  </si>
  <si>
    <t>PIECE N°109 REPARATION PORTE TOILETTE HOMME</t>
  </si>
  <si>
    <t>PIECE N°111 REPARATION TOILETTES HOMME</t>
  </si>
  <si>
    <t>LAVAGE ET EPASSAGE DES NAPPLES DE TABLE</t>
  </si>
  <si>
    <t>FA N°696358 Company1091/ PRESTATION ANNUEL 2022</t>
  </si>
  <si>
    <t>PIECE N°108 ACHAT CREDIT D'APPEL STAGIAIRE LOGISTIQUE</t>
  </si>
  <si>
    <t>PIECE N°187 ACHAT DE Product0082 DE RECHARGE Person0041</t>
  </si>
  <si>
    <t>FA185637 Product0232 CI ACHAT DE PUCE MME Person0189</t>
  </si>
  <si>
    <t>PIECE N°255 ACHAT DE ROUTEUR( BOX FIBRE)</t>
  </si>
  <si>
    <t>PIECE N°256 Company2476 ACHAT DE Product0082 DE RECHARGE Person0651</t>
  </si>
  <si>
    <t>FACTURE N°0045938/2021 Company2036 TOP Company0351 PIECE N°06008</t>
  </si>
  <si>
    <t>PIECE N°115 Company0726 PLAINTE INSPECTION DU TRAVAIL</t>
  </si>
  <si>
    <t>PIECE N°158 ACHAT DU MOIS POUR LE SERVICE DE NETTOYAGE</t>
  </si>
  <si>
    <t>ACHAT Product0082 CARBURANT</t>
  </si>
  <si>
    <t>FA 0055 Company0850 ACHAT FOURNITURE DE BUREAU</t>
  </si>
  <si>
    <t>FA37861 Company1292 ACHAT ENCRE COMPANY1158 MACHINE</t>
  </si>
  <si>
    <t>ACHAT D'ENVELOPPES</t>
  </si>
  <si>
    <t>PIECE N°90 ACHAT D'ENVELOPPE</t>
  </si>
  <si>
    <t>PIECE N°170 ACHAT DE PILE POUR LES SOURIS D'ORDINATEUR</t>
  </si>
  <si>
    <t>PIECE N°189 ACHAT DE PILE</t>
  </si>
  <si>
    <t>PIECE N°317 COMPLEMENT EMBALLAGE DES BUREAUX</t>
  </si>
  <si>
    <t>PERSON0371°00075 Company0850/ACHAT DE FOURNITURE DE MATERIELS</t>
  </si>
  <si>
    <t>PIECE N°101 ACHAT TENUE AGENT DE MANAGE</t>
  </si>
  <si>
    <t>PIECE N°216 ACHAT DE PILES</t>
  </si>
  <si>
    <t>TRANSORT DE PLIS</t>
  </si>
  <si>
    <t>PIECE N°47 TRANSPORT DE PLIS/Company0328</t>
  </si>
  <si>
    <t>PIECE N°02 TRANSPORT LIVRAISON CARTES CADEAUX</t>
  </si>
  <si>
    <t>PIECE N°23 FRAIS DE TRANSPORT</t>
  </si>
  <si>
    <t>PIECE N°24 FRAIS DE TRANSPORT</t>
  </si>
  <si>
    <t>PIECE N° FRAIS DE TRANSPORT</t>
  </si>
  <si>
    <t>PIECE N°33 FRAIS DE TRANSPORT</t>
  </si>
  <si>
    <t>PIECE N°51 FRAIS DE TRANSPORT</t>
  </si>
  <si>
    <t>PIECE N°55 FRAIS DE TRANSPORT</t>
  </si>
  <si>
    <t>PIECE N°83 TRANSPORT Person0651 ( ALLER-RETOUR) CHEZ MR Person0577</t>
  </si>
  <si>
    <t>PIECE N°114 TRANSPORT ALLER-RETOUR ET STATIONNEMENT PARKING</t>
  </si>
  <si>
    <t>PIECE N°261 RECHARGEMENT Product0082 PEAGE</t>
  </si>
  <si>
    <t>PIECE N°287 COURSES DE BNA PAR Product0474</t>
  </si>
  <si>
    <t>PIECE N°307 TRANSPORT COURSES BNA</t>
  </si>
  <si>
    <t>PIECE N°318 CARBURANT COURSES BNA</t>
  </si>
  <si>
    <t>PIECE N°33 FORFAIT REPAS MISSION FORMATION Product0356</t>
  </si>
  <si>
    <t>PIECE N°16 ACHAT DIVERS</t>
  </si>
  <si>
    <t>PIECE N°289 ACHAT PACK D'EAU VISITEUR + THE VISITEUR</t>
  </si>
  <si>
    <t>FA N°0743861 RESTAURATION PERSONNEL BNA/Company0035</t>
  </si>
  <si>
    <t>FRAIS BANCAIRE/GRATIFICATION  Person0332 2021</t>
  </si>
  <si>
    <t>FRAIS BANCAIRE/SALAIRE Person0007 Person0337 JANV 2022</t>
  </si>
  <si>
    <t>FRAIS SUR SALAIRE DEC</t>
  </si>
  <si>
    <t>FA N°6664895 Company0423</t>
  </si>
  <si>
    <t>CHQ N°2282045 RGLT VIVO ENERGY DOTAT° CARBURANT COURSIER</t>
  </si>
  <si>
    <t>CHQ N°282076 RGLT VIVO DOTATION CARBURANT VHC COURSIER</t>
  </si>
  <si>
    <t>CHQ N°2282156 RGLT VIVO ENERGY CI CARBURANT COURSIER</t>
  </si>
  <si>
    <t>RGLT  CHQ N°2282184 RGLT VIVO ENERGY CI CARBURANT COURSIER</t>
  </si>
  <si>
    <t>CHQ N°2282233 RGLT VIVO ENERGY COURSIER JUIN 2022</t>
  </si>
  <si>
    <t>CHQ N°7463831 RGLT VIVO ENERGY COURSIER/MOID D'AOUT 2022</t>
  </si>
  <si>
    <t>CHQ N°3586724 RECHARGE VIVO ENERGY CHAUFFEUR MOIS DE SEPTEMBRE 2022</t>
  </si>
  <si>
    <t>CHQ N°3586753 RECHARGE VIVO ENERGY CHAUFFEUR MOIS D'OCTOBRE 2022</t>
  </si>
  <si>
    <t>PIECE N°276 CARBURANT Company2618 DANS LE CADRE DES JNQ</t>
  </si>
  <si>
    <t>CHQ N°3583232 RECHARGEMENT VIVO ENERGY COURSIER NOV 2022</t>
  </si>
  <si>
    <t>PIECE N°306 PARAMETTRAGE DES CARTES CARBURANTS</t>
  </si>
  <si>
    <t>PIECE N°265 ACHAT DE CARBURANT FORMATION TOT</t>
  </si>
  <si>
    <t>FA 0097625 KOREA Company1060/REPARATIONS DIVERSES Company2618</t>
  </si>
  <si>
    <t>REPARATION VEHICULE Company2618</t>
  </si>
  <si>
    <t>PIECE N°22 DEPANNAGE VEHICULE MISSION Company0290</t>
  </si>
  <si>
    <t>FA N°0053611 KOREA Company1060 AUTO/ENTRETIEN VEHICULE Company2618</t>
  </si>
  <si>
    <t>PIECE N°151 LAVAGE VEHICULE MITSUBISHI</t>
  </si>
  <si>
    <t>PIECE N°147 LAVAGE Company2618+MITSUBISHI</t>
  </si>
  <si>
    <t>FA N°0053554 KOREA  Company1060 AUTO ENTRETIEN VEHICULE Company2618</t>
  </si>
  <si>
    <t>PIECE N°184 LAVAGE VEHICULE COURSIER</t>
  </si>
  <si>
    <t>PIECE N°204 LAVAGE Company2618 Product0465</t>
  </si>
  <si>
    <t>PIECE N°260 REPARATION DE PONT DEPANNAGE Company2618 Product0465</t>
  </si>
  <si>
    <t>PIECE N°274 LAVAGE COMPLETE DE LA Company2618 Product0465</t>
  </si>
  <si>
    <t>PIECE N°150 PAIEMENT PATENTE MITSUBISHI</t>
  </si>
  <si>
    <t>PIECE N°37 LAVAGE AUTO Company2385</t>
  </si>
  <si>
    <t>FA00044122 Company0728 CI AUTOMOBILES/ FORFAIT DIAGNOSTIQUE Person0178</t>
  </si>
  <si>
    <t>CHQ N°2282218 REGLEMENT VIVO ENERGY COTE D'IVOIRE</t>
  </si>
  <si>
    <t>PIECE N°314 PAIEMENT CARBURANT</t>
  </si>
  <si>
    <t>PIECE N°315 REMBOURSEMENT GUY CARBURANT</t>
  </si>
  <si>
    <t>CHQ N°2282214 DEPOSIT N°1 Product0082 CARBURANT POUR MISSIONS</t>
  </si>
  <si>
    <t>CHQ N°2282211 DEPOSIT N°2 Product0082 CARBURANT POUR MISSIONS</t>
  </si>
  <si>
    <t>CHQ N°22822112 DEPOSIT N°3 Product0082 CARBURANT POUR MISSIONS</t>
  </si>
  <si>
    <t>CHQ N°2282213 DEPOSIT N°4 Product0082 CARBURANT POUR MISSIONS</t>
  </si>
  <si>
    <t>CHQ N°2282098 RGLT FACT VIVO ENERGY COTE D'IVOIRE</t>
  </si>
  <si>
    <t>CHQ N°2282100  RGLT FACT VIVO ENERGY COTE D'IVOIRE</t>
  </si>
  <si>
    <t>CHQ N°2282099  RGLT FACT VIVO ENERGY COTE D'IVOIRE</t>
  </si>
  <si>
    <t>CHQ N°2282157 RGLT FACT VIVO ENERGY COTE D'IVOIRE</t>
  </si>
  <si>
    <t>CHQ N°3586680 RGLT VIVO ENERGY CARBURANT MISSION</t>
  </si>
  <si>
    <t>CHQ N°3586682 Company2675 CARBURANT MISSION</t>
  </si>
  <si>
    <t>CHQ N°3586681 RGLT VIVO ENERGY CARBURANT MISSION</t>
  </si>
  <si>
    <t>CHQ N°3586723 RECHARGE VIVO ENERGY CARBURANT MISSION</t>
  </si>
  <si>
    <t>CHQ N°3586730 RECHARGE VIVO ENERGY CARBURANT MISSION</t>
  </si>
  <si>
    <t>CHQ N°3586732 RECHARGE VIVO ENERGY CARBURANT MISSION</t>
  </si>
  <si>
    <t>CHQ N°3586762 RECHARGE VIVO ENERGY CARBURANT MISSION</t>
  </si>
  <si>
    <t>CHQ N°3586763 RECHARGEMENT VIVO ENERGY CARBURANT MISSION</t>
  </si>
  <si>
    <t>CHQ N°4055078 RGLT VIVO ENERGY CARBURANT MISSION</t>
  </si>
  <si>
    <t>PIECE N°125 PEAGE ALLER-RETOUR PACKING</t>
  </si>
  <si>
    <t>REDEVANCES DE LOCAT°/CREDIT-BAIL MO</t>
  </si>
  <si>
    <t>REDEVANCES DE LOCAT°/CREDIT-BAIL MITSUBISHI L200</t>
  </si>
  <si>
    <t>ENTRETIEN ET REPARAT BIENS MOBILIER</t>
  </si>
  <si>
    <t>ENTRETIEN ET REPARATION / MITSUBISHI L200</t>
  </si>
  <si>
    <t>PIECE N°82 LAVAGE L200 MITSUBISHI</t>
  </si>
  <si>
    <t>PIECE N°89 LAVAGE MITSUBISHI L200</t>
  </si>
  <si>
    <t>PIECE N°102 LAVAGE MITSUBISHI</t>
  </si>
  <si>
    <t>PIECE N°104 Person0922 COURSIER/LAVAGE MITSUBISHI</t>
  </si>
  <si>
    <t>PIECE N°121 LAVAGE VEHICULE MITSUBISHI</t>
  </si>
  <si>
    <t>PIECE N°270 LAVAGE VEHICULE MITSUBISHI</t>
  </si>
  <si>
    <t>PIECE N°308 LAVAGE VEHICULE MITSUBISHI</t>
  </si>
  <si>
    <t>PIECE N°313 LAVAGE L200 MITSUBISHI</t>
  </si>
  <si>
    <t>FA N°FVAV350206 Company0473 ENTRETIEN VEHICULE</t>
  </si>
  <si>
    <t>PIECE N°322 LAVAGE VEHICULE L200</t>
  </si>
  <si>
    <t>PIECE N°146 PAIEMENT PATENTE Company2618+L200</t>
  </si>
  <si>
    <t>PIECE N°314 PAIEMENT Product0082 DE STATIONNEMENT L200</t>
  </si>
  <si>
    <t>INTERETS DE CREDIT BAIL</t>
  </si>
  <si>
    <t>INTERETS DE CREDIT BAIL/ MITSUBISHI L200</t>
  </si>
  <si>
    <t>PERSON0371°01 HONORAIRES Person0651 Person0499 Person0705</t>
  </si>
  <si>
    <t>FA02 HONORAIRE COURSIER INTERIMAIRE Person0651 Person0499</t>
  </si>
  <si>
    <t>HONORAIRE COURSIER INTERIMAIRE Person0651/ du 31 mai au 03 juin2022</t>
  </si>
  <si>
    <t>PIECE N°160 DEJEUNER ET TRANSPORT AUDIT Company0506</t>
  </si>
  <si>
    <t>HONORAIRE Person0860 Person0035 MOIS DE JUIN 2022</t>
  </si>
  <si>
    <t>FA N°08 HONORAIRES Person0860 Person0035</t>
  </si>
  <si>
    <t>FA N°10 HONORAIRES DU MOIS D'OCTOBRE 2022</t>
  </si>
  <si>
    <t>CHQ N°22800843 RGLT PRIME STAGE FEVR 2022 Person1005 Person0022</t>
  </si>
  <si>
    <t>FA N°578216 Company1691 Company0997 /installation de split 2cv</t>
  </si>
  <si>
    <t>PIECE N°271 LAVER ET REPASSAGE DE 10 NAPPES</t>
  </si>
  <si>
    <t>CREDIT D'APPEL TELEPHONIQUE Product0232</t>
  </si>
  <si>
    <t>FA N°11 FRAIS ASSURANCE Person0860 Person0035 NOVEMBRE 2022</t>
  </si>
  <si>
    <t>FA N°12 FRAIS ASSURANCE MALADIES DEC 2022</t>
  </si>
  <si>
    <t>FA N°00034 Company0042 Company0858/FORMATION Person0396+ Mme Person0837</t>
  </si>
  <si>
    <t>ANNULATION DEPENSE Mme Person0697 MISSION AU SENEGAL</t>
  </si>
  <si>
    <t>DEPENSES MME Person0697 MISSION AU SENEGAL</t>
  </si>
  <si>
    <t>PIECE N° DIVERS FRAIS MISSION BURKINA Company0941</t>
  </si>
  <si>
    <t>CHQ N°2280829 RGLT PERDIEM Person0697 FORMATION BURKINA Company0941</t>
  </si>
  <si>
    <t>FA 0168002 Company1075 COMMUNICATION IMPRESS° DIVERSES</t>
  </si>
  <si>
    <t>PIECE N°98 TRANSPORT COURSES CADEAUX BENIN</t>
  </si>
  <si>
    <t>FA 0025 Company0831 CI REPAS FORMATION AUDITEURS QC</t>
  </si>
  <si>
    <t>PIECE N°52 Person0922 EXCEDENT FRAIS DE DEJEUNER /Person0697 Person0837</t>
  </si>
  <si>
    <t>PIECE N°141 RESTAURATION FORMATION VG DE QUALITY CERT</t>
  </si>
  <si>
    <t>PIECE N°152 CAFE Product0254/FORMATION QUALITY CERT</t>
  </si>
  <si>
    <t>PIECE N°154 DEJEUNER POUR LA FORMATION QUALITY CERT</t>
  </si>
  <si>
    <t>PIECE N°162 DEJEUNER AUDIT Company0506</t>
  </si>
  <si>
    <t>PIECE N°157 FORMATION QUALITY CERT/PETIT DEJEUNER +DEJEUNER</t>
  </si>
  <si>
    <t>PIECE N°196 DEJEUNER Company0506</t>
  </si>
  <si>
    <t>FA N°60 Company0832 FORMATION QUALITY CERT</t>
  </si>
  <si>
    <t>FA N°0000061 PAUSE CAFE +DEJEUNER FORMATION QUALITY CERT</t>
  </si>
  <si>
    <t>FRAIS BANCAIRE SURSALAIRE DEC 21 Person0007 Person0337</t>
  </si>
  <si>
    <t>FRAIS BANCAIRE/GRATIFICATION Person0582 Person0697 2021</t>
  </si>
  <si>
    <t>FRAIS BANCAIRE/GRATIFICATION Person0007 Person0020 Person0337 2021</t>
  </si>
  <si>
    <t>FRAIS BANCAIRE SUR HONORAIRES Person0687 AVRIL 2022</t>
  </si>
  <si>
    <t>FRAIS DE RECRUTEMENT DU PERSONNEL</t>
  </si>
  <si>
    <t>CHQ N°2282031 RGLT FACT INTER Company1642( DON)</t>
  </si>
  <si>
    <t>RGLT FACTURE QUALITY CERT /Company1288</t>
  </si>
  <si>
    <t>REDEVENCES BREVETS,LICENCES,CONCESS</t>
  </si>
  <si>
    <t>FN°202200359 QC JANV 2022</t>
  </si>
  <si>
    <t>FA 202201534 QUALITY CERT</t>
  </si>
  <si>
    <t>F N°202201882 QUALITY CERT</t>
  </si>
  <si>
    <t>FA 202202081 QUALITY CERT</t>
  </si>
  <si>
    <t>FA N°202202420 QUALITY CERT</t>
  </si>
  <si>
    <t>FA 202202785 QUALITY CERT</t>
  </si>
  <si>
    <t>FA202202993 QUALITY CERT</t>
  </si>
  <si>
    <t>FA N°202203021 QUALITY CERT</t>
  </si>
  <si>
    <t>FA N°202203035 QUALITY CERT</t>
  </si>
  <si>
    <t>FA N°202203146 QUALITY CERT</t>
  </si>
  <si>
    <t>FA N°202203333 QUALITY CERT</t>
  </si>
  <si>
    <t>FA N°202203494 QUALITY CERT</t>
  </si>
  <si>
    <t>FA N°202203570 QUALITY CERT</t>
  </si>
  <si>
    <t>FA N°202203054 QUALITY CERT</t>
  </si>
  <si>
    <t>FA N°202203722QUALITY CERT</t>
  </si>
  <si>
    <t>FA N°202204123 QUALITY CERT</t>
  </si>
  <si>
    <t>FA N°202204185 QUALITY CERT</t>
  </si>
  <si>
    <t>FA N°202204344 QUALITY CERT</t>
  </si>
  <si>
    <t>FA N°202204725 QUALITY CERT</t>
  </si>
  <si>
    <t>FA N°202203813 QUALITY CERT</t>
  </si>
  <si>
    <t>FA N°202205165 QUALITY CERT</t>
  </si>
  <si>
    <t>FA N°202205335 REDEVANCE QUALITY CERT</t>
  </si>
  <si>
    <t>FA 001 HONRAIRES JANVIER 2022 Person1005 Person0010</t>
  </si>
  <si>
    <t>FA 01 HONORAIRES Person0860 Person0392 JANV 2022</t>
  </si>
  <si>
    <t>FA N°002 HONORAIRES FEVRIER 2022 Person1005 Person0010</t>
  </si>
  <si>
    <t>FA 02 HONORAIRES FEVRIER 2022 Person0860 Person0392</t>
  </si>
  <si>
    <t>FA 02 PRIME ANNUELLE 2021PEHE Person0392</t>
  </si>
  <si>
    <t>FA 003 HONORAIRES MARS 2022 Person1005 Person0010</t>
  </si>
  <si>
    <t>HONORAIRE Person0860 Person0035 MOIS DE MARS 2022</t>
  </si>
  <si>
    <t>HONORAIRE Person0860 Person0035 MOIS D'AVRIL 2022</t>
  </si>
  <si>
    <t>HONORAIRE Person0860 Person0035 MOIS DE MAI 2022</t>
  </si>
  <si>
    <t>HONORAIRE Person1005 Person0010 MOIS DE JUIN 2022</t>
  </si>
  <si>
    <t>FA N°08 HONORAIRES AOUT Person1005  Person0010</t>
  </si>
  <si>
    <t>FA N°002 HONORAIRES SUR LA FORMATION</t>
  </si>
  <si>
    <t>FA N°11 HONORAIRES Person0860 Person0035 NOVEMBRE 2022</t>
  </si>
  <si>
    <t>FA N°HONORAIRES DEC 2022 Person0860 Person0035</t>
  </si>
  <si>
    <t>FA N°07 HONORAIRES NOVEMBRE 2022</t>
  </si>
  <si>
    <t>FA N°08 HONORAIRES DECEMBRE 2022</t>
  </si>
  <si>
    <t>PERSON0371°4 HONORAIRES AVRIL 22 Person1005 Person0010</t>
  </si>
  <si>
    <t>PERSON0371°5 HONORAIRES MAI 22 Person1005 Person0010</t>
  </si>
  <si>
    <t>PERSON0371°7 HONORAIRES JUILLLET 22 Person1005 Person0010</t>
  </si>
  <si>
    <t>FA N°7 HONORAIRES JUILLET 22 Person0860 Person0035</t>
  </si>
  <si>
    <t>FA HONORAIRES Person0019 Person0022</t>
  </si>
  <si>
    <t>FRAIS BANCAIRE SUR FACTURE Company0983</t>
  </si>
  <si>
    <t>RGLT FACTURE QUALITY CERT N° 202202993</t>
  </si>
  <si>
    <t>RGLT FACTURE QUALITY CERT N° 202202785</t>
  </si>
  <si>
    <t>RGLT FACTURE QUALITY CERT N° 202203035</t>
  </si>
  <si>
    <t>RGLT FACTURE QUALITY CERT 202203021</t>
  </si>
  <si>
    <t>RGLT FACTURE QUALITY CERT 202203146</t>
  </si>
  <si>
    <t>RGLT FACTURE QUALITY CERT N° 202203054</t>
  </si>
  <si>
    <t>RGLT FACTURE QUALITY CERT N° 202203146</t>
  </si>
  <si>
    <t>RGLT FACTURE QUALITY CERT N°202203570</t>
  </si>
  <si>
    <t>RGLT FACTURE QUALITY CERT N°202203494</t>
  </si>
  <si>
    <t>RGLT FACTURE QUALITY CERT N°202203333</t>
  </si>
  <si>
    <t>RGLT FACTURE QUALITY CERT N°202204185 PAR Company1288</t>
  </si>
  <si>
    <t>RGLT FACTURE QUALITY CERT N°202203722 PAR Company1288</t>
  </si>
  <si>
    <t>RGLT FACTURE QUALITY CERT N°202204344 PAR Company1288</t>
  </si>
  <si>
    <t>RGLT FACTURE QUALITY CERT N°202204123 PAR Company1288</t>
  </si>
  <si>
    <t>RGLT FACT QUALITY CERT N°202203813</t>
  </si>
  <si>
    <t>RGLT FACT QUALITY CERT/Company1288</t>
  </si>
  <si>
    <t>PIECE N° FORMATION Product0356</t>
  </si>
  <si>
    <t>HONORAIRES JANVIER 2022/ Person0280 Person0687</t>
  </si>
  <si>
    <t>HONORAIRES FEVRIER 2022/ Person0280 Person0687</t>
  </si>
  <si>
    <t>HONORAIRES MARS 2022 / Person0280 Person0687</t>
  </si>
  <si>
    <t>HONORAIRES AVRIL 2022 / Person0280 Person0687</t>
  </si>
  <si>
    <t>REMUNERATION DE PERSONNEL INTERIMAI</t>
  </si>
  <si>
    <t>CHQ°7463887 PRIME DE STAGE Person1019</t>
  </si>
  <si>
    <t>CHQ°7463836 PRIME DE STAGE Person1019</t>
  </si>
  <si>
    <t>ANNULATION PIEC N°167 CHQ N°7463887 PRIME DE STAGE Person1019</t>
  </si>
  <si>
    <t>ANNULATION PIEC N°168 CHQ N°7463836 PRIME DE STAGE Person1019</t>
  </si>
  <si>
    <t>PRIME DE STAGE AVRIL 2022 Person1019 Person1137</t>
  </si>
  <si>
    <t>PRIME DE STAGE MAI 2022 Person1019 Person1137</t>
  </si>
  <si>
    <t>CHQN°7463887 PRIME DE STAGE JUIN 2022/Person1019 Person0637 Person1137</t>
  </si>
  <si>
    <t>CHQ N°AE7463836 PRIME DE STAGE JUILLET 2022 Person1019 Person1137</t>
  </si>
  <si>
    <t>CHQ N°3583196 PRIME DE STAGE Person1019 Person1137 AOUT 2022</t>
  </si>
  <si>
    <t>RECHARGEMENT UNITE Person0570 Person0272</t>
  </si>
  <si>
    <t>PIECE N°177 Company2476 ACHAT DE Product0082 RECHARGE Person0396</t>
  </si>
  <si>
    <t>PIECE N°145 ACHAT Product0082 DE RECHARGE Person0280 Person0396</t>
  </si>
  <si>
    <t>PIECE N°182 PAIEMENT FRAIS D'EXAMEN QUALITY CERT VERSION 6</t>
  </si>
  <si>
    <t>PIECE N°251 FRAIS D'AGREMENT CCC</t>
  </si>
  <si>
    <t>FA N°9014803 Company2213 Company0073 ( 2000$)</t>
  </si>
  <si>
    <t>FA N°035 Company0893 /ACHAT DE CERTIFICAT FORMAT A4</t>
  </si>
  <si>
    <t>PIECE N°36 FRAIS DE RESTAURATION PARTENAIRES BNA ET SVCE RA</t>
  </si>
  <si>
    <t>PIECE N°202 DEJEUNER RA AUDIT</t>
  </si>
  <si>
    <t>PIECE N°207 ACHAT CROISSANT  FORMATION Product0356</t>
  </si>
  <si>
    <t>PIECE N°208 ACHAT DE 30 BOUTEILLES D'EAU AUDIT RA</t>
  </si>
  <si>
    <t>PIECE N°211 ACHAT PACK D'EAU RA</t>
  </si>
  <si>
    <t>PIECE N°212 ACHAT CROISSANT AUDIT RA</t>
  </si>
  <si>
    <t>PIECE N°215 ACHAT DE PACK D'EAU +COMPANY1617+CROISSANT +PAIN AU Company0494</t>
  </si>
  <si>
    <t>FA N°0421768 LA Company2316</t>
  </si>
  <si>
    <t>FA N°0421769LA Company2316</t>
  </si>
  <si>
    <t>FA N°0421770 LA Company2316</t>
  </si>
  <si>
    <t>FA N°0421771 LA Company2316</t>
  </si>
  <si>
    <t>FA N°0421772 LA Company2316</t>
  </si>
  <si>
    <t>PIECE N°228 PETIT DEJEUNER +EAU+GOUTER AUDIT RA</t>
  </si>
  <si>
    <t>PIECE N°230 DEJEUNER AUDIT RA</t>
  </si>
  <si>
    <t>PIECE N°231 DEJEUNER AUDIT RA</t>
  </si>
  <si>
    <t>PIECE N°232 PETIT DEJEUNER AUDIT RA</t>
  </si>
  <si>
    <t>PIECE N°233  DEJEUNER AUDIT RA</t>
  </si>
  <si>
    <t>PIECE N°234 PETIT  DEJEUNER AUDIT RA</t>
  </si>
  <si>
    <t>PIECE N°235   DEJEUNER AUDIT RA</t>
  </si>
  <si>
    <t>FRAIS BANCAIRE/GRATIFICATION Person0687 Person0280 2021</t>
  </si>
  <si>
    <t>FRAIS BANCAIRE/SALAIRE  Person0687 Person0280 JANV 2022</t>
  </si>
  <si>
    <t>FRAIS SUR SALAIRE Person0280</t>
  </si>
  <si>
    <t>FA N°11 HONORAIRES Person1005 Person0010 NOVEMBRE 2022</t>
  </si>
  <si>
    <t>FA N°04 HONORAIRES AOUT 2022/ Person0687</t>
  </si>
  <si>
    <t>FA N°05 HONORAIRES SEPTEMBRE 2022/Person0687</t>
  </si>
  <si>
    <t>FA N°06 HONORAIRES OCTOBRE 2022/Person0687</t>
  </si>
  <si>
    <t>FA N°HONORAIRES DEC 2022 Person1005 Person0010</t>
  </si>
  <si>
    <t>FA N°02 HONORAIRES NOVEMBRE 2022/Person0034</t>
  </si>
  <si>
    <t>FA N°02 HONORAIRES DECEMBRE 2022/ Person0034</t>
  </si>
  <si>
    <t>FA N°01 HONORAIRES MAI 2022/ Person0280 Person0687</t>
  </si>
  <si>
    <t>PIECE N°35 FRAIS DE DOSSIER INSCRIPTION CHAIRE Company2813</t>
  </si>
  <si>
    <t>FA N°01116 Company2813 CHAIRE COURS DE SPECIALISATION EN INGENIERIE Person0568</t>
  </si>
  <si>
    <t>COURS DE SPECIALISATION EN INGENERIE Person0568 Person0856</t>
  </si>
  <si>
    <t>PIECE N°285 CARBURANT FORMATION Company2447 3JOURS</t>
  </si>
  <si>
    <t>ACHAT BILLET D'AVION Person0436 Person0190 AUDIT Company2447</t>
  </si>
  <si>
    <t>PIECE N°192 ENVOIE DES CERTIFICATS AU CLIENT METAL Company2473</t>
  </si>
  <si>
    <t xml:space="preserve"> HONORAIRES Person1195 Person0569 INTERPRETE AUDIT Company2447</t>
  </si>
  <si>
    <t>FA N°09 HONORAIRES Person1195 Person0569 TRADUCTION DOC</t>
  </si>
  <si>
    <t>FA N°01 HONORAIRES MISSION D'ENQUETE</t>
  </si>
  <si>
    <t>FN°0160210 Company0552 CI REMISE EN ETAT DU RESEAU</t>
  </si>
  <si>
    <t>PIECE N°118 LAVAGE NAPPES DE TABLES</t>
  </si>
  <si>
    <t>ANNUL FA 050-BNA-TO 2022  JETONS DE PRESENCE</t>
  </si>
  <si>
    <t>JETONS DE PRESENCE SCE QUALITE</t>
  </si>
  <si>
    <t>FA N°029 Company0127  SERVICE QUALITE</t>
  </si>
  <si>
    <t>CHQ N°2280829 RGLT PERDIEM Person1163 FORMATION BURKINA Company0941</t>
  </si>
  <si>
    <t>TEST COVID Person0577 Person0013</t>
  </si>
  <si>
    <t>PERDIEMS ENQUETE SERVICE QUALITE</t>
  </si>
  <si>
    <t>ETUDES ET RECHERCHES</t>
  </si>
  <si>
    <t>PIECE N°320 Company0726 DE DOSSIER PROGRAMME Product0285</t>
  </si>
  <si>
    <t>PIECE N°229 ENREGISTREMENT DE LA MARQUE Company1955</t>
  </si>
  <si>
    <t>Company1955 ACHAT DE LA MARQUE DE CERTIFICATION</t>
  </si>
  <si>
    <t>FA 001075 ACHAT DE NORME/Company0549</t>
  </si>
  <si>
    <t>FA 001129 Company0549</t>
  </si>
  <si>
    <t>FA N°001187 Company0549 /ACHAT DE NORMES</t>
  </si>
  <si>
    <t>FA N°258 Company1967 IMPRESSION NUMERIQUE ET CONFECTION</t>
  </si>
  <si>
    <t>FA N°265 Company1967 IMPRESSION NUMERIQUE ET CONFECTION DECERTIFICAT</t>
  </si>
  <si>
    <t>FA N°266 Company1967 PRODUCTION DE PLAQUETTES</t>
  </si>
  <si>
    <t>FA N°001564 Company0549 /ACHAT DES NORMES</t>
  </si>
  <si>
    <t>FA Company0549</t>
  </si>
  <si>
    <t>FA N°7974 IMPRESSION ATTESTATION DE FORMATION</t>
  </si>
  <si>
    <t>FA0168009 Company1075 COMMUNICATION /ACHAT DE CERTIF° A4</t>
  </si>
  <si>
    <t>FA0168016 Company1075 COMMUNICATION /IMPRESSION CERT° A3+A4</t>
  </si>
  <si>
    <t>FA N°0168018 Company1075 COMMUNICATION/IMPRESSION DE CERT° Company2407 A3+A4</t>
  </si>
  <si>
    <t>FA N°0168013 Company1075 COMMUNICATION/ DEPLIANTS A4+A5</t>
  </si>
  <si>
    <t>FA N°0168023 Company1075 COMMUNICATION /IMPRESSION SERVICE QUALITE</t>
  </si>
  <si>
    <t>PIECE N°159 CHARGEMENT DU DOCUMENT POLITIQUE QUATILITE DANS LES CARDR</t>
  </si>
  <si>
    <t>FA N°0168030 Company1075 COMMUNICATION DOCUMENT SERVICE QUALITE</t>
  </si>
  <si>
    <t>FA N°58 Company0893 JOURNEE DE LA QUALITE</t>
  </si>
  <si>
    <t>FA N°59 Company0893 JOURNEE DE LA QUALITE</t>
  </si>
  <si>
    <t>FA N°60 Company0893 JOURNEE DE LA QUALITE</t>
  </si>
  <si>
    <t>PIECE N°276 ACHAT DE SCOTCH DANS LE CADRE DES JNQ</t>
  </si>
  <si>
    <t>FA N°0004 Company0850 FOURNITURE DE MATERIELS</t>
  </si>
  <si>
    <t>FA N°0005 BLOC NOTE-FICHE Product0064 CLASSEURS/Company0850</t>
  </si>
  <si>
    <t>PIECE N°276 PEAGE DANS LE CADRE DES JNQ</t>
  </si>
  <si>
    <t>PIECE N°276 TRANSPORT DANS LE CADRE DES JNQ</t>
  </si>
  <si>
    <t>PIECE N°119 ACHAT DE PACKD D'EAU POUR LAUDITRICE</t>
  </si>
  <si>
    <t>PIECE N°120 DEJEUNER AUDITRICE Company0715 JOUR 1</t>
  </si>
  <si>
    <t>PIECE N°123 ACHAT AMUSE BOUCHE DE LAUDITRICE Company0715</t>
  </si>
  <si>
    <t>FA 050-BNA-TO-2022 /JETONS DE PRIME DE PRESENCE DES MEMBRES DU COMITE</t>
  </si>
  <si>
    <t>PIECE N°127 DEJEUNER POUR LAUDITRICE CONCERNANT L'AUDIT EXTERNE Company0715</t>
  </si>
  <si>
    <t>FA N°000706 HOTEL Company1533/AUDITRICE Company0715</t>
  </si>
  <si>
    <t>PIECE N°206 DEJEUNER INTERPRETE AUDIT Company2447</t>
  </si>
  <si>
    <t>PIECE N°213 DEJEUNER INTERPRETRE Company2447</t>
  </si>
  <si>
    <t>PIECE N°276 RESTAURATION DANS LE CADRE DES JNQ</t>
  </si>
  <si>
    <t>PIECE N°279 PETIT DEJEUNER Company0153 LABEL GENRE  7&amp;8 DECEMBRE 2022</t>
  </si>
  <si>
    <t>PIECE N°280 PETIT DEJEUNER  ETDEJEUNER Company0153 GENRE</t>
  </si>
  <si>
    <t>FA N°000663 NUITEES+RESTAURATION</t>
  </si>
  <si>
    <t>FRAIS BANCAIRE /BILLET D'AVION ZOUINGNAN</t>
  </si>
  <si>
    <t>GRATIFICATION Person0011 Person0365 2021/FRAIS BANCAIRE</t>
  </si>
  <si>
    <t>FRAIS BANCAIRE/GRATIFICATION Person0011 Person0365 2021</t>
  </si>
  <si>
    <t>FRAIS BANCAIRE/ GRATIFICATION Person0568 Person0856 Person0717 2021</t>
  </si>
  <si>
    <t>FRAIS BANCAIRE/GRATIFICATION Person0568 Person0856 Person0717 2021</t>
  </si>
  <si>
    <t>FRAIS BANCAIRE/SALAIRE Person0011 Person0365 JANV 2022</t>
  </si>
  <si>
    <t>FA N°3455 Company2816 Company1736 SARL/entretien vehicule CHANGAN</t>
  </si>
  <si>
    <t>FA N°3463 Company2816 Company1736 SARL/ entretien vehicule</t>
  </si>
  <si>
    <t>FA N°3456 Company2816 Company1736 SARL/ entretien vehicule</t>
  </si>
  <si>
    <t>FA 0032 Company2447 Company2916 REDEVANCE ANNUELLE 2022</t>
  </si>
  <si>
    <t>TCE22003511 Company2058 ISO 9001 LEAD AUDITOR / IVORY COAST,ABIDJAN</t>
  </si>
  <si>
    <t>FA ZE-194245-01 2021 U1 Company0715</t>
  </si>
  <si>
    <t>FA N°00067 Company2447/REDEVANCE</t>
  </si>
  <si>
    <t>RGLT HONORAIRES Person0996 AUDIT Company2447</t>
  </si>
  <si>
    <t>FRAIS BANCAIRES SUR HONORAIRES Person0996</t>
  </si>
  <si>
    <t>FRAIS BANCAIRE Company2058</t>
  </si>
  <si>
    <t>RGLT FACTURE Company2058 /Company1288</t>
  </si>
  <si>
    <t>RGLT FACT Company0715 / Company1288</t>
  </si>
  <si>
    <t>PRIME ET GRATIFICATIONS</t>
  </si>
  <si>
    <t>REPRISE DE PROVISION</t>
  </si>
  <si>
    <t>CONGES PAYES</t>
  </si>
  <si>
    <t>REPRISE DE PROVISION CONGES 2022</t>
  </si>
  <si>
    <t>PROVISION POUR CONGES 2023</t>
  </si>
  <si>
    <t>DOTATION AUX PROV ET DEPRECIAT° EXP</t>
  </si>
  <si>
    <t>PROVISION POUR PENSIONS ET RETRAITE 2023</t>
  </si>
  <si>
    <t>ANNULATION DE PROVISION POUR RETRAITE BNA</t>
  </si>
  <si>
    <t>REPRISE DE PROVISION D'EXPLOITATION</t>
  </si>
  <si>
    <t>REPRISE DE PROVISION POUR PENSIONS ET RETRAITE 2022</t>
  </si>
  <si>
    <t xml:space="preserve"> ELECTRICITE</t>
  </si>
  <si>
    <t>FA N° 217 Company0500 DU 04/12/2021 AU 04/02/2022 /ELECTRICITE BNA</t>
  </si>
  <si>
    <t>FA N°219 Company0500 DU 04-02-2022 AU 04-04-2022/ ELECTRICITE BNA</t>
  </si>
  <si>
    <t>FA N°221 DU 04/04/2022 AU 04/06/2022/ Company0500</t>
  </si>
  <si>
    <t>FA N°223 DU 041/06/ 2022 AU 04/08/2022 / Company0500</t>
  </si>
  <si>
    <t>FA N°225 DU 04 AOUT AU 04 OCTOBRE 2022 Company0500</t>
  </si>
  <si>
    <t>FA N°227  ELECTRICITE PERIODE DU 04/10 AU 04/12/2022</t>
  </si>
  <si>
    <t>LOCATION DE SALLE</t>
  </si>
  <si>
    <t>FA 80051 LOYER MENSUEL 2022 Company0056</t>
  </si>
  <si>
    <t>FA 80051 Company0056 LOYER MENSUEL FEVRIER 2022</t>
  </si>
  <si>
    <t>FA N°80051/M3/21 Company0056 LOYER MENSUEL MARS 2022</t>
  </si>
  <si>
    <t>FA800151/M4/22 Company0056 LOYER MENSUEL 2022</t>
  </si>
  <si>
    <t>FA 80051/M5/2022 Company0056 LOYER DE MAI 2022</t>
  </si>
  <si>
    <t>FA N°80051/M6/22 Company0056/ LOYER DU MOIS DE JUIN 2022</t>
  </si>
  <si>
    <t>FA N°80051/M7/22 Company0056 LOYER DU MOIS DE JUILLET 2022</t>
  </si>
  <si>
    <t>FA N°80051/M8/22 Company0056 LOYER DU MOIS D'AOUT</t>
  </si>
  <si>
    <t>FA N°80051/M9/22 Company0056 LOYER DU MOIS SEPTEMBRE 2022</t>
  </si>
  <si>
    <t>LOYER MENSUEL OCTOBRE 2022 Company0056</t>
  </si>
  <si>
    <t>LOYER MENSUEL NOVEMBRE 2022 Company0056</t>
  </si>
  <si>
    <t>LOYER MENSUEL DECEMBRE 2022 Company0056</t>
  </si>
  <si>
    <t>CHQ N°2282020 RGLT ABONNEMENT Product0012 ORANGE CI</t>
  </si>
  <si>
    <t>CHQ N°2282041 RGLT INTERNET Product0012 FEV 22/ORANGE CI</t>
  </si>
  <si>
    <t>CHQ N°282077 RGLT Product0012 INTERNET/ORANGE CI</t>
  </si>
  <si>
    <t>CHQ N°2282158 RGLT FACT ORANGE COTE D'IVOIRE</t>
  </si>
  <si>
    <t>CHQ N°2282178 RGLT ABONNEMENT ORANGE INTERNET</t>
  </si>
  <si>
    <t>CHQ N°228226 RGLT Product0012 ORANGE CI /WIFI BNA</t>
  </si>
  <si>
    <t>CHQ N°7463925 RGLT ABONNEMENT Product0012 ORANGE CI BNA</t>
  </si>
  <si>
    <t>CHQ N°3586711 ORANGE COTE DIVOIRE/ WIFI BNA</t>
  </si>
  <si>
    <t>FA N°FR51099867 Company2002</t>
  </si>
  <si>
    <t>CHQ N°3586751 RGLT ABONNEMENT WIFI BNA /OCTOBRE 2022</t>
  </si>
  <si>
    <t>FACTURE Company1446 CONSULTING GROUP/RENOUV HEBERGEMENT + SITE WEB BNA</t>
  </si>
  <si>
    <t>CHQ N°3583230 RECHARGEMENT WIFI BNA NOVEMBRE 2022</t>
  </si>
  <si>
    <t>CHQN°4055101 RGLT ABONNEMENT WIFI BNA</t>
  </si>
  <si>
    <t>ORANGE COTE D'IVOIRE SA /RECHARGE TELEPHONE FIXE</t>
  </si>
  <si>
    <t>Assurance Resp. Civile Profess.</t>
  </si>
  <si>
    <t>FA N°969 Company1898 ASSURANCE</t>
  </si>
  <si>
    <t>PIECE N°252 ACHAT DES COURSES DU MOIS DE SEPTEMBRE 2022</t>
  </si>
  <si>
    <t>FA N°00082 Company0850 /ACHAT DE PAQUET DE RAMES</t>
  </si>
  <si>
    <t>FA N°0746405 CARTOUCHES PRO/achat d'encre</t>
  </si>
  <si>
    <t>FA N°00098 Company0850 FOURNITURE DE BUREAU BNA</t>
  </si>
  <si>
    <t>FA N°00000 Company0832/REUNION DE SYNTHESE BNA</t>
  </si>
  <si>
    <t>LOYER Contrat 031270 120403954</t>
  </si>
  <si>
    <t>TAXE DE GESTION DE COMPTE + COMMISSION</t>
  </si>
  <si>
    <t>FRAIS BANCAIRE SUR SALAIRE FEVRIER 2022</t>
  </si>
  <si>
    <t>FRAIS BANCAIRE SUR SALAIRE</t>
  </si>
  <si>
    <t>FRAIS BANCAIRE SUR SALAIRE MOIS DE MARS 2022</t>
  </si>
  <si>
    <t>FRAIS BANCAIRE SUR SALAIRE AVRIL 2022</t>
  </si>
  <si>
    <t>FRAIS BANCAIRE RGLT Company2058</t>
  </si>
  <si>
    <t>FRAIS BANCAIRE SUR SALAIRE JUIN 2022</t>
  </si>
  <si>
    <t>FRAIS BANCAIRES SUR SALAIRE JUILLET 2022</t>
  </si>
  <si>
    <t>FRAIS Company1969+TAXE OCTOBRE 2021</t>
  </si>
  <si>
    <t>FRAIS BANCAIRE SUR SALAIRE BNA</t>
  </si>
  <si>
    <t>FRAIS BANCAIRE SUR HONORAIRES Person1005</t>
  </si>
  <si>
    <t>FRAIS DE CONSERVATION DE CHEQUIER+TAXE</t>
  </si>
  <si>
    <t>FRAIS DEPOSIT CONTRACT LIQIDATION</t>
  </si>
  <si>
    <t>FRAIS +TAXE Company1969 DECEMBRE 2021</t>
  </si>
  <si>
    <t>FRAIS Company1969 DECEMBRE 2021</t>
  </si>
  <si>
    <t>FRAIS COMMANDE DE 1 CHEQUIER NON BARRE</t>
  </si>
  <si>
    <t>FRAIS COMMANDE DE CHEQUIER NON BARRE</t>
  </si>
  <si>
    <t>FRAIS BANCAIRE SUR REMBOURSEMENT PERDIEMS Person0861</t>
  </si>
  <si>
    <t>ANNULATION FRAIS DEPOSIT CONTRACT LIQUIDATION</t>
  </si>
  <si>
    <t>COMMISSION SUR MOUVEMENT DEBIT</t>
  </si>
  <si>
    <t>TAXE/ COMMISSION SUR MOUVEMENT</t>
  </si>
  <si>
    <t>RGLT FACT Company0887</t>
  </si>
  <si>
    <t>ANNULAATION FRAIS BANCAIRE</t>
  </si>
  <si>
    <t>FRAIS BANCAIRE</t>
  </si>
  <si>
    <t>FRAIS BANCAIRE Company2383</t>
  </si>
  <si>
    <t>FACTURATION Company1289 PRO</t>
  </si>
  <si>
    <t>PACK Company1289 PRO</t>
  </si>
  <si>
    <t>FRAIS DE TIMBRE</t>
  </si>
  <si>
    <t>FRAIS/CAUTION FISCALE</t>
  </si>
  <si>
    <t>FRAIS DE TIMBRES</t>
  </si>
  <si>
    <t>FRAIS ENREG NANT Company2061</t>
  </si>
  <si>
    <t>FRAIS/CHQ SANS PROVISION</t>
  </si>
  <si>
    <t>FRAIS/ENDOS MANQUANT</t>
  </si>
  <si>
    <t>FRAIS BANCAIRES A RECLASSER</t>
  </si>
  <si>
    <t>CAUTION FISCALE 272964</t>
  </si>
  <si>
    <t>Company0044</t>
  </si>
  <si>
    <t>PENALITE D4ASSIETTE D'IMPOT DIRECTE</t>
  </si>
  <si>
    <t>PROVISIONS POUR IMPOTS</t>
  </si>
  <si>
    <t>PERTE SUR AUTRES DEBITEURS</t>
  </si>
  <si>
    <t>REDRESSEMENT Company1347</t>
  </si>
  <si>
    <t>DOTA AUX AMOR LOGICIEL</t>
  </si>
  <si>
    <t>DOTATION AUX AMORTISSEMENT DES IMMO INCORPORELLES / BREVET</t>
  </si>
  <si>
    <t>DOTATION AUX AMORTISSEMENT DES IMMO INCORPORELLES / LOGICIEL</t>
  </si>
  <si>
    <t>DOTATIONS AUX AMORTIS DES IMMO CORP</t>
  </si>
  <si>
    <t>DOTATION AUX AMORTISSEMENT DES IMMO CORPORELLES/ MATERIEL DE BUREAU</t>
  </si>
  <si>
    <t>DOTATION AUX AMORTISSEMENT DES IMMO CORPORELLES/ MOBILIER</t>
  </si>
  <si>
    <t>DOTATIONS AUX AMORTISSEMENT /MATERIEL INFORMATIQUE</t>
  </si>
  <si>
    <t>DOTATIONS AMORTISSEMENTS AUTOMOBILES</t>
  </si>
  <si>
    <t>DOTATION AUX AMORTISSEMENT DES IMMO CORPORELLES/ INSTALLATION G</t>
  </si>
  <si>
    <t>PROVISION Company0530</t>
  </si>
  <si>
    <t>PATENTES LICENCES ET TAXES ANNEXES</t>
  </si>
  <si>
    <t>PATENTE 2022 1/2</t>
  </si>
  <si>
    <t>PATENTE 2 FRACTION 2022</t>
  </si>
  <si>
    <t>AUTRES IMPOT ET TAXES DIRECTS</t>
  </si>
  <si>
    <t>DECLARATION TSE 1T 2022</t>
  </si>
  <si>
    <t>TSE  2T 2022</t>
  </si>
  <si>
    <t>DECLARATION TSE 3EME TRIMESTRE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</si>
</sst>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name val="Aptos Narrow"/>
    </font>
    <font>
      <b/>
      <sz val="11"/>
      <color rgb="FFFFFFFF"/>
      <name val="Aptos Narrow"/>
    </font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1"/>
    <xf numFmtId="0" fontId="6" fillId="0" borderId="1"/>
  </cellStyleXfs>
  <cellXfs count="12">
    <xf numFmtId="0" fontId="0" fillId="0" borderId="1" xfId="0"/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3" fontId="3" fillId="0" borderId="0" xfId="0" applyNumberFormat="1" applyFont="1" applyBorder="1" applyAlignment="1">
      <alignment horizontal="right" vertical="top"/>
    </xf>
    <xf numFmtId="0" fontId="4" fillId="3" borderId="3" xfId="0" applyFont="1" applyFill="1" applyBorder="1" applyAlignment="1">
      <alignment vertical="top"/>
    </xf>
    <xf numFmtId="3" fontId="4" fillId="3" borderId="3" xfId="0" applyNumberFormat="1" applyFont="1" applyFill="1" applyBorder="1" applyAlignment="1">
      <alignment vertical="top"/>
    </xf>
    <xf numFmtId="0" fontId="5" fillId="2" borderId="4" xfId="0" applyFont="1" applyFill="1" applyBorder="1" applyAlignment="1">
      <alignment horizontal="center"/>
    </xf>
    <xf numFmtId="3" fontId="0" fillId="0" borderId="1" xfId="0" applyNumberFormat="1"/>
    <xf numFmtId="14" fontId="0" fillId="0" borderId="1" xfId="0" applyNumberFormat="1"/>
    <xf numFmtId="0" fontId="6" fillId="0" borderId="1" xfId="1"/>
    <xf numFmtId="3" fontId="3" fillId="0" borderId="1" xfId="1" applyNumberFormat="1" applyFont="1" applyAlignment="1">
      <alignment horizontal="right" vertical="top"/>
    </xf>
  </cellXfs>
  <cellStyles count="2">
    <cellStyle name="Normal" xfId="0" builtinId="0"/>
    <cellStyle name="Normal 2" xfId="1" xr:uid="{F47D812C-94DE-5E4B-9D66-F21CD72AA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5012-E84C-F328-FD44-C204377146F8}">
  <dimension ref="B2:F575"/>
  <sheetViews>
    <sheetView tabSelected="1" workbookViewId="0"/>
  </sheetViews>
  <sheetFormatPr defaultColWidth="8.81640625" defaultRowHeight="15" customHeight="1"/>
  <cols>
    <col min="2" max="2" width="17.1796875" customWidth="1"/>
    <col min="3" max="3" width="42.81640625" customWidth="1"/>
    <col min="4" max="6" width="17.1796875" customWidth="1"/>
  </cols>
  <sheetData>
    <row r="2" spans="2:6" ht="15" customHeight="1">
      <c r="B2" s="1" t="s">
        <v>0</v>
      </c>
    </row>
    <row r="4" spans="2:6" ht="1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15" customHeight="1">
      <c r="B5" s="3">
        <v>9804018</v>
      </c>
      <c r="C5" s="3" t="s">
        <v>569</v>
      </c>
      <c r="D5" s="4">
        <f>SUMIFS('GL-Transactions'!C:C,'GL-Transactions'!G:G,"Total",'GL-Transactions'!E:E,B5)</f>
        <v>1664283</v>
      </c>
      <c r="E5" s="4">
        <f>SUMIFS('GL-Transactions'!B:B,'GL-Transactions'!G:G,"Total",'GL-Transactions'!E:E,B5)</f>
        <v>0</v>
      </c>
      <c r="F5" s="4">
        <f t="shared" ref="F5:F68" si="0">D5-E5</f>
        <v>1664283</v>
      </c>
    </row>
    <row r="6" spans="2:6" ht="15" customHeight="1">
      <c r="B6" s="3">
        <v>9804017</v>
      </c>
      <c r="C6" s="3" t="s">
        <v>568</v>
      </c>
      <c r="D6" s="4">
        <f>SUMIFS('GL-Transactions'!C:C,'GL-Transactions'!G:G,"Total",'GL-Transactions'!E:E,B6)</f>
        <v>39103689</v>
      </c>
      <c r="E6" s="4">
        <f>SUMIFS('GL-Transactions'!B:B,'GL-Transactions'!G:G,"Total",'GL-Transactions'!E:E,B6)</f>
        <v>0</v>
      </c>
      <c r="F6" s="4">
        <f t="shared" si="0"/>
        <v>39103689</v>
      </c>
    </row>
    <row r="7" spans="2:6" ht="15" customHeight="1">
      <c r="B7" s="3">
        <v>9804016</v>
      </c>
      <c r="C7" s="3" t="s">
        <v>567</v>
      </c>
      <c r="D7" s="4">
        <f>SUMIFS('GL-Transactions'!C:C,'GL-Transactions'!G:G,"Total",'GL-Transactions'!E:E,B7)</f>
        <v>11741512</v>
      </c>
      <c r="E7" s="4">
        <f>SUMIFS('GL-Transactions'!B:B,'GL-Transactions'!G:G,"Total",'GL-Transactions'!E:E,B7)</f>
        <v>23200</v>
      </c>
      <c r="F7" s="4">
        <f t="shared" si="0"/>
        <v>11718312</v>
      </c>
    </row>
    <row r="8" spans="2:6" ht="15" customHeight="1">
      <c r="B8" s="3">
        <v>9804015</v>
      </c>
      <c r="C8" s="3" t="s">
        <v>566</v>
      </c>
      <c r="D8" s="4">
        <f>SUMIFS('GL-Transactions'!C:C,'GL-Transactions'!G:G,"Total",'GL-Transactions'!E:E,B8)</f>
        <v>846756</v>
      </c>
      <c r="E8" s="4">
        <f>SUMIFS('GL-Transactions'!B:B,'GL-Transactions'!G:G,"Total",'GL-Transactions'!E:E,B8)</f>
        <v>0</v>
      </c>
      <c r="F8" s="4">
        <f t="shared" si="0"/>
        <v>846756</v>
      </c>
    </row>
    <row r="9" spans="2:6" ht="15" customHeight="1">
      <c r="B9" s="3">
        <v>9804011</v>
      </c>
      <c r="C9" s="3" t="s">
        <v>565</v>
      </c>
      <c r="D9" s="4">
        <f>SUMIFS('GL-Transactions'!C:C,'GL-Transactions'!G:G,"Total",'GL-Transactions'!E:E,B9)</f>
        <v>594395</v>
      </c>
      <c r="E9" s="4">
        <f>SUMIFS('GL-Transactions'!B:B,'GL-Transactions'!G:G,"Total",'GL-Transactions'!E:E,B9)</f>
        <v>0</v>
      </c>
      <c r="F9" s="4">
        <f t="shared" si="0"/>
        <v>594395</v>
      </c>
    </row>
    <row r="10" spans="2:6" ht="15" customHeight="1">
      <c r="B10" s="3">
        <v>9804009</v>
      </c>
      <c r="C10" s="3" t="s">
        <v>564</v>
      </c>
      <c r="D10" s="4">
        <f>SUMIFS('GL-Transactions'!C:C,'GL-Transactions'!G:G,"Total",'GL-Transactions'!E:E,B10)</f>
        <v>937920</v>
      </c>
      <c r="E10" s="4">
        <f>SUMIFS('GL-Transactions'!B:B,'GL-Transactions'!G:G,"Total",'GL-Transactions'!E:E,B10)</f>
        <v>0</v>
      </c>
      <c r="F10" s="4">
        <f t="shared" si="0"/>
        <v>937920</v>
      </c>
    </row>
    <row r="11" spans="2:6" ht="15" customHeight="1">
      <c r="B11" s="3">
        <v>9804007</v>
      </c>
      <c r="C11" s="3" t="s">
        <v>563</v>
      </c>
      <c r="D11" s="4">
        <f>SUMIFS('GL-Transactions'!C:C,'GL-Transactions'!G:G,"Total",'GL-Transactions'!E:E,B11)</f>
        <v>11159715</v>
      </c>
      <c r="E11" s="4">
        <f>SUMIFS('GL-Transactions'!B:B,'GL-Transactions'!G:G,"Total",'GL-Transactions'!E:E,B11)</f>
        <v>0</v>
      </c>
      <c r="F11" s="4">
        <f t="shared" si="0"/>
        <v>11159715</v>
      </c>
    </row>
    <row r="12" spans="2:6" ht="15" customHeight="1">
      <c r="B12" s="3">
        <v>9801010</v>
      </c>
      <c r="C12" s="3" t="s">
        <v>562</v>
      </c>
      <c r="D12" s="4">
        <f>SUMIFS('GL-Transactions'!C:C,'GL-Transactions'!G:G,"Total",'GL-Transactions'!E:E,B12)</f>
        <v>22835205</v>
      </c>
      <c r="E12" s="4">
        <f>SUMIFS('GL-Transactions'!B:B,'GL-Transactions'!G:G,"Total",'GL-Transactions'!E:E,B12)</f>
        <v>39470824</v>
      </c>
      <c r="F12" s="4">
        <f t="shared" si="0"/>
        <v>-16635619</v>
      </c>
    </row>
    <row r="13" spans="2:6" ht="15" customHeight="1">
      <c r="B13" s="3">
        <v>9706016</v>
      </c>
      <c r="C13" s="3" t="s">
        <v>560</v>
      </c>
      <c r="D13" s="4">
        <f>SUMIFS('GL-Transactions'!C:C,'GL-Transactions'!G:G,"Total",'GL-Transactions'!E:E,B13)</f>
        <v>84353</v>
      </c>
      <c r="E13" s="4">
        <f>SUMIFS('GL-Transactions'!B:B,'GL-Transactions'!G:G,"Total",'GL-Transactions'!E:E,B13)</f>
        <v>0</v>
      </c>
      <c r="F13" s="4">
        <f t="shared" si="0"/>
        <v>84353</v>
      </c>
    </row>
    <row r="14" spans="2:6" ht="15" customHeight="1">
      <c r="B14" s="3">
        <v>9706005</v>
      </c>
      <c r="C14" s="3" t="s">
        <v>559</v>
      </c>
      <c r="D14" s="4">
        <f>SUMIFS('GL-Transactions'!C:C,'GL-Transactions'!G:G,"Total",'GL-Transactions'!E:E,B14)</f>
        <v>327750</v>
      </c>
      <c r="E14" s="4">
        <f>SUMIFS('GL-Transactions'!B:B,'GL-Transactions'!G:G,"Total",'GL-Transactions'!E:E,B14)</f>
        <v>0</v>
      </c>
      <c r="F14" s="4">
        <f t="shared" si="0"/>
        <v>327750</v>
      </c>
    </row>
    <row r="15" spans="2:6" ht="15" customHeight="1">
      <c r="B15" s="3">
        <v>9706003</v>
      </c>
      <c r="C15" s="3" t="s">
        <v>558</v>
      </c>
      <c r="D15" s="4">
        <f>SUMIFS('GL-Transactions'!C:C,'GL-Transactions'!G:G,"Total",'GL-Transactions'!E:E,B15)</f>
        <v>11366472</v>
      </c>
      <c r="E15" s="4">
        <f>SUMIFS('GL-Transactions'!B:B,'GL-Transactions'!G:G,"Total",'GL-Transactions'!E:E,B15)</f>
        <v>0</v>
      </c>
      <c r="F15" s="4">
        <f t="shared" si="0"/>
        <v>11366472</v>
      </c>
    </row>
    <row r="16" spans="2:6" ht="15" customHeight="1">
      <c r="B16" s="3">
        <v>9705308</v>
      </c>
      <c r="C16" s="3" t="s">
        <v>557</v>
      </c>
      <c r="D16" s="4">
        <f>SUMIFS('GL-Transactions'!C:C,'GL-Transactions'!G:G,"Total",'GL-Transactions'!E:E,B16)</f>
        <v>398232</v>
      </c>
      <c r="E16" s="4">
        <f>SUMIFS('GL-Transactions'!B:B,'GL-Transactions'!G:G,"Total",'GL-Transactions'!E:E,B16)</f>
        <v>0</v>
      </c>
      <c r="F16" s="4">
        <f t="shared" si="0"/>
        <v>398232</v>
      </c>
    </row>
    <row r="17" spans="2:6" ht="15" customHeight="1">
      <c r="B17" s="3">
        <v>9704016</v>
      </c>
      <c r="C17" s="3" t="s">
        <v>555</v>
      </c>
      <c r="D17" s="4">
        <f>SUMIFS('GL-Transactions'!C:C,'GL-Transactions'!G:G,"Total",'GL-Transactions'!E:E,B17)</f>
        <v>72804</v>
      </c>
      <c r="E17" s="4">
        <f>SUMIFS('GL-Transactions'!B:B,'GL-Transactions'!G:G,"Total",'GL-Transactions'!E:E,B17)</f>
        <v>0</v>
      </c>
      <c r="F17" s="4">
        <f t="shared" si="0"/>
        <v>72804</v>
      </c>
    </row>
    <row r="18" spans="2:6" ht="15" customHeight="1">
      <c r="B18" s="3">
        <v>9704015</v>
      </c>
      <c r="C18" s="3" t="s">
        <v>554</v>
      </c>
      <c r="D18" s="4">
        <f>SUMIFS('GL-Transactions'!C:C,'GL-Transactions'!G:G,"Total",'GL-Transactions'!E:E,B18)</f>
        <v>2408481</v>
      </c>
      <c r="E18" s="4">
        <f>SUMIFS('GL-Transactions'!B:B,'GL-Transactions'!G:G,"Total",'GL-Transactions'!E:E,B18)</f>
        <v>0</v>
      </c>
      <c r="F18" s="4">
        <f t="shared" si="0"/>
        <v>2408481</v>
      </c>
    </row>
    <row r="19" spans="2:6" ht="15" customHeight="1">
      <c r="B19" s="3">
        <v>9704014</v>
      </c>
      <c r="C19" s="3" t="s">
        <v>553</v>
      </c>
      <c r="D19" s="4">
        <f>SUMIFS('GL-Transactions'!C:C,'GL-Transactions'!G:G,"Total",'GL-Transactions'!E:E,B19)</f>
        <v>14332450</v>
      </c>
      <c r="E19" s="4">
        <f>SUMIFS('GL-Transactions'!B:B,'GL-Transactions'!G:G,"Total",'GL-Transactions'!E:E,B19)</f>
        <v>0</v>
      </c>
      <c r="F19" s="4">
        <f t="shared" si="0"/>
        <v>14332450</v>
      </c>
    </row>
    <row r="20" spans="2:6" ht="15" customHeight="1">
      <c r="B20" s="3">
        <v>9704013</v>
      </c>
      <c r="C20" s="3" t="s">
        <v>552</v>
      </c>
      <c r="D20" s="4">
        <f>SUMIFS('GL-Transactions'!C:C,'GL-Transactions'!G:G,"Total",'GL-Transactions'!E:E,B20)</f>
        <v>708400</v>
      </c>
      <c r="E20" s="4">
        <f>SUMIFS('GL-Transactions'!B:B,'GL-Transactions'!G:G,"Total",'GL-Transactions'!E:E,B20)</f>
        <v>0</v>
      </c>
      <c r="F20" s="4">
        <f t="shared" si="0"/>
        <v>708400</v>
      </c>
    </row>
    <row r="21" spans="2:6" ht="15" customHeight="1">
      <c r="B21" s="3">
        <v>9704011</v>
      </c>
      <c r="C21" s="3" t="s">
        <v>547</v>
      </c>
      <c r="D21" s="4">
        <f>SUMIFS('GL-Transactions'!C:C,'GL-Transactions'!G:G,"Total",'GL-Transactions'!E:E,B21)</f>
        <v>2083050</v>
      </c>
      <c r="E21" s="4">
        <f>SUMIFS('GL-Transactions'!B:B,'GL-Transactions'!G:G,"Total",'GL-Transactions'!E:E,B21)</f>
        <v>0</v>
      </c>
      <c r="F21" s="4">
        <f t="shared" si="0"/>
        <v>2083050</v>
      </c>
    </row>
    <row r="22" spans="2:6" ht="15" customHeight="1">
      <c r="B22" s="3">
        <v>9704010</v>
      </c>
      <c r="C22" s="3" t="s">
        <v>551</v>
      </c>
      <c r="D22" s="4">
        <f>SUMIFS('GL-Transactions'!C:C,'GL-Transactions'!G:G,"Total",'GL-Transactions'!E:E,B22)</f>
        <v>290950</v>
      </c>
      <c r="E22" s="4">
        <f>SUMIFS('GL-Transactions'!B:B,'GL-Transactions'!G:G,"Total",'GL-Transactions'!E:E,B22)</f>
        <v>290950</v>
      </c>
      <c r="F22" s="4">
        <f t="shared" si="0"/>
        <v>0</v>
      </c>
    </row>
    <row r="23" spans="2:6" ht="15" customHeight="1">
      <c r="B23" s="3">
        <v>9704009</v>
      </c>
      <c r="C23" s="3" t="s">
        <v>550</v>
      </c>
      <c r="D23" s="4">
        <f>SUMIFS('GL-Transactions'!C:C,'GL-Transactions'!G:G,"Total",'GL-Transactions'!E:E,B23)</f>
        <v>400517</v>
      </c>
      <c r="E23" s="4">
        <f>SUMIFS('GL-Transactions'!B:B,'GL-Transactions'!G:G,"Total",'GL-Transactions'!E:E,B23)</f>
        <v>0</v>
      </c>
      <c r="F23" s="4">
        <f t="shared" si="0"/>
        <v>400517</v>
      </c>
    </row>
    <row r="24" spans="2:6" ht="15" customHeight="1">
      <c r="B24" s="3">
        <v>9704006</v>
      </c>
      <c r="C24" s="3" t="s">
        <v>549</v>
      </c>
      <c r="D24" s="4">
        <f>SUMIFS('GL-Transactions'!C:C,'GL-Transactions'!G:G,"Total",'GL-Transactions'!E:E,B24)</f>
        <v>29900</v>
      </c>
      <c r="E24" s="4">
        <f>SUMIFS('GL-Transactions'!B:B,'GL-Transactions'!G:G,"Total",'GL-Transactions'!E:E,B24)</f>
        <v>0</v>
      </c>
      <c r="F24" s="4">
        <f t="shared" si="0"/>
        <v>29900</v>
      </c>
    </row>
    <row r="25" spans="2:6" ht="15" customHeight="1">
      <c r="B25" s="3">
        <v>9704005</v>
      </c>
      <c r="C25" s="3" t="s">
        <v>548</v>
      </c>
      <c r="D25" s="4">
        <f>SUMIFS('GL-Transactions'!C:C,'GL-Transactions'!G:G,"Total",'GL-Transactions'!E:E,B25)</f>
        <v>917824</v>
      </c>
      <c r="E25" s="4">
        <f>SUMIFS('GL-Transactions'!B:B,'GL-Transactions'!G:G,"Total",'GL-Transactions'!E:E,B25)</f>
        <v>0</v>
      </c>
      <c r="F25" s="4">
        <f t="shared" si="0"/>
        <v>917824</v>
      </c>
    </row>
    <row r="26" spans="2:6" ht="15" customHeight="1">
      <c r="B26" s="3">
        <v>9704004</v>
      </c>
      <c r="C26" s="3" t="s">
        <v>547</v>
      </c>
      <c r="D26" s="4">
        <f>SUMIFS('GL-Transactions'!C:C,'GL-Transactions'!G:G,"Total",'GL-Transactions'!E:E,B26)</f>
        <v>48371</v>
      </c>
      <c r="E26" s="4">
        <f>SUMIFS('GL-Transactions'!B:B,'GL-Transactions'!G:G,"Total",'GL-Transactions'!E:E,B26)</f>
        <v>0</v>
      </c>
      <c r="F26" s="4">
        <f t="shared" si="0"/>
        <v>48371</v>
      </c>
    </row>
    <row r="27" spans="2:6" ht="15" customHeight="1">
      <c r="B27" s="3">
        <v>9704002</v>
      </c>
      <c r="C27" s="3" t="s">
        <v>546</v>
      </c>
      <c r="D27" s="4">
        <f>SUMIFS('GL-Transactions'!C:C,'GL-Transactions'!G:G,"Total",'GL-Transactions'!E:E,B27)</f>
        <v>583818</v>
      </c>
      <c r="E27" s="4">
        <f>SUMIFS('GL-Transactions'!B:B,'GL-Transactions'!G:G,"Total",'GL-Transactions'!E:E,B27)</f>
        <v>0</v>
      </c>
      <c r="F27" s="4">
        <f t="shared" si="0"/>
        <v>583818</v>
      </c>
    </row>
    <row r="28" spans="2:6" ht="15" customHeight="1">
      <c r="B28" s="3">
        <v>9702011</v>
      </c>
      <c r="C28" s="3" t="s">
        <v>545</v>
      </c>
      <c r="D28" s="4">
        <f>SUMIFS('GL-Transactions'!C:C,'GL-Transactions'!G:G,"Total",'GL-Transactions'!E:E,B28)</f>
        <v>5980000</v>
      </c>
      <c r="E28" s="4">
        <f>SUMIFS('GL-Transactions'!B:B,'GL-Transactions'!G:G,"Total",'GL-Transactions'!E:E,B28)</f>
        <v>0</v>
      </c>
      <c r="F28" s="4">
        <f t="shared" si="0"/>
        <v>5980000</v>
      </c>
    </row>
    <row r="29" spans="2:6" ht="15" customHeight="1">
      <c r="B29" s="3">
        <v>9702010</v>
      </c>
      <c r="C29" s="3" t="s">
        <v>544</v>
      </c>
      <c r="D29" s="4">
        <f>SUMIFS('GL-Transactions'!C:C,'GL-Transactions'!G:G,"Total",'GL-Transactions'!E:E,B29)</f>
        <v>21429815</v>
      </c>
      <c r="E29" s="4">
        <f>SUMIFS('GL-Transactions'!B:B,'GL-Transactions'!G:G,"Total",'GL-Transactions'!E:E,B29)</f>
        <v>0</v>
      </c>
      <c r="F29" s="4">
        <f t="shared" si="0"/>
        <v>21429815</v>
      </c>
    </row>
    <row r="30" spans="2:6" ht="15" customHeight="1">
      <c r="B30" s="3">
        <v>9606005</v>
      </c>
      <c r="C30" s="3" t="s">
        <v>542</v>
      </c>
      <c r="D30" s="4">
        <f>SUMIFS('GL-Transactions'!C:C,'GL-Transactions'!G:G,"Total",'GL-Transactions'!E:E,B30)</f>
        <v>8528678</v>
      </c>
      <c r="E30" s="4">
        <f>SUMIFS('GL-Transactions'!B:B,'GL-Transactions'!G:G,"Total",'GL-Transactions'!E:E,B30)</f>
        <v>0</v>
      </c>
      <c r="F30" s="4">
        <f t="shared" si="0"/>
        <v>8528678</v>
      </c>
    </row>
    <row r="31" spans="2:6" ht="15" customHeight="1">
      <c r="B31" s="3">
        <v>9604016</v>
      </c>
      <c r="C31" s="3" t="s">
        <v>540</v>
      </c>
      <c r="D31" s="4">
        <f>SUMIFS('GL-Transactions'!C:C,'GL-Transactions'!G:G,"Total",'GL-Transactions'!E:E,B31)</f>
        <v>2657</v>
      </c>
      <c r="E31" s="4">
        <f>SUMIFS('GL-Transactions'!B:B,'GL-Transactions'!G:G,"Total",'GL-Transactions'!E:E,B31)</f>
        <v>0</v>
      </c>
      <c r="F31" s="4">
        <f t="shared" si="0"/>
        <v>2657</v>
      </c>
    </row>
    <row r="32" spans="2:6" ht="15" customHeight="1">
      <c r="B32" s="3">
        <v>9604015</v>
      </c>
      <c r="C32" s="3" t="s">
        <v>539</v>
      </c>
      <c r="D32" s="4">
        <f>SUMIFS('GL-Transactions'!C:C,'GL-Transactions'!G:G,"Total",'GL-Transactions'!E:E,B32)</f>
        <v>649015</v>
      </c>
      <c r="E32" s="4">
        <f>SUMIFS('GL-Transactions'!B:B,'GL-Transactions'!G:G,"Total",'GL-Transactions'!E:E,B32)</f>
        <v>0</v>
      </c>
      <c r="F32" s="4">
        <f t="shared" si="0"/>
        <v>649015</v>
      </c>
    </row>
    <row r="33" spans="2:6" ht="15" customHeight="1">
      <c r="B33" s="3">
        <v>9604014</v>
      </c>
      <c r="C33" s="3" t="s">
        <v>538</v>
      </c>
      <c r="D33" s="4">
        <f>SUMIFS('GL-Transactions'!C:C,'GL-Transactions'!G:G,"Total",'GL-Transactions'!E:E,B33)</f>
        <v>1555605</v>
      </c>
      <c r="E33" s="4">
        <f>SUMIFS('GL-Transactions'!B:B,'GL-Transactions'!G:G,"Total",'GL-Transactions'!E:E,B33)</f>
        <v>0</v>
      </c>
      <c r="F33" s="4">
        <f t="shared" si="0"/>
        <v>1555605</v>
      </c>
    </row>
    <row r="34" spans="2:6" ht="15" customHeight="1">
      <c r="B34" s="3">
        <v>9604011</v>
      </c>
      <c r="C34" s="3" t="s">
        <v>537</v>
      </c>
      <c r="D34" s="4">
        <f>SUMIFS('GL-Transactions'!C:C,'GL-Transactions'!G:G,"Total",'GL-Transactions'!E:E,B34)</f>
        <v>413148</v>
      </c>
      <c r="E34" s="4">
        <f>SUMIFS('GL-Transactions'!B:B,'GL-Transactions'!G:G,"Total",'GL-Transactions'!E:E,B34)</f>
        <v>75900</v>
      </c>
      <c r="F34" s="4">
        <f t="shared" si="0"/>
        <v>337248</v>
      </c>
    </row>
    <row r="35" spans="2:6" ht="15" customHeight="1">
      <c r="B35" s="3">
        <v>9604009</v>
      </c>
      <c r="C35" s="3" t="s">
        <v>536</v>
      </c>
      <c r="D35" s="4">
        <f>SUMIFS('GL-Transactions'!C:C,'GL-Transactions'!G:G,"Total",'GL-Transactions'!E:E,B35)</f>
        <v>315588</v>
      </c>
      <c r="E35" s="4">
        <f>SUMIFS('GL-Transactions'!B:B,'GL-Transactions'!G:G,"Total",'GL-Transactions'!E:E,B35)</f>
        <v>0</v>
      </c>
      <c r="F35" s="4">
        <f t="shared" si="0"/>
        <v>315588</v>
      </c>
    </row>
    <row r="36" spans="2:6" ht="15" customHeight="1">
      <c r="B36" s="3">
        <v>9604006</v>
      </c>
      <c r="C36" s="3" t="s">
        <v>535</v>
      </c>
      <c r="D36" s="4">
        <f>SUMIFS('GL-Transactions'!C:C,'GL-Transactions'!G:G,"Total",'GL-Transactions'!E:E,B36)</f>
        <v>17250</v>
      </c>
      <c r="E36" s="4">
        <f>SUMIFS('GL-Transactions'!B:B,'GL-Transactions'!G:G,"Total",'GL-Transactions'!E:E,B36)</f>
        <v>0</v>
      </c>
      <c r="F36" s="4">
        <f t="shared" si="0"/>
        <v>17250</v>
      </c>
    </row>
    <row r="37" spans="2:6" ht="15" customHeight="1">
      <c r="B37" s="3">
        <v>9604005</v>
      </c>
      <c r="C37" s="3" t="s">
        <v>534</v>
      </c>
      <c r="D37" s="4">
        <f>SUMIFS('GL-Transactions'!C:C,'GL-Transactions'!G:G,"Total",'GL-Transactions'!E:E,B37)</f>
        <v>4092367</v>
      </c>
      <c r="E37" s="4">
        <f>SUMIFS('GL-Transactions'!B:B,'GL-Transactions'!G:G,"Total",'GL-Transactions'!E:E,B37)</f>
        <v>184000</v>
      </c>
      <c r="F37" s="4">
        <f t="shared" si="0"/>
        <v>3908367</v>
      </c>
    </row>
    <row r="38" spans="2:6" ht="15" customHeight="1">
      <c r="B38" s="3">
        <v>9602011</v>
      </c>
      <c r="C38" s="3" t="s">
        <v>533</v>
      </c>
      <c r="D38" s="4">
        <f>SUMIFS('GL-Transactions'!C:C,'GL-Transactions'!G:G,"Total",'GL-Transactions'!E:E,B38)</f>
        <v>657800</v>
      </c>
      <c r="E38" s="4">
        <f>SUMIFS('GL-Transactions'!B:B,'GL-Transactions'!G:G,"Total",'GL-Transactions'!E:E,B38)</f>
        <v>0</v>
      </c>
      <c r="F38" s="4">
        <f t="shared" si="0"/>
        <v>657800</v>
      </c>
    </row>
    <row r="39" spans="2:6" ht="15" customHeight="1">
      <c r="B39" s="3">
        <v>9602010</v>
      </c>
      <c r="C39" s="3" t="s">
        <v>532</v>
      </c>
      <c r="D39" s="4">
        <f>SUMIFS('GL-Transactions'!C:C,'GL-Transactions'!G:G,"Total",'GL-Transactions'!E:E,B39)</f>
        <v>13004421</v>
      </c>
      <c r="E39" s="4">
        <f>SUMIFS('GL-Transactions'!B:B,'GL-Transactions'!G:G,"Total",'GL-Transactions'!E:E,B39)</f>
        <v>0</v>
      </c>
      <c r="F39" s="4">
        <f t="shared" si="0"/>
        <v>13004421</v>
      </c>
    </row>
    <row r="40" spans="2:6" ht="15" customHeight="1">
      <c r="B40" s="3">
        <v>9506016</v>
      </c>
      <c r="C40" s="3" t="s">
        <v>530</v>
      </c>
      <c r="D40" s="4">
        <f>SUMIFS('GL-Transactions'!C:C,'GL-Transactions'!G:G,"Total",'GL-Transactions'!E:E,B40)</f>
        <v>148113</v>
      </c>
      <c r="E40" s="4">
        <f>SUMIFS('GL-Transactions'!B:B,'GL-Transactions'!G:G,"Total",'GL-Transactions'!E:E,B40)</f>
        <v>0</v>
      </c>
      <c r="F40" s="4">
        <f t="shared" si="0"/>
        <v>148113</v>
      </c>
    </row>
    <row r="41" spans="2:6" ht="15" customHeight="1">
      <c r="B41" s="3">
        <v>9506005</v>
      </c>
      <c r="C41" s="3" t="s">
        <v>529</v>
      </c>
      <c r="D41" s="4">
        <f>SUMIFS('GL-Transactions'!C:C,'GL-Transactions'!G:G,"Total",'GL-Transactions'!E:E,B41)</f>
        <v>12596865</v>
      </c>
      <c r="E41" s="4">
        <f>SUMIFS('GL-Transactions'!B:B,'GL-Transactions'!G:G,"Total",'GL-Transactions'!E:E,B41)</f>
        <v>0</v>
      </c>
      <c r="F41" s="4">
        <f t="shared" si="0"/>
        <v>12596865</v>
      </c>
    </row>
    <row r="42" spans="2:6" ht="15" customHeight="1">
      <c r="B42" s="3">
        <v>9506003</v>
      </c>
      <c r="C42" s="3" t="s">
        <v>528</v>
      </c>
      <c r="D42" s="4">
        <f>SUMIFS('GL-Transactions'!C:C,'GL-Transactions'!G:G,"Total",'GL-Transactions'!E:E,B42)</f>
        <v>22087102</v>
      </c>
      <c r="E42" s="4">
        <f>SUMIFS('GL-Transactions'!B:B,'GL-Transactions'!G:G,"Total",'GL-Transactions'!E:E,B42)</f>
        <v>0</v>
      </c>
      <c r="F42" s="4">
        <f t="shared" si="0"/>
        <v>22087102</v>
      </c>
    </row>
    <row r="43" spans="2:6" ht="15" customHeight="1">
      <c r="B43" s="3">
        <v>9504019</v>
      </c>
      <c r="C43" s="3" t="s">
        <v>526</v>
      </c>
      <c r="D43" s="4">
        <f>SUMIFS('GL-Transactions'!C:C,'GL-Transactions'!G:G,"Total",'GL-Transactions'!E:E,B43)</f>
        <v>345000</v>
      </c>
      <c r="E43" s="4">
        <f>SUMIFS('GL-Transactions'!B:B,'GL-Transactions'!G:G,"Total",'GL-Transactions'!E:E,B43)</f>
        <v>0</v>
      </c>
      <c r="F43" s="4">
        <f t="shared" si="0"/>
        <v>345000</v>
      </c>
    </row>
    <row r="44" spans="2:6" ht="15" customHeight="1">
      <c r="B44" s="3">
        <v>9504016</v>
      </c>
      <c r="C44" s="3" t="s">
        <v>525</v>
      </c>
      <c r="D44" s="4">
        <f>SUMIFS('GL-Transactions'!C:C,'GL-Transactions'!G:G,"Total",'GL-Transactions'!E:E,B44)</f>
        <v>3070</v>
      </c>
      <c r="E44" s="4">
        <f>SUMIFS('GL-Transactions'!B:B,'GL-Transactions'!G:G,"Total",'GL-Transactions'!E:E,B44)</f>
        <v>0</v>
      </c>
      <c r="F44" s="4">
        <f t="shared" si="0"/>
        <v>3070</v>
      </c>
    </row>
    <row r="45" spans="2:6" ht="15" customHeight="1">
      <c r="B45" s="3">
        <v>9504015</v>
      </c>
      <c r="C45" s="3" t="s">
        <v>524</v>
      </c>
      <c r="D45" s="4">
        <f>SUMIFS('GL-Transactions'!C:C,'GL-Transactions'!G:G,"Total",'GL-Transactions'!E:E,B45)</f>
        <v>931212</v>
      </c>
      <c r="E45" s="4">
        <f>SUMIFS('GL-Transactions'!B:B,'GL-Transactions'!G:G,"Total",'GL-Transactions'!E:E,B45)</f>
        <v>0</v>
      </c>
      <c r="F45" s="4">
        <f t="shared" si="0"/>
        <v>931212</v>
      </c>
    </row>
    <row r="46" spans="2:6" ht="15" customHeight="1">
      <c r="B46" s="3">
        <v>9504013</v>
      </c>
      <c r="C46" s="3" t="s">
        <v>523</v>
      </c>
      <c r="D46" s="4">
        <f>SUMIFS('GL-Transactions'!C:C,'GL-Transactions'!G:G,"Total",'GL-Transactions'!E:E,B46)</f>
        <v>1027525</v>
      </c>
      <c r="E46" s="4">
        <f>SUMIFS('GL-Transactions'!B:B,'GL-Transactions'!G:G,"Total",'GL-Transactions'!E:E,B46)</f>
        <v>418025</v>
      </c>
      <c r="F46" s="4">
        <f t="shared" si="0"/>
        <v>609500</v>
      </c>
    </row>
    <row r="47" spans="2:6" ht="15" customHeight="1">
      <c r="B47" s="3">
        <v>9504011</v>
      </c>
      <c r="C47" s="3" t="s">
        <v>522</v>
      </c>
      <c r="D47" s="4">
        <f>SUMIFS('GL-Transactions'!C:C,'GL-Transactions'!G:G,"Total",'GL-Transactions'!E:E,B47)</f>
        <v>1395865</v>
      </c>
      <c r="E47" s="4">
        <f>SUMIFS('GL-Transactions'!B:B,'GL-Transactions'!G:G,"Total",'GL-Transactions'!E:E,B47)</f>
        <v>13890</v>
      </c>
      <c r="F47" s="4">
        <f t="shared" si="0"/>
        <v>1381975</v>
      </c>
    </row>
    <row r="48" spans="2:6" ht="15" customHeight="1">
      <c r="B48" s="3">
        <v>9504009</v>
      </c>
      <c r="C48" s="3" t="s">
        <v>521</v>
      </c>
      <c r="D48" s="4">
        <f>SUMIFS('GL-Transactions'!C:C,'GL-Transactions'!G:G,"Total",'GL-Transactions'!E:E,B48)</f>
        <v>650361</v>
      </c>
      <c r="E48" s="4">
        <f>SUMIFS('GL-Transactions'!B:B,'GL-Transactions'!G:G,"Total",'GL-Transactions'!E:E,B48)</f>
        <v>0</v>
      </c>
      <c r="F48" s="4">
        <f t="shared" si="0"/>
        <v>650361</v>
      </c>
    </row>
    <row r="49" spans="2:6" ht="15" customHeight="1">
      <c r="B49" s="3">
        <v>9504006</v>
      </c>
      <c r="C49" s="3" t="s">
        <v>520</v>
      </c>
      <c r="D49" s="4">
        <f>SUMIFS('GL-Transactions'!C:C,'GL-Transactions'!G:G,"Total",'GL-Transactions'!E:E,B49)</f>
        <v>17250</v>
      </c>
      <c r="E49" s="4">
        <f>SUMIFS('GL-Transactions'!B:B,'GL-Transactions'!G:G,"Total",'GL-Transactions'!E:E,B49)</f>
        <v>0</v>
      </c>
      <c r="F49" s="4">
        <f t="shared" si="0"/>
        <v>17250</v>
      </c>
    </row>
    <row r="50" spans="2:6" ht="15" customHeight="1">
      <c r="B50" s="3">
        <v>9504005</v>
      </c>
      <c r="C50" s="3" t="s">
        <v>519</v>
      </c>
      <c r="D50" s="4">
        <f>SUMIFS('GL-Transactions'!C:C,'GL-Transactions'!G:G,"Total",'GL-Transactions'!E:E,B50)</f>
        <v>2311500</v>
      </c>
      <c r="E50" s="4">
        <f>SUMIFS('GL-Transactions'!B:B,'GL-Transactions'!G:G,"Total",'GL-Transactions'!E:E,B50)</f>
        <v>0</v>
      </c>
      <c r="F50" s="4">
        <f t="shared" si="0"/>
        <v>2311500</v>
      </c>
    </row>
    <row r="51" spans="2:6" ht="15" customHeight="1">
      <c r="B51" s="3">
        <v>9504002</v>
      </c>
      <c r="C51" s="3" t="s">
        <v>518</v>
      </c>
      <c r="D51" s="4">
        <f>SUMIFS('GL-Transactions'!C:C,'GL-Transactions'!G:G,"Total",'GL-Transactions'!E:E,B51)</f>
        <v>2300</v>
      </c>
      <c r="E51" s="4">
        <f>SUMIFS('GL-Transactions'!B:B,'GL-Transactions'!G:G,"Total",'GL-Transactions'!E:E,B51)</f>
        <v>0</v>
      </c>
      <c r="F51" s="4">
        <f t="shared" si="0"/>
        <v>2300</v>
      </c>
    </row>
    <row r="52" spans="2:6" ht="15" customHeight="1">
      <c r="B52" s="3">
        <v>9502010</v>
      </c>
      <c r="C52" s="3" t="s">
        <v>517</v>
      </c>
      <c r="D52" s="4">
        <f>SUMIFS('GL-Transactions'!C:C,'GL-Transactions'!G:G,"Total",'GL-Transactions'!E:E,B52)</f>
        <v>12113631</v>
      </c>
      <c r="E52" s="4">
        <f>SUMIFS('GL-Transactions'!B:B,'GL-Transactions'!G:G,"Total",'GL-Transactions'!E:E,B52)</f>
        <v>0</v>
      </c>
      <c r="F52" s="4">
        <f t="shared" si="0"/>
        <v>12113631</v>
      </c>
    </row>
    <row r="53" spans="2:6" ht="15" customHeight="1">
      <c r="B53" s="3">
        <v>9406005</v>
      </c>
      <c r="C53" s="3" t="s">
        <v>515</v>
      </c>
      <c r="D53" s="4">
        <f>SUMIFS('GL-Transactions'!C:C,'GL-Transactions'!G:G,"Total",'GL-Transactions'!E:E,B53)</f>
        <v>198919</v>
      </c>
      <c r="E53" s="4">
        <f>SUMIFS('GL-Transactions'!B:B,'GL-Transactions'!G:G,"Total",'GL-Transactions'!E:E,B53)</f>
        <v>0</v>
      </c>
      <c r="F53" s="4">
        <f t="shared" si="0"/>
        <v>198919</v>
      </c>
    </row>
    <row r="54" spans="2:6" ht="15" customHeight="1">
      <c r="B54" s="3">
        <v>9405408</v>
      </c>
      <c r="C54" s="3" t="s">
        <v>514</v>
      </c>
      <c r="D54" s="4">
        <f>SUMIFS('GL-Transactions'!C:C,'GL-Transactions'!G:G,"Total",'GL-Transactions'!E:E,B54)</f>
        <v>7267170</v>
      </c>
      <c r="E54" s="4">
        <f>SUMIFS('GL-Transactions'!B:B,'GL-Transactions'!G:G,"Total",'GL-Transactions'!E:E,B54)</f>
        <v>9429940</v>
      </c>
      <c r="F54" s="4">
        <f t="shared" si="0"/>
        <v>-2162770</v>
      </c>
    </row>
    <row r="55" spans="2:6" ht="15" customHeight="1">
      <c r="B55" s="3">
        <v>9405308</v>
      </c>
      <c r="C55" s="3" t="s">
        <v>513</v>
      </c>
      <c r="D55" s="4">
        <f>SUMIFS('GL-Transactions'!C:C,'GL-Transactions'!G:G,"Total",'GL-Transactions'!E:E,B55)</f>
        <v>554234</v>
      </c>
      <c r="E55" s="4">
        <f>SUMIFS('GL-Transactions'!B:B,'GL-Transactions'!G:G,"Total",'GL-Transactions'!E:E,B55)</f>
        <v>0</v>
      </c>
      <c r="F55" s="4">
        <f t="shared" si="0"/>
        <v>554234</v>
      </c>
    </row>
    <row r="56" spans="2:6" ht="15" customHeight="1">
      <c r="B56" s="3">
        <v>9405208</v>
      </c>
      <c r="C56" s="3" t="s">
        <v>512</v>
      </c>
      <c r="D56" s="4">
        <f>SUMIFS('GL-Transactions'!C:C,'GL-Transactions'!G:G,"Total",'GL-Transactions'!E:E,B56)</f>
        <v>3230335</v>
      </c>
      <c r="E56" s="4">
        <f>SUMIFS('GL-Transactions'!B:B,'GL-Transactions'!G:G,"Total",'GL-Transactions'!E:E,B56)</f>
        <v>0</v>
      </c>
      <c r="F56" s="4">
        <f t="shared" si="0"/>
        <v>3230335</v>
      </c>
    </row>
    <row r="57" spans="2:6" ht="15" customHeight="1">
      <c r="B57" s="3">
        <v>9404016</v>
      </c>
      <c r="C57" s="3" t="s">
        <v>510</v>
      </c>
      <c r="D57" s="4">
        <f>SUMIFS('GL-Transactions'!C:C,'GL-Transactions'!G:G,"Total",'GL-Transactions'!E:E,B57)</f>
        <v>3381</v>
      </c>
      <c r="E57" s="4">
        <f>SUMIFS('GL-Transactions'!B:B,'GL-Transactions'!G:G,"Total",'GL-Transactions'!E:E,B57)</f>
        <v>0</v>
      </c>
      <c r="F57" s="4">
        <f t="shared" si="0"/>
        <v>3381</v>
      </c>
    </row>
    <row r="58" spans="2:6" ht="15" customHeight="1">
      <c r="B58" s="3">
        <v>9404015</v>
      </c>
      <c r="C58" s="3" t="s">
        <v>509</v>
      </c>
      <c r="D58" s="4">
        <f>SUMIFS('GL-Transactions'!C:C,'GL-Transactions'!G:G,"Total",'GL-Transactions'!E:E,B58)</f>
        <v>1779642</v>
      </c>
      <c r="E58" s="4">
        <f>SUMIFS('GL-Transactions'!B:B,'GL-Transactions'!G:G,"Total",'GL-Transactions'!E:E,B58)</f>
        <v>0</v>
      </c>
      <c r="F58" s="4">
        <f t="shared" si="0"/>
        <v>1779642</v>
      </c>
    </row>
    <row r="59" spans="2:6" ht="15" customHeight="1">
      <c r="B59" s="3">
        <v>9404014</v>
      </c>
      <c r="C59" s="3" t="s">
        <v>508</v>
      </c>
      <c r="D59" s="4">
        <f>SUMIFS('GL-Transactions'!C:C,'GL-Transactions'!G:G,"Total",'GL-Transactions'!E:E,B59)</f>
        <v>4600</v>
      </c>
      <c r="E59" s="4">
        <f>SUMIFS('GL-Transactions'!B:B,'GL-Transactions'!G:G,"Total",'GL-Transactions'!E:E,B59)</f>
        <v>0</v>
      </c>
      <c r="F59" s="4">
        <f t="shared" si="0"/>
        <v>4600</v>
      </c>
    </row>
    <row r="60" spans="2:6" ht="15" customHeight="1">
      <c r="B60" s="3">
        <v>9404013</v>
      </c>
      <c r="C60" s="3" t="s">
        <v>507</v>
      </c>
      <c r="D60" s="4">
        <f>SUMIFS('GL-Transactions'!C:C,'GL-Transactions'!G:G,"Total",'GL-Transactions'!E:E,B60)</f>
        <v>97458</v>
      </c>
      <c r="E60" s="4">
        <f>SUMIFS('GL-Transactions'!B:B,'GL-Transactions'!G:G,"Total",'GL-Transactions'!E:E,B60)</f>
        <v>0</v>
      </c>
      <c r="F60" s="4">
        <f t="shared" si="0"/>
        <v>97458</v>
      </c>
    </row>
    <row r="61" spans="2:6" ht="15" customHeight="1">
      <c r="B61" s="3">
        <v>9404011</v>
      </c>
      <c r="C61" s="3" t="s">
        <v>506</v>
      </c>
      <c r="D61" s="4">
        <f>SUMIFS('GL-Transactions'!C:C,'GL-Transactions'!G:G,"Total",'GL-Transactions'!E:E,B61)</f>
        <v>1938139</v>
      </c>
      <c r="E61" s="4">
        <f>SUMIFS('GL-Transactions'!B:B,'GL-Transactions'!G:G,"Total",'GL-Transactions'!E:E,B61)</f>
        <v>0</v>
      </c>
      <c r="F61" s="4">
        <f t="shared" si="0"/>
        <v>1938139</v>
      </c>
    </row>
    <row r="62" spans="2:6" ht="15" customHeight="1">
      <c r="B62" s="3">
        <v>9404009</v>
      </c>
      <c r="C62" s="3" t="s">
        <v>505</v>
      </c>
      <c r="D62" s="4">
        <f>SUMIFS('GL-Transactions'!C:C,'GL-Transactions'!G:G,"Total",'GL-Transactions'!E:E,B62)</f>
        <v>187077</v>
      </c>
      <c r="E62" s="4">
        <f>SUMIFS('GL-Transactions'!B:B,'GL-Transactions'!G:G,"Total",'GL-Transactions'!E:E,B62)</f>
        <v>0</v>
      </c>
      <c r="F62" s="4">
        <f t="shared" si="0"/>
        <v>187077</v>
      </c>
    </row>
    <row r="63" spans="2:6" ht="15" customHeight="1">
      <c r="B63" s="3">
        <v>9404006</v>
      </c>
      <c r="C63" s="3" t="s">
        <v>504</v>
      </c>
      <c r="D63" s="4">
        <f>SUMIFS('GL-Transactions'!C:C,'GL-Transactions'!G:G,"Total",'GL-Transactions'!E:E,B63)</f>
        <v>931614</v>
      </c>
      <c r="E63" s="4">
        <f>SUMIFS('GL-Transactions'!B:B,'GL-Transactions'!G:G,"Total",'GL-Transactions'!E:E,B63)</f>
        <v>0</v>
      </c>
      <c r="F63" s="4">
        <f t="shared" si="0"/>
        <v>931614</v>
      </c>
    </row>
    <row r="64" spans="2:6" ht="15" customHeight="1">
      <c r="B64" s="3">
        <v>9404005</v>
      </c>
      <c r="C64" s="3" t="s">
        <v>503</v>
      </c>
      <c r="D64" s="4">
        <f>SUMIFS('GL-Transactions'!C:C,'GL-Transactions'!G:G,"Total",'GL-Transactions'!E:E,B64)</f>
        <v>1124514</v>
      </c>
      <c r="E64" s="4">
        <f>SUMIFS('GL-Transactions'!B:B,'GL-Transactions'!G:G,"Total",'GL-Transactions'!E:E,B64)</f>
        <v>0</v>
      </c>
      <c r="F64" s="4">
        <f t="shared" si="0"/>
        <v>1124514</v>
      </c>
    </row>
    <row r="65" spans="2:6" ht="15" customHeight="1">
      <c r="B65" s="3">
        <v>9403010</v>
      </c>
      <c r="C65" s="3" t="s">
        <v>502</v>
      </c>
      <c r="D65" s="4">
        <f>SUMIFS('GL-Transactions'!C:C,'GL-Transactions'!G:G,"Total",'GL-Transactions'!E:E,B65)</f>
        <v>2984078</v>
      </c>
      <c r="E65" s="4">
        <f>SUMIFS('GL-Transactions'!B:B,'GL-Transactions'!G:G,"Total",'GL-Transactions'!E:E,B65)</f>
        <v>0</v>
      </c>
      <c r="F65" s="4">
        <f t="shared" si="0"/>
        <v>2984078</v>
      </c>
    </row>
    <row r="66" spans="2:6" ht="15" customHeight="1">
      <c r="B66" s="3">
        <v>9401010</v>
      </c>
      <c r="C66" s="3" t="s">
        <v>501</v>
      </c>
      <c r="D66" s="4">
        <f>SUMIFS('GL-Transactions'!C:C,'GL-Transactions'!G:G,"Total",'GL-Transactions'!E:E,B66)</f>
        <v>7203039</v>
      </c>
      <c r="E66" s="4">
        <f>SUMIFS('GL-Transactions'!B:B,'GL-Transactions'!G:G,"Total",'GL-Transactions'!E:E,B66)</f>
        <v>0</v>
      </c>
      <c r="F66" s="4">
        <f t="shared" si="0"/>
        <v>7203039</v>
      </c>
    </row>
    <row r="67" spans="2:6" ht="15" customHeight="1">
      <c r="B67" s="3">
        <v>9304016</v>
      </c>
      <c r="C67" s="3" t="s">
        <v>498</v>
      </c>
      <c r="D67" s="4">
        <f>SUMIFS('GL-Transactions'!C:C,'GL-Transactions'!G:G,"Total",'GL-Transactions'!E:E,B67)</f>
        <v>759</v>
      </c>
      <c r="E67" s="4">
        <f>SUMIFS('GL-Transactions'!B:B,'GL-Transactions'!G:G,"Total",'GL-Transactions'!E:E,B67)</f>
        <v>0</v>
      </c>
      <c r="F67" s="4">
        <f t="shared" si="0"/>
        <v>759</v>
      </c>
    </row>
    <row r="68" spans="2:6" ht="15" customHeight="1">
      <c r="B68" s="3">
        <v>9304015</v>
      </c>
      <c r="C68" s="3" t="s">
        <v>497</v>
      </c>
      <c r="D68" s="4">
        <f>SUMIFS('GL-Transactions'!C:C,'GL-Transactions'!G:G,"Total",'GL-Transactions'!E:E,B68)</f>
        <v>178250</v>
      </c>
      <c r="E68" s="4">
        <f>SUMIFS('GL-Transactions'!B:B,'GL-Transactions'!G:G,"Total",'GL-Transactions'!E:E,B68)</f>
        <v>0</v>
      </c>
      <c r="F68" s="4">
        <f t="shared" si="0"/>
        <v>178250</v>
      </c>
    </row>
    <row r="69" spans="2:6" ht="15" customHeight="1">
      <c r="B69" s="3">
        <v>9304009</v>
      </c>
      <c r="C69" s="3" t="s">
        <v>496</v>
      </c>
      <c r="D69" s="4">
        <f>SUMIFS('GL-Transactions'!C:C,'GL-Transactions'!G:G,"Total",'GL-Transactions'!E:E,B69)</f>
        <v>10334</v>
      </c>
      <c r="E69" s="4">
        <f>SUMIFS('GL-Transactions'!B:B,'GL-Transactions'!G:G,"Total",'GL-Transactions'!E:E,B69)</f>
        <v>0</v>
      </c>
      <c r="F69" s="4">
        <f t="shared" ref="F69:F132" si="1">D69-E69</f>
        <v>10334</v>
      </c>
    </row>
    <row r="70" spans="2:6" ht="15" customHeight="1">
      <c r="B70" s="3">
        <v>9301010</v>
      </c>
      <c r="C70" s="3" t="s">
        <v>495</v>
      </c>
      <c r="D70" s="4">
        <f>SUMIFS('GL-Transactions'!C:C,'GL-Transactions'!G:G,"Total",'GL-Transactions'!E:E,B70)</f>
        <v>1585016</v>
      </c>
      <c r="E70" s="4">
        <f>SUMIFS('GL-Transactions'!B:B,'GL-Transactions'!G:G,"Total",'GL-Transactions'!E:E,B70)</f>
        <v>0</v>
      </c>
      <c r="F70" s="4">
        <f t="shared" si="1"/>
        <v>1585016</v>
      </c>
    </row>
    <row r="71" spans="2:6" ht="15" customHeight="1">
      <c r="B71" s="3">
        <v>9204016</v>
      </c>
      <c r="C71" s="3" t="s">
        <v>493</v>
      </c>
      <c r="D71" s="4">
        <f>SUMIFS('GL-Transactions'!C:C,'GL-Transactions'!G:G,"Total",'GL-Transactions'!E:E,B71)</f>
        <v>190854</v>
      </c>
      <c r="E71" s="4">
        <f>SUMIFS('GL-Transactions'!B:B,'GL-Transactions'!G:G,"Total",'GL-Transactions'!E:E,B71)</f>
        <v>0</v>
      </c>
      <c r="F71" s="4">
        <f t="shared" si="1"/>
        <v>190854</v>
      </c>
    </row>
    <row r="72" spans="2:6" ht="15" customHeight="1">
      <c r="B72" s="3">
        <v>9204015</v>
      </c>
      <c r="C72" s="3" t="s">
        <v>492</v>
      </c>
      <c r="D72" s="4">
        <f>SUMIFS('GL-Transactions'!C:C,'GL-Transactions'!G:G,"Total",'GL-Transactions'!E:E,B72)</f>
        <v>375993</v>
      </c>
      <c r="E72" s="4">
        <f>SUMIFS('GL-Transactions'!B:B,'GL-Transactions'!G:G,"Total",'GL-Transactions'!E:E,B72)</f>
        <v>0</v>
      </c>
      <c r="F72" s="4">
        <f t="shared" si="1"/>
        <v>375993</v>
      </c>
    </row>
    <row r="73" spans="2:6" ht="15" customHeight="1">
      <c r="B73" s="3">
        <v>9204011</v>
      </c>
      <c r="C73" s="3" t="s">
        <v>489</v>
      </c>
      <c r="D73" s="4">
        <f>SUMIFS('GL-Transactions'!C:C,'GL-Transactions'!G:G,"Total",'GL-Transactions'!E:E,B73)</f>
        <v>1740952</v>
      </c>
      <c r="E73" s="4">
        <f>SUMIFS('GL-Transactions'!B:B,'GL-Transactions'!G:G,"Total",'GL-Transactions'!E:E,B73)</f>
        <v>0</v>
      </c>
      <c r="F73" s="4">
        <f t="shared" si="1"/>
        <v>1740952</v>
      </c>
    </row>
    <row r="74" spans="2:6" ht="15" customHeight="1">
      <c r="B74" s="3">
        <v>9204009</v>
      </c>
      <c r="C74" s="3" t="s">
        <v>491</v>
      </c>
      <c r="D74" s="4">
        <f>SUMIFS('GL-Transactions'!C:C,'GL-Transactions'!G:G,"Total",'GL-Transactions'!E:E,B74)</f>
        <v>191554</v>
      </c>
      <c r="E74" s="4">
        <f>SUMIFS('GL-Transactions'!B:B,'GL-Transactions'!G:G,"Total",'GL-Transactions'!E:E,B74)</f>
        <v>0</v>
      </c>
      <c r="F74" s="4">
        <f t="shared" si="1"/>
        <v>191554</v>
      </c>
    </row>
    <row r="75" spans="2:6" ht="15" customHeight="1">
      <c r="B75" s="3">
        <v>9204006</v>
      </c>
      <c r="C75" s="3" t="s">
        <v>490</v>
      </c>
      <c r="D75" s="4">
        <f>SUMIFS('GL-Transactions'!C:C,'GL-Transactions'!G:G,"Total",'GL-Transactions'!E:E,B75)</f>
        <v>23000</v>
      </c>
      <c r="E75" s="4">
        <f>SUMIFS('GL-Transactions'!B:B,'GL-Transactions'!G:G,"Total",'GL-Transactions'!E:E,B75)</f>
        <v>0</v>
      </c>
      <c r="F75" s="4">
        <f t="shared" si="1"/>
        <v>23000</v>
      </c>
    </row>
    <row r="76" spans="2:6" ht="15" customHeight="1">
      <c r="B76" s="3">
        <v>9204005</v>
      </c>
      <c r="C76" s="3" t="s">
        <v>489</v>
      </c>
      <c r="D76" s="4">
        <f>SUMIFS('GL-Transactions'!C:C,'GL-Transactions'!G:G,"Total",'GL-Transactions'!E:E,B76)</f>
        <v>9339364</v>
      </c>
      <c r="E76" s="4">
        <f>SUMIFS('GL-Transactions'!B:B,'GL-Transactions'!G:G,"Total",'GL-Transactions'!E:E,B76)</f>
        <v>0</v>
      </c>
      <c r="F76" s="4">
        <f t="shared" si="1"/>
        <v>9339364</v>
      </c>
    </row>
    <row r="77" spans="2:6" ht="15" customHeight="1">
      <c r="B77" s="3">
        <v>9201010</v>
      </c>
      <c r="C77" s="3" t="s">
        <v>488</v>
      </c>
      <c r="D77" s="4">
        <f>SUMIFS('GL-Transactions'!C:C,'GL-Transactions'!G:G,"Total",'GL-Transactions'!E:E,B77)</f>
        <v>5973069</v>
      </c>
      <c r="E77" s="4">
        <f>SUMIFS('GL-Transactions'!B:B,'GL-Transactions'!G:G,"Total",'GL-Transactions'!E:E,B77)</f>
        <v>0</v>
      </c>
      <c r="F77" s="4">
        <f t="shared" si="1"/>
        <v>5973069</v>
      </c>
    </row>
    <row r="78" spans="2:6" ht="15" customHeight="1">
      <c r="B78" s="3">
        <v>9106005</v>
      </c>
      <c r="C78" s="3" t="s">
        <v>486</v>
      </c>
      <c r="D78" s="4">
        <f>SUMIFS('GL-Transactions'!C:C,'GL-Transactions'!G:G,"Total",'GL-Transactions'!E:E,B78)</f>
        <v>805000</v>
      </c>
      <c r="E78" s="4">
        <f>SUMIFS('GL-Transactions'!B:B,'GL-Transactions'!G:G,"Total",'GL-Transactions'!E:E,B78)</f>
        <v>0</v>
      </c>
      <c r="F78" s="4">
        <f t="shared" si="1"/>
        <v>805000</v>
      </c>
    </row>
    <row r="79" spans="2:6" ht="15" customHeight="1">
      <c r="B79" s="3">
        <v>9105108</v>
      </c>
      <c r="C79" s="3" t="s">
        <v>485</v>
      </c>
      <c r="D79" s="4">
        <f>SUMIFS('GL-Transactions'!C:C,'GL-Transactions'!G:G,"Total",'GL-Transactions'!E:E,B79)</f>
        <v>4364221</v>
      </c>
      <c r="E79" s="4">
        <f>SUMIFS('GL-Transactions'!B:B,'GL-Transactions'!G:G,"Total",'GL-Transactions'!E:E,B79)</f>
        <v>0</v>
      </c>
      <c r="F79" s="4">
        <f t="shared" si="1"/>
        <v>4364221</v>
      </c>
    </row>
    <row r="80" spans="2:6" ht="15" customHeight="1">
      <c r="B80" s="3">
        <v>9104021</v>
      </c>
      <c r="C80" s="3" t="s">
        <v>483</v>
      </c>
      <c r="D80" s="4">
        <f>SUMIFS('GL-Transactions'!C:C,'GL-Transactions'!G:G,"Total",'GL-Transactions'!E:E,B80)</f>
        <v>5750000</v>
      </c>
      <c r="E80" s="4">
        <f>SUMIFS('GL-Transactions'!B:B,'GL-Transactions'!G:G,"Total",'GL-Transactions'!E:E,B80)</f>
        <v>5750000</v>
      </c>
      <c r="F80" s="4">
        <f t="shared" si="1"/>
        <v>0</v>
      </c>
    </row>
    <row r="81" spans="2:6" ht="15" customHeight="1">
      <c r="B81" s="3">
        <v>9104019</v>
      </c>
      <c r="C81" s="3" t="s">
        <v>482</v>
      </c>
      <c r="D81" s="4">
        <f>SUMIFS('GL-Transactions'!C:C,'GL-Transactions'!G:G,"Total",'GL-Transactions'!E:E,B81)</f>
        <v>685869</v>
      </c>
      <c r="E81" s="4">
        <f>SUMIFS('GL-Transactions'!B:B,'GL-Transactions'!G:G,"Total",'GL-Transactions'!E:E,B81)</f>
        <v>276000</v>
      </c>
      <c r="F81" s="4">
        <f t="shared" si="1"/>
        <v>409869</v>
      </c>
    </row>
    <row r="82" spans="2:6" ht="15" customHeight="1">
      <c r="B82" s="3">
        <v>9104016</v>
      </c>
      <c r="C82" s="3" t="s">
        <v>481</v>
      </c>
      <c r="D82" s="4">
        <f>SUMIFS('GL-Transactions'!C:C,'GL-Transactions'!G:G,"Total",'GL-Transactions'!E:E,B82)</f>
        <v>592855</v>
      </c>
      <c r="E82" s="4">
        <f>SUMIFS('GL-Transactions'!B:B,'GL-Transactions'!G:G,"Total",'GL-Transactions'!E:E,B82)</f>
        <v>0</v>
      </c>
      <c r="F82" s="4">
        <f t="shared" si="1"/>
        <v>592855</v>
      </c>
    </row>
    <row r="83" spans="2:6" ht="15" customHeight="1">
      <c r="B83" s="3">
        <v>9104015</v>
      </c>
      <c r="C83" s="3" t="s">
        <v>480</v>
      </c>
      <c r="D83" s="4">
        <f>SUMIFS('GL-Transactions'!C:C,'GL-Transactions'!G:G,"Total",'GL-Transactions'!E:E,B83)</f>
        <v>2415708</v>
      </c>
      <c r="E83" s="4">
        <f>SUMIFS('GL-Transactions'!B:B,'GL-Transactions'!G:G,"Total",'GL-Transactions'!E:E,B83)</f>
        <v>0</v>
      </c>
      <c r="F83" s="4">
        <f t="shared" si="1"/>
        <v>2415708</v>
      </c>
    </row>
    <row r="84" spans="2:6" ht="15" customHeight="1">
      <c r="B84" s="3">
        <v>9104014</v>
      </c>
      <c r="C84" s="3" t="s">
        <v>479</v>
      </c>
      <c r="D84" s="4">
        <f>SUMIFS('GL-Transactions'!C:C,'GL-Transactions'!G:G,"Total",'GL-Transactions'!E:E,B84)</f>
        <v>3525555</v>
      </c>
      <c r="E84" s="4">
        <f>SUMIFS('GL-Transactions'!B:B,'GL-Transactions'!G:G,"Total",'GL-Transactions'!E:E,B84)</f>
        <v>0</v>
      </c>
      <c r="F84" s="4">
        <f t="shared" si="1"/>
        <v>3525555</v>
      </c>
    </row>
    <row r="85" spans="2:6" ht="15" customHeight="1">
      <c r="B85" s="3">
        <v>9104013</v>
      </c>
      <c r="C85" s="3" t="s">
        <v>478</v>
      </c>
      <c r="D85" s="4">
        <f>SUMIFS('GL-Transactions'!C:C,'GL-Transactions'!G:G,"Total",'GL-Transactions'!E:E,B85)</f>
        <v>3221955</v>
      </c>
      <c r="E85" s="4">
        <f>SUMIFS('GL-Transactions'!B:B,'GL-Transactions'!G:G,"Total",'GL-Transactions'!E:E,B85)</f>
        <v>0</v>
      </c>
      <c r="F85" s="4">
        <f t="shared" si="1"/>
        <v>3221955</v>
      </c>
    </row>
    <row r="86" spans="2:6" ht="15" customHeight="1">
      <c r="B86" s="3">
        <v>9104011</v>
      </c>
      <c r="C86" s="3" t="s">
        <v>477</v>
      </c>
      <c r="D86" s="4">
        <f>SUMIFS('GL-Transactions'!C:C,'GL-Transactions'!G:G,"Total",'GL-Transactions'!E:E,B86)</f>
        <v>4495383</v>
      </c>
      <c r="E86" s="4">
        <f>SUMIFS('GL-Transactions'!B:B,'GL-Transactions'!G:G,"Total",'GL-Transactions'!E:E,B86)</f>
        <v>0</v>
      </c>
      <c r="F86" s="4">
        <f t="shared" si="1"/>
        <v>4495383</v>
      </c>
    </row>
    <row r="87" spans="2:6" ht="15" customHeight="1">
      <c r="B87" s="3">
        <v>9104009</v>
      </c>
      <c r="C87" s="3" t="s">
        <v>476</v>
      </c>
      <c r="D87" s="4">
        <f>SUMIFS('GL-Transactions'!C:C,'GL-Transactions'!G:G,"Total",'GL-Transactions'!E:E,B87)</f>
        <v>1666647</v>
      </c>
      <c r="E87" s="4">
        <f>SUMIFS('GL-Transactions'!B:B,'GL-Transactions'!G:G,"Total",'GL-Transactions'!E:E,B87)</f>
        <v>0</v>
      </c>
      <c r="F87" s="4">
        <f t="shared" si="1"/>
        <v>1666647</v>
      </c>
    </row>
    <row r="88" spans="2:6" ht="15" customHeight="1">
      <c r="B88" s="3">
        <v>9104006</v>
      </c>
      <c r="C88" s="3" t="s">
        <v>475</v>
      </c>
      <c r="D88" s="4">
        <f>SUMIFS('GL-Transactions'!C:C,'GL-Transactions'!G:G,"Total",'GL-Transactions'!E:E,B88)</f>
        <v>696752</v>
      </c>
      <c r="E88" s="4">
        <f>SUMIFS('GL-Transactions'!B:B,'GL-Transactions'!G:G,"Total",'GL-Transactions'!E:E,B88)</f>
        <v>0</v>
      </c>
      <c r="F88" s="4">
        <f t="shared" si="1"/>
        <v>696752</v>
      </c>
    </row>
    <row r="89" spans="2:6" ht="15" customHeight="1">
      <c r="B89" s="3">
        <v>9104005</v>
      </c>
      <c r="C89" s="3" t="s">
        <v>474</v>
      </c>
      <c r="D89" s="4">
        <f>SUMIFS('GL-Transactions'!C:C,'GL-Transactions'!G:G,"Total",'GL-Transactions'!E:E,B89)</f>
        <v>13868650</v>
      </c>
      <c r="E89" s="4">
        <f>SUMIFS('GL-Transactions'!B:B,'GL-Transactions'!G:G,"Total",'GL-Transactions'!E:E,B89)</f>
        <v>0</v>
      </c>
      <c r="F89" s="4">
        <f t="shared" si="1"/>
        <v>13868650</v>
      </c>
    </row>
    <row r="90" spans="2:6" ht="15" customHeight="1">
      <c r="B90" s="3">
        <v>9104004</v>
      </c>
      <c r="C90" s="3" t="s">
        <v>473</v>
      </c>
      <c r="D90" s="4">
        <f>SUMIFS('GL-Transactions'!C:C,'GL-Transactions'!G:G,"Total",'GL-Transactions'!E:E,B90)</f>
        <v>321451</v>
      </c>
      <c r="E90" s="4">
        <f>SUMIFS('GL-Transactions'!B:B,'GL-Transactions'!G:G,"Total",'GL-Transactions'!E:E,B90)</f>
        <v>0</v>
      </c>
      <c r="F90" s="4">
        <f t="shared" si="1"/>
        <v>321451</v>
      </c>
    </row>
    <row r="91" spans="2:6" ht="15" customHeight="1">
      <c r="B91" s="3">
        <v>9104002</v>
      </c>
      <c r="C91" s="3" t="s">
        <v>472</v>
      </c>
      <c r="D91" s="4">
        <f>SUMIFS('GL-Transactions'!C:C,'GL-Transactions'!G:G,"Total",'GL-Transactions'!E:E,B91)</f>
        <v>11500</v>
      </c>
      <c r="E91" s="4">
        <f>SUMIFS('GL-Transactions'!B:B,'GL-Transactions'!G:G,"Total",'GL-Transactions'!E:E,B91)</f>
        <v>0</v>
      </c>
      <c r="F91" s="4">
        <f t="shared" si="1"/>
        <v>11500</v>
      </c>
    </row>
    <row r="92" spans="2:6" ht="15" customHeight="1">
      <c r="B92" s="3">
        <v>9103010</v>
      </c>
      <c r="C92" s="3" t="s">
        <v>471</v>
      </c>
      <c r="D92" s="4">
        <f>SUMIFS('GL-Transactions'!C:C,'GL-Transactions'!G:G,"Total",'GL-Transactions'!E:E,B92)</f>
        <v>3551967</v>
      </c>
      <c r="E92" s="4">
        <f>SUMIFS('GL-Transactions'!B:B,'GL-Transactions'!G:G,"Total",'GL-Transactions'!E:E,B92)</f>
        <v>0</v>
      </c>
      <c r="F92" s="4">
        <f t="shared" si="1"/>
        <v>3551967</v>
      </c>
    </row>
    <row r="93" spans="2:6" ht="15" customHeight="1">
      <c r="B93" s="3">
        <v>9102011</v>
      </c>
      <c r="C93" s="3" t="s">
        <v>470</v>
      </c>
      <c r="D93" s="4">
        <f>SUMIFS('GL-Transactions'!C:C,'GL-Transactions'!G:G,"Total",'GL-Transactions'!E:E,B93)</f>
        <v>23000</v>
      </c>
      <c r="E93" s="4">
        <f>SUMIFS('GL-Transactions'!B:B,'GL-Transactions'!G:G,"Total",'GL-Transactions'!E:E,B93)</f>
        <v>0</v>
      </c>
      <c r="F93" s="4">
        <f t="shared" si="1"/>
        <v>23000</v>
      </c>
    </row>
    <row r="94" spans="2:6" ht="15" customHeight="1">
      <c r="B94" s="3">
        <v>9102010</v>
      </c>
      <c r="C94" s="3" t="s">
        <v>469</v>
      </c>
      <c r="D94" s="4">
        <f>SUMIFS('GL-Transactions'!C:C,'GL-Transactions'!G:G,"Total",'GL-Transactions'!E:E,B94)</f>
        <v>39489970</v>
      </c>
      <c r="E94" s="4">
        <f>SUMIFS('GL-Transactions'!B:B,'GL-Transactions'!G:G,"Total",'GL-Transactions'!E:E,B94)</f>
        <v>0</v>
      </c>
      <c r="F94" s="4">
        <f t="shared" si="1"/>
        <v>39489970</v>
      </c>
    </row>
    <row r="95" spans="2:6" ht="15" customHeight="1">
      <c r="B95" s="3">
        <v>9101010</v>
      </c>
      <c r="C95" s="3" t="s">
        <v>468</v>
      </c>
      <c r="D95" s="4">
        <f>SUMIFS('GL-Transactions'!C:C,'GL-Transactions'!G:G,"Total",'GL-Transactions'!E:E,B95)</f>
        <v>3375732</v>
      </c>
      <c r="E95" s="4">
        <f>SUMIFS('GL-Transactions'!B:B,'GL-Transactions'!G:G,"Total",'GL-Transactions'!E:E,B95)</f>
        <v>0</v>
      </c>
      <c r="F95" s="4">
        <f t="shared" si="1"/>
        <v>3375732</v>
      </c>
    </row>
    <row r="96" spans="2:6" ht="15" customHeight="1">
      <c r="B96" s="3">
        <v>4170421</v>
      </c>
      <c r="C96" s="3" t="s">
        <v>466</v>
      </c>
      <c r="D96" s="4">
        <f>SUMIFS('GL-Transactions'!C:C,'GL-Transactions'!G:G,"Total",'GL-Transactions'!E:E,B96)</f>
        <v>11844281</v>
      </c>
      <c r="E96" s="4">
        <f>SUMIFS('GL-Transactions'!B:B,'GL-Transactions'!G:G,"Total",'GL-Transactions'!E:E,B96)</f>
        <v>11844281</v>
      </c>
      <c r="F96" s="4">
        <f t="shared" si="1"/>
        <v>0</v>
      </c>
    </row>
    <row r="97" spans="2:6" ht="15" customHeight="1">
      <c r="B97" s="3">
        <v>4170405</v>
      </c>
      <c r="C97" s="3" t="s">
        <v>465</v>
      </c>
      <c r="D97" s="4">
        <f>SUMIFS('GL-Transactions'!C:C,'GL-Transactions'!G:G,"Total",'GL-Transactions'!E:E,B97)</f>
        <v>273514</v>
      </c>
      <c r="E97" s="4">
        <f>SUMIFS('GL-Transactions'!B:B,'GL-Transactions'!G:G,"Total",'GL-Transactions'!E:E,B97)</f>
        <v>0</v>
      </c>
      <c r="F97" s="4">
        <f t="shared" si="1"/>
        <v>273514</v>
      </c>
    </row>
    <row r="98" spans="2:6" ht="15" customHeight="1">
      <c r="B98" s="3">
        <v>4170404</v>
      </c>
      <c r="C98" s="3" t="s">
        <v>464</v>
      </c>
      <c r="D98" s="4">
        <f>SUMIFS('GL-Transactions'!C:C,'GL-Transactions'!G:G,"Total",'GL-Transactions'!E:E,B98)</f>
        <v>1090747</v>
      </c>
      <c r="E98" s="4">
        <f>SUMIFS('GL-Transactions'!B:B,'GL-Transactions'!G:G,"Total",'GL-Transactions'!E:E,B98)</f>
        <v>0</v>
      </c>
      <c r="F98" s="4">
        <f t="shared" si="1"/>
        <v>1090747</v>
      </c>
    </row>
    <row r="99" spans="2:6" ht="15" customHeight="1">
      <c r="B99" s="3">
        <v>4170402</v>
      </c>
      <c r="C99" s="3" t="s">
        <v>463</v>
      </c>
      <c r="D99" s="4">
        <f>SUMIFS('GL-Transactions'!C:C,'GL-Transactions'!G:G,"Total",'GL-Transactions'!E:E,B99)</f>
        <v>770500</v>
      </c>
      <c r="E99" s="4">
        <f>SUMIFS('GL-Transactions'!B:B,'GL-Transactions'!G:G,"Total",'GL-Transactions'!E:E,B99)</f>
        <v>57500</v>
      </c>
      <c r="F99" s="4">
        <f t="shared" si="1"/>
        <v>713000</v>
      </c>
    </row>
    <row r="100" spans="2:6" ht="15" customHeight="1">
      <c r="B100" s="3">
        <v>4170401</v>
      </c>
      <c r="C100" s="3" t="s">
        <v>462</v>
      </c>
      <c r="D100" s="4">
        <f>SUMIFS('GL-Transactions'!C:C,'GL-Transactions'!G:G,"Total",'GL-Transactions'!E:E,B100)</f>
        <v>2277460</v>
      </c>
      <c r="E100" s="4">
        <f>SUMIFS('GL-Transactions'!B:B,'GL-Transactions'!G:G,"Total",'GL-Transactions'!E:E,B100)</f>
        <v>115000</v>
      </c>
      <c r="F100" s="4">
        <f t="shared" si="1"/>
        <v>2162460</v>
      </c>
    </row>
    <row r="101" spans="2:6" ht="15" customHeight="1">
      <c r="B101" s="3">
        <v>4170321</v>
      </c>
      <c r="C101" s="3" t="s">
        <v>461</v>
      </c>
      <c r="D101" s="4">
        <f>SUMIFS('GL-Transactions'!C:C,'GL-Transactions'!G:G,"Total",'GL-Transactions'!E:E,B101)</f>
        <v>0</v>
      </c>
      <c r="E101" s="4">
        <f>SUMIFS('GL-Transactions'!B:B,'GL-Transactions'!G:G,"Total",'GL-Transactions'!E:E,B101)</f>
        <v>64398168</v>
      </c>
      <c r="F101" s="4">
        <f t="shared" si="1"/>
        <v>-64398168</v>
      </c>
    </row>
    <row r="102" spans="2:6" ht="15" customHeight="1">
      <c r="B102" s="3">
        <v>4170309</v>
      </c>
      <c r="C102" s="3" t="s">
        <v>460</v>
      </c>
      <c r="D102" s="4">
        <f>SUMIFS('GL-Transactions'!C:C,'GL-Transactions'!G:G,"Total",'GL-Transactions'!E:E,B102)</f>
        <v>11500</v>
      </c>
      <c r="E102" s="4">
        <f>SUMIFS('GL-Transactions'!B:B,'GL-Transactions'!G:G,"Total",'GL-Transactions'!E:E,B102)</f>
        <v>0</v>
      </c>
      <c r="F102" s="4">
        <f t="shared" si="1"/>
        <v>11500</v>
      </c>
    </row>
    <row r="103" spans="2:6" ht="15" customHeight="1">
      <c r="B103" s="3">
        <v>4170305</v>
      </c>
      <c r="C103" s="3" t="s">
        <v>459</v>
      </c>
      <c r="D103" s="4">
        <f>SUMIFS('GL-Transactions'!C:C,'GL-Transactions'!G:G,"Total",'GL-Transactions'!E:E,B103)</f>
        <v>6598514</v>
      </c>
      <c r="E103" s="4">
        <f>SUMIFS('GL-Transactions'!B:B,'GL-Transactions'!G:G,"Total",'GL-Transactions'!E:E,B103)</f>
        <v>0</v>
      </c>
      <c r="F103" s="4">
        <f t="shared" si="1"/>
        <v>6598514</v>
      </c>
    </row>
    <row r="104" spans="2:6" ht="15" customHeight="1">
      <c r="B104" s="3">
        <v>4170304</v>
      </c>
      <c r="C104" s="3" t="s">
        <v>458</v>
      </c>
      <c r="D104" s="4">
        <f>SUMIFS('GL-Transactions'!C:C,'GL-Transactions'!G:G,"Total",'GL-Transactions'!E:E,B104)</f>
        <v>560050</v>
      </c>
      <c r="E104" s="4">
        <f>SUMIFS('GL-Transactions'!B:B,'GL-Transactions'!G:G,"Total",'GL-Transactions'!E:E,B104)</f>
        <v>0</v>
      </c>
      <c r="F104" s="4">
        <f t="shared" si="1"/>
        <v>560050</v>
      </c>
    </row>
    <row r="105" spans="2:6" ht="15" customHeight="1">
      <c r="B105" s="3">
        <v>4170302</v>
      </c>
      <c r="C105" s="3" t="s">
        <v>457</v>
      </c>
      <c r="D105" s="4">
        <f>SUMIFS('GL-Transactions'!C:C,'GL-Transactions'!G:G,"Total",'GL-Transactions'!E:E,B105)</f>
        <v>7651080</v>
      </c>
      <c r="E105" s="4">
        <f>SUMIFS('GL-Transactions'!B:B,'GL-Transactions'!G:G,"Total",'GL-Transactions'!E:E,B105)</f>
        <v>0</v>
      </c>
      <c r="F105" s="4">
        <f t="shared" si="1"/>
        <v>7651080</v>
      </c>
    </row>
    <row r="106" spans="2:6" ht="15" customHeight="1">
      <c r="B106" s="3">
        <v>4170301</v>
      </c>
      <c r="C106" s="3" t="s">
        <v>456</v>
      </c>
      <c r="D106" s="4">
        <f>SUMIFS('GL-Transactions'!C:C,'GL-Transactions'!G:G,"Total",'GL-Transactions'!E:E,B106)</f>
        <v>7642842</v>
      </c>
      <c r="E106" s="4">
        <f>SUMIFS('GL-Transactions'!B:B,'GL-Transactions'!G:G,"Total",'GL-Transactions'!E:E,B106)</f>
        <v>0</v>
      </c>
      <c r="F106" s="4">
        <f t="shared" si="1"/>
        <v>7642842</v>
      </c>
    </row>
    <row r="107" spans="2:6" ht="15" customHeight="1">
      <c r="B107" s="3">
        <v>4170221</v>
      </c>
      <c r="C107" s="3" t="s">
        <v>454</v>
      </c>
      <c r="D107" s="4">
        <f>SUMIFS('GL-Transactions'!C:C,'GL-Transactions'!G:G,"Total",'GL-Transactions'!E:E,B107)</f>
        <v>62909600</v>
      </c>
      <c r="E107" s="4">
        <f>SUMIFS('GL-Transactions'!B:B,'GL-Transactions'!G:G,"Total",'GL-Transactions'!E:E,B107)</f>
        <v>62909600</v>
      </c>
      <c r="F107" s="4">
        <f t="shared" si="1"/>
        <v>0</v>
      </c>
    </row>
    <row r="108" spans="2:6" ht="15" customHeight="1">
      <c r="B108" s="3">
        <v>4170121</v>
      </c>
      <c r="C108" s="3" t="s">
        <v>452</v>
      </c>
      <c r="D108" s="4">
        <f>SUMIFS('GL-Transactions'!C:C,'GL-Transactions'!G:G,"Total",'GL-Transactions'!E:E,B108)</f>
        <v>32144800</v>
      </c>
      <c r="E108" s="4">
        <f>SUMIFS('GL-Transactions'!B:B,'GL-Transactions'!G:G,"Total",'GL-Transactions'!E:E,B108)</f>
        <v>37393975</v>
      </c>
      <c r="F108" s="4">
        <f t="shared" si="1"/>
        <v>-5249175</v>
      </c>
    </row>
    <row r="109" spans="2:6" ht="15" customHeight="1">
      <c r="B109" s="3">
        <v>4170104</v>
      </c>
      <c r="C109" s="3" t="s">
        <v>451</v>
      </c>
      <c r="D109" s="4">
        <f>SUMIFS('GL-Transactions'!C:C,'GL-Transactions'!G:G,"Total",'GL-Transactions'!E:E,B109)</f>
        <v>24150</v>
      </c>
      <c r="E109" s="4">
        <f>SUMIFS('GL-Transactions'!B:B,'GL-Transactions'!G:G,"Total",'GL-Transactions'!E:E,B109)</f>
        <v>0</v>
      </c>
      <c r="F109" s="4">
        <f t="shared" si="1"/>
        <v>24150</v>
      </c>
    </row>
    <row r="110" spans="2:6" ht="15" customHeight="1">
      <c r="B110" s="3">
        <v>4170102</v>
      </c>
      <c r="C110" s="3" t="s">
        <v>450</v>
      </c>
      <c r="D110" s="4">
        <f>SUMIFS('GL-Transactions'!C:C,'GL-Transactions'!G:G,"Total",'GL-Transactions'!E:E,B110)</f>
        <v>460000</v>
      </c>
      <c r="E110" s="4">
        <f>SUMIFS('GL-Transactions'!B:B,'GL-Transactions'!G:G,"Total",'GL-Transactions'!E:E,B110)</f>
        <v>0</v>
      </c>
      <c r="F110" s="4">
        <f t="shared" si="1"/>
        <v>460000</v>
      </c>
    </row>
    <row r="111" spans="2:6" ht="15" customHeight="1">
      <c r="B111" s="3">
        <v>3365121</v>
      </c>
      <c r="C111" s="3" t="s">
        <v>447</v>
      </c>
      <c r="D111" s="4">
        <f>SUMIFS('GL-Transactions'!C:C,'GL-Transactions'!G:G,"Total",'GL-Transactions'!E:E,B111)</f>
        <v>559652</v>
      </c>
      <c r="E111" s="4">
        <f>SUMIFS('GL-Transactions'!B:B,'GL-Transactions'!G:G,"Total",'GL-Transactions'!E:E,B111)</f>
        <v>9167208</v>
      </c>
      <c r="F111" s="4">
        <f t="shared" si="1"/>
        <v>-8607556</v>
      </c>
    </row>
    <row r="112" spans="2:6" ht="15" customHeight="1">
      <c r="B112" s="3">
        <v>3260202</v>
      </c>
      <c r="C112" s="3" t="s">
        <v>444</v>
      </c>
      <c r="D112" s="4">
        <f>SUMIFS('GL-Transactions'!C:C,'GL-Transactions'!G:G,"Total",'GL-Transactions'!E:E,B112)</f>
        <v>28750</v>
      </c>
      <c r="E112" s="4">
        <f>SUMIFS('GL-Transactions'!B:B,'GL-Transactions'!G:G,"Total",'GL-Transactions'!E:E,B112)</f>
        <v>0</v>
      </c>
      <c r="F112" s="4">
        <f t="shared" si="1"/>
        <v>28750</v>
      </c>
    </row>
    <row r="113" spans="2:6" ht="15" customHeight="1">
      <c r="B113" s="3">
        <v>3260121</v>
      </c>
      <c r="C113" s="3" t="s">
        <v>442</v>
      </c>
      <c r="D113" s="4">
        <f>SUMIFS('GL-Transactions'!C:C,'GL-Transactions'!G:G,"Total",'GL-Transactions'!E:E,B113)</f>
        <v>7072500</v>
      </c>
      <c r="E113" s="4">
        <f>SUMIFS('GL-Transactions'!B:B,'GL-Transactions'!G:G,"Total",'GL-Transactions'!E:E,B113)</f>
        <v>11040000</v>
      </c>
      <c r="F113" s="4">
        <f t="shared" si="1"/>
        <v>-3967500</v>
      </c>
    </row>
    <row r="114" spans="2:6" ht="15" customHeight="1">
      <c r="B114" s="3">
        <v>3260116</v>
      </c>
      <c r="C114" s="3" t="s">
        <v>441</v>
      </c>
      <c r="D114" s="4">
        <f>SUMIFS('GL-Transactions'!C:C,'GL-Transactions'!G:G,"Total",'GL-Transactions'!E:E,B114)</f>
        <v>20355</v>
      </c>
      <c r="E114" s="4">
        <f>SUMIFS('GL-Transactions'!B:B,'GL-Transactions'!G:G,"Total",'GL-Transactions'!E:E,B114)</f>
        <v>0</v>
      </c>
      <c r="F114" s="4">
        <f t="shared" si="1"/>
        <v>20355</v>
      </c>
    </row>
    <row r="115" spans="2:6" ht="15" customHeight="1">
      <c r="B115" s="3">
        <v>3260105</v>
      </c>
      <c r="C115" s="3" t="s">
        <v>440</v>
      </c>
      <c r="D115" s="4">
        <f>SUMIFS('GL-Transactions'!C:C,'GL-Transactions'!G:G,"Total",'GL-Transactions'!E:E,B115)</f>
        <v>1206961</v>
      </c>
      <c r="E115" s="4">
        <f>SUMIFS('GL-Transactions'!B:B,'GL-Transactions'!G:G,"Total",'GL-Transactions'!E:E,B115)</f>
        <v>0</v>
      </c>
      <c r="F115" s="4">
        <f t="shared" si="1"/>
        <v>1206961</v>
      </c>
    </row>
    <row r="116" spans="2:6" ht="15" customHeight="1">
      <c r="B116" s="3">
        <v>3150221</v>
      </c>
      <c r="C116" s="3" t="s">
        <v>437</v>
      </c>
      <c r="D116" s="4">
        <f>SUMIFS('GL-Transactions'!C:C,'GL-Transactions'!G:G,"Total",'GL-Transactions'!E:E,B116)</f>
        <v>1380000</v>
      </c>
      <c r="E116" s="4">
        <f>SUMIFS('GL-Transactions'!B:B,'GL-Transactions'!G:G,"Total",'GL-Transactions'!E:E,B116)</f>
        <v>13110000</v>
      </c>
      <c r="F116" s="4">
        <f t="shared" si="1"/>
        <v>-11730000</v>
      </c>
    </row>
    <row r="117" spans="2:6" ht="15" customHeight="1">
      <c r="B117" s="3">
        <v>3150215</v>
      </c>
      <c r="C117" s="3" t="s">
        <v>436</v>
      </c>
      <c r="D117" s="4">
        <f>SUMIFS('GL-Transactions'!C:C,'GL-Transactions'!G:G,"Total",'GL-Transactions'!E:E,B117)</f>
        <v>360870</v>
      </c>
      <c r="E117" s="4">
        <f>SUMIFS('GL-Transactions'!B:B,'GL-Transactions'!G:G,"Total",'GL-Transactions'!E:E,B117)</f>
        <v>0</v>
      </c>
      <c r="F117" s="4">
        <f t="shared" si="1"/>
        <v>360870</v>
      </c>
    </row>
    <row r="118" spans="2:6" ht="15" customHeight="1">
      <c r="B118" s="3">
        <v>3150202</v>
      </c>
      <c r="C118" s="3" t="s">
        <v>435</v>
      </c>
      <c r="D118" s="4">
        <f>SUMIFS('GL-Transactions'!C:C,'GL-Transactions'!G:G,"Total",'GL-Transactions'!E:E,B118)</f>
        <v>87228</v>
      </c>
      <c r="E118" s="4">
        <f>SUMIFS('GL-Transactions'!B:B,'GL-Transactions'!G:G,"Total",'GL-Transactions'!E:E,B118)</f>
        <v>0</v>
      </c>
      <c r="F118" s="4">
        <f t="shared" si="1"/>
        <v>87228</v>
      </c>
    </row>
    <row r="119" spans="2:6" ht="15" customHeight="1">
      <c r="B119" s="3">
        <v>3150201</v>
      </c>
      <c r="C119" s="3" t="s">
        <v>434</v>
      </c>
      <c r="D119" s="4">
        <f>SUMIFS('GL-Transactions'!C:C,'GL-Transactions'!G:G,"Total",'GL-Transactions'!E:E,B119)</f>
        <v>185955</v>
      </c>
      <c r="E119" s="4">
        <f>SUMIFS('GL-Transactions'!B:B,'GL-Transactions'!G:G,"Total",'GL-Transactions'!E:E,B119)</f>
        <v>0</v>
      </c>
      <c r="F119" s="4">
        <f t="shared" si="1"/>
        <v>185955</v>
      </c>
    </row>
    <row r="120" spans="2:6" ht="15" customHeight="1">
      <c r="B120" s="3">
        <v>3150121</v>
      </c>
      <c r="C120" s="3" t="s">
        <v>432</v>
      </c>
      <c r="D120" s="4">
        <f>SUMIFS('GL-Transactions'!C:C,'GL-Transactions'!G:G,"Total",'GL-Transactions'!E:E,B120)</f>
        <v>15525000</v>
      </c>
      <c r="E120" s="4">
        <f>SUMIFS('GL-Transactions'!B:B,'GL-Transactions'!G:G,"Total",'GL-Transactions'!E:E,B120)</f>
        <v>22655000</v>
      </c>
      <c r="F120" s="4">
        <f t="shared" si="1"/>
        <v>-7130000</v>
      </c>
    </row>
    <row r="121" spans="2:6" ht="15" customHeight="1">
      <c r="B121" s="3">
        <v>3150115</v>
      </c>
      <c r="C121" s="3" t="s">
        <v>431</v>
      </c>
      <c r="D121" s="4">
        <f>SUMIFS('GL-Transactions'!C:C,'GL-Transactions'!G:G,"Total",'GL-Transactions'!E:E,B121)</f>
        <v>550620</v>
      </c>
      <c r="E121" s="4">
        <f>SUMIFS('GL-Transactions'!B:B,'GL-Transactions'!G:G,"Total",'GL-Transactions'!E:E,B121)</f>
        <v>0</v>
      </c>
      <c r="F121" s="4">
        <f t="shared" si="1"/>
        <v>550620</v>
      </c>
    </row>
    <row r="122" spans="2:6" ht="15" customHeight="1">
      <c r="B122" s="3">
        <v>3150104</v>
      </c>
      <c r="C122" s="3" t="s">
        <v>430</v>
      </c>
      <c r="D122" s="4">
        <f>SUMIFS('GL-Transactions'!C:C,'GL-Transactions'!G:G,"Total",'GL-Transactions'!E:E,B122)</f>
        <v>9655661</v>
      </c>
      <c r="E122" s="4">
        <f>SUMIFS('GL-Transactions'!B:B,'GL-Transactions'!G:G,"Total",'GL-Transactions'!E:E,B122)</f>
        <v>0</v>
      </c>
      <c r="F122" s="4">
        <f t="shared" si="1"/>
        <v>9655661</v>
      </c>
    </row>
    <row r="123" spans="2:6" ht="15" customHeight="1">
      <c r="B123" s="3">
        <v>3150102</v>
      </c>
      <c r="C123" s="3" t="s">
        <v>429</v>
      </c>
      <c r="D123" s="4">
        <f>SUMIFS('GL-Transactions'!C:C,'GL-Transactions'!G:G,"Total",'GL-Transactions'!E:E,B123)</f>
        <v>14375</v>
      </c>
      <c r="E123" s="4">
        <f>SUMIFS('GL-Transactions'!B:B,'GL-Transactions'!G:G,"Total",'GL-Transactions'!E:E,B123)</f>
        <v>0</v>
      </c>
      <c r="F123" s="4">
        <f t="shared" si="1"/>
        <v>14375</v>
      </c>
    </row>
    <row r="124" spans="2:6" ht="15" customHeight="1">
      <c r="B124" s="3">
        <v>3150101</v>
      </c>
      <c r="C124" s="3" t="s">
        <v>428</v>
      </c>
      <c r="D124" s="4">
        <f>SUMIFS('GL-Transactions'!C:C,'GL-Transactions'!G:G,"Total",'GL-Transactions'!E:E,B124)</f>
        <v>174340</v>
      </c>
      <c r="E124" s="4">
        <f>SUMIFS('GL-Transactions'!B:B,'GL-Transactions'!G:G,"Total",'GL-Transactions'!E:E,B124)</f>
        <v>0</v>
      </c>
      <c r="F124" s="4">
        <f t="shared" si="1"/>
        <v>174340</v>
      </c>
    </row>
    <row r="125" spans="2:6" ht="15" customHeight="1">
      <c r="B125" s="3">
        <v>2347321</v>
      </c>
      <c r="C125" s="3" t="s">
        <v>426</v>
      </c>
      <c r="D125" s="4">
        <f>SUMIFS('GL-Transactions'!C:C,'GL-Transactions'!G:G,"Total",'GL-Transactions'!E:E,B125)</f>
        <v>1995250</v>
      </c>
      <c r="E125" s="4">
        <f>SUMIFS('GL-Transactions'!B:B,'GL-Transactions'!G:G,"Total",'GL-Transactions'!E:E,B125)</f>
        <v>3461500</v>
      </c>
      <c r="F125" s="4">
        <f t="shared" si="1"/>
        <v>-1466250</v>
      </c>
    </row>
    <row r="126" spans="2:6" ht="15" customHeight="1">
      <c r="B126" s="3">
        <v>2347221</v>
      </c>
      <c r="C126" s="3" t="s">
        <v>425</v>
      </c>
      <c r="D126" s="4">
        <f>SUMIFS('GL-Transactions'!C:C,'GL-Transactions'!G:G,"Total",'GL-Transactions'!E:E,B126)</f>
        <v>0</v>
      </c>
      <c r="E126" s="4">
        <f>SUMIFS('GL-Transactions'!B:B,'GL-Transactions'!G:G,"Total",'GL-Transactions'!E:E,B126)</f>
        <v>1811250</v>
      </c>
      <c r="F126" s="4">
        <f t="shared" si="1"/>
        <v>-1811250</v>
      </c>
    </row>
    <row r="127" spans="2:6" ht="15" customHeight="1">
      <c r="B127" s="3">
        <v>2345521</v>
      </c>
      <c r="C127" s="3" t="s">
        <v>424</v>
      </c>
      <c r="D127" s="4">
        <f>SUMIFS('GL-Transactions'!C:C,'GL-Transactions'!G:G,"Total",'GL-Transactions'!E:E,B127)</f>
        <v>0</v>
      </c>
      <c r="E127" s="4">
        <f>SUMIFS('GL-Transactions'!B:B,'GL-Transactions'!G:G,"Total",'GL-Transactions'!E:E,B127)</f>
        <v>129375</v>
      </c>
      <c r="F127" s="4">
        <f t="shared" si="1"/>
        <v>-129375</v>
      </c>
    </row>
    <row r="128" spans="2:6" ht="15" customHeight="1">
      <c r="B128" s="3">
        <v>2345505</v>
      </c>
      <c r="C128" s="3" t="s">
        <v>423</v>
      </c>
      <c r="D128" s="4">
        <f>SUMIFS('GL-Transactions'!C:C,'GL-Transactions'!G:G,"Total",'GL-Transactions'!E:E,B128)</f>
        <v>345000</v>
      </c>
      <c r="E128" s="4">
        <f>SUMIFS('GL-Transactions'!B:B,'GL-Transactions'!G:G,"Total",'GL-Transactions'!E:E,B128)</f>
        <v>0</v>
      </c>
      <c r="F128" s="4">
        <f t="shared" si="1"/>
        <v>345000</v>
      </c>
    </row>
    <row r="129" spans="2:6" ht="15" customHeight="1">
      <c r="B129" s="3">
        <v>2345321</v>
      </c>
      <c r="C129" s="3" t="s">
        <v>422</v>
      </c>
      <c r="D129" s="4">
        <f>SUMIFS('GL-Transactions'!C:C,'GL-Transactions'!G:G,"Total",'GL-Transactions'!E:E,B129)</f>
        <v>2875000</v>
      </c>
      <c r="E129" s="4">
        <f>SUMIFS('GL-Transactions'!B:B,'GL-Transactions'!G:G,"Total",'GL-Transactions'!E:E,B129)</f>
        <v>9200000</v>
      </c>
      <c r="F129" s="4">
        <f t="shared" si="1"/>
        <v>-6325000</v>
      </c>
    </row>
    <row r="130" spans="2:6" ht="15" customHeight="1">
      <c r="B130" s="3">
        <v>2345305</v>
      </c>
      <c r="C130" s="3" t="s">
        <v>421</v>
      </c>
      <c r="D130" s="4">
        <f>SUMIFS('GL-Transactions'!C:C,'GL-Transactions'!G:G,"Total",'GL-Transactions'!E:E,B130)</f>
        <v>828000</v>
      </c>
      <c r="E130" s="4">
        <f>SUMIFS('GL-Transactions'!B:B,'GL-Transactions'!G:G,"Total",'GL-Transactions'!E:E,B130)</f>
        <v>0</v>
      </c>
      <c r="F130" s="4">
        <f t="shared" si="1"/>
        <v>828000</v>
      </c>
    </row>
    <row r="131" spans="2:6" ht="15" customHeight="1">
      <c r="B131" s="3">
        <v>2345301</v>
      </c>
      <c r="C131" s="3" t="s">
        <v>420</v>
      </c>
      <c r="D131" s="4">
        <f>SUMIFS('GL-Transactions'!C:C,'GL-Transactions'!G:G,"Total",'GL-Transactions'!E:E,B131)</f>
        <v>34960</v>
      </c>
      <c r="E131" s="4">
        <f>SUMIFS('GL-Transactions'!B:B,'GL-Transactions'!G:G,"Total",'GL-Transactions'!E:E,B131)</f>
        <v>0</v>
      </c>
      <c r="F131" s="4">
        <f t="shared" si="1"/>
        <v>34960</v>
      </c>
    </row>
    <row r="132" spans="2:6" ht="15" customHeight="1">
      <c r="B132" s="3">
        <v>2345221</v>
      </c>
      <c r="C132" s="3" t="s">
        <v>419</v>
      </c>
      <c r="D132" s="4">
        <f>SUMIFS('GL-Transactions'!C:C,'GL-Transactions'!G:G,"Total",'GL-Transactions'!E:E,B132)</f>
        <v>1565437</v>
      </c>
      <c r="E132" s="4">
        <f>SUMIFS('GL-Transactions'!B:B,'GL-Transactions'!G:G,"Total",'GL-Transactions'!E:E,B132)</f>
        <v>1565437</v>
      </c>
      <c r="F132" s="4">
        <f t="shared" si="1"/>
        <v>0</v>
      </c>
    </row>
    <row r="133" spans="2:6" ht="15" customHeight="1">
      <c r="B133" s="3">
        <v>2345121</v>
      </c>
      <c r="C133" s="3" t="s">
        <v>418</v>
      </c>
      <c r="D133" s="4">
        <f>SUMIFS('GL-Transactions'!C:C,'GL-Transactions'!G:G,"Total",'GL-Transactions'!E:E,B133)</f>
        <v>0</v>
      </c>
      <c r="E133" s="4">
        <f>SUMIFS('GL-Transactions'!B:B,'GL-Transactions'!G:G,"Total",'GL-Transactions'!E:E,B133)</f>
        <v>1668937</v>
      </c>
      <c r="F133" s="4">
        <f t="shared" ref="F133:F196" si="2">D133-E133</f>
        <v>-1668937</v>
      </c>
    </row>
    <row r="134" spans="2:6" ht="15" customHeight="1">
      <c r="B134" s="3">
        <v>2345105</v>
      </c>
      <c r="C134" s="3" t="s">
        <v>417</v>
      </c>
      <c r="D134" s="4">
        <f>SUMIFS('GL-Transactions'!C:C,'GL-Transactions'!G:G,"Total",'GL-Transactions'!E:E,B134)</f>
        <v>345000</v>
      </c>
      <c r="E134" s="4">
        <f>SUMIFS('GL-Transactions'!B:B,'GL-Transactions'!G:G,"Total",'GL-Transactions'!E:E,B134)</f>
        <v>0</v>
      </c>
      <c r="F134" s="4">
        <f t="shared" si="2"/>
        <v>345000</v>
      </c>
    </row>
    <row r="135" spans="2:6" ht="15" customHeight="1">
      <c r="B135" s="3">
        <v>2248021</v>
      </c>
      <c r="C135" s="3" t="s">
        <v>415</v>
      </c>
      <c r="D135" s="4">
        <f>SUMIFS('GL-Transactions'!C:C,'GL-Transactions'!G:G,"Total",'GL-Transactions'!E:E,B135)</f>
        <v>1454750</v>
      </c>
      <c r="E135" s="4">
        <f>SUMIFS('GL-Transactions'!B:B,'GL-Transactions'!G:G,"Total",'GL-Transactions'!E:E,B135)</f>
        <v>1454750</v>
      </c>
      <c r="F135" s="4">
        <f t="shared" si="2"/>
        <v>0</v>
      </c>
    </row>
    <row r="136" spans="2:6" ht="15" customHeight="1">
      <c r="B136" s="3">
        <v>2247921</v>
      </c>
      <c r="C136" s="3" t="s">
        <v>414</v>
      </c>
      <c r="D136" s="4">
        <f>SUMIFS('GL-Transactions'!C:C,'GL-Transactions'!G:G,"Total",'GL-Transactions'!E:E,B136)</f>
        <v>3191250</v>
      </c>
      <c r="E136" s="4">
        <f>SUMIFS('GL-Transactions'!B:B,'GL-Transactions'!G:G,"Total",'GL-Transactions'!E:E,B136)</f>
        <v>4542500</v>
      </c>
      <c r="F136" s="4">
        <f t="shared" si="2"/>
        <v>-1351250</v>
      </c>
    </row>
    <row r="137" spans="2:6" ht="15" customHeight="1">
      <c r="B137" s="3">
        <v>2247901</v>
      </c>
      <c r="C137" s="3" t="s">
        <v>413</v>
      </c>
      <c r="D137" s="4">
        <f>SUMIFS('GL-Transactions'!C:C,'GL-Transactions'!G:G,"Total",'GL-Transactions'!E:E,B137)</f>
        <v>29095</v>
      </c>
      <c r="E137" s="4">
        <f>SUMIFS('GL-Transactions'!B:B,'GL-Transactions'!G:G,"Total",'GL-Transactions'!E:E,B137)</f>
        <v>0</v>
      </c>
      <c r="F137" s="4">
        <f t="shared" si="2"/>
        <v>29095</v>
      </c>
    </row>
    <row r="138" spans="2:6" ht="15" customHeight="1">
      <c r="B138" s="3">
        <v>2247821</v>
      </c>
      <c r="C138" s="3" t="s">
        <v>412</v>
      </c>
      <c r="D138" s="4">
        <f>SUMIFS('GL-Transactions'!C:C,'GL-Transactions'!G:G,"Total",'GL-Transactions'!E:E,B138)</f>
        <v>3191250</v>
      </c>
      <c r="E138" s="4">
        <f>SUMIFS('GL-Transactions'!B:B,'GL-Transactions'!G:G,"Total",'GL-Transactions'!E:E,B138)</f>
        <v>4542500</v>
      </c>
      <c r="F138" s="4">
        <f t="shared" si="2"/>
        <v>-1351250</v>
      </c>
    </row>
    <row r="139" spans="2:6" ht="15" customHeight="1">
      <c r="B139" s="3">
        <v>2247801</v>
      </c>
      <c r="C139" s="3" t="s">
        <v>411</v>
      </c>
      <c r="D139" s="4">
        <f>SUMIFS('GL-Transactions'!C:C,'GL-Transactions'!G:G,"Total",'GL-Transactions'!E:E,B139)</f>
        <v>29095</v>
      </c>
      <c r="E139" s="4">
        <f>SUMIFS('GL-Transactions'!B:B,'GL-Transactions'!G:G,"Total",'GL-Transactions'!E:E,B139)</f>
        <v>0</v>
      </c>
      <c r="F139" s="4">
        <f t="shared" si="2"/>
        <v>29095</v>
      </c>
    </row>
    <row r="140" spans="2:6" ht="15" customHeight="1">
      <c r="B140" s="3">
        <v>2247721</v>
      </c>
      <c r="C140" s="3" t="s">
        <v>410</v>
      </c>
      <c r="D140" s="4">
        <f>SUMIFS('GL-Transactions'!C:C,'GL-Transactions'!G:G,"Total",'GL-Transactions'!E:E,B140)</f>
        <v>0</v>
      </c>
      <c r="E140" s="4">
        <f>SUMIFS('GL-Transactions'!B:B,'GL-Transactions'!G:G,"Total",'GL-Transactions'!E:E,B140)</f>
        <v>968415</v>
      </c>
      <c r="F140" s="4">
        <f t="shared" si="2"/>
        <v>-968415</v>
      </c>
    </row>
    <row r="141" spans="2:6" ht="15" customHeight="1">
      <c r="B141" s="3">
        <v>2247701</v>
      </c>
      <c r="C141" s="3" t="s">
        <v>409</v>
      </c>
      <c r="D141" s="4">
        <f>SUMIFS('GL-Transactions'!C:C,'GL-Transactions'!G:G,"Total",'GL-Transactions'!E:E,B141)</f>
        <v>139495</v>
      </c>
      <c r="E141" s="4">
        <f>SUMIFS('GL-Transactions'!B:B,'GL-Transactions'!G:G,"Total",'GL-Transactions'!E:E,B141)</f>
        <v>0</v>
      </c>
      <c r="F141" s="4">
        <f t="shared" si="2"/>
        <v>139495</v>
      </c>
    </row>
    <row r="142" spans="2:6" ht="15" customHeight="1">
      <c r="B142" s="3">
        <v>2247621</v>
      </c>
      <c r="C142" s="3" t="s">
        <v>408</v>
      </c>
      <c r="D142" s="4">
        <f>SUMIFS('GL-Transactions'!C:C,'GL-Transactions'!G:G,"Total",'GL-Transactions'!E:E,B142)</f>
        <v>0</v>
      </c>
      <c r="E142" s="4">
        <f>SUMIFS('GL-Transactions'!B:B,'GL-Transactions'!G:G,"Total",'GL-Transactions'!E:E,B142)</f>
        <v>1913370</v>
      </c>
      <c r="F142" s="4">
        <f t="shared" si="2"/>
        <v>-1913370</v>
      </c>
    </row>
    <row r="143" spans="2:6" ht="15" customHeight="1">
      <c r="B143" s="3">
        <v>2247605</v>
      </c>
      <c r="C143" s="3" t="s">
        <v>407</v>
      </c>
      <c r="D143" s="4">
        <f>SUMIFS('GL-Transactions'!C:C,'GL-Transactions'!G:G,"Total",'GL-Transactions'!E:E,B143)</f>
        <v>232875</v>
      </c>
      <c r="E143" s="4">
        <f>SUMIFS('GL-Transactions'!B:B,'GL-Transactions'!G:G,"Total",'GL-Transactions'!E:E,B143)</f>
        <v>0</v>
      </c>
      <c r="F143" s="4">
        <f t="shared" si="2"/>
        <v>232875</v>
      </c>
    </row>
    <row r="144" spans="2:6" ht="15" customHeight="1">
      <c r="B144" s="3">
        <v>2247601</v>
      </c>
      <c r="C144" s="3" t="s">
        <v>406</v>
      </c>
      <c r="D144" s="4">
        <f>SUMIFS('GL-Transactions'!C:C,'GL-Transactions'!G:G,"Total",'GL-Transactions'!E:E,B144)</f>
        <v>106375</v>
      </c>
      <c r="E144" s="4">
        <f>SUMIFS('GL-Transactions'!B:B,'GL-Transactions'!G:G,"Total",'GL-Transactions'!E:E,B144)</f>
        <v>0</v>
      </c>
      <c r="F144" s="4">
        <f t="shared" si="2"/>
        <v>106375</v>
      </c>
    </row>
    <row r="145" spans="2:6" ht="15" customHeight="1">
      <c r="B145" s="3">
        <v>2247521</v>
      </c>
      <c r="C145" s="3" t="s">
        <v>405</v>
      </c>
      <c r="D145" s="4">
        <f>SUMIFS('GL-Transactions'!C:C,'GL-Transactions'!G:G,"Total",'GL-Transactions'!E:E,B145)</f>
        <v>0</v>
      </c>
      <c r="E145" s="4">
        <f>SUMIFS('GL-Transactions'!B:B,'GL-Transactions'!G:G,"Total",'GL-Transactions'!E:E,B145)</f>
        <v>1769620</v>
      </c>
      <c r="F145" s="4">
        <f t="shared" si="2"/>
        <v>-1769620</v>
      </c>
    </row>
    <row r="146" spans="2:6" ht="15" customHeight="1">
      <c r="B146" s="3">
        <v>2247505</v>
      </c>
      <c r="C146" s="3" t="s">
        <v>404</v>
      </c>
      <c r="D146" s="4">
        <f>SUMIFS('GL-Transactions'!C:C,'GL-Transactions'!G:G,"Total",'GL-Transactions'!E:E,B146)</f>
        <v>238625</v>
      </c>
      <c r="E146" s="4">
        <f>SUMIFS('GL-Transactions'!B:B,'GL-Transactions'!G:G,"Total",'GL-Transactions'!E:E,B146)</f>
        <v>0</v>
      </c>
      <c r="F146" s="4">
        <f t="shared" si="2"/>
        <v>238625</v>
      </c>
    </row>
    <row r="147" spans="2:6" ht="15" customHeight="1">
      <c r="B147" s="3">
        <v>2247501</v>
      </c>
      <c r="C147" s="3" t="s">
        <v>403</v>
      </c>
      <c r="D147" s="4">
        <f>SUMIFS('GL-Transactions'!C:C,'GL-Transactions'!G:G,"Total",'GL-Transactions'!E:E,B147)</f>
        <v>106375</v>
      </c>
      <c r="E147" s="4">
        <f>SUMIFS('GL-Transactions'!B:B,'GL-Transactions'!G:G,"Total",'GL-Transactions'!E:E,B147)</f>
        <v>0</v>
      </c>
      <c r="F147" s="4">
        <f t="shared" si="2"/>
        <v>106375</v>
      </c>
    </row>
    <row r="148" spans="2:6" ht="15" customHeight="1">
      <c r="B148" s="3">
        <v>2247421</v>
      </c>
      <c r="C148" s="3" t="s">
        <v>402</v>
      </c>
      <c r="D148" s="4">
        <f>SUMIFS('GL-Transactions'!C:C,'GL-Transactions'!G:G,"Total",'GL-Transactions'!E:E,B148)</f>
        <v>0</v>
      </c>
      <c r="E148" s="4">
        <f>SUMIFS('GL-Transactions'!B:B,'GL-Transactions'!G:G,"Total",'GL-Transactions'!E:E,B148)</f>
        <v>1700620</v>
      </c>
      <c r="F148" s="4">
        <f t="shared" si="2"/>
        <v>-1700620</v>
      </c>
    </row>
    <row r="149" spans="2:6" ht="15" customHeight="1">
      <c r="B149" s="3">
        <v>2247405</v>
      </c>
      <c r="C149" s="3" t="s">
        <v>401</v>
      </c>
      <c r="D149" s="4">
        <f>SUMIFS('GL-Transactions'!C:C,'GL-Transactions'!G:G,"Total",'GL-Transactions'!E:E,B149)</f>
        <v>238625</v>
      </c>
      <c r="E149" s="4">
        <f>SUMIFS('GL-Transactions'!B:B,'GL-Transactions'!G:G,"Total",'GL-Transactions'!E:E,B149)</f>
        <v>0</v>
      </c>
      <c r="F149" s="4">
        <f t="shared" si="2"/>
        <v>238625</v>
      </c>
    </row>
    <row r="150" spans="2:6" ht="15" customHeight="1">
      <c r="B150" s="3">
        <v>2247321</v>
      </c>
      <c r="C150" s="3" t="s">
        <v>400</v>
      </c>
      <c r="D150" s="4">
        <f>SUMIFS('GL-Transactions'!C:C,'GL-Transactions'!G:G,"Total",'GL-Transactions'!E:E,B150)</f>
        <v>0</v>
      </c>
      <c r="E150" s="4">
        <f>SUMIFS('GL-Transactions'!B:B,'GL-Transactions'!G:G,"Total",'GL-Transactions'!E:E,B150)</f>
        <v>209875</v>
      </c>
      <c r="F150" s="4">
        <f t="shared" si="2"/>
        <v>-209875</v>
      </c>
    </row>
    <row r="151" spans="2:6" ht="15" customHeight="1">
      <c r="B151" s="3">
        <v>2247305</v>
      </c>
      <c r="C151" s="3" t="s">
        <v>399</v>
      </c>
      <c r="D151" s="4">
        <f>SUMIFS('GL-Transactions'!C:C,'GL-Transactions'!G:G,"Total",'GL-Transactions'!E:E,B151)</f>
        <v>163875</v>
      </c>
      <c r="E151" s="4">
        <f>SUMIFS('GL-Transactions'!B:B,'GL-Transactions'!G:G,"Total",'GL-Transactions'!E:E,B151)</f>
        <v>0</v>
      </c>
      <c r="F151" s="4">
        <f t="shared" si="2"/>
        <v>163875</v>
      </c>
    </row>
    <row r="152" spans="2:6" ht="15" customHeight="1">
      <c r="B152" s="3">
        <v>2247301</v>
      </c>
      <c r="C152" s="3" t="s">
        <v>398</v>
      </c>
      <c r="D152" s="4">
        <f>SUMIFS('GL-Transactions'!C:C,'GL-Transactions'!G:G,"Total",'GL-Transactions'!E:E,B152)</f>
        <v>106375</v>
      </c>
      <c r="E152" s="4">
        <f>SUMIFS('GL-Transactions'!B:B,'GL-Transactions'!G:G,"Total",'GL-Transactions'!E:E,B152)</f>
        <v>0</v>
      </c>
      <c r="F152" s="4">
        <f t="shared" si="2"/>
        <v>106375</v>
      </c>
    </row>
    <row r="153" spans="2:6" ht="15" customHeight="1">
      <c r="B153" s="3">
        <v>2247221</v>
      </c>
      <c r="C153" s="3" t="s">
        <v>397</v>
      </c>
      <c r="D153" s="4">
        <f>SUMIFS('GL-Transactions'!C:C,'GL-Transactions'!G:G,"Total",'GL-Transactions'!E:E,B153)</f>
        <v>1811250</v>
      </c>
      <c r="E153" s="4">
        <f>SUMIFS('GL-Transactions'!B:B,'GL-Transactions'!G:G,"Total",'GL-Transactions'!E:E,B153)</f>
        <v>2118875</v>
      </c>
      <c r="F153" s="4">
        <f t="shared" si="2"/>
        <v>-307625</v>
      </c>
    </row>
    <row r="154" spans="2:6" ht="15" customHeight="1">
      <c r="B154" s="3">
        <v>2247205</v>
      </c>
      <c r="C154" s="3" t="s">
        <v>396</v>
      </c>
      <c r="D154" s="4">
        <f>SUMIFS('GL-Transactions'!C:C,'GL-Transactions'!G:G,"Total",'GL-Transactions'!E:E,B154)</f>
        <v>163875</v>
      </c>
      <c r="E154" s="4">
        <f>SUMIFS('GL-Transactions'!B:B,'GL-Transactions'!G:G,"Total",'GL-Transactions'!E:E,B154)</f>
        <v>0</v>
      </c>
      <c r="F154" s="4">
        <f t="shared" si="2"/>
        <v>163875</v>
      </c>
    </row>
    <row r="155" spans="2:6" ht="15" customHeight="1">
      <c r="B155" s="3">
        <v>2247201</v>
      </c>
      <c r="C155" s="3" t="s">
        <v>395</v>
      </c>
      <c r="D155" s="4">
        <f>SUMIFS('GL-Transactions'!C:C,'GL-Transactions'!G:G,"Total",'GL-Transactions'!E:E,B155)</f>
        <v>106375</v>
      </c>
      <c r="E155" s="4">
        <f>SUMIFS('GL-Transactions'!B:B,'GL-Transactions'!G:G,"Total",'GL-Transactions'!E:E,B155)</f>
        <v>0</v>
      </c>
      <c r="F155" s="4">
        <f t="shared" si="2"/>
        <v>106375</v>
      </c>
    </row>
    <row r="156" spans="2:6" ht="15" customHeight="1">
      <c r="B156" s="3">
        <v>2247121</v>
      </c>
      <c r="C156" s="3" t="s">
        <v>394</v>
      </c>
      <c r="D156" s="4">
        <f>SUMIFS('GL-Transactions'!C:C,'GL-Transactions'!G:G,"Total",'GL-Transactions'!E:E,B156)</f>
        <v>0</v>
      </c>
      <c r="E156" s="4">
        <f>SUMIFS('GL-Transactions'!B:B,'GL-Transactions'!G:G,"Total",'GL-Transactions'!E:E,B156)</f>
        <v>747500</v>
      </c>
      <c r="F156" s="4">
        <f t="shared" si="2"/>
        <v>-747500</v>
      </c>
    </row>
    <row r="157" spans="2:6" ht="15" customHeight="1">
      <c r="B157" s="3">
        <v>2247105</v>
      </c>
      <c r="C157" s="3" t="s">
        <v>393</v>
      </c>
      <c r="D157" s="4">
        <f>SUMIFS('GL-Transactions'!C:C,'GL-Transactions'!G:G,"Total",'GL-Transactions'!E:E,B157)</f>
        <v>201250</v>
      </c>
      <c r="E157" s="4">
        <f>SUMIFS('GL-Transactions'!B:B,'GL-Transactions'!G:G,"Total",'GL-Transactions'!E:E,B157)</f>
        <v>0</v>
      </c>
      <c r="F157" s="4">
        <f t="shared" si="2"/>
        <v>201250</v>
      </c>
    </row>
    <row r="158" spans="2:6" ht="15" customHeight="1">
      <c r="B158" s="3">
        <v>2245521</v>
      </c>
      <c r="C158" s="3" t="s">
        <v>392</v>
      </c>
      <c r="D158" s="4">
        <f>SUMIFS('GL-Transactions'!C:C,'GL-Transactions'!G:G,"Total",'GL-Transactions'!E:E,B158)</f>
        <v>0</v>
      </c>
      <c r="E158" s="4">
        <f>SUMIFS('GL-Transactions'!B:B,'GL-Transactions'!G:G,"Total",'GL-Transactions'!E:E,B158)</f>
        <v>1565437</v>
      </c>
      <c r="F158" s="4">
        <f t="shared" si="2"/>
        <v>-1565437</v>
      </c>
    </row>
    <row r="159" spans="2:6" ht="15" customHeight="1">
      <c r="B159" s="3">
        <v>2245502</v>
      </c>
      <c r="C159" s="3" t="s">
        <v>391</v>
      </c>
      <c r="D159" s="4">
        <f>SUMIFS('GL-Transactions'!C:C,'GL-Transactions'!G:G,"Total",'GL-Transactions'!E:E,B159)</f>
        <v>1530305</v>
      </c>
      <c r="E159" s="4">
        <f>SUMIFS('GL-Transactions'!B:B,'GL-Transactions'!G:G,"Total",'GL-Transactions'!E:E,B159)</f>
        <v>0</v>
      </c>
      <c r="F159" s="4">
        <f t="shared" si="2"/>
        <v>1530305</v>
      </c>
    </row>
    <row r="160" spans="2:6" ht="15" customHeight="1">
      <c r="B160" s="3">
        <v>2245421</v>
      </c>
      <c r="C160" s="3" t="s">
        <v>390</v>
      </c>
      <c r="D160" s="4">
        <f>SUMIFS('GL-Transactions'!C:C,'GL-Transactions'!G:G,"Total",'GL-Transactions'!E:E,B160)</f>
        <v>0</v>
      </c>
      <c r="E160" s="4">
        <f>SUMIFS('GL-Transactions'!B:B,'GL-Transactions'!G:G,"Total",'GL-Transactions'!E:E,B160)</f>
        <v>776250</v>
      </c>
      <c r="F160" s="4">
        <f t="shared" si="2"/>
        <v>-776250</v>
      </c>
    </row>
    <row r="161" spans="2:6" ht="15" customHeight="1">
      <c r="B161" s="3">
        <v>2245405</v>
      </c>
      <c r="C161" s="3" t="s">
        <v>389</v>
      </c>
      <c r="D161" s="4">
        <f>SUMIFS('GL-Transactions'!C:C,'GL-Transactions'!G:G,"Total",'GL-Transactions'!E:E,B161)</f>
        <v>86250</v>
      </c>
      <c r="E161" s="4">
        <f>SUMIFS('GL-Transactions'!B:B,'GL-Transactions'!G:G,"Total",'GL-Transactions'!E:E,B161)</f>
        <v>0</v>
      </c>
      <c r="F161" s="4">
        <f t="shared" si="2"/>
        <v>86250</v>
      </c>
    </row>
    <row r="162" spans="2:6" ht="15" customHeight="1">
      <c r="B162" s="3">
        <v>2141205</v>
      </c>
      <c r="C162" s="3" t="s">
        <v>387</v>
      </c>
      <c r="D162" s="4">
        <f>SUMIFS('GL-Transactions'!C:C,'GL-Transactions'!G:G,"Total",'GL-Transactions'!E:E,B162)</f>
        <v>184000</v>
      </c>
      <c r="E162" s="4">
        <f>SUMIFS('GL-Transactions'!B:B,'GL-Transactions'!G:G,"Total",'GL-Transactions'!E:E,B162)</f>
        <v>0</v>
      </c>
      <c r="F162" s="4">
        <f t="shared" si="2"/>
        <v>184000</v>
      </c>
    </row>
    <row r="163" spans="2:6" ht="15" customHeight="1">
      <c r="B163" s="3">
        <v>2141121</v>
      </c>
      <c r="C163" s="3" t="s">
        <v>386</v>
      </c>
      <c r="D163" s="4">
        <f>SUMIFS('GL-Transactions'!C:C,'GL-Transactions'!G:G,"Total",'GL-Transactions'!E:E,B163)</f>
        <v>0</v>
      </c>
      <c r="E163" s="4">
        <f>SUMIFS('GL-Transactions'!B:B,'GL-Transactions'!G:G,"Total",'GL-Transactions'!E:E,B163)</f>
        <v>862500</v>
      </c>
      <c r="F163" s="4">
        <f t="shared" si="2"/>
        <v>-862500</v>
      </c>
    </row>
    <row r="164" spans="2:6" ht="15" customHeight="1">
      <c r="B164" s="3">
        <v>2141021</v>
      </c>
      <c r="C164" s="3" t="s">
        <v>385</v>
      </c>
      <c r="D164" s="4">
        <f>SUMIFS('GL-Transactions'!C:C,'GL-Transactions'!G:G,"Total",'GL-Transactions'!E:E,B164)</f>
        <v>0</v>
      </c>
      <c r="E164" s="4">
        <f>SUMIFS('GL-Transactions'!B:B,'GL-Transactions'!G:G,"Total",'GL-Transactions'!E:E,B164)</f>
        <v>5726138</v>
      </c>
      <c r="F164" s="4">
        <f t="shared" si="2"/>
        <v>-5726138</v>
      </c>
    </row>
    <row r="165" spans="2:6" ht="15" customHeight="1">
      <c r="B165" s="3">
        <v>2141005</v>
      </c>
      <c r="C165" s="3" t="s">
        <v>384</v>
      </c>
      <c r="D165" s="4">
        <f>SUMIFS('GL-Transactions'!C:C,'GL-Transactions'!G:G,"Total",'GL-Transactions'!E:E,B165)</f>
        <v>1322500</v>
      </c>
      <c r="E165" s="4">
        <f>SUMIFS('GL-Transactions'!B:B,'GL-Transactions'!G:G,"Total",'GL-Transactions'!E:E,B165)</f>
        <v>0</v>
      </c>
      <c r="F165" s="4">
        <f t="shared" si="2"/>
        <v>1322500</v>
      </c>
    </row>
    <row r="166" spans="2:6" ht="15" customHeight="1">
      <c r="B166" s="3">
        <v>2140921</v>
      </c>
      <c r="C166" s="3" t="s">
        <v>383</v>
      </c>
      <c r="D166" s="4">
        <f>SUMIFS('GL-Transactions'!C:C,'GL-Transactions'!G:G,"Total",'GL-Transactions'!E:E,B166)</f>
        <v>0</v>
      </c>
      <c r="E166" s="4">
        <f>SUMIFS('GL-Transactions'!B:B,'GL-Transactions'!G:G,"Total",'GL-Transactions'!E:E,B166)</f>
        <v>1698262</v>
      </c>
      <c r="F166" s="4">
        <f t="shared" si="2"/>
        <v>-1698262</v>
      </c>
    </row>
    <row r="167" spans="2:6" ht="15" customHeight="1">
      <c r="B167" s="3">
        <v>2140905</v>
      </c>
      <c r="C167" s="3" t="s">
        <v>382</v>
      </c>
      <c r="D167" s="4">
        <f>SUMIFS('GL-Transactions'!C:C,'GL-Transactions'!G:G,"Total",'GL-Transactions'!E:E,B167)</f>
        <v>431250</v>
      </c>
      <c r="E167" s="4">
        <f>SUMIFS('GL-Transactions'!B:B,'GL-Transactions'!G:G,"Total",'GL-Transactions'!E:E,B167)</f>
        <v>0</v>
      </c>
      <c r="F167" s="4">
        <f t="shared" si="2"/>
        <v>431250</v>
      </c>
    </row>
    <row r="168" spans="2:6" ht="15" customHeight="1">
      <c r="B168" s="3">
        <v>2140821</v>
      </c>
      <c r="C168" s="3" t="s">
        <v>381</v>
      </c>
      <c r="D168" s="4">
        <f>SUMIFS('GL-Transactions'!C:C,'GL-Transactions'!G:G,"Total",'GL-Transactions'!E:E,B168)</f>
        <v>0</v>
      </c>
      <c r="E168" s="4">
        <f>SUMIFS('GL-Transactions'!B:B,'GL-Transactions'!G:G,"Total",'GL-Transactions'!E:E,B168)</f>
        <v>350750</v>
      </c>
      <c r="F168" s="4">
        <f t="shared" si="2"/>
        <v>-350750</v>
      </c>
    </row>
    <row r="169" spans="2:6" ht="15" customHeight="1">
      <c r="B169" s="3">
        <v>2140805</v>
      </c>
      <c r="C169" s="3" t="s">
        <v>380</v>
      </c>
      <c r="D169" s="4">
        <f>SUMIFS('GL-Transactions'!C:C,'GL-Transactions'!G:G,"Total",'GL-Transactions'!E:E,B169)</f>
        <v>862500</v>
      </c>
      <c r="E169" s="4">
        <f>SUMIFS('GL-Transactions'!B:B,'GL-Transactions'!G:G,"Total",'GL-Transactions'!E:E,B169)</f>
        <v>0</v>
      </c>
      <c r="F169" s="4">
        <f t="shared" si="2"/>
        <v>862500</v>
      </c>
    </row>
    <row r="170" spans="2:6" ht="15" customHeight="1">
      <c r="B170" s="3">
        <v>2140801</v>
      </c>
      <c r="C170" s="3" t="s">
        <v>379</v>
      </c>
      <c r="D170" s="4">
        <f>SUMIFS('GL-Transactions'!C:C,'GL-Transactions'!G:G,"Total",'GL-Transactions'!E:E,B170)</f>
        <v>333500</v>
      </c>
      <c r="E170" s="4">
        <f>SUMIFS('GL-Transactions'!B:B,'GL-Transactions'!G:G,"Total",'GL-Transactions'!E:E,B170)</f>
        <v>0</v>
      </c>
      <c r="F170" s="4">
        <f t="shared" si="2"/>
        <v>333500</v>
      </c>
    </row>
    <row r="171" spans="2:6" ht="15" customHeight="1">
      <c r="B171" s="3">
        <v>2140721</v>
      </c>
      <c r="C171" s="3" t="s">
        <v>378</v>
      </c>
      <c r="D171" s="4">
        <f>SUMIFS('GL-Transactions'!C:C,'GL-Transactions'!G:G,"Total",'GL-Transactions'!E:E,B171)</f>
        <v>1695531</v>
      </c>
      <c r="E171" s="4">
        <f>SUMIFS('GL-Transactions'!B:B,'GL-Transactions'!G:G,"Total",'GL-Transactions'!E:E,B171)</f>
        <v>4117719</v>
      </c>
      <c r="F171" s="4">
        <f t="shared" si="2"/>
        <v>-2422188</v>
      </c>
    </row>
    <row r="172" spans="2:6" ht="15" customHeight="1">
      <c r="B172" s="3">
        <v>2140705</v>
      </c>
      <c r="C172" s="3" t="s">
        <v>377</v>
      </c>
      <c r="D172" s="4">
        <f>SUMIFS('GL-Transactions'!C:C,'GL-Transactions'!G:G,"Total",'GL-Transactions'!E:E,B172)</f>
        <v>937250</v>
      </c>
      <c r="E172" s="4">
        <f>SUMIFS('GL-Transactions'!B:B,'GL-Transactions'!G:G,"Total",'GL-Transactions'!E:E,B172)</f>
        <v>0</v>
      </c>
      <c r="F172" s="4">
        <f t="shared" si="2"/>
        <v>937250</v>
      </c>
    </row>
    <row r="173" spans="2:6" ht="15" customHeight="1">
      <c r="B173" s="3">
        <v>2140621</v>
      </c>
      <c r="C173" s="3" t="s">
        <v>376</v>
      </c>
      <c r="D173" s="4">
        <f>SUMIFS('GL-Transactions'!C:C,'GL-Transactions'!G:G,"Total",'GL-Transactions'!E:E,B173)</f>
        <v>0</v>
      </c>
      <c r="E173" s="4">
        <f>SUMIFS('GL-Transactions'!B:B,'GL-Transactions'!G:G,"Total",'GL-Transactions'!E:E,B173)</f>
        <v>5347500</v>
      </c>
      <c r="F173" s="4">
        <f t="shared" si="2"/>
        <v>-5347500</v>
      </c>
    </row>
    <row r="174" spans="2:6" ht="15" customHeight="1">
      <c r="B174" s="3">
        <v>2140605</v>
      </c>
      <c r="C174" s="3" t="s">
        <v>375</v>
      </c>
      <c r="D174" s="4">
        <f>SUMIFS('GL-Transactions'!C:C,'GL-Transactions'!G:G,"Total",'GL-Transactions'!E:E,B174)</f>
        <v>1259250</v>
      </c>
      <c r="E174" s="4">
        <f>SUMIFS('GL-Transactions'!B:B,'GL-Transactions'!G:G,"Total",'GL-Transactions'!E:E,B174)</f>
        <v>0</v>
      </c>
      <c r="F174" s="4">
        <f t="shared" si="2"/>
        <v>1259250</v>
      </c>
    </row>
    <row r="175" spans="2:6" ht="15" customHeight="1">
      <c r="B175" s="3">
        <v>2140521</v>
      </c>
      <c r="C175" s="3" t="s">
        <v>374</v>
      </c>
      <c r="D175" s="4">
        <f>SUMIFS('GL-Transactions'!C:C,'GL-Transactions'!G:G,"Total",'GL-Transactions'!E:E,B175)</f>
        <v>0</v>
      </c>
      <c r="E175" s="4">
        <f>SUMIFS('GL-Transactions'!B:B,'GL-Transactions'!G:G,"Total",'GL-Transactions'!E:E,B175)</f>
        <v>2137275</v>
      </c>
      <c r="F175" s="4">
        <f t="shared" si="2"/>
        <v>-2137275</v>
      </c>
    </row>
    <row r="176" spans="2:6" ht="15" customHeight="1">
      <c r="B176" s="3">
        <v>2140505</v>
      </c>
      <c r="C176" s="3" t="s">
        <v>373</v>
      </c>
      <c r="D176" s="4">
        <f>SUMIFS('GL-Transactions'!C:C,'GL-Transactions'!G:G,"Total",'GL-Transactions'!E:E,B176)</f>
        <v>345000</v>
      </c>
      <c r="E176" s="4">
        <f>SUMIFS('GL-Transactions'!B:B,'GL-Transactions'!G:G,"Total",'GL-Transactions'!E:E,B176)</f>
        <v>0</v>
      </c>
      <c r="F176" s="4">
        <f t="shared" si="2"/>
        <v>345000</v>
      </c>
    </row>
    <row r="177" spans="2:6" ht="15" customHeight="1">
      <c r="B177" s="3">
        <v>2140502</v>
      </c>
      <c r="C177" s="3" t="s">
        <v>372</v>
      </c>
      <c r="D177" s="4">
        <f>SUMIFS('GL-Transactions'!C:C,'GL-Transactions'!G:G,"Total",'GL-Transactions'!E:E,B177)</f>
        <v>5750</v>
      </c>
      <c r="E177" s="4">
        <f>SUMIFS('GL-Transactions'!B:B,'GL-Transactions'!G:G,"Total",'GL-Transactions'!E:E,B177)</f>
        <v>0</v>
      </c>
      <c r="F177" s="4">
        <f t="shared" si="2"/>
        <v>5750</v>
      </c>
    </row>
    <row r="178" spans="2:6" ht="15" customHeight="1">
      <c r="B178" s="3">
        <v>2140501</v>
      </c>
      <c r="C178" s="3" t="s">
        <v>371</v>
      </c>
      <c r="D178" s="4">
        <f>SUMIFS('GL-Transactions'!C:C,'GL-Transactions'!G:G,"Total",'GL-Transactions'!E:E,B178)</f>
        <v>11500</v>
      </c>
      <c r="E178" s="4">
        <f>SUMIFS('GL-Transactions'!B:B,'GL-Transactions'!G:G,"Total",'GL-Transactions'!E:E,B178)</f>
        <v>0</v>
      </c>
      <c r="F178" s="4">
        <f t="shared" si="2"/>
        <v>11500</v>
      </c>
    </row>
    <row r="179" spans="2:6" ht="15" customHeight="1">
      <c r="B179" s="3">
        <v>2140421</v>
      </c>
      <c r="C179" s="3" t="s">
        <v>370</v>
      </c>
      <c r="D179" s="4">
        <f>SUMIFS('GL-Transactions'!C:C,'GL-Transactions'!G:G,"Total",'GL-Transactions'!E:E,B179)</f>
        <v>0</v>
      </c>
      <c r="E179" s="4">
        <f>SUMIFS('GL-Transactions'!B:B,'GL-Transactions'!G:G,"Total",'GL-Transactions'!E:E,B179)</f>
        <v>3755612</v>
      </c>
      <c r="F179" s="4">
        <f t="shared" si="2"/>
        <v>-3755612</v>
      </c>
    </row>
    <row r="180" spans="2:6" ht="15" customHeight="1">
      <c r="B180" s="3">
        <v>2140405</v>
      </c>
      <c r="C180" s="3" t="s">
        <v>369</v>
      </c>
      <c r="D180" s="4">
        <f>SUMIFS('GL-Transactions'!C:C,'GL-Transactions'!G:G,"Total",'GL-Transactions'!E:E,B180)</f>
        <v>862500</v>
      </c>
      <c r="E180" s="4">
        <f>SUMIFS('GL-Transactions'!B:B,'GL-Transactions'!G:G,"Total",'GL-Transactions'!E:E,B180)</f>
        <v>0</v>
      </c>
      <c r="F180" s="4">
        <f t="shared" si="2"/>
        <v>862500</v>
      </c>
    </row>
    <row r="181" spans="2:6" ht="15" customHeight="1">
      <c r="B181" s="3">
        <v>2140321</v>
      </c>
      <c r="C181" s="3" t="s">
        <v>368</v>
      </c>
      <c r="D181" s="4">
        <f>SUMIFS('GL-Transactions'!C:C,'GL-Transactions'!G:G,"Total",'GL-Transactions'!E:E,B181)</f>
        <v>0</v>
      </c>
      <c r="E181" s="4">
        <f>SUMIFS('GL-Transactions'!B:B,'GL-Transactions'!G:G,"Total",'GL-Transactions'!E:E,B181)</f>
        <v>5767250</v>
      </c>
      <c r="F181" s="4">
        <f t="shared" si="2"/>
        <v>-5767250</v>
      </c>
    </row>
    <row r="182" spans="2:6" ht="15" customHeight="1">
      <c r="B182" s="3">
        <v>2140305</v>
      </c>
      <c r="C182" s="3" t="s">
        <v>367</v>
      </c>
      <c r="D182" s="4">
        <f>SUMIFS('GL-Transactions'!C:C,'GL-Transactions'!G:G,"Total",'GL-Transactions'!E:E,B182)</f>
        <v>862500</v>
      </c>
      <c r="E182" s="4">
        <f>SUMIFS('GL-Transactions'!B:B,'GL-Transactions'!G:G,"Total",'GL-Transactions'!E:E,B182)</f>
        <v>0</v>
      </c>
      <c r="F182" s="4">
        <f t="shared" si="2"/>
        <v>862500</v>
      </c>
    </row>
    <row r="183" spans="2:6" ht="15" customHeight="1">
      <c r="B183" s="3">
        <v>2140302</v>
      </c>
      <c r="C183" s="3" t="s">
        <v>366</v>
      </c>
      <c r="D183" s="4">
        <f>SUMIFS('GL-Transactions'!C:C,'GL-Transactions'!G:G,"Total",'GL-Transactions'!E:E,B183)</f>
        <v>23230</v>
      </c>
      <c r="E183" s="4">
        <f>SUMIFS('GL-Transactions'!B:B,'GL-Transactions'!G:G,"Total",'GL-Transactions'!E:E,B183)</f>
        <v>0</v>
      </c>
      <c r="F183" s="4">
        <f t="shared" si="2"/>
        <v>23230</v>
      </c>
    </row>
    <row r="184" spans="2:6" ht="15" customHeight="1">
      <c r="B184" s="3">
        <v>2140221</v>
      </c>
      <c r="C184" s="3" t="s">
        <v>364</v>
      </c>
      <c r="D184" s="4">
        <f>SUMIFS('GL-Transactions'!C:C,'GL-Transactions'!G:G,"Total",'GL-Transactions'!E:E,B184)</f>
        <v>0</v>
      </c>
      <c r="E184" s="4">
        <f>SUMIFS('GL-Transactions'!B:B,'GL-Transactions'!G:G,"Total",'GL-Transactions'!E:E,B184)</f>
        <v>846112</v>
      </c>
      <c r="F184" s="4">
        <f t="shared" si="2"/>
        <v>-846112</v>
      </c>
    </row>
    <row r="185" spans="2:6" ht="15" customHeight="1">
      <c r="B185" s="3">
        <v>2140205</v>
      </c>
      <c r="C185" s="3" t="s">
        <v>363</v>
      </c>
      <c r="D185" s="4">
        <f>SUMIFS('GL-Transactions'!C:C,'GL-Transactions'!G:G,"Total",'GL-Transactions'!E:E,B185)</f>
        <v>86250</v>
      </c>
      <c r="E185" s="4">
        <f>SUMIFS('GL-Transactions'!B:B,'GL-Transactions'!G:G,"Total",'GL-Transactions'!E:E,B185)</f>
        <v>0</v>
      </c>
      <c r="F185" s="4">
        <f t="shared" si="2"/>
        <v>86250</v>
      </c>
    </row>
    <row r="186" spans="2:6" ht="15" customHeight="1">
      <c r="B186" s="3">
        <v>2140121</v>
      </c>
      <c r="C186" s="3" t="s">
        <v>361</v>
      </c>
      <c r="D186" s="4">
        <f>SUMIFS('GL-Transactions'!C:C,'GL-Transactions'!G:G,"Total",'GL-Transactions'!E:E,B186)</f>
        <v>0</v>
      </c>
      <c r="E186" s="4">
        <f>SUMIFS('GL-Transactions'!B:B,'GL-Transactions'!G:G,"Total",'GL-Transactions'!E:E,B186)</f>
        <v>1831950</v>
      </c>
      <c r="F186" s="4">
        <f t="shared" si="2"/>
        <v>-1831950</v>
      </c>
    </row>
    <row r="187" spans="2:6" ht="15" customHeight="1">
      <c r="B187" s="3">
        <v>2140105</v>
      </c>
      <c r="C187" s="3" t="s">
        <v>360</v>
      </c>
      <c r="D187" s="4">
        <f>SUMIFS('GL-Transactions'!C:C,'GL-Transactions'!G:G,"Total",'GL-Transactions'!E:E,B187)</f>
        <v>333500</v>
      </c>
      <c r="E187" s="4">
        <f>SUMIFS('GL-Transactions'!B:B,'GL-Transactions'!G:G,"Total",'GL-Transactions'!E:E,B187)</f>
        <v>0</v>
      </c>
      <c r="F187" s="4">
        <f t="shared" si="2"/>
        <v>333500</v>
      </c>
    </row>
    <row r="188" spans="2:6" ht="15" customHeight="1">
      <c r="B188" s="3">
        <v>1337121</v>
      </c>
      <c r="C188" s="3" t="s">
        <v>358</v>
      </c>
      <c r="D188" s="4">
        <f>SUMIFS('GL-Transactions'!C:C,'GL-Transactions'!G:G,"Total",'GL-Transactions'!E:E,B188)</f>
        <v>0</v>
      </c>
      <c r="E188" s="4">
        <f>SUMIFS('GL-Transactions'!B:B,'GL-Transactions'!G:G,"Total",'GL-Transactions'!E:E,B188)</f>
        <v>3047500</v>
      </c>
      <c r="F188" s="4">
        <f t="shared" si="2"/>
        <v>-3047500</v>
      </c>
    </row>
    <row r="189" spans="2:6" ht="15" customHeight="1">
      <c r="B189" s="3">
        <v>1337101</v>
      </c>
      <c r="C189" s="3" t="s">
        <v>357</v>
      </c>
      <c r="D189" s="4">
        <f>SUMIFS('GL-Transactions'!C:C,'GL-Transactions'!G:G,"Total",'GL-Transactions'!E:E,B189)</f>
        <v>557750</v>
      </c>
      <c r="E189" s="4">
        <f>SUMIFS('GL-Transactions'!B:B,'GL-Transactions'!G:G,"Total",'GL-Transactions'!E:E,B189)</f>
        <v>0</v>
      </c>
      <c r="F189" s="4">
        <f t="shared" si="2"/>
        <v>557750</v>
      </c>
    </row>
    <row r="190" spans="2:6" ht="15" customHeight="1">
      <c r="B190" s="3">
        <v>1337002</v>
      </c>
      <c r="C190" s="3" t="s">
        <v>356</v>
      </c>
      <c r="D190" s="4">
        <f>SUMIFS('GL-Transactions'!C:C,'GL-Transactions'!G:G,"Total",'GL-Transactions'!E:E,B190)</f>
        <v>179170</v>
      </c>
      <c r="E190" s="4">
        <f>SUMIFS('GL-Transactions'!B:B,'GL-Transactions'!G:G,"Total",'GL-Transactions'!E:E,B190)</f>
        <v>0</v>
      </c>
      <c r="F190" s="4">
        <f t="shared" si="2"/>
        <v>179170</v>
      </c>
    </row>
    <row r="191" spans="2:6" ht="15" customHeight="1">
      <c r="B191" s="3">
        <v>1337001</v>
      </c>
      <c r="C191" s="3" t="s">
        <v>355</v>
      </c>
      <c r="D191" s="4">
        <f>SUMIFS('GL-Transactions'!C:C,'GL-Transactions'!G:G,"Total",'GL-Transactions'!E:E,B191)</f>
        <v>888892</v>
      </c>
      <c r="E191" s="4">
        <f>SUMIFS('GL-Transactions'!B:B,'GL-Transactions'!G:G,"Total",'GL-Transactions'!E:E,B191)</f>
        <v>0</v>
      </c>
      <c r="F191" s="4">
        <f t="shared" si="2"/>
        <v>888892</v>
      </c>
    </row>
    <row r="192" spans="2:6" ht="15" customHeight="1">
      <c r="B192" s="3">
        <v>1336921</v>
      </c>
      <c r="C192" s="3" t="s">
        <v>354</v>
      </c>
      <c r="D192" s="4">
        <f>SUMIFS('GL-Transactions'!C:C,'GL-Transactions'!G:G,"Total",'GL-Transactions'!E:E,B192)</f>
        <v>0</v>
      </c>
      <c r="E192" s="4">
        <f>SUMIFS('GL-Transactions'!B:B,'GL-Transactions'!G:G,"Total",'GL-Transactions'!E:E,B192)</f>
        <v>4208989</v>
      </c>
      <c r="F192" s="4">
        <f t="shared" si="2"/>
        <v>-4208989</v>
      </c>
    </row>
    <row r="193" spans="2:6" ht="15" customHeight="1">
      <c r="B193" s="3">
        <v>1336901</v>
      </c>
      <c r="C193" s="3" t="s">
        <v>353</v>
      </c>
      <c r="D193" s="4">
        <f>SUMIFS('GL-Transactions'!C:C,'GL-Transactions'!G:G,"Total",'GL-Transactions'!E:E,B193)</f>
        <v>113361</v>
      </c>
      <c r="E193" s="4">
        <f>SUMIFS('GL-Transactions'!B:B,'GL-Transactions'!G:G,"Total",'GL-Transactions'!E:E,B193)</f>
        <v>0</v>
      </c>
      <c r="F193" s="4">
        <f t="shared" si="2"/>
        <v>113361</v>
      </c>
    </row>
    <row r="194" spans="2:6" ht="15" customHeight="1">
      <c r="B194" s="3">
        <v>1336821</v>
      </c>
      <c r="C194" s="3" t="s">
        <v>352</v>
      </c>
      <c r="D194" s="4">
        <f>SUMIFS('GL-Transactions'!C:C,'GL-Transactions'!G:G,"Total",'GL-Transactions'!E:E,B194)</f>
        <v>0</v>
      </c>
      <c r="E194" s="4">
        <f>SUMIFS('GL-Transactions'!B:B,'GL-Transactions'!G:G,"Total",'GL-Transactions'!E:E,B194)</f>
        <v>4704564</v>
      </c>
      <c r="F194" s="4">
        <f t="shared" si="2"/>
        <v>-4704564</v>
      </c>
    </row>
    <row r="195" spans="2:6" ht="15" customHeight="1">
      <c r="B195" s="3">
        <v>1336721</v>
      </c>
      <c r="C195" s="3" t="s">
        <v>351</v>
      </c>
      <c r="D195" s="4">
        <f>SUMIFS('GL-Transactions'!C:C,'GL-Transactions'!G:G,"Total",'GL-Transactions'!E:E,B195)</f>
        <v>0</v>
      </c>
      <c r="E195" s="4">
        <f>SUMIFS('GL-Transactions'!B:B,'GL-Transactions'!G:G,"Total",'GL-Transactions'!E:E,B195)</f>
        <v>4906642</v>
      </c>
      <c r="F195" s="4">
        <f t="shared" si="2"/>
        <v>-4906642</v>
      </c>
    </row>
    <row r="196" spans="2:6" ht="15" customHeight="1">
      <c r="B196" s="3">
        <v>1336705</v>
      </c>
      <c r="C196" s="3" t="s">
        <v>350</v>
      </c>
      <c r="D196" s="4">
        <f>SUMIFS('GL-Transactions'!C:C,'GL-Transactions'!G:G,"Total",'GL-Transactions'!E:E,B196)</f>
        <v>485875</v>
      </c>
      <c r="E196" s="4">
        <f>SUMIFS('GL-Transactions'!B:B,'GL-Transactions'!G:G,"Total",'GL-Transactions'!E:E,B196)</f>
        <v>0</v>
      </c>
      <c r="F196" s="4">
        <f t="shared" si="2"/>
        <v>485875</v>
      </c>
    </row>
    <row r="197" spans="2:6" ht="15" customHeight="1">
      <c r="B197" s="3">
        <v>1336702</v>
      </c>
      <c r="C197" s="3" t="s">
        <v>349</v>
      </c>
      <c r="D197" s="4">
        <f>SUMIFS('GL-Transactions'!C:C,'GL-Transactions'!G:G,"Total",'GL-Transactions'!E:E,B197)</f>
        <v>433406</v>
      </c>
      <c r="E197" s="4">
        <f>SUMIFS('GL-Transactions'!B:B,'GL-Transactions'!G:G,"Total",'GL-Transactions'!E:E,B197)</f>
        <v>0</v>
      </c>
      <c r="F197" s="4">
        <f t="shared" ref="F197:F260" si="3">D197-E197</f>
        <v>433406</v>
      </c>
    </row>
    <row r="198" spans="2:6" ht="15" customHeight="1">
      <c r="B198" s="3">
        <v>1336621</v>
      </c>
      <c r="C198" s="3" t="s">
        <v>348</v>
      </c>
      <c r="D198" s="4">
        <f>SUMIFS('GL-Transactions'!C:C,'GL-Transactions'!G:G,"Total",'GL-Transactions'!E:E,B198)</f>
        <v>0</v>
      </c>
      <c r="E198" s="4">
        <f>SUMIFS('GL-Transactions'!B:B,'GL-Transactions'!G:G,"Total",'GL-Transactions'!E:E,B198)</f>
        <v>4399990</v>
      </c>
      <c r="F198" s="4">
        <f t="shared" si="3"/>
        <v>-4399990</v>
      </c>
    </row>
    <row r="199" spans="2:6" ht="15" customHeight="1">
      <c r="B199" s="3">
        <v>1336605</v>
      </c>
      <c r="C199" s="3" t="s">
        <v>347</v>
      </c>
      <c r="D199" s="4">
        <f>SUMIFS('GL-Transactions'!C:C,'GL-Transactions'!G:G,"Total",'GL-Transactions'!E:E,B199)</f>
        <v>416875</v>
      </c>
      <c r="E199" s="4">
        <f>SUMIFS('GL-Transactions'!B:B,'GL-Transactions'!G:G,"Total",'GL-Transactions'!E:E,B199)</f>
        <v>0</v>
      </c>
      <c r="F199" s="4">
        <f t="shared" si="3"/>
        <v>416875</v>
      </c>
    </row>
    <row r="200" spans="2:6" ht="15" customHeight="1">
      <c r="B200" s="3">
        <v>1336602</v>
      </c>
      <c r="C200" s="3" t="s">
        <v>346</v>
      </c>
      <c r="D200" s="4">
        <f>SUMIFS('GL-Transactions'!C:C,'GL-Transactions'!G:G,"Total",'GL-Transactions'!E:E,B200)</f>
        <v>503412</v>
      </c>
      <c r="E200" s="4">
        <f>SUMIFS('GL-Transactions'!B:B,'GL-Transactions'!G:G,"Total",'GL-Transactions'!E:E,B200)</f>
        <v>0</v>
      </c>
      <c r="F200" s="4">
        <f t="shared" si="3"/>
        <v>503412</v>
      </c>
    </row>
    <row r="201" spans="2:6" ht="15" customHeight="1">
      <c r="B201" s="3">
        <v>1336601</v>
      </c>
      <c r="C201" s="3" t="s">
        <v>345</v>
      </c>
      <c r="D201" s="4">
        <f>SUMIFS('GL-Transactions'!C:C,'GL-Transactions'!G:G,"Total",'GL-Transactions'!E:E,B201)</f>
        <v>505482</v>
      </c>
      <c r="E201" s="4">
        <f>SUMIFS('GL-Transactions'!B:B,'GL-Transactions'!G:G,"Total",'GL-Transactions'!E:E,B201)</f>
        <v>0</v>
      </c>
      <c r="F201" s="4">
        <f t="shared" si="3"/>
        <v>505482</v>
      </c>
    </row>
    <row r="202" spans="2:6" ht="15" customHeight="1">
      <c r="B202" s="3">
        <v>1336521</v>
      </c>
      <c r="C202" s="3" t="s">
        <v>344</v>
      </c>
      <c r="D202" s="4">
        <f>SUMIFS('GL-Transactions'!C:C,'GL-Transactions'!G:G,"Total",'GL-Transactions'!E:E,B202)</f>
        <v>0</v>
      </c>
      <c r="E202" s="4">
        <f>SUMIFS('GL-Transactions'!B:B,'GL-Transactions'!G:G,"Total",'GL-Transactions'!E:E,B202)</f>
        <v>5224701</v>
      </c>
      <c r="F202" s="4">
        <f t="shared" si="3"/>
        <v>-5224701</v>
      </c>
    </row>
    <row r="203" spans="2:6" ht="15" customHeight="1">
      <c r="B203" s="3">
        <v>1336505</v>
      </c>
      <c r="C203" s="3" t="s">
        <v>343</v>
      </c>
      <c r="D203" s="4">
        <f>SUMIFS('GL-Transactions'!C:C,'GL-Transactions'!G:G,"Total",'GL-Transactions'!E:E,B203)</f>
        <v>531875</v>
      </c>
      <c r="E203" s="4">
        <f>SUMIFS('GL-Transactions'!B:B,'GL-Transactions'!G:G,"Total",'GL-Transactions'!E:E,B203)</f>
        <v>0</v>
      </c>
      <c r="F203" s="4">
        <f t="shared" si="3"/>
        <v>531875</v>
      </c>
    </row>
    <row r="204" spans="2:6" ht="15" customHeight="1">
      <c r="B204" s="3">
        <v>1336501</v>
      </c>
      <c r="C204" s="3" t="s">
        <v>342</v>
      </c>
      <c r="D204" s="4">
        <f>SUMIFS('GL-Transactions'!C:C,'GL-Transactions'!G:G,"Total",'GL-Transactions'!E:E,B204)</f>
        <v>775560</v>
      </c>
      <c r="E204" s="4">
        <f>SUMIFS('GL-Transactions'!B:B,'GL-Transactions'!G:G,"Total",'GL-Transactions'!E:E,B204)</f>
        <v>0</v>
      </c>
      <c r="F204" s="4">
        <f t="shared" si="3"/>
        <v>775560</v>
      </c>
    </row>
    <row r="205" spans="2:6" ht="15" customHeight="1">
      <c r="B205" s="3">
        <v>1336421</v>
      </c>
      <c r="C205" s="3" t="s">
        <v>341</v>
      </c>
      <c r="D205" s="4">
        <f>SUMIFS('GL-Transactions'!C:C,'GL-Transactions'!G:G,"Total",'GL-Transactions'!E:E,B205)</f>
        <v>0</v>
      </c>
      <c r="E205" s="4">
        <f>SUMIFS('GL-Transactions'!B:B,'GL-Transactions'!G:G,"Total",'GL-Transactions'!E:E,B205)</f>
        <v>6181733</v>
      </c>
      <c r="F205" s="4">
        <f t="shared" si="3"/>
        <v>-6181733</v>
      </c>
    </row>
    <row r="206" spans="2:6" ht="15" customHeight="1">
      <c r="B206" s="3">
        <v>1336405</v>
      </c>
      <c r="C206" s="3" t="s">
        <v>340</v>
      </c>
      <c r="D206" s="4">
        <f>SUMIFS('GL-Transactions'!C:C,'GL-Transactions'!G:G,"Total",'GL-Transactions'!E:E,B206)</f>
        <v>605188</v>
      </c>
      <c r="E206" s="4">
        <f>SUMIFS('GL-Transactions'!B:B,'GL-Transactions'!G:G,"Total",'GL-Transactions'!E:E,B206)</f>
        <v>0</v>
      </c>
      <c r="F206" s="4">
        <f t="shared" si="3"/>
        <v>605188</v>
      </c>
    </row>
    <row r="207" spans="2:6" ht="15" customHeight="1">
      <c r="B207" s="3">
        <v>1336401</v>
      </c>
      <c r="C207" s="3" t="s">
        <v>339</v>
      </c>
      <c r="D207" s="4">
        <f>SUMIFS('GL-Transactions'!C:C,'GL-Transactions'!G:G,"Total",'GL-Transactions'!E:E,B207)</f>
        <v>1054406</v>
      </c>
      <c r="E207" s="4">
        <f>SUMIFS('GL-Transactions'!B:B,'GL-Transactions'!G:G,"Total",'GL-Transactions'!E:E,B207)</f>
        <v>0</v>
      </c>
      <c r="F207" s="4">
        <f t="shared" si="3"/>
        <v>1054406</v>
      </c>
    </row>
    <row r="208" spans="2:6" ht="15" customHeight="1">
      <c r="B208" s="3">
        <v>1336321</v>
      </c>
      <c r="C208" s="3" t="s">
        <v>338</v>
      </c>
      <c r="D208" s="4">
        <f>SUMIFS('GL-Transactions'!C:C,'GL-Transactions'!G:G,"Total",'GL-Transactions'!E:E,B208)</f>
        <v>0</v>
      </c>
      <c r="E208" s="4">
        <f>SUMIFS('GL-Transactions'!B:B,'GL-Transactions'!G:G,"Total",'GL-Transactions'!E:E,B208)</f>
        <v>5014472</v>
      </c>
      <c r="F208" s="4">
        <f t="shared" si="3"/>
        <v>-5014472</v>
      </c>
    </row>
    <row r="209" spans="2:6" ht="15" customHeight="1">
      <c r="B209" s="3">
        <v>1336305</v>
      </c>
      <c r="C209" s="3" t="s">
        <v>337</v>
      </c>
      <c r="D209" s="4">
        <f>SUMIFS('GL-Transactions'!C:C,'GL-Transactions'!G:G,"Total",'GL-Transactions'!E:E,B209)</f>
        <v>485875</v>
      </c>
      <c r="E209" s="4">
        <f>SUMIFS('GL-Transactions'!B:B,'GL-Transactions'!G:G,"Total",'GL-Transactions'!E:E,B209)</f>
        <v>0</v>
      </c>
      <c r="F209" s="4">
        <f t="shared" si="3"/>
        <v>485875</v>
      </c>
    </row>
    <row r="210" spans="2:6" ht="15" customHeight="1">
      <c r="B210" s="3">
        <v>1336302</v>
      </c>
      <c r="C210" s="3" t="s">
        <v>336</v>
      </c>
      <c r="D210" s="4">
        <f>SUMIFS('GL-Transactions'!C:C,'GL-Transactions'!G:G,"Total",'GL-Transactions'!E:E,B210)</f>
        <v>503412</v>
      </c>
      <c r="E210" s="4">
        <f>SUMIFS('GL-Transactions'!B:B,'GL-Transactions'!G:G,"Total",'GL-Transactions'!E:E,B210)</f>
        <v>0</v>
      </c>
      <c r="F210" s="4">
        <f t="shared" si="3"/>
        <v>503412</v>
      </c>
    </row>
    <row r="211" spans="2:6" ht="15" customHeight="1">
      <c r="B211" s="3">
        <v>1336301</v>
      </c>
      <c r="C211" s="3" t="s">
        <v>335</v>
      </c>
      <c r="D211" s="4">
        <f>SUMIFS('GL-Transactions'!C:C,'GL-Transactions'!G:G,"Total",'GL-Transactions'!E:E,B211)</f>
        <v>662285</v>
      </c>
      <c r="E211" s="4">
        <f>SUMIFS('GL-Transactions'!B:B,'GL-Transactions'!G:G,"Total",'GL-Transactions'!E:E,B211)</f>
        <v>0</v>
      </c>
      <c r="F211" s="4">
        <f t="shared" si="3"/>
        <v>662285</v>
      </c>
    </row>
    <row r="212" spans="2:6" ht="15" customHeight="1">
      <c r="B212" s="3">
        <v>1336221</v>
      </c>
      <c r="C212" s="3" t="s">
        <v>334</v>
      </c>
      <c r="D212" s="4">
        <f>SUMIFS('GL-Transactions'!C:C,'GL-Transactions'!G:G,"Total",'GL-Transactions'!E:E,B212)</f>
        <v>0</v>
      </c>
      <c r="E212" s="4">
        <f>SUMIFS('GL-Transactions'!B:B,'GL-Transactions'!G:G,"Total",'GL-Transactions'!E:E,B212)</f>
        <v>4725086</v>
      </c>
      <c r="F212" s="4">
        <f t="shared" si="3"/>
        <v>-4725086</v>
      </c>
    </row>
    <row r="213" spans="2:6" ht="15" customHeight="1">
      <c r="B213" s="3">
        <v>1336205</v>
      </c>
      <c r="C213" s="3" t="s">
        <v>333</v>
      </c>
      <c r="D213" s="4">
        <f>SUMIFS('GL-Transactions'!C:C,'GL-Transactions'!G:G,"Total",'GL-Transactions'!E:E,B213)</f>
        <v>416875</v>
      </c>
      <c r="E213" s="4">
        <f>SUMIFS('GL-Transactions'!B:B,'GL-Transactions'!G:G,"Total",'GL-Transactions'!E:E,B213)</f>
        <v>0</v>
      </c>
      <c r="F213" s="4">
        <f t="shared" si="3"/>
        <v>416875</v>
      </c>
    </row>
    <row r="214" spans="2:6" ht="15" customHeight="1">
      <c r="B214" s="3">
        <v>1336202</v>
      </c>
      <c r="C214" s="3" t="s">
        <v>332</v>
      </c>
      <c r="D214" s="4">
        <f>SUMIFS('GL-Transactions'!C:C,'GL-Transactions'!G:G,"Total",'GL-Transactions'!E:E,B214)</f>
        <v>2875</v>
      </c>
      <c r="E214" s="4">
        <f>SUMIFS('GL-Transactions'!B:B,'GL-Transactions'!G:G,"Total",'GL-Transactions'!E:E,B214)</f>
        <v>0</v>
      </c>
      <c r="F214" s="4">
        <f t="shared" si="3"/>
        <v>2875</v>
      </c>
    </row>
    <row r="215" spans="2:6" ht="15" customHeight="1">
      <c r="B215" s="3">
        <v>1336201</v>
      </c>
      <c r="C215" s="3" t="s">
        <v>331</v>
      </c>
      <c r="D215" s="4">
        <f>SUMIFS('GL-Transactions'!C:C,'GL-Transactions'!G:G,"Total",'GL-Transactions'!E:E,B215)</f>
        <v>1002167</v>
      </c>
      <c r="E215" s="4">
        <f>SUMIFS('GL-Transactions'!B:B,'GL-Transactions'!G:G,"Total",'GL-Transactions'!E:E,B215)</f>
        <v>0</v>
      </c>
      <c r="F215" s="4">
        <f t="shared" si="3"/>
        <v>1002167</v>
      </c>
    </row>
    <row r="216" spans="2:6" ht="15" customHeight="1">
      <c r="B216" s="3">
        <v>1336121</v>
      </c>
      <c r="C216" s="3" t="s">
        <v>330</v>
      </c>
      <c r="D216" s="4">
        <f>SUMIFS('GL-Transactions'!C:C,'GL-Transactions'!G:G,"Total",'GL-Transactions'!E:E,B216)</f>
        <v>0</v>
      </c>
      <c r="E216" s="4">
        <f>SUMIFS('GL-Transactions'!B:B,'GL-Transactions'!G:G,"Total",'GL-Transactions'!E:E,B216)</f>
        <v>4091125</v>
      </c>
      <c r="F216" s="4">
        <f t="shared" si="3"/>
        <v>-4091125</v>
      </c>
    </row>
    <row r="217" spans="2:6" ht="15" customHeight="1">
      <c r="B217" s="3">
        <v>1336105</v>
      </c>
      <c r="C217" s="3" t="s">
        <v>329</v>
      </c>
      <c r="D217" s="4">
        <f>SUMIFS('GL-Transactions'!C:C,'GL-Transactions'!G:G,"Total",'GL-Transactions'!E:E,B217)</f>
        <v>449937</v>
      </c>
      <c r="E217" s="4">
        <f>SUMIFS('GL-Transactions'!B:B,'GL-Transactions'!G:G,"Total",'GL-Transactions'!E:E,B217)</f>
        <v>0</v>
      </c>
      <c r="F217" s="4">
        <f t="shared" si="3"/>
        <v>449937</v>
      </c>
    </row>
    <row r="218" spans="2:6" ht="15" customHeight="1">
      <c r="B218" s="3">
        <v>1336101</v>
      </c>
      <c r="C218" s="3" t="s">
        <v>328</v>
      </c>
      <c r="D218" s="4">
        <f>SUMIFS('GL-Transactions'!C:C,'GL-Transactions'!G:G,"Total",'GL-Transactions'!E:E,B218)</f>
        <v>592595</v>
      </c>
      <c r="E218" s="4">
        <f>SUMIFS('GL-Transactions'!B:B,'GL-Transactions'!G:G,"Total",'GL-Transactions'!E:E,B218)</f>
        <v>0</v>
      </c>
      <c r="F218" s="4">
        <f t="shared" si="3"/>
        <v>592595</v>
      </c>
    </row>
    <row r="219" spans="2:6" ht="15" customHeight="1">
      <c r="B219" s="3">
        <v>1336021</v>
      </c>
      <c r="C219" s="3" t="s">
        <v>327</v>
      </c>
      <c r="D219" s="4">
        <f>SUMIFS('GL-Transactions'!C:C,'GL-Transactions'!G:G,"Total",'GL-Transactions'!E:E,B219)</f>
        <v>4866472</v>
      </c>
      <c r="E219" s="4">
        <f>SUMIFS('GL-Transactions'!B:B,'GL-Transactions'!G:G,"Total",'GL-Transactions'!E:E,B219)</f>
        <v>4866472</v>
      </c>
      <c r="F219" s="4">
        <f t="shared" si="3"/>
        <v>0</v>
      </c>
    </row>
    <row r="220" spans="2:6" ht="15" customHeight="1">
      <c r="B220" s="3">
        <v>1335921</v>
      </c>
      <c r="C220" s="3" t="s">
        <v>326</v>
      </c>
      <c r="D220" s="4">
        <f>SUMIFS('GL-Transactions'!C:C,'GL-Transactions'!G:G,"Total",'GL-Transactions'!E:E,B220)</f>
        <v>4704564</v>
      </c>
      <c r="E220" s="4">
        <f>SUMIFS('GL-Transactions'!B:B,'GL-Transactions'!G:G,"Total",'GL-Transactions'!E:E,B220)</f>
        <v>4704564</v>
      </c>
      <c r="F220" s="4">
        <f t="shared" si="3"/>
        <v>0</v>
      </c>
    </row>
    <row r="221" spans="2:6" ht="15" customHeight="1">
      <c r="B221" s="3">
        <v>1335905</v>
      </c>
      <c r="C221" s="3" t="s">
        <v>325</v>
      </c>
      <c r="D221" s="4">
        <f>SUMIFS('GL-Transactions'!C:C,'GL-Transactions'!G:G,"Total",'GL-Transactions'!E:E,B221)</f>
        <v>573563</v>
      </c>
      <c r="E221" s="4">
        <f>SUMIFS('GL-Transactions'!B:B,'GL-Transactions'!G:G,"Total",'GL-Transactions'!E:E,B221)</f>
        <v>0</v>
      </c>
      <c r="F221" s="4">
        <f t="shared" si="3"/>
        <v>573563</v>
      </c>
    </row>
    <row r="222" spans="2:6" ht="15" customHeight="1">
      <c r="B222" s="3">
        <v>1335902</v>
      </c>
      <c r="C222" s="3" t="s">
        <v>324</v>
      </c>
      <c r="D222" s="4">
        <f>SUMIFS('GL-Transactions'!C:C,'GL-Transactions'!G:G,"Total",'GL-Transactions'!E:E,B222)</f>
        <v>433406</v>
      </c>
      <c r="E222" s="4">
        <f>SUMIFS('GL-Transactions'!B:B,'GL-Transactions'!G:G,"Total",'GL-Transactions'!E:E,B222)</f>
        <v>0</v>
      </c>
      <c r="F222" s="4">
        <f t="shared" si="3"/>
        <v>433406</v>
      </c>
    </row>
    <row r="223" spans="2:6" ht="15" customHeight="1">
      <c r="B223" s="3">
        <v>1335901</v>
      </c>
      <c r="C223" s="3" t="s">
        <v>323</v>
      </c>
      <c r="D223" s="4">
        <f>SUMIFS('GL-Transactions'!C:C,'GL-Transactions'!G:G,"Total",'GL-Transactions'!E:E,B223)</f>
        <v>592595</v>
      </c>
      <c r="E223" s="4">
        <f>SUMIFS('GL-Transactions'!B:B,'GL-Transactions'!G:G,"Total",'GL-Transactions'!E:E,B223)</f>
        <v>0</v>
      </c>
      <c r="F223" s="4">
        <f t="shared" si="3"/>
        <v>592595</v>
      </c>
    </row>
    <row r="224" spans="2:6" ht="15" customHeight="1">
      <c r="B224" s="3">
        <v>1335821</v>
      </c>
      <c r="C224" s="3" t="s">
        <v>322</v>
      </c>
      <c r="D224" s="4">
        <f>SUMIFS('GL-Transactions'!C:C,'GL-Transactions'!G:G,"Total",'GL-Transactions'!E:E,B224)</f>
        <v>0</v>
      </c>
      <c r="E224" s="4">
        <f>SUMIFS('GL-Transactions'!B:B,'GL-Transactions'!G:G,"Total",'GL-Transactions'!E:E,B224)</f>
        <v>4592117</v>
      </c>
      <c r="F224" s="4">
        <f t="shared" si="3"/>
        <v>-4592117</v>
      </c>
    </row>
    <row r="225" spans="2:6" ht="15" customHeight="1">
      <c r="B225" s="3">
        <v>1335805</v>
      </c>
      <c r="C225" s="3" t="s">
        <v>321</v>
      </c>
      <c r="D225" s="4">
        <f>SUMIFS('GL-Transactions'!C:C,'GL-Transactions'!G:G,"Total",'GL-Transactions'!E:E,B225)</f>
        <v>416875</v>
      </c>
      <c r="E225" s="4">
        <f>SUMIFS('GL-Transactions'!B:B,'GL-Transactions'!G:G,"Total",'GL-Transactions'!E:E,B225)</f>
        <v>0</v>
      </c>
      <c r="F225" s="4">
        <f t="shared" si="3"/>
        <v>416875</v>
      </c>
    </row>
    <row r="226" spans="2:6" ht="15" customHeight="1">
      <c r="B226" s="3">
        <v>1335802</v>
      </c>
      <c r="C226" s="3" t="s">
        <v>320</v>
      </c>
      <c r="D226" s="4">
        <f>SUMIFS('GL-Transactions'!C:C,'GL-Transactions'!G:G,"Total",'GL-Transactions'!E:E,B226)</f>
        <v>2875</v>
      </c>
      <c r="E226" s="4">
        <f>SUMIFS('GL-Transactions'!B:B,'GL-Transactions'!G:G,"Total",'GL-Transactions'!E:E,B226)</f>
        <v>0</v>
      </c>
      <c r="F226" s="4">
        <f t="shared" si="3"/>
        <v>2875</v>
      </c>
    </row>
    <row r="227" spans="2:6" ht="15" customHeight="1">
      <c r="B227" s="3">
        <v>1335801</v>
      </c>
      <c r="C227" s="3" t="s">
        <v>319</v>
      </c>
      <c r="D227" s="4">
        <f>SUMIFS('GL-Transactions'!C:C,'GL-Transactions'!G:G,"Total",'GL-Transactions'!E:E,B227)</f>
        <v>705956</v>
      </c>
      <c r="E227" s="4">
        <f>SUMIFS('GL-Transactions'!B:B,'GL-Transactions'!G:G,"Total",'GL-Transactions'!E:E,B227)</f>
        <v>0</v>
      </c>
      <c r="F227" s="4">
        <f t="shared" si="3"/>
        <v>705956</v>
      </c>
    </row>
    <row r="228" spans="2:6" ht="15" customHeight="1">
      <c r="B228" s="3">
        <v>1335721</v>
      </c>
      <c r="C228" s="3" t="s">
        <v>318</v>
      </c>
      <c r="D228" s="4">
        <f>SUMIFS('GL-Transactions'!C:C,'GL-Transactions'!G:G,"Total",'GL-Transactions'!E:E,B228)</f>
        <v>0</v>
      </c>
      <c r="E228" s="4">
        <f>SUMIFS('GL-Transactions'!B:B,'GL-Transactions'!G:G,"Total",'GL-Transactions'!E:E,B228)</f>
        <v>4589610</v>
      </c>
      <c r="F228" s="4">
        <f t="shared" si="3"/>
        <v>-4589610</v>
      </c>
    </row>
    <row r="229" spans="2:6" ht="15" customHeight="1">
      <c r="B229" s="3">
        <v>1335705</v>
      </c>
      <c r="C229" s="3" t="s">
        <v>317</v>
      </c>
      <c r="D229" s="4">
        <f>SUMIFS('GL-Transactions'!C:C,'GL-Transactions'!G:G,"Total",'GL-Transactions'!E:E,B229)</f>
        <v>416875</v>
      </c>
      <c r="E229" s="4">
        <f>SUMIFS('GL-Transactions'!B:B,'GL-Transactions'!G:G,"Total",'GL-Transactions'!E:E,B229)</f>
        <v>0</v>
      </c>
      <c r="F229" s="4">
        <f t="shared" si="3"/>
        <v>416875</v>
      </c>
    </row>
    <row r="230" spans="2:6" ht="15" customHeight="1">
      <c r="B230" s="3">
        <v>1335701</v>
      </c>
      <c r="C230" s="3" t="s">
        <v>316</v>
      </c>
      <c r="D230" s="4">
        <f>SUMIFS('GL-Transactions'!C:C,'GL-Transactions'!G:G,"Total",'GL-Transactions'!E:E,B230)</f>
        <v>705870</v>
      </c>
      <c r="E230" s="4">
        <f>SUMIFS('GL-Transactions'!B:B,'GL-Transactions'!G:G,"Total",'GL-Transactions'!E:E,B230)</f>
        <v>0</v>
      </c>
      <c r="F230" s="4">
        <f t="shared" si="3"/>
        <v>705870</v>
      </c>
    </row>
    <row r="231" spans="2:6" ht="15" customHeight="1">
      <c r="B231" s="3">
        <v>1335621</v>
      </c>
      <c r="C231" s="3" t="s">
        <v>315</v>
      </c>
      <c r="D231" s="4">
        <f>SUMIFS('GL-Transactions'!C:C,'GL-Transactions'!G:G,"Total",'GL-Transactions'!E:E,B231)</f>
        <v>0</v>
      </c>
      <c r="E231" s="4">
        <f>SUMIFS('GL-Transactions'!B:B,'GL-Transactions'!G:G,"Total",'GL-Transactions'!E:E,B231)</f>
        <v>5219275</v>
      </c>
      <c r="F231" s="4">
        <f t="shared" si="3"/>
        <v>-5219275</v>
      </c>
    </row>
    <row r="232" spans="2:6" ht="15" customHeight="1">
      <c r="B232" s="3">
        <v>1335605</v>
      </c>
      <c r="C232" s="3" t="s">
        <v>314</v>
      </c>
      <c r="D232" s="4">
        <f>SUMIFS('GL-Transactions'!C:C,'GL-Transactions'!G:G,"Total",'GL-Transactions'!E:E,B232)</f>
        <v>508875</v>
      </c>
      <c r="E232" s="4">
        <f>SUMIFS('GL-Transactions'!B:B,'GL-Transactions'!G:G,"Total",'GL-Transactions'!E:E,B232)</f>
        <v>0</v>
      </c>
      <c r="F232" s="4">
        <f t="shared" si="3"/>
        <v>508875</v>
      </c>
    </row>
    <row r="233" spans="2:6" ht="15" customHeight="1">
      <c r="B233" s="3">
        <v>1335601</v>
      </c>
      <c r="C233" s="3" t="s">
        <v>313</v>
      </c>
      <c r="D233" s="4">
        <f>SUMIFS('GL-Transactions'!C:C,'GL-Transactions'!G:G,"Total",'GL-Transactions'!E:E,B233)</f>
        <v>827914</v>
      </c>
      <c r="E233" s="4">
        <f>SUMIFS('GL-Transactions'!B:B,'GL-Transactions'!G:G,"Total",'GL-Transactions'!E:E,B233)</f>
        <v>0</v>
      </c>
      <c r="F233" s="4">
        <f t="shared" si="3"/>
        <v>827914</v>
      </c>
    </row>
    <row r="234" spans="2:6" ht="15" customHeight="1">
      <c r="B234" s="3">
        <v>1335521</v>
      </c>
      <c r="C234" s="3" t="s">
        <v>312</v>
      </c>
      <c r="D234" s="4">
        <f>SUMIFS('GL-Transactions'!C:C,'GL-Transactions'!G:G,"Total",'GL-Transactions'!E:E,B234)</f>
        <v>0</v>
      </c>
      <c r="E234" s="4">
        <f>SUMIFS('GL-Transactions'!B:B,'GL-Transactions'!G:G,"Total",'GL-Transactions'!E:E,B234)</f>
        <v>6118834</v>
      </c>
      <c r="F234" s="4">
        <f t="shared" si="3"/>
        <v>-6118834</v>
      </c>
    </row>
    <row r="235" spans="2:6" ht="15" customHeight="1">
      <c r="B235" s="3">
        <v>1335505</v>
      </c>
      <c r="C235" s="3" t="s">
        <v>311</v>
      </c>
      <c r="D235" s="4">
        <f>SUMIFS('GL-Transactions'!C:C,'GL-Transactions'!G:G,"Total",'GL-Transactions'!E:E,B235)</f>
        <v>692875</v>
      </c>
      <c r="E235" s="4">
        <f>SUMIFS('GL-Transactions'!B:B,'GL-Transactions'!G:G,"Total",'GL-Transactions'!E:E,B235)</f>
        <v>0</v>
      </c>
      <c r="F235" s="4">
        <f t="shared" si="3"/>
        <v>692875</v>
      </c>
    </row>
    <row r="236" spans="2:6" ht="15" customHeight="1">
      <c r="B236" s="3">
        <v>1335501</v>
      </c>
      <c r="C236" s="3" t="s">
        <v>310</v>
      </c>
      <c r="D236" s="4">
        <f>SUMIFS('GL-Transactions'!C:C,'GL-Transactions'!G:G,"Total",'GL-Transactions'!E:E,B236)</f>
        <v>1023874</v>
      </c>
      <c r="E236" s="4">
        <f>SUMIFS('GL-Transactions'!B:B,'GL-Transactions'!G:G,"Total",'GL-Transactions'!E:E,B236)</f>
        <v>0</v>
      </c>
      <c r="F236" s="4">
        <f t="shared" si="3"/>
        <v>1023874</v>
      </c>
    </row>
    <row r="237" spans="2:6" ht="15" customHeight="1">
      <c r="B237" s="3">
        <v>1335421</v>
      </c>
      <c r="C237" s="3" t="s">
        <v>309</v>
      </c>
      <c r="D237" s="4">
        <f>SUMIFS('GL-Transactions'!C:C,'GL-Transactions'!G:G,"Total",'GL-Transactions'!E:E,B237)</f>
        <v>0</v>
      </c>
      <c r="E237" s="4">
        <f>SUMIFS('GL-Transactions'!B:B,'GL-Transactions'!G:G,"Total",'GL-Transactions'!E:E,B237)</f>
        <v>3887000</v>
      </c>
      <c r="F237" s="4">
        <f t="shared" si="3"/>
        <v>-3887000</v>
      </c>
    </row>
    <row r="238" spans="2:6" ht="15" customHeight="1">
      <c r="B238" s="3">
        <v>1335401</v>
      </c>
      <c r="C238" s="3" t="s">
        <v>308</v>
      </c>
      <c r="D238" s="4">
        <f>SUMIFS('GL-Transactions'!C:C,'GL-Transactions'!G:G,"Total",'GL-Transactions'!E:E,B238)</f>
        <v>522905</v>
      </c>
      <c r="E238" s="4">
        <f>SUMIFS('GL-Transactions'!B:B,'GL-Transactions'!G:G,"Total",'GL-Transactions'!E:E,B238)</f>
        <v>0</v>
      </c>
      <c r="F238" s="4">
        <f t="shared" si="3"/>
        <v>522905</v>
      </c>
    </row>
    <row r="239" spans="2:6" ht="15" customHeight="1">
      <c r="B239" s="3">
        <v>1335321</v>
      </c>
      <c r="C239" s="3" t="s">
        <v>307</v>
      </c>
      <c r="D239" s="4">
        <f>SUMIFS('GL-Transactions'!C:C,'GL-Transactions'!G:G,"Total",'GL-Transactions'!E:E,B239)</f>
        <v>0</v>
      </c>
      <c r="E239" s="4">
        <f>SUMIFS('GL-Transactions'!B:B,'GL-Transactions'!G:G,"Total",'GL-Transactions'!E:E,B239)</f>
        <v>5023493</v>
      </c>
      <c r="F239" s="4">
        <f t="shared" si="3"/>
        <v>-5023493</v>
      </c>
    </row>
    <row r="240" spans="2:6" ht="15" customHeight="1">
      <c r="B240" s="3">
        <v>1335305</v>
      </c>
      <c r="C240" s="3" t="s">
        <v>306</v>
      </c>
      <c r="D240" s="4">
        <f>SUMIFS('GL-Transactions'!C:C,'GL-Transactions'!G:G,"Total",'GL-Transactions'!E:E,B240)</f>
        <v>462875</v>
      </c>
      <c r="E240" s="4">
        <f>SUMIFS('GL-Transactions'!B:B,'GL-Transactions'!G:G,"Total",'GL-Transactions'!E:E,B240)</f>
        <v>0</v>
      </c>
      <c r="F240" s="4">
        <f t="shared" si="3"/>
        <v>462875</v>
      </c>
    </row>
    <row r="241" spans="2:6" ht="15" customHeight="1">
      <c r="B241" s="3">
        <v>1335302</v>
      </c>
      <c r="C241" s="3" t="s">
        <v>305</v>
      </c>
      <c r="D241" s="4">
        <f>SUMIFS('GL-Transactions'!C:C,'GL-Transactions'!G:G,"Total",'GL-Transactions'!E:E,B241)</f>
        <v>460000</v>
      </c>
      <c r="E241" s="4">
        <f>SUMIFS('GL-Transactions'!B:B,'GL-Transactions'!G:G,"Total",'GL-Transactions'!E:E,B241)</f>
        <v>0</v>
      </c>
      <c r="F241" s="4">
        <f t="shared" si="3"/>
        <v>460000</v>
      </c>
    </row>
    <row r="242" spans="2:6" ht="15" customHeight="1">
      <c r="B242" s="3">
        <v>1335301</v>
      </c>
      <c r="C242" s="3" t="s">
        <v>304</v>
      </c>
      <c r="D242" s="4">
        <f>SUMIFS('GL-Transactions'!C:C,'GL-Transactions'!G:G,"Total",'GL-Transactions'!E:E,B242)</f>
        <v>662285</v>
      </c>
      <c r="E242" s="4">
        <f>SUMIFS('GL-Transactions'!B:B,'GL-Transactions'!G:G,"Total",'GL-Transactions'!E:E,B242)</f>
        <v>0</v>
      </c>
      <c r="F242" s="4">
        <f t="shared" si="3"/>
        <v>662285</v>
      </c>
    </row>
    <row r="243" spans="2:6" ht="15" customHeight="1">
      <c r="B243" s="3">
        <v>1335221</v>
      </c>
      <c r="C243" s="3" t="s">
        <v>303</v>
      </c>
      <c r="D243" s="4">
        <f>SUMIFS('GL-Transactions'!C:C,'GL-Transactions'!G:G,"Total",'GL-Transactions'!E:E,B243)</f>
        <v>0</v>
      </c>
      <c r="E243" s="4">
        <f>SUMIFS('GL-Transactions'!B:B,'GL-Transactions'!G:G,"Total",'GL-Transactions'!E:E,B243)</f>
        <v>4854087</v>
      </c>
      <c r="F243" s="4">
        <f t="shared" si="3"/>
        <v>-4854087</v>
      </c>
    </row>
    <row r="244" spans="2:6" ht="15" customHeight="1">
      <c r="B244" s="3">
        <v>1335205</v>
      </c>
      <c r="C244" s="3" t="s">
        <v>302</v>
      </c>
      <c r="D244" s="4">
        <f>SUMIFS('GL-Transactions'!C:C,'GL-Transactions'!G:G,"Total",'GL-Transactions'!E:E,B244)</f>
        <v>485875</v>
      </c>
      <c r="E244" s="4">
        <f>SUMIFS('GL-Transactions'!B:B,'GL-Transactions'!G:G,"Total",'GL-Transactions'!E:E,B244)</f>
        <v>0</v>
      </c>
      <c r="F244" s="4">
        <f t="shared" si="3"/>
        <v>485875</v>
      </c>
    </row>
    <row r="245" spans="2:6" ht="15" customHeight="1">
      <c r="B245" s="3">
        <v>1335202</v>
      </c>
      <c r="C245" s="3" t="s">
        <v>301</v>
      </c>
      <c r="D245" s="4">
        <f>SUMIFS('GL-Transactions'!C:C,'GL-Transactions'!G:G,"Total",'GL-Transactions'!E:E,B245)</f>
        <v>287500</v>
      </c>
      <c r="E245" s="4">
        <f>SUMIFS('GL-Transactions'!B:B,'GL-Transactions'!G:G,"Total",'GL-Transactions'!E:E,B245)</f>
        <v>0</v>
      </c>
      <c r="F245" s="4">
        <f t="shared" si="3"/>
        <v>287500</v>
      </c>
    </row>
    <row r="246" spans="2:6" ht="15" customHeight="1">
      <c r="B246" s="3">
        <v>1335201</v>
      </c>
      <c r="C246" s="3" t="s">
        <v>300</v>
      </c>
      <c r="D246" s="4">
        <f>SUMIFS('GL-Transactions'!C:C,'GL-Transactions'!G:G,"Total",'GL-Transactions'!E:E,B246)</f>
        <v>610018</v>
      </c>
      <c r="E246" s="4">
        <f>SUMIFS('GL-Transactions'!B:B,'GL-Transactions'!G:G,"Total",'GL-Transactions'!E:E,B246)</f>
        <v>0</v>
      </c>
      <c r="F246" s="4">
        <f t="shared" si="3"/>
        <v>610018</v>
      </c>
    </row>
    <row r="247" spans="2:6" ht="15" customHeight="1">
      <c r="B247" s="3">
        <v>1335121</v>
      </c>
      <c r="C247" s="3" t="s">
        <v>299</v>
      </c>
      <c r="D247" s="4">
        <f>SUMIFS('GL-Transactions'!C:C,'GL-Transactions'!G:G,"Total",'GL-Transactions'!E:E,B247)</f>
        <v>0</v>
      </c>
      <c r="E247" s="4">
        <f>SUMIFS('GL-Transactions'!B:B,'GL-Transactions'!G:G,"Total",'GL-Transactions'!E:E,B247)</f>
        <v>5230143</v>
      </c>
      <c r="F247" s="4">
        <f t="shared" si="3"/>
        <v>-5230143</v>
      </c>
    </row>
    <row r="248" spans="2:6" ht="15" customHeight="1">
      <c r="B248" s="3">
        <v>1335105</v>
      </c>
      <c r="C248" s="3" t="s">
        <v>298</v>
      </c>
      <c r="D248" s="4">
        <f>SUMIFS('GL-Transactions'!C:C,'GL-Transactions'!G:G,"Total",'GL-Transactions'!E:E,B248)</f>
        <v>508875</v>
      </c>
      <c r="E248" s="4">
        <f>SUMIFS('GL-Transactions'!B:B,'GL-Transactions'!G:G,"Total",'GL-Transactions'!E:E,B248)</f>
        <v>0</v>
      </c>
      <c r="F248" s="4">
        <f t="shared" si="3"/>
        <v>508875</v>
      </c>
    </row>
    <row r="249" spans="2:6" ht="15" customHeight="1">
      <c r="B249" s="3">
        <v>1335102</v>
      </c>
      <c r="C249" s="3" t="s">
        <v>297</v>
      </c>
      <c r="D249" s="4">
        <f>SUMIFS('GL-Transactions'!C:C,'GL-Transactions'!G:G,"Total",'GL-Transactions'!E:E,B249)</f>
        <v>402500</v>
      </c>
      <c r="E249" s="4">
        <f>SUMIFS('GL-Transactions'!B:B,'GL-Transactions'!G:G,"Total",'GL-Transactions'!E:E,B249)</f>
        <v>0</v>
      </c>
      <c r="F249" s="4">
        <f t="shared" si="3"/>
        <v>402500</v>
      </c>
    </row>
    <row r="250" spans="2:6" ht="15" customHeight="1">
      <c r="B250" s="3">
        <v>1335101</v>
      </c>
      <c r="C250" s="3" t="s">
        <v>296</v>
      </c>
      <c r="D250" s="4">
        <f>SUMIFS('GL-Transactions'!C:C,'GL-Transactions'!G:G,"Total",'GL-Transactions'!E:E,B250)</f>
        <v>697130</v>
      </c>
      <c r="E250" s="4">
        <f>SUMIFS('GL-Transactions'!B:B,'GL-Transactions'!G:G,"Total",'GL-Transactions'!E:E,B250)</f>
        <v>0</v>
      </c>
      <c r="F250" s="4">
        <f t="shared" si="3"/>
        <v>697130</v>
      </c>
    </row>
    <row r="251" spans="2:6" ht="15" customHeight="1">
      <c r="B251" s="3">
        <v>1335021</v>
      </c>
      <c r="C251" s="3" t="s">
        <v>295</v>
      </c>
      <c r="D251" s="4">
        <f>SUMIFS('GL-Transactions'!C:C,'GL-Transactions'!G:G,"Total",'GL-Transactions'!E:E,B251)</f>
        <v>0</v>
      </c>
      <c r="E251" s="4">
        <f>SUMIFS('GL-Transactions'!B:B,'GL-Transactions'!G:G,"Total",'GL-Transactions'!E:E,B251)</f>
        <v>4360829</v>
      </c>
      <c r="F251" s="4">
        <f t="shared" si="3"/>
        <v>-4360829</v>
      </c>
    </row>
    <row r="252" spans="2:6" ht="15" customHeight="1">
      <c r="B252" s="3">
        <v>1335005</v>
      </c>
      <c r="C252" s="3" t="s">
        <v>294</v>
      </c>
      <c r="D252" s="4">
        <f>SUMIFS('GL-Transactions'!C:C,'GL-Transactions'!G:G,"Total",'GL-Transactions'!E:E,B252)</f>
        <v>416875</v>
      </c>
      <c r="E252" s="4">
        <f>SUMIFS('GL-Transactions'!B:B,'GL-Transactions'!G:G,"Total",'GL-Transactions'!E:E,B252)</f>
        <v>0</v>
      </c>
      <c r="F252" s="4">
        <f t="shared" si="3"/>
        <v>416875</v>
      </c>
    </row>
    <row r="253" spans="2:6" ht="15" customHeight="1">
      <c r="B253" s="3">
        <v>1335002</v>
      </c>
      <c r="C253" s="3" t="s">
        <v>293</v>
      </c>
      <c r="D253" s="4">
        <f>SUMIFS('GL-Transactions'!C:C,'GL-Transactions'!G:G,"Total",'GL-Transactions'!E:E,B253)</f>
        <v>2875</v>
      </c>
      <c r="E253" s="4">
        <f>SUMIFS('GL-Transactions'!B:B,'GL-Transactions'!G:G,"Total",'GL-Transactions'!E:E,B253)</f>
        <v>0</v>
      </c>
      <c r="F253" s="4">
        <f t="shared" si="3"/>
        <v>2875</v>
      </c>
    </row>
    <row r="254" spans="2:6" ht="15" customHeight="1">
      <c r="B254" s="3">
        <v>1335001</v>
      </c>
      <c r="C254" s="3" t="s">
        <v>292</v>
      </c>
      <c r="D254" s="4">
        <f>SUMIFS('GL-Transactions'!C:C,'GL-Transactions'!G:G,"Total",'GL-Transactions'!E:E,B254)</f>
        <v>1159085</v>
      </c>
      <c r="E254" s="4">
        <f>SUMIFS('GL-Transactions'!B:B,'GL-Transactions'!G:G,"Total",'GL-Transactions'!E:E,B254)</f>
        <v>517500</v>
      </c>
      <c r="F254" s="4">
        <f t="shared" si="3"/>
        <v>641585</v>
      </c>
    </row>
    <row r="255" spans="2:6" ht="15" customHeight="1">
      <c r="B255" s="3">
        <v>1334921</v>
      </c>
      <c r="C255" s="3" t="s">
        <v>291</v>
      </c>
      <c r="D255" s="4">
        <f>SUMIFS('GL-Transactions'!C:C,'GL-Transactions'!G:G,"Total",'GL-Transactions'!E:E,B255)</f>
        <v>0</v>
      </c>
      <c r="E255" s="4">
        <f>SUMIFS('GL-Transactions'!B:B,'GL-Transactions'!G:G,"Total",'GL-Transactions'!E:E,B255)</f>
        <v>7248525</v>
      </c>
      <c r="F255" s="4">
        <f t="shared" si="3"/>
        <v>-7248525</v>
      </c>
    </row>
    <row r="256" spans="2:6" ht="15" customHeight="1">
      <c r="B256" s="3">
        <v>1334905</v>
      </c>
      <c r="C256" s="3" t="s">
        <v>290</v>
      </c>
      <c r="D256" s="4">
        <f>SUMIFS('GL-Transactions'!C:C,'GL-Transactions'!G:G,"Total",'GL-Transactions'!E:E,B256)</f>
        <v>393875</v>
      </c>
      <c r="E256" s="4">
        <f>SUMIFS('GL-Transactions'!B:B,'GL-Transactions'!G:G,"Total",'GL-Transactions'!E:E,B256)</f>
        <v>0</v>
      </c>
      <c r="F256" s="4">
        <f t="shared" si="3"/>
        <v>393875</v>
      </c>
    </row>
    <row r="257" spans="2:6" ht="15" customHeight="1">
      <c r="B257" s="3">
        <v>1334902</v>
      </c>
      <c r="C257" s="3" t="s">
        <v>289</v>
      </c>
      <c r="D257" s="4">
        <f>SUMIFS('GL-Transactions'!C:C,'GL-Transactions'!G:G,"Total",'GL-Transactions'!E:E,B257)</f>
        <v>345000</v>
      </c>
      <c r="E257" s="4">
        <f>SUMIFS('GL-Transactions'!B:B,'GL-Transactions'!G:G,"Total",'GL-Transactions'!E:E,B257)</f>
        <v>0</v>
      </c>
      <c r="F257" s="4">
        <f t="shared" si="3"/>
        <v>345000</v>
      </c>
    </row>
    <row r="258" spans="2:6" ht="15" customHeight="1">
      <c r="B258" s="3">
        <v>1334901</v>
      </c>
      <c r="C258" s="3" t="s">
        <v>288</v>
      </c>
      <c r="D258" s="4">
        <f>SUMIFS('GL-Transactions'!C:C,'GL-Transactions'!G:G,"Total",'GL-Transactions'!E:E,B258)</f>
        <v>1072059</v>
      </c>
      <c r="E258" s="4">
        <f>SUMIFS('GL-Transactions'!B:B,'GL-Transactions'!G:G,"Total",'GL-Transactions'!E:E,B258)</f>
        <v>0</v>
      </c>
      <c r="F258" s="4">
        <f t="shared" si="3"/>
        <v>1072059</v>
      </c>
    </row>
    <row r="259" spans="2:6" ht="15" customHeight="1">
      <c r="B259" s="3">
        <v>1334821</v>
      </c>
      <c r="C259" s="3" t="s">
        <v>287</v>
      </c>
      <c r="D259" s="4">
        <f>SUMIFS('GL-Transactions'!C:C,'GL-Transactions'!G:G,"Total",'GL-Transactions'!E:E,B259)</f>
        <v>0</v>
      </c>
      <c r="E259" s="4">
        <f>SUMIFS('GL-Transactions'!B:B,'GL-Transactions'!G:G,"Total",'GL-Transactions'!E:E,B259)</f>
        <v>770511</v>
      </c>
      <c r="F259" s="4">
        <f t="shared" si="3"/>
        <v>-770511</v>
      </c>
    </row>
    <row r="260" spans="2:6" ht="15" customHeight="1">
      <c r="B260" s="3">
        <v>1334805</v>
      </c>
      <c r="C260" s="3" t="s">
        <v>286</v>
      </c>
      <c r="D260" s="4">
        <f>SUMIFS('GL-Transactions'!C:C,'GL-Transactions'!G:G,"Total",'GL-Transactions'!E:E,B260)</f>
        <v>506000</v>
      </c>
      <c r="E260" s="4">
        <f>SUMIFS('GL-Transactions'!B:B,'GL-Transactions'!G:G,"Total",'GL-Transactions'!E:E,B260)</f>
        <v>0</v>
      </c>
      <c r="F260" s="4">
        <f t="shared" si="3"/>
        <v>506000</v>
      </c>
    </row>
    <row r="261" spans="2:6" ht="15" customHeight="1">
      <c r="B261" s="3">
        <v>1334802</v>
      </c>
      <c r="C261" s="3" t="s">
        <v>285</v>
      </c>
      <c r="D261" s="4">
        <f>SUMIFS('GL-Transactions'!C:C,'GL-Transactions'!G:G,"Total",'GL-Transactions'!E:E,B261)</f>
        <v>460000</v>
      </c>
      <c r="E261" s="4">
        <f>SUMIFS('GL-Transactions'!B:B,'GL-Transactions'!G:G,"Total",'GL-Transactions'!E:E,B261)</f>
        <v>0</v>
      </c>
      <c r="F261" s="4">
        <f t="shared" ref="F261:F324" si="4">D261-E261</f>
        <v>460000</v>
      </c>
    </row>
    <row r="262" spans="2:6" ht="15" customHeight="1">
      <c r="B262" s="3">
        <v>1334801</v>
      </c>
      <c r="C262" s="3" t="s">
        <v>284</v>
      </c>
      <c r="D262" s="4">
        <f>SUMIFS('GL-Transactions'!C:C,'GL-Transactions'!G:G,"Total",'GL-Transactions'!E:E,B262)</f>
        <v>662285</v>
      </c>
      <c r="E262" s="4">
        <f>SUMIFS('GL-Transactions'!B:B,'GL-Transactions'!G:G,"Total",'GL-Transactions'!E:E,B262)</f>
        <v>0</v>
      </c>
      <c r="F262" s="4">
        <f t="shared" si="4"/>
        <v>662285</v>
      </c>
    </row>
    <row r="263" spans="2:6" ht="15" customHeight="1">
      <c r="B263" s="3">
        <v>1334721</v>
      </c>
      <c r="C263" s="3" t="s">
        <v>283</v>
      </c>
      <c r="D263" s="4">
        <f>SUMIFS('GL-Transactions'!C:C,'GL-Transactions'!G:G,"Total",'GL-Transactions'!E:E,B263)</f>
        <v>0</v>
      </c>
      <c r="E263" s="4">
        <f>SUMIFS('GL-Transactions'!B:B,'GL-Transactions'!G:G,"Total",'GL-Transactions'!E:E,B263)</f>
        <v>3923702</v>
      </c>
      <c r="F263" s="4">
        <f t="shared" si="4"/>
        <v>-3923702</v>
      </c>
    </row>
    <row r="264" spans="2:6" ht="15" customHeight="1">
      <c r="B264" s="3">
        <v>1334705</v>
      </c>
      <c r="C264" s="3" t="s">
        <v>282</v>
      </c>
      <c r="D264" s="4">
        <f>SUMIFS('GL-Transactions'!C:C,'GL-Transactions'!G:G,"Total",'GL-Transactions'!E:E,B264)</f>
        <v>347875</v>
      </c>
      <c r="E264" s="4">
        <f>SUMIFS('GL-Transactions'!B:B,'GL-Transactions'!G:G,"Total",'GL-Transactions'!E:E,B264)</f>
        <v>0</v>
      </c>
      <c r="F264" s="4">
        <f t="shared" si="4"/>
        <v>347875</v>
      </c>
    </row>
    <row r="265" spans="2:6" ht="15" customHeight="1">
      <c r="B265" s="3">
        <v>1334702</v>
      </c>
      <c r="C265" s="3" t="s">
        <v>281</v>
      </c>
      <c r="D265" s="4">
        <f>SUMIFS('GL-Transactions'!C:C,'GL-Transactions'!G:G,"Total",'GL-Transactions'!E:E,B265)</f>
        <v>345000</v>
      </c>
      <c r="E265" s="4">
        <f>SUMIFS('GL-Transactions'!B:B,'GL-Transactions'!G:G,"Total",'GL-Transactions'!E:E,B265)</f>
        <v>0</v>
      </c>
      <c r="F265" s="4">
        <f t="shared" si="4"/>
        <v>345000</v>
      </c>
    </row>
    <row r="266" spans="2:6" ht="15" customHeight="1">
      <c r="B266" s="3">
        <v>1334701</v>
      </c>
      <c r="C266" s="3" t="s">
        <v>280</v>
      </c>
      <c r="D266" s="4">
        <f>SUMIFS('GL-Transactions'!C:C,'GL-Transactions'!G:G,"Total",'GL-Transactions'!E:E,B266)</f>
        <v>453215</v>
      </c>
      <c r="E266" s="4">
        <f>SUMIFS('GL-Transactions'!B:B,'GL-Transactions'!G:G,"Total",'GL-Transactions'!E:E,B266)</f>
        <v>0</v>
      </c>
      <c r="F266" s="4">
        <f t="shared" si="4"/>
        <v>453215</v>
      </c>
    </row>
    <row r="267" spans="2:6" ht="15" customHeight="1">
      <c r="B267" s="3">
        <v>1334621</v>
      </c>
      <c r="C267" s="3" t="s">
        <v>279</v>
      </c>
      <c r="D267" s="4">
        <f>SUMIFS('GL-Transactions'!C:C,'GL-Transactions'!G:G,"Total",'GL-Transactions'!E:E,B267)</f>
        <v>2633500</v>
      </c>
      <c r="E267" s="4">
        <f>SUMIFS('GL-Transactions'!B:B,'GL-Transactions'!G:G,"Total",'GL-Transactions'!E:E,B267)</f>
        <v>8423750</v>
      </c>
      <c r="F267" s="4">
        <f t="shared" si="4"/>
        <v>-5790250</v>
      </c>
    </row>
    <row r="268" spans="2:6" ht="15" customHeight="1">
      <c r="B268" s="3">
        <v>1334602</v>
      </c>
      <c r="C268" s="3" t="s">
        <v>278</v>
      </c>
      <c r="D268" s="4">
        <f>SUMIFS('GL-Transactions'!C:C,'GL-Transactions'!G:G,"Total",'GL-Transactions'!E:E,B268)</f>
        <v>179170</v>
      </c>
      <c r="E268" s="4">
        <f>SUMIFS('GL-Transactions'!B:B,'GL-Transactions'!G:G,"Total",'GL-Transactions'!E:E,B268)</f>
        <v>0</v>
      </c>
      <c r="F268" s="4">
        <f t="shared" si="4"/>
        <v>179170</v>
      </c>
    </row>
    <row r="269" spans="2:6" ht="15" customHeight="1">
      <c r="B269" s="3">
        <v>1334601</v>
      </c>
      <c r="C269" s="3" t="s">
        <v>277</v>
      </c>
      <c r="D269" s="4">
        <f>SUMIFS('GL-Transactions'!C:C,'GL-Transactions'!G:G,"Total",'GL-Transactions'!E:E,B269)</f>
        <v>614314</v>
      </c>
      <c r="E269" s="4">
        <f>SUMIFS('GL-Transactions'!B:B,'GL-Transactions'!G:G,"Total",'GL-Transactions'!E:E,B269)</f>
        <v>0</v>
      </c>
      <c r="F269" s="4">
        <f t="shared" si="4"/>
        <v>614314</v>
      </c>
    </row>
    <row r="270" spans="2:6" ht="15" customHeight="1">
      <c r="B270" s="3">
        <v>1334521</v>
      </c>
      <c r="C270" s="3" t="s">
        <v>276</v>
      </c>
      <c r="D270" s="4">
        <f>SUMIFS('GL-Transactions'!C:C,'GL-Transactions'!G:G,"Total",'GL-Transactions'!E:E,B270)</f>
        <v>7164500</v>
      </c>
      <c r="E270" s="4">
        <f>SUMIFS('GL-Transactions'!B:B,'GL-Transactions'!G:G,"Total",'GL-Transactions'!E:E,B270)</f>
        <v>5037000</v>
      </c>
      <c r="F270" s="4">
        <f t="shared" si="4"/>
        <v>2127500</v>
      </c>
    </row>
    <row r="271" spans="2:6" ht="15" customHeight="1">
      <c r="B271" s="3">
        <v>1334505</v>
      </c>
      <c r="C271" s="3" t="s">
        <v>275</v>
      </c>
      <c r="D271" s="4">
        <f>SUMIFS('GL-Transactions'!C:C,'GL-Transactions'!G:G,"Total",'GL-Transactions'!E:E,B271)</f>
        <v>155250</v>
      </c>
      <c r="E271" s="4">
        <f>SUMIFS('GL-Transactions'!B:B,'GL-Transactions'!G:G,"Total",'GL-Transactions'!E:E,B271)</f>
        <v>0</v>
      </c>
      <c r="F271" s="4">
        <f t="shared" si="4"/>
        <v>155250</v>
      </c>
    </row>
    <row r="272" spans="2:6" ht="15" customHeight="1">
      <c r="B272" s="3">
        <v>1334501</v>
      </c>
      <c r="C272" s="3" t="s">
        <v>274</v>
      </c>
      <c r="D272" s="4">
        <f>SUMIFS('GL-Transactions'!C:C,'GL-Transactions'!G:G,"Total",'GL-Transactions'!E:E,B272)</f>
        <v>182994</v>
      </c>
      <c r="E272" s="4">
        <f>SUMIFS('GL-Transactions'!B:B,'GL-Transactions'!G:G,"Total",'GL-Transactions'!E:E,B272)</f>
        <v>0</v>
      </c>
      <c r="F272" s="4">
        <f t="shared" si="4"/>
        <v>182994</v>
      </c>
    </row>
    <row r="273" spans="2:6" ht="15" customHeight="1">
      <c r="B273" s="3">
        <v>1334421</v>
      </c>
      <c r="C273" s="3" t="s">
        <v>273</v>
      </c>
      <c r="D273" s="4">
        <f>SUMIFS('GL-Transactions'!C:C,'GL-Transactions'!G:G,"Total",'GL-Transactions'!E:E,B273)</f>
        <v>0</v>
      </c>
      <c r="E273" s="4">
        <f>SUMIFS('GL-Transactions'!B:B,'GL-Transactions'!G:G,"Total",'GL-Transactions'!E:E,B273)</f>
        <v>2748500</v>
      </c>
      <c r="F273" s="4">
        <f t="shared" si="4"/>
        <v>-2748500</v>
      </c>
    </row>
    <row r="274" spans="2:6" ht="15" customHeight="1">
      <c r="B274" s="3">
        <v>1334405</v>
      </c>
      <c r="C274" s="3" t="s">
        <v>272</v>
      </c>
      <c r="D274" s="4">
        <f>SUMIFS('GL-Transactions'!C:C,'GL-Transactions'!G:G,"Total",'GL-Transactions'!E:E,B274)</f>
        <v>155250</v>
      </c>
      <c r="E274" s="4">
        <f>SUMIFS('GL-Transactions'!B:B,'GL-Transactions'!G:G,"Total",'GL-Transactions'!E:E,B274)</f>
        <v>0</v>
      </c>
      <c r="F274" s="4">
        <f t="shared" si="4"/>
        <v>155250</v>
      </c>
    </row>
    <row r="275" spans="2:6" ht="15" customHeight="1">
      <c r="B275" s="3">
        <v>1334402</v>
      </c>
      <c r="C275" s="3" t="s">
        <v>271</v>
      </c>
      <c r="D275" s="4">
        <f>SUMIFS('GL-Transactions'!C:C,'GL-Transactions'!G:G,"Total",'GL-Transactions'!E:E,B275)</f>
        <v>194695</v>
      </c>
      <c r="E275" s="4">
        <f>SUMIFS('GL-Transactions'!B:B,'GL-Transactions'!G:G,"Total",'GL-Transactions'!E:E,B275)</f>
        <v>0</v>
      </c>
      <c r="F275" s="4">
        <f t="shared" si="4"/>
        <v>194695</v>
      </c>
    </row>
    <row r="276" spans="2:6" ht="15" customHeight="1">
      <c r="B276" s="3">
        <v>1334401</v>
      </c>
      <c r="C276" s="3" t="s">
        <v>270</v>
      </c>
      <c r="D276" s="4">
        <f>SUMIFS('GL-Transactions'!C:C,'GL-Transactions'!G:G,"Total",'GL-Transactions'!E:E,B276)</f>
        <v>182994</v>
      </c>
      <c r="E276" s="4">
        <f>SUMIFS('GL-Transactions'!B:B,'GL-Transactions'!G:G,"Total",'GL-Transactions'!E:E,B276)</f>
        <v>0</v>
      </c>
      <c r="F276" s="4">
        <f t="shared" si="4"/>
        <v>182994</v>
      </c>
    </row>
    <row r="277" spans="2:6" ht="15" customHeight="1">
      <c r="B277" s="3">
        <v>1334321</v>
      </c>
      <c r="C277" s="3" t="s">
        <v>269</v>
      </c>
      <c r="D277" s="4">
        <f>SUMIFS('GL-Transactions'!C:C,'GL-Transactions'!G:G,"Total",'GL-Transactions'!E:E,B277)</f>
        <v>4721774</v>
      </c>
      <c r="E277" s="4">
        <f>SUMIFS('GL-Transactions'!B:B,'GL-Transactions'!G:G,"Total",'GL-Transactions'!E:E,B277)</f>
        <v>9443547</v>
      </c>
      <c r="F277" s="4">
        <f t="shared" si="4"/>
        <v>-4721773</v>
      </c>
    </row>
    <row r="278" spans="2:6" ht="15" customHeight="1">
      <c r="B278" s="3">
        <v>1334305</v>
      </c>
      <c r="C278" s="3" t="s">
        <v>268</v>
      </c>
      <c r="D278" s="4">
        <f>SUMIFS('GL-Transactions'!C:C,'GL-Transactions'!G:G,"Total",'GL-Transactions'!E:E,B278)</f>
        <v>462875</v>
      </c>
      <c r="E278" s="4">
        <f>SUMIFS('GL-Transactions'!B:B,'GL-Transactions'!G:G,"Total",'GL-Transactions'!E:E,B278)</f>
        <v>0</v>
      </c>
      <c r="F278" s="4">
        <f t="shared" si="4"/>
        <v>462875</v>
      </c>
    </row>
    <row r="279" spans="2:6" ht="15" customHeight="1">
      <c r="B279" s="3">
        <v>1334302</v>
      </c>
      <c r="C279" s="3" t="s">
        <v>267</v>
      </c>
      <c r="D279" s="4">
        <f>SUMIFS('GL-Transactions'!C:C,'GL-Transactions'!G:G,"Total",'GL-Transactions'!E:E,B279)</f>
        <v>5922</v>
      </c>
      <c r="E279" s="4">
        <f>SUMIFS('GL-Transactions'!B:B,'GL-Transactions'!G:G,"Total",'GL-Transactions'!E:E,B279)</f>
        <v>0</v>
      </c>
      <c r="F279" s="4">
        <f t="shared" si="4"/>
        <v>5922</v>
      </c>
    </row>
    <row r="280" spans="2:6" ht="15" customHeight="1">
      <c r="B280" s="3">
        <v>1334301</v>
      </c>
      <c r="C280" s="3" t="s">
        <v>266</v>
      </c>
      <c r="D280" s="4">
        <f>SUMIFS('GL-Transactions'!C:C,'GL-Transactions'!G:G,"Total",'GL-Transactions'!E:E,B280)</f>
        <v>726748</v>
      </c>
      <c r="E280" s="4">
        <f>SUMIFS('GL-Transactions'!B:B,'GL-Transactions'!G:G,"Total",'GL-Transactions'!E:E,B280)</f>
        <v>0</v>
      </c>
      <c r="F280" s="4">
        <f t="shared" si="4"/>
        <v>726748</v>
      </c>
    </row>
    <row r="281" spans="2:6" ht="15" customHeight="1">
      <c r="B281" s="3">
        <v>1334221</v>
      </c>
      <c r="C281" s="3" t="s">
        <v>265</v>
      </c>
      <c r="D281" s="4">
        <f>SUMIFS('GL-Transactions'!C:C,'GL-Transactions'!G:G,"Total",'GL-Transactions'!E:E,B281)</f>
        <v>0</v>
      </c>
      <c r="E281" s="4">
        <f>SUMIFS('GL-Transactions'!B:B,'GL-Transactions'!G:G,"Total",'GL-Transactions'!E:E,B281)</f>
        <v>4901990</v>
      </c>
      <c r="F281" s="4">
        <f t="shared" si="4"/>
        <v>-4901990</v>
      </c>
    </row>
    <row r="282" spans="2:6" ht="15" customHeight="1">
      <c r="B282" s="3">
        <v>1334205</v>
      </c>
      <c r="C282" s="3" t="s">
        <v>264</v>
      </c>
      <c r="D282" s="4">
        <f>SUMIFS('GL-Transactions'!C:C,'GL-Transactions'!G:G,"Total",'GL-Transactions'!E:E,B282)</f>
        <v>485875</v>
      </c>
      <c r="E282" s="4">
        <f>SUMIFS('GL-Transactions'!B:B,'GL-Transactions'!G:G,"Total",'GL-Transactions'!E:E,B282)</f>
        <v>0</v>
      </c>
      <c r="F282" s="4">
        <f t="shared" si="4"/>
        <v>485875</v>
      </c>
    </row>
    <row r="283" spans="2:6" ht="15" customHeight="1">
      <c r="B283" s="3">
        <v>1334202</v>
      </c>
      <c r="C283" s="3" t="s">
        <v>263</v>
      </c>
      <c r="D283" s="4">
        <f>SUMIFS('GL-Transactions'!C:C,'GL-Transactions'!G:G,"Total",'GL-Transactions'!E:E,B283)</f>
        <v>11845</v>
      </c>
      <c r="E283" s="4">
        <f>SUMIFS('GL-Transactions'!B:B,'GL-Transactions'!G:G,"Total",'GL-Transactions'!E:E,B283)</f>
        <v>5922</v>
      </c>
      <c r="F283" s="4">
        <f t="shared" si="4"/>
        <v>5923</v>
      </c>
    </row>
    <row r="284" spans="2:6" ht="15" customHeight="1">
      <c r="B284" s="3">
        <v>1334201</v>
      </c>
      <c r="C284" s="3" t="s">
        <v>262</v>
      </c>
      <c r="D284" s="4">
        <f>SUMIFS('GL-Transactions'!C:C,'GL-Transactions'!G:G,"Total",'GL-Transactions'!E:E,B284)</f>
        <v>1516217</v>
      </c>
      <c r="E284" s="4">
        <f>SUMIFS('GL-Transactions'!B:B,'GL-Transactions'!G:G,"Total",'GL-Transactions'!E:E,B284)</f>
        <v>758109</v>
      </c>
      <c r="F284" s="4">
        <f t="shared" si="4"/>
        <v>758108</v>
      </c>
    </row>
    <row r="285" spans="2:6" ht="15" customHeight="1">
      <c r="B285" s="3">
        <v>1334121</v>
      </c>
      <c r="C285" s="3" t="s">
        <v>261</v>
      </c>
      <c r="D285" s="4">
        <f>SUMIFS('GL-Transactions'!C:C,'GL-Transactions'!G:G,"Total",'GL-Transactions'!E:E,B285)</f>
        <v>0</v>
      </c>
      <c r="E285" s="4">
        <f>SUMIFS('GL-Transactions'!B:B,'GL-Transactions'!G:G,"Total",'GL-Transactions'!E:E,B285)</f>
        <v>2965275</v>
      </c>
      <c r="F285" s="4">
        <f t="shared" si="4"/>
        <v>-2965275</v>
      </c>
    </row>
    <row r="286" spans="2:6" ht="15" customHeight="1">
      <c r="B286" s="3">
        <v>1334102</v>
      </c>
      <c r="C286" s="3" t="s">
        <v>260</v>
      </c>
      <c r="D286" s="4">
        <f>SUMIFS('GL-Transactions'!C:C,'GL-Transactions'!G:G,"Total",'GL-Transactions'!E:E,B286)</f>
        <v>115000</v>
      </c>
      <c r="E286" s="4">
        <f>SUMIFS('GL-Transactions'!B:B,'GL-Transactions'!G:G,"Total",'GL-Transactions'!E:E,B286)</f>
        <v>0</v>
      </c>
      <c r="F286" s="4">
        <f t="shared" si="4"/>
        <v>115000</v>
      </c>
    </row>
    <row r="287" spans="2:6" ht="15" customHeight="1">
      <c r="B287" s="3">
        <v>1334101</v>
      </c>
      <c r="C287" s="3" t="s">
        <v>259</v>
      </c>
      <c r="D287" s="4">
        <f>SUMIFS('GL-Transactions'!C:C,'GL-Transactions'!G:G,"Total",'GL-Transactions'!E:E,B287)</f>
        <v>522905</v>
      </c>
      <c r="E287" s="4">
        <f>SUMIFS('GL-Transactions'!B:B,'GL-Transactions'!G:G,"Total",'GL-Transactions'!E:E,B287)</f>
        <v>261452</v>
      </c>
      <c r="F287" s="4">
        <f t="shared" si="4"/>
        <v>261453</v>
      </c>
    </row>
    <row r="288" spans="2:6" ht="15" customHeight="1">
      <c r="B288" s="3">
        <v>1334021</v>
      </c>
      <c r="C288" s="3" t="s">
        <v>258</v>
      </c>
      <c r="D288" s="4">
        <f>SUMIFS('GL-Transactions'!C:C,'GL-Transactions'!G:G,"Total",'GL-Transactions'!E:E,B288)</f>
        <v>0</v>
      </c>
      <c r="E288" s="4">
        <f>SUMIFS('GL-Transactions'!B:B,'GL-Transactions'!G:G,"Total",'GL-Transactions'!E:E,B288)</f>
        <v>2196500</v>
      </c>
      <c r="F288" s="4">
        <f t="shared" si="4"/>
        <v>-2196500</v>
      </c>
    </row>
    <row r="289" spans="2:6" ht="15" customHeight="1">
      <c r="B289" s="3">
        <v>1333921</v>
      </c>
      <c r="C289" s="3" t="s">
        <v>257</v>
      </c>
      <c r="D289" s="4">
        <f>SUMIFS('GL-Transactions'!C:C,'GL-Transactions'!G:G,"Total",'GL-Transactions'!E:E,B289)</f>
        <v>3908913</v>
      </c>
      <c r="E289" s="4">
        <f>SUMIFS('GL-Transactions'!B:B,'GL-Transactions'!G:G,"Total",'GL-Transactions'!E:E,B289)</f>
        <v>3908913</v>
      </c>
      <c r="F289" s="4">
        <f t="shared" si="4"/>
        <v>0</v>
      </c>
    </row>
    <row r="290" spans="2:6" ht="15" customHeight="1">
      <c r="B290" s="3">
        <v>1333821</v>
      </c>
      <c r="C290" s="3" t="s">
        <v>256</v>
      </c>
      <c r="D290" s="4">
        <f>SUMIFS('GL-Transactions'!C:C,'GL-Transactions'!G:G,"Total",'GL-Transactions'!E:E,B290)</f>
        <v>0</v>
      </c>
      <c r="E290" s="4">
        <f>SUMIFS('GL-Transactions'!B:B,'GL-Transactions'!G:G,"Total",'GL-Transactions'!E:E,B290)</f>
        <v>5152204</v>
      </c>
      <c r="F290" s="4">
        <f t="shared" si="4"/>
        <v>-5152204</v>
      </c>
    </row>
    <row r="291" spans="2:6" ht="15" customHeight="1">
      <c r="B291" s="3">
        <v>1333805</v>
      </c>
      <c r="C291" s="3" t="s">
        <v>255</v>
      </c>
      <c r="D291" s="4">
        <f>SUMIFS('GL-Transactions'!C:C,'GL-Transactions'!G:G,"Total",'GL-Transactions'!E:E,B291)</f>
        <v>508875</v>
      </c>
      <c r="E291" s="4">
        <f>SUMIFS('GL-Transactions'!B:B,'GL-Transactions'!G:G,"Total",'GL-Transactions'!E:E,B291)</f>
        <v>0</v>
      </c>
      <c r="F291" s="4">
        <f t="shared" si="4"/>
        <v>508875</v>
      </c>
    </row>
    <row r="292" spans="2:6" ht="15" customHeight="1">
      <c r="B292" s="3">
        <v>1333801</v>
      </c>
      <c r="C292" s="3" t="s">
        <v>254</v>
      </c>
      <c r="D292" s="4">
        <f>SUMIFS('GL-Transactions'!C:C,'GL-Transactions'!G:G,"Total",'GL-Transactions'!E:E,B292)</f>
        <v>802361</v>
      </c>
      <c r="E292" s="4">
        <f>SUMIFS('GL-Transactions'!B:B,'GL-Transactions'!G:G,"Total",'GL-Transactions'!E:E,B292)</f>
        <v>0</v>
      </c>
      <c r="F292" s="4">
        <f t="shared" si="4"/>
        <v>802361</v>
      </c>
    </row>
    <row r="293" spans="2:6" ht="15" customHeight="1">
      <c r="B293" s="3">
        <v>1333721</v>
      </c>
      <c r="C293" s="3" t="s">
        <v>253</v>
      </c>
      <c r="D293" s="4">
        <f>SUMIFS('GL-Transactions'!C:C,'GL-Transactions'!G:G,"Total",'GL-Transactions'!E:E,B293)</f>
        <v>0</v>
      </c>
      <c r="E293" s="4">
        <f>SUMIFS('GL-Transactions'!B:B,'GL-Transactions'!G:G,"Total",'GL-Transactions'!E:E,B293)</f>
        <v>5846705</v>
      </c>
      <c r="F293" s="4">
        <f t="shared" si="4"/>
        <v>-5846705</v>
      </c>
    </row>
    <row r="294" spans="2:6" ht="15" customHeight="1">
      <c r="B294" s="3">
        <v>1333702</v>
      </c>
      <c r="C294" s="3" t="s">
        <v>252</v>
      </c>
      <c r="D294" s="4">
        <f>SUMIFS('GL-Transactions'!C:C,'GL-Transactions'!G:G,"Total",'GL-Transactions'!E:E,B294)</f>
        <v>496064</v>
      </c>
      <c r="E294" s="4">
        <f>SUMIFS('GL-Transactions'!B:B,'GL-Transactions'!G:G,"Total",'GL-Transactions'!E:E,B294)</f>
        <v>0</v>
      </c>
      <c r="F294" s="4">
        <f t="shared" si="4"/>
        <v>496064</v>
      </c>
    </row>
    <row r="295" spans="2:6" ht="15" customHeight="1">
      <c r="B295" s="3">
        <v>1333701</v>
      </c>
      <c r="C295" s="3" t="s">
        <v>251</v>
      </c>
      <c r="D295" s="4">
        <f>SUMIFS('GL-Transactions'!C:C,'GL-Transactions'!G:G,"Total",'GL-Transactions'!E:E,B295)</f>
        <v>1070823</v>
      </c>
      <c r="E295" s="4">
        <f>SUMIFS('GL-Transactions'!B:B,'GL-Transactions'!G:G,"Total",'GL-Transactions'!E:E,B295)</f>
        <v>0</v>
      </c>
      <c r="F295" s="4">
        <f t="shared" si="4"/>
        <v>1070823</v>
      </c>
    </row>
    <row r="296" spans="2:6" ht="15" customHeight="1">
      <c r="B296" s="3">
        <v>1333621</v>
      </c>
      <c r="C296" s="3" t="s">
        <v>250</v>
      </c>
      <c r="D296" s="4">
        <f>SUMIFS('GL-Transactions'!C:C,'GL-Transactions'!G:G,"Total",'GL-Transactions'!E:E,B296)</f>
        <v>0</v>
      </c>
      <c r="E296" s="4">
        <f>SUMIFS('GL-Transactions'!B:B,'GL-Transactions'!G:G,"Total",'GL-Transactions'!E:E,B296)</f>
        <v>4748753</v>
      </c>
      <c r="F296" s="4">
        <f t="shared" si="4"/>
        <v>-4748753</v>
      </c>
    </row>
    <row r="297" spans="2:6" ht="15" customHeight="1">
      <c r="B297" s="3">
        <v>1333605</v>
      </c>
      <c r="C297" s="3" t="s">
        <v>249</v>
      </c>
      <c r="D297" s="4">
        <f>SUMIFS('GL-Transactions'!C:C,'GL-Transactions'!G:G,"Total",'GL-Transactions'!E:E,B297)</f>
        <v>531875</v>
      </c>
      <c r="E297" s="4">
        <f>SUMIFS('GL-Transactions'!B:B,'GL-Transactions'!G:G,"Total",'GL-Transactions'!E:E,B297)</f>
        <v>0</v>
      </c>
      <c r="F297" s="4">
        <f t="shared" si="4"/>
        <v>531875</v>
      </c>
    </row>
    <row r="298" spans="2:6" ht="15" customHeight="1">
      <c r="B298" s="3">
        <v>1333602</v>
      </c>
      <c r="C298" s="3" t="s">
        <v>248</v>
      </c>
      <c r="D298" s="4">
        <f>SUMIFS('GL-Transactions'!C:C,'GL-Transactions'!G:G,"Total",'GL-Transactions'!E:E,B298)</f>
        <v>2961</v>
      </c>
      <c r="E298" s="4">
        <f>SUMIFS('GL-Transactions'!B:B,'GL-Transactions'!G:G,"Total",'GL-Transactions'!E:E,B298)</f>
        <v>0</v>
      </c>
      <c r="F298" s="4">
        <f t="shared" si="4"/>
        <v>2961</v>
      </c>
    </row>
    <row r="299" spans="2:6" ht="15" customHeight="1">
      <c r="B299" s="3">
        <v>1333601</v>
      </c>
      <c r="C299" s="3" t="s">
        <v>247</v>
      </c>
      <c r="D299" s="4">
        <f>SUMIFS('GL-Transactions'!C:C,'GL-Transactions'!G:G,"Total",'GL-Transactions'!E:E,B299)</f>
        <v>701486</v>
      </c>
      <c r="E299" s="4">
        <f>SUMIFS('GL-Transactions'!B:B,'GL-Transactions'!G:G,"Total",'GL-Transactions'!E:E,B299)</f>
        <v>0</v>
      </c>
      <c r="F299" s="4">
        <f t="shared" si="4"/>
        <v>701486</v>
      </c>
    </row>
    <row r="300" spans="2:6" ht="15" customHeight="1">
      <c r="B300" s="3">
        <v>1333521</v>
      </c>
      <c r="C300" s="3" t="s">
        <v>246</v>
      </c>
      <c r="D300" s="4">
        <f>SUMIFS('GL-Transactions'!C:C,'GL-Transactions'!G:G,"Total",'GL-Transactions'!E:E,B300)</f>
        <v>0</v>
      </c>
      <c r="E300" s="4">
        <f>SUMIFS('GL-Transactions'!B:B,'GL-Transactions'!G:G,"Total",'GL-Transactions'!E:E,B300)</f>
        <v>4456768</v>
      </c>
      <c r="F300" s="4">
        <f t="shared" si="4"/>
        <v>-4456768</v>
      </c>
    </row>
    <row r="301" spans="2:6" ht="15" customHeight="1">
      <c r="B301" s="3">
        <v>1333505</v>
      </c>
      <c r="C301" s="3" t="s">
        <v>245</v>
      </c>
      <c r="D301" s="4">
        <f>SUMIFS('GL-Transactions'!C:C,'GL-Transactions'!G:G,"Total",'GL-Transactions'!E:E,B301)</f>
        <v>439875</v>
      </c>
      <c r="E301" s="4">
        <f>SUMIFS('GL-Transactions'!B:B,'GL-Transactions'!G:G,"Total",'GL-Transactions'!E:E,B301)</f>
        <v>0</v>
      </c>
      <c r="F301" s="4">
        <f t="shared" si="4"/>
        <v>439875</v>
      </c>
    </row>
    <row r="302" spans="2:6" ht="15" customHeight="1">
      <c r="B302" s="3">
        <v>1333502</v>
      </c>
      <c r="C302" s="3" t="s">
        <v>244</v>
      </c>
      <c r="D302" s="4">
        <f>SUMIFS('GL-Transactions'!C:C,'GL-Transactions'!G:G,"Total",'GL-Transactions'!E:E,B302)</f>
        <v>2961</v>
      </c>
      <c r="E302" s="4">
        <f>SUMIFS('GL-Transactions'!B:B,'GL-Transactions'!G:G,"Total",'GL-Transactions'!E:E,B302)</f>
        <v>0</v>
      </c>
      <c r="F302" s="4">
        <f t="shared" si="4"/>
        <v>2961</v>
      </c>
    </row>
    <row r="303" spans="2:6" ht="15" customHeight="1">
      <c r="B303" s="3">
        <v>1333501</v>
      </c>
      <c r="C303" s="3" t="s">
        <v>243</v>
      </c>
      <c r="D303" s="4">
        <f>SUMIFS('GL-Transactions'!C:C,'GL-Transactions'!G:G,"Total",'GL-Transactions'!E:E,B303)</f>
        <v>649218</v>
      </c>
      <c r="E303" s="4">
        <f>SUMIFS('GL-Transactions'!B:B,'GL-Transactions'!G:G,"Total",'GL-Transactions'!E:E,B303)</f>
        <v>0</v>
      </c>
      <c r="F303" s="4">
        <f t="shared" si="4"/>
        <v>649218</v>
      </c>
    </row>
    <row r="304" spans="2:6" ht="15" customHeight="1">
      <c r="B304" s="3">
        <v>1333421</v>
      </c>
      <c r="C304" s="3" t="s">
        <v>242</v>
      </c>
      <c r="D304" s="4">
        <f>SUMIFS('GL-Transactions'!C:C,'GL-Transactions'!G:G,"Total",'GL-Transactions'!E:E,B304)</f>
        <v>4053750</v>
      </c>
      <c r="E304" s="4">
        <f>SUMIFS('GL-Transactions'!B:B,'GL-Transactions'!G:G,"Total",'GL-Transactions'!E:E,B304)</f>
        <v>8107500</v>
      </c>
      <c r="F304" s="4">
        <f t="shared" si="4"/>
        <v>-4053750</v>
      </c>
    </row>
    <row r="305" spans="2:6" ht="15" customHeight="1">
      <c r="B305" s="3">
        <v>1333405</v>
      </c>
      <c r="C305" s="3" t="s">
        <v>241</v>
      </c>
      <c r="D305" s="4">
        <f>SUMIFS('GL-Transactions'!C:C,'GL-Transactions'!G:G,"Total",'GL-Transactions'!E:E,B305)</f>
        <v>439875</v>
      </c>
      <c r="E305" s="4">
        <f>SUMIFS('GL-Transactions'!B:B,'GL-Transactions'!G:G,"Total",'GL-Transactions'!E:E,B305)</f>
        <v>0</v>
      </c>
      <c r="F305" s="4">
        <f t="shared" si="4"/>
        <v>439875</v>
      </c>
    </row>
    <row r="306" spans="2:6" ht="15" customHeight="1">
      <c r="B306" s="3">
        <v>1333401</v>
      </c>
      <c r="C306" s="3" t="s">
        <v>240</v>
      </c>
      <c r="D306" s="4">
        <f>SUMIFS('GL-Transactions'!C:C,'GL-Transactions'!G:G,"Total",'GL-Transactions'!E:E,B306)</f>
        <v>592595</v>
      </c>
      <c r="E306" s="4">
        <f>SUMIFS('GL-Transactions'!B:B,'GL-Transactions'!G:G,"Total",'GL-Transactions'!E:E,B306)</f>
        <v>0</v>
      </c>
      <c r="F306" s="4">
        <f t="shared" si="4"/>
        <v>592595</v>
      </c>
    </row>
    <row r="307" spans="2:6" ht="15" customHeight="1">
      <c r="B307" s="3">
        <v>1333321</v>
      </c>
      <c r="C307" s="3" t="s">
        <v>239</v>
      </c>
      <c r="D307" s="4">
        <f>SUMIFS('GL-Transactions'!C:C,'GL-Transactions'!G:G,"Total",'GL-Transactions'!E:E,B307)</f>
        <v>0</v>
      </c>
      <c r="E307" s="4">
        <f>SUMIFS('GL-Transactions'!B:B,'GL-Transactions'!G:G,"Total",'GL-Transactions'!E:E,B307)</f>
        <v>4957363</v>
      </c>
      <c r="F307" s="4">
        <f t="shared" si="4"/>
        <v>-4957363</v>
      </c>
    </row>
    <row r="308" spans="2:6" ht="15" customHeight="1">
      <c r="B308" s="3">
        <v>1333305</v>
      </c>
      <c r="C308" s="3" t="s">
        <v>238</v>
      </c>
      <c r="D308" s="4">
        <f>SUMIFS('GL-Transactions'!C:C,'GL-Transactions'!G:G,"Total",'GL-Transactions'!E:E,B308)</f>
        <v>531875</v>
      </c>
      <c r="E308" s="4">
        <f>SUMIFS('GL-Transactions'!B:B,'GL-Transactions'!G:G,"Total",'GL-Transactions'!E:E,B308)</f>
        <v>0</v>
      </c>
      <c r="F308" s="4">
        <f t="shared" si="4"/>
        <v>531875</v>
      </c>
    </row>
    <row r="309" spans="2:6" ht="15" customHeight="1">
      <c r="B309" s="3">
        <v>1333302</v>
      </c>
      <c r="C309" s="3" t="s">
        <v>237</v>
      </c>
      <c r="D309" s="4">
        <f>SUMIFS('GL-Transactions'!C:C,'GL-Transactions'!G:G,"Total",'GL-Transactions'!E:E,B309)</f>
        <v>460000</v>
      </c>
      <c r="E309" s="4">
        <f>SUMIFS('GL-Transactions'!B:B,'GL-Transactions'!G:G,"Total",'GL-Transactions'!E:E,B309)</f>
        <v>0</v>
      </c>
      <c r="F309" s="4">
        <f t="shared" si="4"/>
        <v>460000</v>
      </c>
    </row>
    <row r="310" spans="2:6" ht="15" customHeight="1">
      <c r="B310" s="3">
        <v>1333301</v>
      </c>
      <c r="C310" s="3" t="s">
        <v>236</v>
      </c>
      <c r="D310" s="4">
        <f>SUMIFS('GL-Transactions'!C:C,'GL-Transactions'!G:G,"Total",'GL-Transactions'!E:E,B310)</f>
        <v>592595</v>
      </c>
      <c r="E310" s="4">
        <f>SUMIFS('GL-Transactions'!B:B,'GL-Transactions'!G:G,"Total",'GL-Transactions'!E:E,B310)</f>
        <v>0</v>
      </c>
      <c r="F310" s="4">
        <f t="shared" si="4"/>
        <v>592595</v>
      </c>
    </row>
    <row r="311" spans="2:6" ht="15" customHeight="1">
      <c r="B311" s="3">
        <v>1333221</v>
      </c>
      <c r="C311" s="3" t="s">
        <v>235</v>
      </c>
      <c r="D311" s="4">
        <f>SUMIFS('GL-Transactions'!C:C,'GL-Transactions'!G:G,"Total",'GL-Transactions'!E:E,B311)</f>
        <v>822250</v>
      </c>
      <c r="E311" s="4">
        <f>SUMIFS('GL-Transactions'!B:B,'GL-Transactions'!G:G,"Total",'GL-Transactions'!E:E,B311)</f>
        <v>10039500</v>
      </c>
      <c r="F311" s="4">
        <f t="shared" si="4"/>
        <v>-9217250</v>
      </c>
    </row>
    <row r="312" spans="2:6" ht="15" customHeight="1">
      <c r="B312" s="3">
        <v>1333205</v>
      </c>
      <c r="C312" s="3" t="s">
        <v>234</v>
      </c>
      <c r="D312" s="4">
        <f>SUMIFS('GL-Transactions'!C:C,'GL-Transactions'!G:G,"Total",'GL-Transactions'!E:E,B312)</f>
        <v>531875</v>
      </c>
      <c r="E312" s="4">
        <f>SUMIFS('GL-Transactions'!B:B,'GL-Transactions'!G:G,"Total",'GL-Transactions'!E:E,B312)</f>
        <v>0</v>
      </c>
      <c r="F312" s="4">
        <f t="shared" si="4"/>
        <v>531875</v>
      </c>
    </row>
    <row r="313" spans="2:6" ht="15" customHeight="1">
      <c r="B313" s="3">
        <v>1333202</v>
      </c>
      <c r="C313" s="3" t="s">
        <v>233</v>
      </c>
      <c r="D313" s="4">
        <f>SUMIFS('GL-Transactions'!C:C,'GL-Transactions'!G:G,"Total",'GL-Transactions'!E:E,B313)</f>
        <v>138000</v>
      </c>
      <c r="E313" s="4">
        <f>SUMIFS('GL-Transactions'!B:B,'GL-Transactions'!G:G,"Total",'GL-Transactions'!E:E,B313)</f>
        <v>0</v>
      </c>
      <c r="F313" s="4">
        <f t="shared" si="4"/>
        <v>138000</v>
      </c>
    </row>
    <row r="314" spans="2:6" ht="15" customHeight="1">
      <c r="B314" s="3">
        <v>1333201</v>
      </c>
      <c r="C314" s="3" t="s">
        <v>232</v>
      </c>
      <c r="D314" s="4">
        <f>SUMIFS('GL-Transactions'!C:C,'GL-Transactions'!G:G,"Total",'GL-Transactions'!E:E,B314)</f>
        <v>697130</v>
      </c>
      <c r="E314" s="4">
        <f>SUMIFS('GL-Transactions'!B:B,'GL-Transactions'!G:G,"Total",'GL-Transactions'!E:E,B314)</f>
        <v>0</v>
      </c>
      <c r="F314" s="4">
        <f t="shared" si="4"/>
        <v>697130</v>
      </c>
    </row>
    <row r="315" spans="2:6" ht="15" customHeight="1">
      <c r="B315" s="3">
        <v>1333121</v>
      </c>
      <c r="C315" s="3" t="s">
        <v>231</v>
      </c>
      <c r="D315" s="4">
        <f>SUMIFS('GL-Transactions'!C:C,'GL-Transactions'!G:G,"Total",'GL-Transactions'!E:E,B315)</f>
        <v>0</v>
      </c>
      <c r="E315" s="4">
        <f>SUMIFS('GL-Transactions'!B:B,'GL-Transactions'!G:G,"Total",'GL-Transactions'!E:E,B315)</f>
        <v>9221965</v>
      </c>
      <c r="F315" s="4">
        <f t="shared" si="4"/>
        <v>-9221965</v>
      </c>
    </row>
    <row r="316" spans="2:6" ht="15" customHeight="1">
      <c r="B316" s="3">
        <v>1333102</v>
      </c>
      <c r="C316" s="3" t="s">
        <v>230</v>
      </c>
      <c r="D316" s="4">
        <f>SUMIFS('GL-Transactions'!C:C,'GL-Transactions'!G:G,"Total",'GL-Transactions'!E:E,B316)</f>
        <v>803965</v>
      </c>
      <c r="E316" s="4">
        <f>SUMIFS('GL-Transactions'!B:B,'GL-Transactions'!G:G,"Total",'GL-Transactions'!E:E,B316)</f>
        <v>0</v>
      </c>
      <c r="F316" s="4">
        <f t="shared" si="4"/>
        <v>803965</v>
      </c>
    </row>
    <row r="317" spans="2:6" ht="15" customHeight="1">
      <c r="B317" s="3">
        <v>1333101</v>
      </c>
      <c r="C317" s="3" t="s">
        <v>229</v>
      </c>
      <c r="D317" s="4">
        <f>SUMIFS('GL-Transactions'!C:C,'GL-Transactions'!G:G,"Total",'GL-Transactions'!E:E,B317)</f>
        <v>453215</v>
      </c>
      <c r="E317" s="4">
        <f>SUMIFS('GL-Transactions'!B:B,'GL-Transactions'!G:G,"Total",'GL-Transactions'!E:E,B317)</f>
        <v>0</v>
      </c>
      <c r="F317" s="4">
        <f t="shared" si="4"/>
        <v>453215</v>
      </c>
    </row>
    <row r="318" spans="2:6" ht="15" customHeight="1">
      <c r="B318" s="3">
        <v>1333021</v>
      </c>
      <c r="C318" s="3" t="s">
        <v>228</v>
      </c>
      <c r="D318" s="4">
        <f>SUMIFS('GL-Transactions'!C:C,'GL-Transactions'!G:G,"Total",'GL-Transactions'!E:E,B318)</f>
        <v>0</v>
      </c>
      <c r="E318" s="4">
        <f>SUMIFS('GL-Transactions'!B:B,'GL-Transactions'!G:G,"Total",'GL-Transactions'!E:E,B318)</f>
        <v>4479250</v>
      </c>
      <c r="F318" s="4">
        <f t="shared" si="4"/>
        <v>-4479250</v>
      </c>
    </row>
    <row r="319" spans="2:6" ht="15" customHeight="1">
      <c r="B319" s="3">
        <v>1333005</v>
      </c>
      <c r="C319" s="3" t="s">
        <v>227</v>
      </c>
      <c r="D319" s="4">
        <f>SUMIFS('GL-Transactions'!C:C,'GL-Transactions'!G:G,"Total",'GL-Transactions'!E:E,B319)</f>
        <v>531875</v>
      </c>
      <c r="E319" s="4">
        <f>SUMIFS('GL-Transactions'!B:B,'GL-Transactions'!G:G,"Total",'GL-Transactions'!E:E,B319)</f>
        <v>0</v>
      </c>
      <c r="F319" s="4">
        <f t="shared" si="4"/>
        <v>531875</v>
      </c>
    </row>
    <row r="320" spans="2:6" ht="15" customHeight="1">
      <c r="B320" s="3">
        <v>1333001</v>
      </c>
      <c r="C320" s="3" t="s">
        <v>226</v>
      </c>
      <c r="D320" s="4">
        <f>SUMIFS('GL-Transactions'!C:C,'GL-Transactions'!G:G,"Total",'GL-Transactions'!E:E,B320)</f>
        <v>662285</v>
      </c>
      <c r="E320" s="4">
        <f>SUMIFS('GL-Transactions'!B:B,'GL-Transactions'!G:G,"Total",'GL-Transactions'!E:E,B320)</f>
        <v>0</v>
      </c>
      <c r="F320" s="4">
        <f t="shared" si="4"/>
        <v>662285</v>
      </c>
    </row>
    <row r="321" spans="2:6" ht="15" customHeight="1">
      <c r="B321" s="3">
        <v>1332921</v>
      </c>
      <c r="C321" s="3" t="s">
        <v>225</v>
      </c>
      <c r="D321" s="4">
        <f>SUMIFS('GL-Transactions'!C:C,'GL-Transactions'!G:G,"Total",'GL-Transactions'!E:E,B321)</f>
        <v>0</v>
      </c>
      <c r="E321" s="4">
        <f>SUMIFS('GL-Transactions'!B:B,'GL-Transactions'!G:G,"Total",'GL-Transactions'!E:E,B321)</f>
        <v>4579875</v>
      </c>
      <c r="F321" s="4">
        <f t="shared" si="4"/>
        <v>-4579875</v>
      </c>
    </row>
    <row r="322" spans="2:6" ht="15" customHeight="1">
      <c r="B322" s="3">
        <v>1332905</v>
      </c>
      <c r="C322" s="3" t="s">
        <v>224</v>
      </c>
      <c r="D322" s="4">
        <f>SUMIFS('GL-Transactions'!C:C,'GL-Transactions'!G:G,"Total",'GL-Transactions'!E:E,B322)</f>
        <v>577875</v>
      </c>
      <c r="E322" s="4">
        <f>SUMIFS('GL-Transactions'!B:B,'GL-Transactions'!G:G,"Total",'GL-Transactions'!E:E,B322)</f>
        <v>0</v>
      </c>
      <c r="F322" s="4">
        <f t="shared" si="4"/>
        <v>577875</v>
      </c>
    </row>
    <row r="323" spans="2:6" ht="15" customHeight="1">
      <c r="B323" s="3">
        <v>1332902</v>
      </c>
      <c r="C323" s="3" t="s">
        <v>223</v>
      </c>
      <c r="D323" s="4">
        <f>SUMIFS('GL-Transactions'!C:C,'GL-Transactions'!G:G,"Total",'GL-Transactions'!E:E,B323)</f>
        <v>34500</v>
      </c>
      <c r="E323" s="4">
        <f>SUMIFS('GL-Transactions'!B:B,'GL-Transactions'!G:G,"Total",'GL-Transactions'!E:E,B323)</f>
        <v>0</v>
      </c>
      <c r="F323" s="4">
        <f t="shared" si="4"/>
        <v>34500</v>
      </c>
    </row>
    <row r="324" spans="2:6" ht="15" customHeight="1">
      <c r="B324" s="3">
        <v>1332901</v>
      </c>
      <c r="C324" s="3" t="s">
        <v>222</v>
      </c>
      <c r="D324" s="4">
        <f>SUMIFS('GL-Transactions'!C:C,'GL-Transactions'!G:G,"Total",'GL-Transactions'!E:E,B324)</f>
        <v>662285</v>
      </c>
      <c r="E324" s="4">
        <f>SUMIFS('GL-Transactions'!B:B,'GL-Transactions'!G:G,"Total",'GL-Transactions'!E:E,B324)</f>
        <v>0</v>
      </c>
      <c r="F324" s="4">
        <f t="shared" si="4"/>
        <v>662285</v>
      </c>
    </row>
    <row r="325" spans="2:6" ht="15" customHeight="1">
      <c r="B325" s="3">
        <v>1332821</v>
      </c>
      <c r="C325" s="3" t="s">
        <v>221</v>
      </c>
      <c r="D325" s="4">
        <f>SUMIFS('GL-Transactions'!C:C,'GL-Transactions'!G:G,"Total",'GL-Transactions'!E:E,B325)</f>
        <v>0</v>
      </c>
      <c r="E325" s="4">
        <f>SUMIFS('GL-Transactions'!B:B,'GL-Transactions'!G:G,"Total",'GL-Transactions'!E:E,B325)</f>
        <v>8123312</v>
      </c>
      <c r="F325" s="4">
        <f t="shared" ref="F325:F388" si="5">D325-E325</f>
        <v>-8123312</v>
      </c>
    </row>
    <row r="326" spans="2:6" ht="15" customHeight="1">
      <c r="B326" s="3">
        <v>1332802</v>
      </c>
      <c r="C326" s="3" t="s">
        <v>220</v>
      </c>
      <c r="D326" s="4">
        <f>SUMIFS('GL-Transactions'!C:C,'GL-Transactions'!G:G,"Total",'GL-Transactions'!E:E,B326)</f>
        <v>770500</v>
      </c>
      <c r="E326" s="4">
        <f>SUMIFS('GL-Transactions'!B:B,'GL-Transactions'!G:G,"Total",'GL-Transactions'!E:E,B326)</f>
        <v>0</v>
      </c>
      <c r="F326" s="4">
        <f t="shared" si="5"/>
        <v>770500</v>
      </c>
    </row>
    <row r="327" spans="2:6" ht="15" customHeight="1">
      <c r="B327" s="3">
        <v>1332801</v>
      </c>
      <c r="C327" s="3" t="s">
        <v>219</v>
      </c>
      <c r="D327" s="4">
        <f>SUMIFS('GL-Transactions'!C:C,'GL-Transactions'!G:G,"Total",'GL-Transactions'!E:E,B327)</f>
        <v>1097963</v>
      </c>
      <c r="E327" s="4">
        <f>SUMIFS('GL-Transactions'!B:B,'GL-Transactions'!G:G,"Total",'GL-Transactions'!E:E,B327)</f>
        <v>0</v>
      </c>
      <c r="F327" s="4">
        <f t="shared" si="5"/>
        <v>1097963</v>
      </c>
    </row>
    <row r="328" spans="2:6" ht="15" customHeight="1">
      <c r="B328" s="3">
        <v>1332721</v>
      </c>
      <c r="C328" s="3" t="s">
        <v>218</v>
      </c>
      <c r="D328" s="4">
        <f>SUMIFS('GL-Transactions'!C:C,'GL-Transactions'!G:G,"Total",'GL-Transactions'!E:E,B328)</f>
        <v>8342819</v>
      </c>
      <c r="E328" s="4">
        <f>SUMIFS('GL-Transactions'!B:B,'GL-Transactions'!G:G,"Total",'GL-Transactions'!E:E,B328)</f>
        <v>12798637</v>
      </c>
      <c r="F328" s="4">
        <f t="shared" si="5"/>
        <v>-4455818</v>
      </c>
    </row>
    <row r="329" spans="2:6" ht="15" customHeight="1">
      <c r="B329" s="3">
        <v>1332702</v>
      </c>
      <c r="C329" s="3" t="s">
        <v>217</v>
      </c>
      <c r="D329" s="4">
        <f>SUMIFS('GL-Transactions'!C:C,'GL-Transactions'!G:G,"Total",'GL-Transactions'!E:E,B329)</f>
        <v>5922</v>
      </c>
      <c r="E329" s="4">
        <f>SUMIFS('GL-Transactions'!B:B,'GL-Transactions'!G:G,"Total",'GL-Transactions'!E:E,B329)</f>
        <v>0</v>
      </c>
      <c r="F329" s="4">
        <f t="shared" si="5"/>
        <v>5922</v>
      </c>
    </row>
    <row r="330" spans="2:6" ht="15" customHeight="1">
      <c r="B330" s="3">
        <v>1332701</v>
      </c>
      <c r="C330" s="3" t="s">
        <v>216</v>
      </c>
      <c r="D330" s="4">
        <f>SUMIFS('GL-Transactions'!C:C,'GL-Transactions'!G:G,"Total",'GL-Transactions'!E:E,B330)</f>
        <v>618729</v>
      </c>
      <c r="E330" s="4">
        <f>SUMIFS('GL-Transactions'!B:B,'GL-Transactions'!G:G,"Total",'GL-Transactions'!E:E,B330)</f>
        <v>0</v>
      </c>
      <c r="F330" s="4">
        <f t="shared" si="5"/>
        <v>618729</v>
      </c>
    </row>
    <row r="331" spans="2:6" ht="15" customHeight="1">
      <c r="B331" s="3">
        <v>1332621</v>
      </c>
      <c r="C331" s="3" t="s">
        <v>215</v>
      </c>
      <c r="D331" s="4">
        <f>SUMIFS('GL-Transactions'!C:C,'GL-Transactions'!G:G,"Total",'GL-Transactions'!E:E,B331)</f>
        <v>0</v>
      </c>
      <c r="E331" s="4">
        <f>SUMIFS('GL-Transactions'!B:B,'GL-Transactions'!G:G,"Total",'GL-Transactions'!E:E,B331)</f>
        <v>4649414</v>
      </c>
      <c r="F331" s="4">
        <f t="shared" si="5"/>
        <v>-4649414</v>
      </c>
    </row>
    <row r="332" spans="2:6" ht="15" customHeight="1">
      <c r="B332" s="3">
        <v>1332605</v>
      </c>
      <c r="C332" s="3" t="s">
        <v>214</v>
      </c>
      <c r="D332" s="4">
        <f>SUMIFS('GL-Transactions'!C:C,'GL-Transactions'!G:G,"Total",'GL-Transactions'!E:E,B332)</f>
        <v>439875</v>
      </c>
      <c r="E332" s="4">
        <f>SUMIFS('GL-Transactions'!B:B,'GL-Transactions'!G:G,"Total",'GL-Transactions'!E:E,B332)</f>
        <v>0</v>
      </c>
      <c r="F332" s="4">
        <f t="shared" si="5"/>
        <v>439875</v>
      </c>
    </row>
    <row r="333" spans="2:6" ht="15" customHeight="1">
      <c r="B333" s="3">
        <v>1332602</v>
      </c>
      <c r="C333" s="3" t="s">
        <v>213</v>
      </c>
      <c r="D333" s="4">
        <f>SUMIFS('GL-Transactions'!C:C,'GL-Transactions'!G:G,"Total",'GL-Transactions'!E:E,B333)</f>
        <v>540500</v>
      </c>
      <c r="E333" s="4">
        <f>SUMIFS('GL-Transactions'!B:B,'GL-Transactions'!G:G,"Total",'GL-Transactions'!E:E,B333)</f>
        <v>0</v>
      </c>
      <c r="F333" s="4">
        <f t="shared" si="5"/>
        <v>540500</v>
      </c>
    </row>
    <row r="334" spans="2:6" ht="15" customHeight="1">
      <c r="B334" s="3">
        <v>1332601</v>
      </c>
      <c r="C334" s="3" t="s">
        <v>212</v>
      </c>
      <c r="D334" s="4">
        <f>SUMIFS('GL-Transactions'!C:C,'GL-Transactions'!G:G,"Total",'GL-Transactions'!E:E,B334)</f>
        <v>453215</v>
      </c>
      <c r="E334" s="4">
        <f>SUMIFS('GL-Transactions'!B:B,'GL-Transactions'!G:G,"Total",'GL-Transactions'!E:E,B334)</f>
        <v>0</v>
      </c>
      <c r="F334" s="4">
        <f t="shared" si="5"/>
        <v>453215</v>
      </c>
    </row>
    <row r="335" spans="2:6" ht="15" customHeight="1">
      <c r="B335" s="3">
        <v>1332521</v>
      </c>
      <c r="C335" s="3" t="s">
        <v>211</v>
      </c>
      <c r="D335" s="4">
        <f>SUMIFS('GL-Transactions'!C:C,'GL-Transactions'!G:G,"Total",'GL-Transactions'!E:E,B335)</f>
        <v>0</v>
      </c>
      <c r="E335" s="4">
        <f>SUMIFS('GL-Transactions'!B:B,'GL-Transactions'!G:G,"Total",'GL-Transactions'!E:E,B335)</f>
        <v>7001852</v>
      </c>
      <c r="F335" s="4">
        <f t="shared" si="5"/>
        <v>-7001852</v>
      </c>
    </row>
    <row r="336" spans="2:6" ht="15" customHeight="1">
      <c r="B336" s="3">
        <v>1332505</v>
      </c>
      <c r="C336" s="3" t="s">
        <v>210</v>
      </c>
      <c r="D336" s="4">
        <f>SUMIFS('GL-Transactions'!C:C,'GL-Transactions'!G:G,"Total",'GL-Transactions'!E:E,B336)</f>
        <v>853875</v>
      </c>
      <c r="E336" s="4">
        <f>SUMIFS('GL-Transactions'!B:B,'GL-Transactions'!G:G,"Total",'GL-Transactions'!E:E,B336)</f>
        <v>0</v>
      </c>
      <c r="F336" s="4">
        <f t="shared" si="5"/>
        <v>853875</v>
      </c>
    </row>
    <row r="337" spans="2:6" ht="15" customHeight="1">
      <c r="B337" s="3">
        <v>1332502</v>
      </c>
      <c r="C337" s="3" t="s">
        <v>209</v>
      </c>
      <c r="D337" s="4">
        <f>SUMIFS('GL-Transactions'!C:C,'GL-Transactions'!G:G,"Total",'GL-Transactions'!E:E,B337)</f>
        <v>816500</v>
      </c>
      <c r="E337" s="4">
        <f>SUMIFS('GL-Transactions'!B:B,'GL-Transactions'!G:G,"Total",'GL-Transactions'!E:E,B337)</f>
        <v>0</v>
      </c>
      <c r="F337" s="4">
        <f t="shared" si="5"/>
        <v>816500</v>
      </c>
    </row>
    <row r="338" spans="2:6" ht="15" customHeight="1">
      <c r="B338" s="3">
        <v>1332501</v>
      </c>
      <c r="C338" s="3" t="s">
        <v>208</v>
      </c>
      <c r="D338" s="4">
        <f>SUMIFS('GL-Transactions'!C:C,'GL-Transactions'!G:G,"Total",'GL-Transactions'!E:E,B338)</f>
        <v>871355</v>
      </c>
      <c r="E338" s="4">
        <f>SUMIFS('GL-Transactions'!B:B,'GL-Transactions'!G:G,"Total",'GL-Transactions'!E:E,B338)</f>
        <v>0</v>
      </c>
      <c r="F338" s="4">
        <f t="shared" si="5"/>
        <v>871355</v>
      </c>
    </row>
    <row r="339" spans="2:6" ht="15" customHeight="1">
      <c r="B339" s="3">
        <v>1332421</v>
      </c>
      <c r="C339" s="3" t="s">
        <v>207</v>
      </c>
      <c r="D339" s="4">
        <f>SUMIFS('GL-Transactions'!C:C,'GL-Transactions'!G:G,"Total",'GL-Transactions'!E:E,B339)</f>
        <v>0</v>
      </c>
      <c r="E339" s="4">
        <f>SUMIFS('GL-Transactions'!B:B,'GL-Transactions'!G:G,"Total",'GL-Transactions'!E:E,B339)</f>
        <v>5256673</v>
      </c>
      <c r="F339" s="4">
        <f t="shared" si="5"/>
        <v>-5256673</v>
      </c>
    </row>
    <row r="340" spans="2:6" ht="15" customHeight="1">
      <c r="B340" s="3">
        <v>1332402</v>
      </c>
      <c r="C340" s="3" t="s">
        <v>206</v>
      </c>
      <c r="D340" s="4">
        <f>SUMIFS('GL-Transactions'!C:C,'GL-Transactions'!G:G,"Total",'GL-Transactions'!E:E,B340)</f>
        <v>5922</v>
      </c>
      <c r="E340" s="4">
        <f>SUMIFS('GL-Transactions'!B:B,'GL-Transactions'!G:G,"Total",'GL-Transactions'!E:E,B340)</f>
        <v>0</v>
      </c>
      <c r="F340" s="4">
        <f t="shared" si="5"/>
        <v>5922</v>
      </c>
    </row>
    <row r="341" spans="2:6" ht="15" customHeight="1">
      <c r="B341" s="3">
        <v>1332401</v>
      </c>
      <c r="C341" s="3" t="s">
        <v>205</v>
      </c>
      <c r="D341" s="4">
        <f>SUMIFS('GL-Transactions'!C:C,'GL-Transactions'!G:G,"Total",'GL-Transactions'!E:E,B341)</f>
        <v>792954</v>
      </c>
      <c r="E341" s="4">
        <f>SUMIFS('GL-Transactions'!B:B,'GL-Transactions'!G:G,"Total",'GL-Transactions'!E:E,B341)</f>
        <v>0</v>
      </c>
      <c r="F341" s="4">
        <f t="shared" si="5"/>
        <v>792954</v>
      </c>
    </row>
    <row r="342" spans="2:6" ht="15" customHeight="1">
      <c r="B342" s="3">
        <v>1332321</v>
      </c>
      <c r="C342" s="3" t="s">
        <v>204</v>
      </c>
      <c r="D342" s="4">
        <f>SUMIFS('GL-Transactions'!C:C,'GL-Transactions'!G:G,"Total",'GL-Transactions'!E:E,B342)</f>
        <v>4433975</v>
      </c>
      <c r="E342" s="4">
        <f>SUMIFS('GL-Transactions'!B:B,'GL-Transactions'!G:G,"Total",'GL-Transactions'!E:E,B342)</f>
        <v>4433975</v>
      </c>
      <c r="F342" s="4">
        <f t="shared" si="5"/>
        <v>0</v>
      </c>
    </row>
    <row r="343" spans="2:6" ht="15" customHeight="1">
      <c r="B343" s="3">
        <v>1332221</v>
      </c>
      <c r="C343" s="3" t="s">
        <v>203</v>
      </c>
      <c r="D343" s="4">
        <f>SUMIFS('GL-Transactions'!C:C,'GL-Transactions'!G:G,"Total",'GL-Transactions'!E:E,B343)</f>
        <v>0</v>
      </c>
      <c r="E343" s="4">
        <f>SUMIFS('GL-Transactions'!B:B,'GL-Transactions'!G:G,"Total",'GL-Transactions'!E:E,B343)</f>
        <v>4794914</v>
      </c>
      <c r="F343" s="4">
        <f t="shared" si="5"/>
        <v>-4794914</v>
      </c>
    </row>
    <row r="344" spans="2:6" ht="15" customHeight="1">
      <c r="B344" s="3">
        <v>1332205</v>
      </c>
      <c r="C344" s="3" t="s">
        <v>202</v>
      </c>
      <c r="D344" s="4">
        <f>SUMIFS('GL-Transactions'!C:C,'GL-Transactions'!G:G,"Total",'GL-Transactions'!E:E,B344)</f>
        <v>485875</v>
      </c>
      <c r="E344" s="4">
        <f>SUMIFS('GL-Transactions'!B:B,'GL-Transactions'!G:G,"Total",'GL-Transactions'!E:E,B344)</f>
        <v>0</v>
      </c>
      <c r="F344" s="4">
        <f t="shared" si="5"/>
        <v>485875</v>
      </c>
    </row>
    <row r="345" spans="2:6" ht="15" customHeight="1">
      <c r="B345" s="3">
        <v>1332202</v>
      </c>
      <c r="C345" s="3" t="s">
        <v>201</v>
      </c>
      <c r="D345" s="4">
        <f>SUMIFS('GL-Transactions'!C:C,'GL-Transactions'!G:G,"Total",'GL-Transactions'!E:E,B345)</f>
        <v>529000</v>
      </c>
      <c r="E345" s="4">
        <f>SUMIFS('GL-Transactions'!B:B,'GL-Transactions'!G:G,"Total",'GL-Transactions'!E:E,B345)</f>
        <v>0</v>
      </c>
      <c r="F345" s="4">
        <f t="shared" si="5"/>
        <v>529000</v>
      </c>
    </row>
    <row r="346" spans="2:6" ht="15" customHeight="1">
      <c r="B346" s="3">
        <v>1332201</v>
      </c>
      <c r="C346" s="3" t="s">
        <v>200</v>
      </c>
      <c r="D346" s="4">
        <f>SUMIFS('GL-Transactions'!C:C,'GL-Transactions'!G:G,"Total",'GL-Transactions'!E:E,B346)</f>
        <v>522905</v>
      </c>
      <c r="E346" s="4">
        <f>SUMIFS('GL-Transactions'!B:B,'GL-Transactions'!G:G,"Total",'GL-Transactions'!E:E,B346)</f>
        <v>0</v>
      </c>
      <c r="F346" s="4">
        <f t="shared" si="5"/>
        <v>522905</v>
      </c>
    </row>
    <row r="347" spans="2:6" ht="15" customHeight="1">
      <c r="B347" s="3">
        <v>1332121</v>
      </c>
      <c r="C347" s="3" t="s">
        <v>199</v>
      </c>
      <c r="D347" s="4">
        <f>SUMIFS('GL-Transactions'!C:C,'GL-Transactions'!G:G,"Total",'GL-Transactions'!E:E,B347)</f>
        <v>0</v>
      </c>
      <c r="E347" s="4">
        <f>SUMIFS('GL-Transactions'!B:B,'GL-Transactions'!G:G,"Total",'GL-Transactions'!E:E,B347)</f>
        <v>4600845</v>
      </c>
      <c r="F347" s="4">
        <f t="shared" si="5"/>
        <v>-4600845</v>
      </c>
    </row>
    <row r="348" spans="2:6" ht="15" customHeight="1">
      <c r="B348" s="3">
        <v>1332105</v>
      </c>
      <c r="C348" s="3" t="s">
        <v>198</v>
      </c>
      <c r="D348" s="4">
        <f>SUMIFS('GL-Transactions'!C:C,'GL-Transactions'!G:G,"Total",'GL-Transactions'!E:E,B348)</f>
        <v>485875</v>
      </c>
      <c r="E348" s="4">
        <f>SUMIFS('GL-Transactions'!B:B,'GL-Transactions'!G:G,"Total",'GL-Transactions'!E:E,B348)</f>
        <v>0</v>
      </c>
      <c r="F348" s="4">
        <f t="shared" si="5"/>
        <v>485875</v>
      </c>
    </row>
    <row r="349" spans="2:6" ht="15" customHeight="1">
      <c r="B349" s="3">
        <v>1332102</v>
      </c>
      <c r="C349" s="3" t="s">
        <v>197</v>
      </c>
      <c r="D349" s="4">
        <f>SUMIFS('GL-Transactions'!C:C,'GL-Transactions'!G:G,"Total",'GL-Transactions'!E:E,B349)</f>
        <v>630236</v>
      </c>
      <c r="E349" s="4">
        <f>SUMIFS('GL-Transactions'!B:B,'GL-Transactions'!G:G,"Total",'GL-Transactions'!E:E,B349)</f>
        <v>0</v>
      </c>
      <c r="F349" s="4">
        <f t="shared" si="5"/>
        <v>630236</v>
      </c>
    </row>
    <row r="350" spans="2:6" ht="15" customHeight="1">
      <c r="B350" s="3">
        <v>1332101</v>
      </c>
      <c r="C350" s="3" t="s">
        <v>196</v>
      </c>
      <c r="D350" s="4">
        <f>SUMIFS('GL-Transactions'!C:C,'GL-Transactions'!G:G,"Total",'GL-Transactions'!E:E,B350)</f>
        <v>453215</v>
      </c>
      <c r="E350" s="4">
        <f>SUMIFS('GL-Transactions'!B:B,'GL-Transactions'!G:G,"Total",'GL-Transactions'!E:E,B350)</f>
        <v>0</v>
      </c>
      <c r="F350" s="4">
        <f t="shared" si="5"/>
        <v>453215</v>
      </c>
    </row>
    <row r="351" spans="2:6" ht="15" customHeight="1">
      <c r="B351" s="3">
        <v>1332021</v>
      </c>
      <c r="C351" s="3" t="s">
        <v>195</v>
      </c>
      <c r="D351" s="4">
        <f>SUMIFS('GL-Transactions'!C:C,'GL-Transactions'!G:G,"Total",'GL-Transactions'!E:E,B351)</f>
        <v>0</v>
      </c>
      <c r="E351" s="4">
        <f>SUMIFS('GL-Transactions'!B:B,'GL-Transactions'!G:G,"Total",'GL-Transactions'!E:E,B351)</f>
        <v>4062375</v>
      </c>
      <c r="F351" s="4">
        <f t="shared" si="5"/>
        <v>-4062375</v>
      </c>
    </row>
    <row r="352" spans="2:6" ht="15" customHeight="1">
      <c r="B352" s="3">
        <v>1332005</v>
      </c>
      <c r="C352" s="3" t="s">
        <v>194</v>
      </c>
      <c r="D352" s="4">
        <f>SUMIFS('GL-Transactions'!C:C,'GL-Transactions'!G:G,"Total",'GL-Transactions'!E:E,B352)</f>
        <v>485875</v>
      </c>
      <c r="E352" s="4">
        <f>SUMIFS('GL-Transactions'!B:B,'GL-Transactions'!G:G,"Total",'GL-Transactions'!E:E,B352)</f>
        <v>0</v>
      </c>
      <c r="F352" s="4">
        <f t="shared" si="5"/>
        <v>485875</v>
      </c>
    </row>
    <row r="353" spans="2:6" ht="15" customHeight="1">
      <c r="B353" s="3">
        <v>1332002</v>
      </c>
      <c r="C353" s="3" t="s">
        <v>193</v>
      </c>
      <c r="D353" s="4">
        <f>SUMIFS('GL-Transactions'!C:C,'GL-Transactions'!G:G,"Total",'GL-Transactions'!E:E,B353)</f>
        <v>34500</v>
      </c>
      <c r="E353" s="4">
        <f>SUMIFS('GL-Transactions'!B:B,'GL-Transactions'!G:G,"Total",'GL-Transactions'!E:E,B353)</f>
        <v>0</v>
      </c>
      <c r="F353" s="4">
        <f t="shared" si="5"/>
        <v>34500</v>
      </c>
    </row>
    <row r="354" spans="2:6" ht="15" customHeight="1">
      <c r="B354" s="3">
        <v>1332001</v>
      </c>
      <c r="C354" s="3" t="s">
        <v>192</v>
      </c>
      <c r="D354" s="4">
        <f>SUMIFS('GL-Transactions'!C:C,'GL-Transactions'!G:G,"Total",'GL-Transactions'!E:E,B354)</f>
        <v>522905</v>
      </c>
      <c r="E354" s="4">
        <f>SUMIFS('GL-Transactions'!B:B,'GL-Transactions'!G:G,"Total",'GL-Transactions'!E:E,B354)</f>
        <v>0</v>
      </c>
      <c r="F354" s="4">
        <f t="shared" si="5"/>
        <v>522905</v>
      </c>
    </row>
    <row r="355" spans="2:6" ht="15" customHeight="1">
      <c r="B355" s="3">
        <v>1331921</v>
      </c>
      <c r="C355" s="3" t="s">
        <v>191</v>
      </c>
      <c r="D355" s="4">
        <f>SUMIFS('GL-Transactions'!C:C,'GL-Transactions'!G:G,"Total",'GL-Transactions'!E:E,B355)</f>
        <v>3335</v>
      </c>
      <c r="E355" s="4">
        <f>SUMIFS('GL-Transactions'!B:B,'GL-Transactions'!G:G,"Total",'GL-Transactions'!E:E,B355)</f>
        <v>4466715</v>
      </c>
      <c r="F355" s="4">
        <f t="shared" si="5"/>
        <v>-4463380</v>
      </c>
    </row>
    <row r="356" spans="2:6" ht="15" customHeight="1">
      <c r="B356" s="3">
        <v>1331905</v>
      </c>
      <c r="C356" s="3" t="s">
        <v>190</v>
      </c>
      <c r="D356" s="4">
        <f>SUMIFS('GL-Transactions'!C:C,'GL-Transactions'!G:G,"Total",'GL-Transactions'!E:E,B356)</f>
        <v>439875</v>
      </c>
      <c r="E356" s="4">
        <f>SUMIFS('GL-Transactions'!B:B,'GL-Transactions'!G:G,"Total",'GL-Transactions'!E:E,B356)</f>
        <v>0</v>
      </c>
      <c r="F356" s="4">
        <f t="shared" si="5"/>
        <v>439875</v>
      </c>
    </row>
    <row r="357" spans="2:6" ht="15" customHeight="1">
      <c r="B357" s="3">
        <v>1331902</v>
      </c>
      <c r="C357" s="3" t="s">
        <v>189</v>
      </c>
      <c r="D357" s="4">
        <f>SUMIFS('GL-Transactions'!C:C,'GL-Transactions'!G:G,"Total",'GL-Transactions'!E:E,B357)</f>
        <v>471500</v>
      </c>
      <c r="E357" s="4">
        <f>SUMIFS('GL-Transactions'!B:B,'GL-Transactions'!G:G,"Total",'GL-Transactions'!E:E,B357)</f>
        <v>0</v>
      </c>
      <c r="F357" s="4">
        <f t="shared" si="5"/>
        <v>471500</v>
      </c>
    </row>
    <row r="358" spans="2:6" ht="15" customHeight="1">
      <c r="B358" s="3">
        <v>1331901</v>
      </c>
      <c r="C358" s="3" t="s">
        <v>188</v>
      </c>
      <c r="D358" s="4">
        <f>SUMIFS('GL-Transactions'!C:C,'GL-Transactions'!G:G,"Total",'GL-Transactions'!E:E,B358)</f>
        <v>453215</v>
      </c>
      <c r="E358" s="4">
        <f>SUMIFS('GL-Transactions'!B:B,'GL-Transactions'!G:G,"Total",'GL-Transactions'!E:E,B358)</f>
        <v>0</v>
      </c>
      <c r="F358" s="4">
        <f t="shared" si="5"/>
        <v>453215</v>
      </c>
    </row>
    <row r="359" spans="2:6" ht="15" customHeight="1">
      <c r="B359" s="3">
        <v>1331821</v>
      </c>
      <c r="C359" s="3" t="s">
        <v>187</v>
      </c>
      <c r="D359" s="4">
        <f>SUMIFS('GL-Transactions'!C:C,'GL-Transactions'!G:G,"Total",'GL-Transactions'!E:E,B359)</f>
        <v>4989695</v>
      </c>
      <c r="E359" s="4">
        <f>SUMIFS('GL-Transactions'!B:B,'GL-Transactions'!G:G,"Total",'GL-Transactions'!E:E,B359)</f>
        <v>9302195</v>
      </c>
      <c r="F359" s="4">
        <f t="shared" si="5"/>
        <v>-4312500</v>
      </c>
    </row>
    <row r="360" spans="2:6" ht="15" customHeight="1">
      <c r="B360" s="3">
        <v>1331802</v>
      </c>
      <c r="C360" s="3" t="s">
        <v>186</v>
      </c>
      <c r="D360" s="4">
        <f>SUMIFS('GL-Transactions'!C:C,'GL-Transactions'!G:G,"Total",'GL-Transactions'!E:E,B360)</f>
        <v>34500</v>
      </c>
      <c r="E360" s="4">
        <f>SUMIFS('GL-Transactions'!B:B,'GL-Transactions'!G:G,"Total",'GL-Transactions'!E:E,B360)</f>
        <v>0</v>
      </c>
      <c r="F360" s="4">
        <f t="shared" si="5"/>
        <v>34500</v>
      </c>
    </row>
    <row r="361" spans="2:6" ht="15" customHeight="1">
      <c r="B361" s="3">
        <v>1331801</v>
      </c>
      <c r="C361" s="3" t="s">
        <v>185</v>
      </c>
      <c r="D361" s="4">
        <f>SUMIFS('GL-Transactions'!C:C,'GL-Transactions'!G:G,"Total",'GL-Transactions'!E:E,B361)</f>
        <v>520202</v>
      </c>
      <c r="E361" s="4">
        <f>SUMIFS('GL-Transactions'!B:B,'GL-Transactions'!G:G,"Total",'GL-Transactions'!E:E,B361)</f>
        <v>0</v>
      </c>
      <c r="F361" s="4">
        <f t="shared" si="5"/>
        <v>520202</v>
      </c>
    </row>
    <row r="362" spans="2:6" ht="15" customHeight="1">
      <c r="B362" s="3">
        <v>1331721</v>
      </c>
      <c r="C362" s="3" t="s">
        <v>184</v>
      </c>
      <c r="D362" s="4">
        <f>SUMIFS('GL-Transactions'!C:C,'GL-Transactions'!G:G,"Total",'GL-Transactions'!E:E,B362)</f>
        <v>0</v>
      </c>
      <c r="E362" s="4">
        <f>SUMIFS('GL-Transactions'!B:B,'GL-Transactions'!G:G,"Total",'GL-Transactions'!E:E,B362)</f>
        <v>4892066</v>
      </c>
      <c r="F362" s="4">
        <f t="shared" si="5"/>
        <v>-4892066</v>
      </c>
    </row>
    <row r="363" spans="2:6" ht="15" customHeight="1">
      <c r="B363" s="3">
        <v>1331705</v>
      </c>
      <c r="C363" s="3" t="s">
        <v>183</v>
      </c>
      <c r="D363" s="4">
        <f>SUMIFS('GL-Transactions'!C:C,'GL-Transactions'!G:G,"Total",'GL-Transactions'!E:E,B363)</f>
        <v>439875</v>
      </c>
      <c r="E363" s="4">
        <f>SUMIFS('GL-Transactions'!B:B,'GL-Transactions'!G:G,"Total",'GL-Transactions'!E:E,B363)</f>
        <v>0</v>
      </c>
      <c r="F363" s="4">
        <f t="shared" si="5"/>
        <v>439875</v>
      </c>
    </row>
    <row r="364" spans="2:6" ht="15" customHeight="1">
      <c r="B364" s="3">
        <v>1331702</v>
      </c>
      <c r="C364" s="3" t="s">
        <v>182</v>
      </c>
      <c r="D364" s="4">
        <f>SUMIFS('GL-Transactions'!C:C,'GL-Transactions'!G:G,"Total",'GL-Transactions'!E:E,B364)</f>
        <v>540500</v>
      </c>
      <c r="E364" s="4">
        <f>SUMIFS('GL-Transactions'!B:B,'GL-Transactions'!G:G,"Total",'GL-Transactions'!E:E,B364)</f>
        <v>0</v>
      </c>
      <c r="F364" s="4">
        <f t="shared" si="5"/>
        <v>540500</v>
      </c>
    </row>
    <row r="365" spans="2:6" ht="15" customHeight="1">
      <c r="B365" s="3">
        <v>1331701</v>
      </c>
      <c r="C365" s="3" t="s">
        <v>181</v>
      </c>
      <c r="D365" s="4">
        <f>SUMIFS('GL-Transactions'!C:C,'GL-Transactions'!G:G,"Total",'GL-Transactions'!E:E,B365)</f>
        <v>453215</v>
      </c>
      <c r="E365" s="4">
        <f>SUMIFS('GL-Transactions'!B:B,'GL-Transactions'!G:G,"Total",'GL-Transactions'!E:E,B365)</f>
        <v>0</v>
      </c>
      <c r="F365" s="4">
        <f t="shared" si="5"/>
        <v>453215</v>
      </c>
    </row>
    <row r="366" spans="2:6" ht="15" customHeight="1">
      <c r="B366" s="3">
        <v>1331621</v>
      </c>
      <c r="C366" s="3" t="s">
        <v>180</v>
      </c>
      <c r="D366" s="4">
        <f>SUMIFS('GL-Transactions'!C:C,'GL-Transactions'!G:G,"Total",'GL-Transactions'!E:E,B366)</f>
        <v>0</v>
      </c>
      <c r="E366" s="4">
        <f>SUMIFS('GL-Transactions'!B:B,'GL-Transactions'!G:G,"Total",'GL-Transactions'!E:E,B366)</f>
        <v>4479250</v>
      </c>
      <c r="F366" s="4">
        <f t="shared" si="5"/>
        <v>-4479250</v>
      </c>
    </row>
    <row r="367" spans="2:6" ht="15" customHeight="1">
      <c r="B367" s="3">
        <v>1331605</v>
      </c>
      <c r="C367" s="3" t="s">
        <v>179</v>
      </c>
      <c r="D367" s="4">
        <f>SUMIFS('GL-Transactions'!C:C,'GL-Transactions'!G:G,"Total",'GL-Transactions'!E:E,B367)</f>
        <v>531876</v>
      </c>
      <c r="E367" s="4">
        <f>SUMIFS('GL-Transactions'!B:B,'GL-Transactions'!G:G,"Total",'GL-Transactions'!E:E,B367)</f>
        <v>0</v>
      </c>
      <c r="F367" s="4">
        <f t="shared" si="5"/>
        <v>531876</v>
      </c>
    </row>
    <row r="368" spans="2:6" ht="15" customHeight="1">
      <c r="B368" s="3">
        <v>1331602</v>
      </c>
      <c r="C368" s="3" t="s">
        <v>178</v>
      </c>
      <c r="D368" s="4">
        <f>SUMIFS('GL-Transactions'!C:C,'GL-Transactions'!G:G,"Total",'GL-Transactions'!E:E,B368)</f>
        <v>138000</v>
      </c>
      <c r="E368" s="4">
        <f>SUMIFS('GL-Transactions'!B:B,'GL-Transactions'!G:G,"Total",'GL-Transactions'!E:E,B368)</f>
        <v>0</v>
      </c>
      <c r="F368" s="4">
        <f t="shared" si="5"/>
        <v>138000</v>
      </c>
    </row>
    <row r="369" spans="2:6" ht="15" customHeight="1">
      <c r="B369" s="3">
        <v>1331601</v>
      </c>
      <c r="C369" s="3" t="s">
        <v>177</v>
      </c>
      <c r="D369" s="4">
        <f>SUMIFS('GL-Transactions'!C:C,'GL-Transactions'!G:G,"Total",'GL-Transactions'!E:E,B369)</f>
        <v>522905</v>
      </c>
      <c r="E369" s="4">
        <f>SUMIFS('GL-Transactions'!B:B,'GL-Transactions'!G:G,"Total",'GL-Transactions'!E:E,B369)</f>
        <v>0</v>
      </c>
      <c r="F369" s="4">
        <f t="shared" si="5"/>
        <v>522905</v>
      </c>
    </row>
    <row r="370" spans="2:6" ht="15" customHeight="1">
      <c r="B370" s="3">
        <v>1331521</v>
      </c>
      <c r="C370" s="3" t="s">
        <v>176</v>
      </c>
      <c r="D370" s="4">
        <f>SUMIFS('GL-Transactions'!C:C,'GL-Transactions'!G:G,"Total",'GL-Transactions'!E:E,B370)</f>
        <v>0</v>
      </c>
      <c r="E370" s="4">
        <f>SUMIFS('GL-Transactions'!B:B,'GL-Transactions'!G:G,"Total",'GL-Transactions'!E:E,B370)</f>
        <v>5939270</v>
      </c>
      <c r="F370" s="4">
        <f t="shared" si="5"/>
        <v>-5939270</v>
      </c>
    </row>
    <row r="371" spans="2:6" ht="15" customHeight="1">
      <c r="B371" s="3">
        <v>1331505</v>
      </c>
      <c r="C371" s="3" t="s">
        <v>175</v>
      </c>
      <c r="D371" s="4">
        <f>SUMIFS('GL-Transactions'!C:C,'GL-Transactions'!G:G,"Total",'GL-Transactions'!E:E,B371)</f>
        <v>623875</v>
      </c>
      <c r="E371" s="4">
        <f>SUMIFS('GL-Transactions'!B:B,'GL-Transactions'!G:G,"Total",'GL-Transactions'!E:E,B371)</f>
        <v>0</v>
      </c>
      <c r="F371" s="4">
        <f t="shared" si="5"/>
        <v>623875</v>
      </c>
    </row>
    <row r="372" spans="2:6" ht="15" customHeight="1">
      <c r="B372" s="3">
        <v>1331502</v>
      </c>
      <c r="C372" s="3" t="s">
        <v>174</v>
      </c>
      <c r="D372" s="4">
        <f>SUMIFS('GL-Transactions'!C:C,'GL-Transactions'!G:G,"Total",'GL-Transactions'!E:E,B372)</f>
        <v>715875</v>
      </c>
      <c r="E372" s="4">
        <f>SUMIFS('GL-Transactions'!B:B,'GL-Transactions'!G:G,"Total",'GL-Transactions'!E:E,B372)</f>
        <v>0</v>
      </c>
      <c r="F372" s="4">
        <f t="shared" si="5"/>
        <v>715875</v>
      </c>
    </row>
    <row r="373" spans="2:6" ht="15" customHeight="1">
      <c r="B373" s="3">
        <v>1331501</v>
      </c>
      <c r="C373" s="3" t="s">
        <v>173</v>
      </c>
      <c r="D373" s="4">
        <f>SUMIFS('GL-Transactions'!C:C,'GL-Transactions'!G:G,"Total",'GL-Transactions'!E:E,B373)</f>
        <v>522905</v>
      </c>
      <c r="E373" s="4">
        <f>SUMIFS('GL-Transactions'!B:B,'GL-Transactions'!G:G,"Total",'GL-Transactions'!E:E,B373)</f>
        <v>0</v>
      </c>
      <c r="F373" s="4">
        <f t="shared" si="5"/>
        <v>522905</v>
      </c>
    </row>
    <row r="374" spans="2:6" ht="15" customHeight="1">
      <c r="B374" s="3">
        <v>1331421</v>
      </c>
      <c r="C374" s="3" t="s">
        <v>172</v>
      </c>
      <c r="D374" s="4">
        <f>SUMIFS('GL-Transactions'!C:C,'GL-Transactions'!G:G,"Total",'GL-Transactions'!E:E,B374)</f>
        <v>0</v>
      </c>
      <c r="E374" s="4">
        <f>SUMIFS('GL-Transactions'!B:B,'GL-Transactions'!G:G,"Total",'GL-Transactions'!E:E,B374)</f>
        <v>5243488</v>
      </c>
      <c r="F374" s="4">
        <f t="shared" si="5"/>
        <v>-5243488</v>
      </c>
    </row>
    <row r="375" spans="2:6" ht="15" customHeight="1">
      <c r="B375" s="3">
        <v>1331405</v>
      </c>
      <c r="C375" s="3" t="s">
        <v>171</v>
      </c>
      <c r="D375" s="4">
        <f>SUMIFS('GL-Transactions'!C:C,'GL-Transactions'!G:G,"Total",'GL-Transactions'!E:E,B375)</f>
        <v>577875</v>
      </c>
      <c r="E375" s="4">
        <f>SUMIFS('GL-Transactions'!B:B,'GL-Transactions'!G:G,"Total",'GL-Transactions'!E:E,B375)</f>
        <v>0</v>
      </c>
      <c r="F375" s="4">
        <f t="shared" si="5"/>
        <v>577875</v>
      </c>
    </row>
    <row r="376" spans="2:6" ht="15" customHeight="1">
      <c r="B376" s="3">
        <v>1331402</v>
      </c>
      <c r="C376" s="3" t="s">
        <v>170</v>
      </c>
      <c r="D376" s="4">
        <f>SUMIFS('GL-Transactions'!C:C,'GL-Transactions'!G:G,"Total",'GL-Transactions'!E:E,B376)</f>
        <v>598000</v>
      </c>
      <c r="E376" s="4">
        <f>SUMIFS('GL-Transactions'!B:B,'GL-Transactions'!G:G,"Total",'GL-Transactions'!E:E,B376)</f>
        <v>0</v>
      </c>
      <c r="F376" s="4">
        <f t="shared" si="5"/>
        <v>598000</v>
      </c>
    </row>
    <row r="377" spans="2:6" ht="15" customHeight="1">
      <c r="B377" s="3">
        <v>1331401</v>
      </c>
      <c r="C377" s="3" t="s">
        <v>169</v>
      </c>
      <c r="D377" s="4">
        <f>SUMIFS('GL-Transactions'!C:C,'GL-Transactions'!G:G,"Total",'GL-Transactions'!E:E,B377)</f>
        <v>522905</v>
      </c>
      <c r="E377" s="4">
        <f>SUMIFS('GL-Transactions'!B:B,'GL-Transactions'!G:G,"Total",'GL-Transactions'!E:E,B377)</f>
        <v>0</v>
      </c>
      <c r="F377" s="4">
        <f t="shared" si="5"/>
        <v>522905</v>
      </c>
    </row>
    <row r="378" spans="2:6" ht="15" customHeight="1">
      <c r="B378" s="3">
        <v>1331321</v>
      </c>
      <c r="C378" s="3" t="s">
        <v>168</v>
      </c>
      <c r="D378" s="4">
        <f>SUMIFS('GL-Transactions'!C:C,'GL-Transactions'!G:G,"Total",'GL-Transactions'!E:E,B378)</f>
        <v>0</v>
      </c>
      <c r="E378" s="4">
        <f>SUMIFS('GL-Transactions'!B:B,'GL-Transactions'!G:G,"Total",'GL-Transactions'!E:E,B378)</f>
        <v>4675144</v>
      </c>
      <c r="F378" s="4">
        <f t="shared" si="5"/>
        <v>-4675144</v>
      </c>
    </row>
    <row r="379" spans="2:6" ht="15" customHeight="1">
      <c r="B379" s="3">
        <v>1331302</v>
      </c>
      <c r="C379" s="3" t="s">
        <v>167</v>
      </c>
      <c r="D379" s="4">
        <f>SUMIFS('GL-Transactions'!C:C,'GL-Transactions'!G:G,"Total",'GL-Transactions'!E:E,B379)</f>
        <v>483000</v>
      </c>
      <c r="E379" s="4">
        <f>SUMIFS('GL-Transactions'!B:B,'GL-Transactions'!G:G,"Total",'GL-Transactions'!E:E,B379)</f>
        <v>0</v>
      </c>
      <c r="F379" s="4">
        <f t="shared" si="5"/>
        <v>483000</v>
      </c>
    </row>
    <row r="380" spans="2:6" ht="15" customHeight="1">
      <c r="B380" s="3">
        <v>1331301</v>
      </c>
      <c r="C380" s="3" t="s">
        <v>166</v>
      </c>
      <c r="D380" s="4">
        <f>SUMIFS('GL-Transactions'!C:C,'GL-Transactions'!G:G,"Total",'GL-Transactions'!E:E,B380)</f>
        <v>453215</v>
      </c>
      <c r="E380" s="4">
        <f>SUMIFS('GL-Transactions'!B:B,'GL-Transactions'!G:G,"Total",'GL-Transactions'!E:E,B380)</f>
        <v>0</v>
      </c>
      <c r="F380" s="4">
        <f t="shared" si="5"/>
        <v>453215</v>
      </c>
    </row>
    <row r="381" spans="2:6" ht="15" customHeight="1">
      <c r="B381" s="3">
        <v>1331202</v>
      </c>
      <c r="C381" s="3" t="s">
        <v>165</v>
      </c>
      <c r="D381" s="4">
        <f>SUMIFS('GL-Transactions'!C:C,'GL-Transactions'!G:G,"Total",'GL-Transactions'!E:E,B381)</f>
        <v>517500</v>
      </c>
      <c r="E381" s="4">
        <f>SUMIFS('GL-Transactions'!B:B,'GL-Transactions'!G:G,"Total",'GL-Transactions'!E:E,B381)</f>
        <v>0</v>
      </c>
      <c r="F381" s="4">
        <f t="shared" si="5"/>
        <v>517500</v>
      </c>
    </row>
    <row r="382" spans="2:6" ht="15" customHeight="1">
      <c r="B382" s="3">
        <v>1331002</v>
      </c>
      <c r="C382" s="3" t="s">
        <v>164</v>
      </c>
      <c r="D382" s="4">
        <f>SUMIFS('GL-Transactions'!C:C,'GL-Transactions'!G:G,"Total",'GL-Transactions'!E:E,B382)</f>
        <v>69000</v>
      </c>
      <c r="E382" s="4">
        <f>SUMIFS('GL-Transactions'!B:B,'GL-Transactions'!G:G,"Total",'GL-Transactions'!E:E,B382)</f>
        <v>0</v>
      </c>
      <c r="F382" s="4">
        <f t="shared" si="5"/>
        <v>69000</v>
      </c>
    </row>
    <row r="383" spans="2:6" ht="15" customHeight="1">
      <c r="B383" s="3">
        <v>1330921</v>
      </c>
      <c r="C383" s="3" t="s">
        <v>163</v>
      </c>
      <c r="D383" s="4">
        <f>SUMIFS('GL-Transactions'!C:C,'GL-Transactions'!G:G,"Total",'GL-Transactions'!E:E,B383)</f>
        <v>0</v>
      </c>
      <c r="E383" s="4">
        <f>SUMIFS('GL-Transactions'!B:B,'GL-Transactions'!G:G,"Total",'GL-Transactions'!E:E,B383)</f>
        <v>1338175</v>
      </c>
      <c r="F383" s="4">
        <f t="shared" si="5"/>
        <v>-1338175</v>
      </c>
    </row>
    <row r="384" spans="2:6" ht="15" customHeight="1">
      <c r="B384" s="3">
        <v>1330905</v>
      </c>
      <c r="C384" s="3" t="s">
        <v>162</v>
      </c>
      <c r="D384" s="4">
        <f>SUMIFS('GL-Transactions'!C:C,'GL-Transactions'!G:G,"Total",'GL-Transactions'!E:E,B384)</f>
        <v>301875</v>
      </c>
      <c r="E384" s="4">
        <f>SUMIFS('GL-Transactions'!B:B,'GL-Transactions'!G:G,"Total",'GL-Transactions'!E:E,B384)</f>
        <v>0</v>
      </c>
      <c r="F384" s="4">
        <f t="shared" si="5"/>
        <v>301875</v>
      </c>
    </row>
    <row r="385" spans="2:6" ht="15" customHeight="1">
      <c r="B385" s="3">
        <v>1330902</v>
      </c>
      <c r="C385" s="3" t="s">
        <v>161</v>
      </c>
      <c r="D385" s="4">
        <f>SUMIFS('GL-Transactions'!C:C,'GL-Transactions'!G:G,"Total",'GL-Transactions'!E:E,B385)</f>
        <v>242799</v>
      </c>
      <c r="E385" s="4">
        <f>SUMIFS('GL-Transactions'!B:B,'GL-Transactions'!G:G,"Total",'GL-Transactions'!E:E,B385)</f>
        <v>0</v>
      </c>
      <c r="F385" s="4">
        <f t="shared" si="5"/>
        <v>242799</v>
      </c>
    </row>
    <row r="386" spans="2:6" ht="15" customHeight="1">
      <c r="B386" s="3">
        <v>1330901</v>
      </c>
      <c r="C386" s="3" t="s">
        <v>160</v>
      </c>
      <c r="D386" s="4">
        <f>SUMIFS('GL-Transactions'!C:C,'GL-Transactions'!G:G,"Total",'GL-Transactions'!E:E,B386)</f>
        <v>244145</v>
      </c>
      <c r="E386" s="4">
        <f>SUMIFS('GL-Transactions'!B:B,'GL-Transactions'!G:G,"Total",'GL-Transactions'!E:E,B386)</f>
        <v>0</v>
      </c>
      <c r="F386" s="4">
        <f t="shared" si="5"/>
        <v>244145</v>
      </c>
    </row>
    <row r="387" spans="2:6" ht="15" customHeight="1">
      <c r="B387" s="3">
        <v>1330821</v>
      </c>
      <c r="C387" s="3" t="s">
        <v>159</v>
      </c>
      <c r="D387" s="4">
        <f>SUMIFS('GL-Transactions'!C:C,'GL-Transactions'!G:G,"Total",'GL-Transactions'!E:E,B387)</f>
        <v>0</v>
      </c>
      <c r="E387" s="4">
        <f>SUMIFS('GL-Transactions'!B:B,'GL-Transactions'!G:G,"Total",'GL-Transactions'!E:E,B387)</f>
        <v>5626473</v>
      </c>
      <c r="F387" s="4">
        <f t="shared" si="5"/>
        <v>-5626473</v>
      </c>
    </row>
    <row r="388" spans="2:6" ht="15" customHeight="1">
      <c r="B388" s="3">
        <v>1330805</v>
      </c>
      <c r="C388" s="3" t="s">
        <v>158</v>
      </c>
      <c r="D388" s="4">
        <f>SUMIFS('GL-Transactions'!C:C,'GL-Transactions'!G:G,"Total",'GL-Transactions'!E:E,B388)</f>
        <v>577875</v>
      </c>
      <c r="E388" s="4">
        <f>SUMIFS('GL-Transactions'!B:B,'GL-Transactions'!G:G,"Total",'GL-Transactions'!E:E,B388)</f>
        <v>0</v>
      </c>
      <c r="F388" s="4">
        <f t="shared" si="5"/>
        <v>577875</v>
      </c>
    </row>
    <row r="389" spans="2:6" ht="15" customHeight="1">
      <c r="B389" s="3">
        <v>1330802</v>
      </c>
      <c r="C389" s="3" t="s">
        <v>157</v>
      </c>
      <c r="D389" s="4">
        <f>SUMIFS('GL-Transactions'!C:C,'GL-Transactions'!G:G,"Total",'GL-Transactions'!E:E,B389)</f>
        <v>241500</v>
      </c>
      <c r="E389" s="4">
        <f>SUMIFS('GL-Transactions'!B:B,'GL-Transactions'!G:G,"Total",'GL-Transactions'!E:E,B389)</f>
        <v>0</v>
      </c>
      <c r="F389" s="4">
        <f t="shared" ref="F389:F452" si="6">D389-E389</f>
        <v>241500</v>
      </c>
    </row>
    <row r="390" spans="2:6" ht="15" customHeight="1">
      <c r="B390" s="3">
        <v>1330801</v>
      </c>
      <c r="C390" s="3" t="s">
        <v>156</v>
      </c>
      <c r="D390" s="4">
        <f>SUMIFS('GL-Transactions'!C:C,'GL-Transactions'!G:G,"Total",'GL-Transactions'!E:E,B390)</f>
        <v>814775</v>
      </c>
      <c r="E390" s="4">
        <f>SUMIFS('GL-Transactions'!B:B,'GL-Transactions'!G:G,"Total",'GL-Transactions'!E:E,B390)</f>
        <v>0</v>
      </c>
      <c r="F390" s="4">
        <f t="shared" si="6"/>
        <v>814775</v>
      </c>
    </row>
    <row r="391" spans="2:6" ht="15" customHeight="1">
      <c r="B391" s="3">
        <v>1330721</v>
      </c>
      <c r="C391" s="3" t="s">
        <v>155</v>
      </c>
      <c r="D391" s="4">
        <f>SUMIFS('GL-Transactions'!C:C,'GL-Transactions'!G:G,"Total",'GL-Transactions'!E:E,B391)</f>
        <v>0</v>
      </c>
      <c r="E391" s="4">
        <f>SUMIFS('GL-Transactions'!B:B,'GL-Transactions'!G:G,"Total",'GL-Transactions'!E:E,B391)</f>
        <v>4286510</v>
      </c>
      <c r="F391" s="4">
        <f t="shared" si="6"/>
        <v>-4286510</v>
      </c>
    </row>
    <row r="392" spans="2:6" ht="15" customHeight="1">
      <c r="B392" s="3">
        <v>1330705</v>
      </c>
      <c r="C392" s="3" t="s">
        <v>154</v>
      </c>
      <c r="D392" s="4">
        <f>SUMIFS('GL-Transactions'!C:C,'GL-Transactions'!G:G,"Total",'GL-Transactions'!E:E,B392)</f>
        <v>462875</v>
      </c>
      <c r="E392" s="4">
        <f>SUMIFS('GL-Transactions'!B:B,'GL-Transactions'!G:G,"Total",'GL-Transactions'!E:E,B392)</f>
        <v>0</v>
      </c>
      <c r="F392" s="4">
        <f t="shared" si="6"/>
        <v>462875</v>
      </c>
    </row>
    <row r="393" spans="2:6" ht="15" customHeight="1">
      <c r="B393" s="3">
        <v>1330702</v>
      </c>
      <c r="C393" s="3" t="s">
        <v>153</v>
      </c>
      <c r="D393" s="4">
        <f>SUMIFS('GL-Transactions'!C:C,'GL-Transactions'!G:G,"Total",'GL-Transactions'!E:E,B393)</f>
        <v>94875</v>
      </c>
      <c r="E393" s="4">
        <f>SUMIFS('GL-Transactions'!B:B,'GL-Transactions'!G:G,"Total",'GL-Transactions'!E:E,B393)</f>
        <v>0</v>
      </c>
      <c r="F393" s="4">
        <f t="shared" si="6"/>
        <v>94875</v>
      </c>
    </row>
    <row r="394" spans="2:6" ht="15" customHeight="1">
      <c r="B394" s="3">
        <v>1330701</v>
      </c>
      <c r="C394" s="3" t="s">
        <v>152</v>
      </c>
      <c r="D394" s="4">
        <f>SUMIFS('GL-Transactions'!C:C,'GL-Transactions'!G:G,"Total",'GL-Transactions'!E:E,B394)</f>
        <v>453215</v>
      </c>
      <c r="E394" s="4">
        <f>SUMIFS('GL-Transactions'!B:B,'GL-Transactions'!G:G,"Total",'GL-Transactions'!E:E,B394)</f>
        <v>0</v>
      </c>
      <c r="F394" s="4">
        <f t="shared" si="6"/>
        <v>453215</v>
      </c>
    </row>
    <row r="395" spans="2:6" ht="15" customHeight="1">
      <c r="B395" s="3">
        <v>1330621</v>
      </c>
      <c r="C395" s="3" t="s">
        <v>151</v>
      </c>
      <c r="D395" s="4">
        <f>SUMIFS('GL-Transactions'!C:C,'GL-Transactions'!G:G,"Total",'GL-Transactions'!E:E,B395)</f>
        <v>0</v>
      </c>
      <c r="E395" s="4">
        <f>SUMIFS('GL-Transactions'!B:B,'GL-Transactions'!G:G,"Total",'GL-Transactions'!E:E,B395)</f>
        <v>1126276</v>
      </c>
      <c r="F395" s="4">
        <f t="shared" si="6"/>
        <v>-1126276</v>
      </c>
    </row>
    <row r="396" spans="2:6" ht="15" customHeight="1">
      <c r="B396" s="3">
        <v>1330602</v>
      </c>
      <c r="C396" s="3" t="s">
        <v>150</v>
      </c>
      <c r="D396" s="4">
        <f>SUMIFS('GL-Transactions'!C:C,'GL-Transactions'!G:G,"Total",'GL-Transactions'!E:E,B396)</f>
        <v>5750</v>
      </c>
      <c r="E396" s="4">
        <f>SUMIFS('GL-Transactions'!B:B,'GL-Transactions'!G:G,"Total",'GL-Transactions'!E:E,B396)</f>
        <v>0</v>
      </c>
      <c r="F396" s="4">
        <f t="shared" si="6"/>
        <v>5750</v>
      </c>
    </row>
    <row r="397" spans="2:6" ht="15" customHeight="1">
      <c r="B397" s="3">
        <v>1330601</v>
      </c>
      <c r="C397" s="3" t="s">
        <v>149</v>
      </c>
      <c r="D397" s="4">
        <f>SUMIFS('GL-Transactions'!C:C,'GL-Transactions'!G:G,"Total",'GL-Transactions'!E:E,B397)</f>
        <v>139668</v>
      </c>
      <c r="E397" s="4">
        <f>SUMIFS('GL-Transactions'!B:B,'GL-Transactions'!G:G,"Total",'GL-Transactions'!E:E,B397)</f>
        <v>0</v>
      </c>
      <c r="F397" s="4">
        <f t="shared" si="6"/>
        <v>139668</v>
      </c>
    </row>
    <row r="398" spans="2:6" ht="15" customHeight="1">
      <c r="B398" s="3">
        <v>1330502</v>
      </c>
      <c r="C398" s="3" t="s">
        <v>148</v>
      </c>
      <c r="D398" s="4">
        <f>SUMIFS('GL-Transactions'!C:C,'GL-Transactions'!G:G,"Total",'GL-Transactions'!E:E,B398)</f>
        <v>43125</v>
      </c>
      <c r="E398" s="4">
        <f>SUMIFS('GL-Transactions'!B:B,'GL-Transactions'!G:G,"Total",'GL-Transactions'!E:E,B398)</f>
        <v>0</v>
      </c>
      <c r="F398" s="4">
        <f t="shared" si="6"/>
        <v>43125</v>
      </c>
    </row>
    <row r="399" spans="2:6" ht="15" customHeight="1">
      <c r="B399" s="3">
        <v>1330402</v>
      </c>
      <c r="C399" s="3" t="s">
        <v>147</v>
      </c>
      <c r="D399" s="4">
        <f>SUMIFS('GL-Transactions'!C:C,'GL-Transactions'!G:G,"Total",'GL-Transactions'!E:E,B399)</f>
        <v>97750</v>
      </c>
      <c r="E399" s="4">
        <f>SUMIFS('GL-Transactions'!B:B,'GL-Transactions'!G:G,"Total",'GL-Transactions'!E:E,B399)</f>
        <v>0</v>
      </c>
      <c r="F399" s="4">
        <f t="shared" si="6"/>
        <v>97750</v>
      </c>
    </row>
    <row r="400" spans="2:6" ht="15" customHeight="1">
      <c r="B400" s="3">
        <v>1330305</v>
      </c>
      <c r="C400" s="3" t="s">
        <v>146</v>
      </c>
      <c r="D400" s="4">
        <f>SUMIFS('GL-Transactions'!C:C,'GL-Transactions'!G:G,"Total",'GL-Transactions'!E:E,B400)</f>
        <v>110687</v>
      </c>
      <c r="E400" s="4">
        <f>SUMIFS('GL-Transactions'!B:B,'GL-Transactions'!G:G,"Total",'GL-Transactions'!E:E,B400)</f>
        <v>0</v>
      </c>
      <c r="F400" s="4">
        <f t="shared" si="6"/>
        <v>110687</v>
      </c>
    </row>
    <row r="401" spans="2:6" ht="15" customHeight="1">
      <c r="B401" s="3">
        <v>1330302</v>
      </c>
      <c r="C401" s="3" t="s">
        <v>145</v>
      </c>
      <c r="D401" s="4">
        <f>SUMIFS('GL-Transactions'!C:C,'GL-Transactions'!G:G,"Total",'GL-Transactions'!E:E,B401)</f>
        <v>69000</v>
      </c>
      <c r="E401" s="4">
        <f>SUMIFS('GL-Transactions'!B:B,'GL-Transactions'!G:G,"Total",'GL-Transactions'!E:E,B401)</f>
        <v>0</v>
      </c>
      <c r="F401" s="4">
        <f t="shared" si="6"/>
        <v>69000</v>
      </c>
    </row>
    <row r="402" spans="2:6" ht="15" customHeight="1">
      <c r="B402" s="3">
        <v>1330205</v>
      </c>
      <c r="C402" s="3" t="s">
        <v>143</v>
      </c>
      <c r="D402" s="4">
        <f>SUMIFS('GL-Transactions'!C:C,'GL-Transactions'!G:G,"Total",'GL-Transactions'!E:E,B402)</f>
        <v>644000</v>
      </c>
      <c r="E402" s="4">
        <f>SUMIFS('GL-Transactions'!B:B,'GL-Transactions'!G:G,"Total",'GL-Transactions'!E:E,B402)</f>
        <v>0</v>
      </c>
      <c r="F402" s="4">
        <f t="shared" si="6"/>
        <v>644000</v>
      </c>
    </row>
    <row r="403" spans="2:6" ht="15" customHeight="1">
      <c r="B403" s="3">
        <v>1330202</v>
      </c>
      <c r="C403" s="3" t="s">
        <v>142</v>
      </c>
      <c r="D403" s="4">
        <f>SUMIFS('GL-Transactions'!C:C,'GL-Transactions'!G:G,"Total",'GL-Transactions'!E:E,B403)</f>
        <v>28750</v>
      </c>
      <c r="E403" s="4">
        <f>SUMIFS('GL-Transactions'!B:B,'GL-Transactions'!G:G,"Total",'GL-Transactions'!E:E,B403)</f>
        <v>0</v>
      </c>
      <c r="F403" s="4">
        <f t="shared" si="6"/>
        <v>28750</v>
      </c>
    </row>
    <row r="404" spans="2:6" ht="15" customHeight="1">
      <c r="B404" s="3">
        <v>1330105</v>
      </c>
      <c r="C404" s="3" t="s">
        <v>140</v>
      </c>
      <c r="D404" s="4">
        <f>SUMIFS('GL-Transactions'!C:C,'GL-Transactions'!G:G,"Total",'GL-Transactions'!E:E,B404)</f>
        <v>207000</v>
      </c>
      <c r="E404" s="4">
        <f>SUMIFS('GL-Transactions'!B:B,'GL-Transactions'!G:G,"Total",'GL-Transactions'!E:E,B404)</f>
        <v>0</v>
      </c>
      <c r="F404" s="4">
        <f t="shared" si="6"/>
        <v>207000</v>
      </c>
    </row>
    <row r="405" spans="2:6" ht="15" customHeight="1">
      <c r="B405" s="3">
        <v>1330102</v>
      </c>
      <c r="C405" s="3" t="s">
        <v>139</v>
      </c>
      <c r="D405" s="4">
        <f>SUMIFS('GL-Transactions'!C:C,'GL-Transactions'!G:G,"Total",'GL-Transactions'!E:E,B405)</f>
        <v>80500</v>
      </c>
      <c r="E405" s="4">
        <f>SUMIFS('GL-Transactions'!B:B,'GL-Transactions'!G:G,"Total",'GL-Transactions'!E:E,B405)</f>
        <v>0</v>
      </c>
      <c r="F405" s="4">
        <f t="shared" si="6"/>
        <v>80500</v>
      </c>
    </row>
    <row r="406" spans="2:6" ht="15" customHeight="1">
      <c r="B406" s="3">
        <v>1116521</v>
      </c>
      <c r="C406" s="3" t="s">
        <v>137</v>
      </c>
      <c r="D406" s="4">
        <f>SUMIFS('GL-Transactions'!C:C,'GL-Transactions'!G:G,"Total",'GL-Transactions'!E:E,B406)</f>
        <v>1933508</v>
      </c>
      <c r="E406" s="4">
        <f>SUMIFS('GL-Transactions'!B:B,'GL-Transactions'!G:G,"Total",'GL-Transactions'!E:E,B406)</f>
        <v>1933508</v>
      </c>
      <c r="F406" s="4">
        <f t="shared" si="6"/>
        <v>0</v>
      </c>
    </row>
    <row r="407" spans="2:6" ht="15" customHeight="1">
      <c r="B407" s="3">
        <v>1116421</v>
      </c>
      <c r="C407" s="3" t="s">
        <v>136</v>
      </c>
      <c r="D407" s="4">
        <f>SUMIFS('GL-Transactions'!C:C,'GL-Transactions'!G:G,"Total",'GL-Transactions'!E:E,B407)</f>
        <v>1980108</v>
      </c>
      <c r="E407" s="4">
        <f>SUMIFS('GL-Transactions'!B:B,'GL-Transactions'!G:G,"Total",'GL-Transactions'!E:E,B407)</f>
        <v>1980108</v>
      </c>
      <c r="F407" s="4">
        <f t="shared" si="6"/>
        <v>0</v>
      </c>
    </row>
    <row r="408" spans="2:6" ht="15" customHeight="1">
      <c r="B408" s="3">
        <v>1116321</v>
      </c>
      <c r="C408" s="3" t="s">
        <v>135</v>
      </c>
      <c r="D408" s="4">
        <f>SUMIFS('GL-Transactions'!C:C,'GL-Transactions'!G:G,"Total",'GL-Transactions'!E:E,B408)</f>
        <v>2300670</v>
      </c>
      <c r="E408" s="4">
        <f>SUMIFS('GL-Transactions'!B:B,'GL-Transactions'!G:G,"Total",'GL-Transactions'!E:E,B408)</f>
        <v>2300670</v>
      </c>
      <c r="F408" s="4">
        <f t="shared" si="6"/>
        <v>0</v>
      </c>
    </row>
    <row r="409" spans="2:6" ht="15" customHeight="1">
      <c r="B409" s="3">
        <v>1116221</v>
      </c>
      <c r="C409" s="3" t="s">
        <v>134</v>
      </c>
      <c r="D409" s="4">
        <f>SUMIFS('GL-Transactions'!C:C,'GL-Transactions'!G:G,"Total",'GL-Transactions'!E:E,B409)</f>
        <v>0</v>
      </c>
      <c r="E409" s="4">
        <f>SUMIFS('GL-Transactions'!B:B,'GL-Transactions'!G:G,"Total",'GL-Transactions'!E:E,B409)</f>
        <v>5966051</v>
      </c>
      <c r="F409" s="4">
        <f t="shared" si="6"/>
        <v>-5966051</v>
      </c>
    </row>
    <row r="410" spans="2:6" ht="15" customHeight="1">
      <c r="B410" s="3">
        <v>1116205</v>
      </c>
      <c r="C410" s="3" t="s">
        <v>133</v>
      </c>
      <c r="D410" s="4">
        <f>SUMIFS('GL-Transactions'!C:C,'GL-Transactions'!G:G,"Total",'GL-Transactions'!E:E,B410)</f>
        <v>402500</v>
      </c>
      <c r="E410" s="4">
        <f>SUMIFS('GL-Transactions'!B:B,'GL-Transactions'!G:G,"Total",'GL-Transactions'!E:E,B410)</f>
        <v>0</v>
      </c>
      <c r="F410" s="4">
        <f t="shared" si="6"/>
        <v>402500</v>
      </c>
    </row>
    <row r="411" spans="2:6" ht="15" customHeight="1">
      <c r="B411" s="3">
        <v>1116202</v>
      </c>
      <c r="C411" s="3" t="s">
        <v>132</v>
      </c>
      <c r="D411" s="4">
        <f>SUMIFS('GL-Transactions'!C:C,'GL-Transactions'!G:G,"Total",'GL-Transactions'!E:E,B411)</f>
        <v>1204165</v>
      </c>
      <c r="E411" s="4">
        <f>SUMIFS('GL-Transactions'!B:B,'GL-Transactions'!G:G,"Total",'GL-Transactions'!E:E,B411)</f>
        <v>0</v>
      </c>
      <c r="F411" s="4">
        <f t="shared" si="6"/>
        <v>1204165</v>
      </c>
    </row>
    <row r="412" spans="2:6" ht="15" customHeight="1">
      <c r="B412" s="3">
        <v>1116201</v>
      </c>
      <c r="C412" s="3" t="s">
        <v>131</v>
      </c>
      <c r="D412" s="4">
        <f>SUMIFS('GL-Transactions'!C:C,'GL-Transactions'!G:G,"Total",'GL-Transactions'!E:E,B412)</f>
        <v>1433245</v>
      </c>
      <c r="E412" s="4">
        <f>SUMIFS('GL-Transactions'!B:B,'GL-Transactions'!G:G,"Total",'GL-Transactions'!E:E,B412)</f>
        <v>0</v>
      </c>
      <c r="F412" s="4">
        <f t="shared" si="6"/>
        <v>1433245</v>
      </c>
    </row>
    <row r="413" spans="2:6" ht="15" customHeight="1">
      <c r="B413" s="3">
        <v>1116101</v>
      </c>
      <c r="C413" s="3" t="s">
        <v>130</v>
      </c>
      <c r="D413" s="4">
        <f>SUMIFS('GL-Transactions'!C:C,'GL-Transactions'!G:G,"Total",'GL-Transactions'!E:E,B413)</f>
        <v>261567</v>
      </c>
      <c r="E413" s="4">
        <f>SUMIFS('GL-Transactions'!B:B,'GL-Transactions'!G:G,"Total",'GL-Transactions'!E:E,B413)</f>
        <v>0</v>
      </c>
      <c r="F413" s="4">
        <f t="shared" si="6"/>
        <v>261567</v>
      </c>
    </row>
    <row r="414" spans="2:6" ht="15" customHeight="1">
      <c r="B414" s="3">
        <v>1116021</v>
      </c>
      <c r="C414" s="3" t="s">
        <v>129</v>
      </c>
      <c r="D414" s="4">
        <f>SUMIFS('GL-Transactions'!C:C,'GL-Transactions'!G:G,"Total",'GL-Transactions'!E:E,B414)</f>
        <v>0</v>
      </c>
      <c r="E414" s="4">
        <f>SUMIFS('GL-Transactions'!B:B,'GL-Transactions'!G:G,"Total",'GL-Transactions'!E:E,B414)</f>
        <v>2330820</v>
      </c>
      <c r="F414" s="4">
        <f t="shared" si="6"/>
        <v>-2330820</v>
      </c>
    </row>
    <row r="415" spans="2:6" ht="15" customHeight="1">
      <c r="B415" s="3">
        <v>1116001</v>
      </c>
      <c r="C415" s="3" t="s">
        <v>128</v>
      </c>
      <c r="D415" s="4">
        <f>SUMIFS('GL-Transactions'!C:C,'GL-Transactions'!G:G,"Total",'GL-Transactions'!E:E,B415)</f>
        <v>139495</v>
      </c>
      <c r="E415" s="4">
        <f>SUMIFS('GL-Transactions'!B:B,'GL-Transactions'!G:G,"Total",'GL-Transactions'!E:E,B415)</f>
        <v>0</v>
      </c>
      <c r="F415" s="4">
        <f t="shared" si="6"/>
        <v>139495</v>
      </c>
    </row>
    <row r="416" spans="2:6" ht="15" customHeight="1">
      <c r="B416" s="3">
        <v>1115921</v>
      </c>
      <c r="C416" s="3" t="s">
        <v>127</v>
      </c>
      <c r="D416" s="4">
        <f>SUMIFS('GL-Transactions'!C:C,'GL-Transactions'!G:G,"Total",'GL-Transactions'!E:E,B416)</f>
        <v>4896024</v>
      </c>
      <c r="E416" s="4">
        <f>SUMIFS('GL-Transactions'!B:B,'GL-Transactions'!G:G,"Total",'GL-Transactions'!E:E,B416)</f>
        <v>4896024</v>
      </c>
      <c r="F416" s="4">
        <f t="shared" si="6"/>
        <v>0</v>
      </c>
    </row>
    <row r="417" spans="2:6" ht="15" customHeight="1">
      <c r="B417" s="3">
        <v>1115901</v>
      </c>
      <c r="C417" s="3" t="s">
        <v>126</v>
      </c>
      <c r="D417" s="4">
        <f>SUMIFS('GL-Transactions'!C:C,'GL-Transactions'!G:G,"Total",'GL-Transactions'!E:E,B417)</f>
        <v>87228</v>
      </c>
      <c r="E417" s="4">
        <f>SUMIFS('GL-Transactions'!B:B,'GL-Transactions'!G:G,"Total",'GL-Transactions'!E:E,B417)</f>
        <v>0</v>
      </c>
      <c r="F417" s="4">
        <f t="shared" si="6"/>
        <v>87228</v>
      </c>
    </row>
    <row r="418" spans="2:6" ht="15" customHeight="1">
      <c r="B418" s="3">
        <v>1115805</v>
      </c>
      <c r="C418" s="3" t="s">
        <v>125</v>
      </c>
      <c r="D418" s="4">
        <f>SUMIFS('GL-Transactions'!C:C,'GL-Transactions'!G:G,"Total",'GL-Transactions'!E:E,B418)</f>
        <v>388125</v>
      </c>
      <c r="E418" s="4">
        <f>SUMIFS('GL-Transactions'!B:B,'GL-Transactions'!G:G,"Total",'GL-Transactions'!E:E,B418)</f>
        <v>0</v>
      </c>
      <c r="F418" s="4">
        <f t="shared" si="6"/>
        <v>388125</v>
      </c>
    </row>
    <row r="419" spans="2:6" ht="15" customHeight="1">
      <c r="B419" s="3">
        <v>1115802</v>
      </c>
      <c r="C419" s="3" t="s">
        <v>124</v>
      </c>
      <c r="D419" s="4">
        <f>SUMIFS('GL-Transactions'!C:C,'GL-Transactions'!G:G,"Total",'GL-Transactions'!E:E,B419)</f>
        <v>883200</v>
      </c>
      <c r="E419" s="4">
        <f>SUMIFS('GL-Transactions'!B:B,'GL-Transactions'!G:G,"Total",'GL-Transactions'!E:E,B419)</f>
        <v>0</v>
      </c>
      <c r="F419" s="4">
        <f t="shared" si="6"/>
        <v>883200</v>
      </c>
    </row>
    <row r="420" spans="2:6" ht="15" customHeight="1">
      <c r="B420" s="3">
        <v>1115801</v>
      </c>
      <c r="C420" s="3" t="s">
        <v>123</v>
      </c>
      <c r="D420" s="4">
        <f>SUMIFS('GL-Transactions'!C:C,'GL-Transactions'!G:G,"Total",'GL-Transactions'!E:E,B420)</f>
        <v>348565</v>
      </c>
      <c r="E420" s="4">
        <f>SUMIFS('GL-Transactions'!B:B,'GL-Transactions'!G:G,"Total",'GL-Transactions'!E:E,B420)</f>
        <v>0</v>
      </c>
      <c r="F420" s="4">
        <f t="shared" si="6"/>
        <v>348565</v>
      </c>
    </row>
    <row r="421" spans="2:6" ht="15" customHeight="1">
      <c r="B421" s="3">
        <v>1115705</v>
      </c>
      <c r="C421" s="3" t="s">
        <v>122</v>
      </c>
      <c r="D421" s="4">
        <f>SUMIFS('GL-Transactions'!C:C,'GL-Transactions'!G:G,"Total",'GL-Transactions'!E:E,B421)</f>
        <v>280313</v>
      </c>
      <c r="E421" s="4">
        <f>SUMIFS('GL-Transactions'!B:B,'GL-Transactions'!G:G,"Total",'GL-Transactions'!E:E,B421)</f>
        <v>0</v>
      </c>
      <c r="F421" s="4">
        <f t="shared" si="6"/>
        <v>280313</v>
      </c>
    </row>
    <row r="422" spans="2:6" ht="15" customHeight="1">
      <c r="B422" s="3">
        <v>1115701</v>
      </c>
      <c r="C422" s="3" t="s">
        <v>121</v>
      </c>
      <c r="D422" s="4">
        <f>SUMIFS('GL-Transactions'!C:C,'GL-Transactions'!G:G,"Total",'GL-Transactions'!E:E,B422)</f>
        <v>139495</v>
      </c>
      <c r="E422" s="4">
        <f>SUMIFS('GL-Transactions'!B:B,'GL-Transactions'!G:G,"Total",'GL-Transactions'!E:E,B422)</f>
        <v>0</v>
      </c>
      <c r="F422" s="4">
        <f t="shared" si="6"/>
        <v>139495</v>
      </c>
    </row>
    <row r="423" spans="2:6" ht="15" customHeight="1">
      <c r="B423" s="3">
        <v>1115605</v>
      </c>
      <c r="C423" s="3" t="s">
        <v>120</v>
      </c>
      <c r="D423" s="4">
        <f>SUMIFS('GL-Transactions'!C:C,'GL-Transactions'!G:G,"Total",'GL-Transactions'!E:E,B423)</f>
        <v>215625</v>
      </c>
      <c r="E423" s="4">
        <f>SUMIFS('GL-Transactions'!B:B,'GL-Transactions'!G:G,"Total",'GL-Transactions'!E:E,B423)</f>
        <v>0</v>
      </c>
      <c r="F423" s="4">
        <f t="shared" si="6"/>
        <v>215625</v>
      </c>
    </row>
    <row r="424" spans="2:6" ht="15" customHeight="1">
      <c r="B424" s="3">
        <v>1115601</v>
      </c>
      <c r="C424" s="3" t="s">
        <v>119</v>
      </c>
      <c r="D424" s="4">
        <f>SUMIFS('GL-Transactions'!C:C,'GL-Transactions'!G:G,"Total",'GL-Transactions'!E:E,B424)</f>
        <v>69805</v>
      </c>
      <c r="E424" s="4">
        <f>SUMIFS('GL-Transactions'!B:B,'GL-Transactions'!G:G,"Total",'GL-Transactions'!E:E,B424)</f>
        <v>0</v>
      </c>
      <c r="F424" s="4">
        <f t="shared" si="6"/>
        <v>69805</v>
      </c>
    </row>
    <row r="425" spans="2:6" ht="15" customHeight="1">
      <c r="B425" s="3">
        <v>1115502</v>
      </c>
      <c r="C425" s="3" t="s">
        <v>118</v>
      </c>
      <c r="D425" s="4">
        <f>SUMIFS('GL-Transactions'!C:C,'GL-Transactions'!G:G,"Total",'GL-Transactions'!E:E,B425)</f>
        <v>345000</v>
      </c>
      <c r="E425" s="4">
        <f>SUMIFS('GL-Transactions'!B:B,'GL-Transactions'!G:G,"Total",'GL-Transactions'!E:E,B425)</f>
        <v>0</v>
      </c>
      <c r="F425" s="4">
        <f t="shared" si="6"/>
        <v>345000</v>
      </c>
    </row>
    <row r="426" spans="2:6" ht="15" customHeight="1">
      <c r="B426" s="3">
        <v>1115402</v>
      </c>
      <c r="C426" s="3" t="s">
        <v>117</v>
      </c>
      <c r="D426" s="4">
        <f>SUMIFS('GL-Transactions'!C:C,'GL-Transactions'!G:G,"Total",'GL-Transactions'!E:E,B426)</f>
        <v>3162</v>
      </c>
      <c r="E426" s="4">
        <f>SUMIFS('GL-Transactions'!B:B,'GL-Transactions'!G:G,"Total",'GL-Transactions'!E:E,B426)</f>
        <v>0</v>
      </c>
      <c r="F426" s="4">
        <f t="shared" si="6"/>
        <v>3162</v>
      </c>
    </row>
    <row r="427" spans="2:6" ht="15" customHeight="1">
      <c r="B427" s="3">
        <v>1115401</v>
      </c>
      <c r="C427" s="3" t="s">
        <v>116</v>
      </c>
      <c r="D427" s="4">
        <f>SUMIFS('GL-Transactions'!C:C,'GL-Transactions'!G:G,"Total",'GL-Transactions'!E:E,B427)</f>
        <v>139380</v>
      </c>
      <c r="E427" s="4">
        <f>SUMIFS('GL-Transactions'!B:B,'GL-Transactions'!G:G,"Total",'GL-Transactions'!E:E,B427)</f>
        <v>0</v>
      </c>
      <c r="F427" s="4">
        <f t="shared" si="6"/>
        <v>139380</v>
      </c>
    </row>
    <row r="428" spans="2:6" ht="15" customHeight="1">
      <c r="B428" s="3">
        <v>1115321</v>
      </c>
      <c r="C428" s="3" t="s">
        <v>115</v>
      </c>
      <c r="D428" s="4">
        <f>SUMIFS('GL-Transactions'!C:C,'GL-Transactions'!G:G,"Total",'GL-Transactions'!E:E,B428)</f>
        <v>0</v>
      </c>
      <c r="E428" s="4">
        <f>SUMIFS('GL-Transactions'!B:B,'GL-Transactions'!G:G,"Total",'GL-Transactions'!E:E,B428)</f>
        <v>15848043</v>
      </c>
      <c r="F428" s="4">
        <f t="shared" si="6"/>
        <v>-15848043</v>
      </c>
    </row>
    <row r="429" spans="2:6" ht="15" customHeight="1">
      <c r="B429" s="3">
        <v>1115302</v>
      </c>
      <c r="C429" s="3" t="s">
        <v>114</v>
      </c>
      <c r="D429" s="4">
        <f>SUMIFS('GL-Transactions'!C:C,'GL-Transactions'!G:G,"Total",'GL-Transactions'!E:E,B429)</f>
        <v>211945</v>
      </c>
      <c r="E429" s="4">
        <f>SUMIFS('GL-Transactions'!B:B,'GL-Transactions'!G:G,"Total",'GL-Transactions'!E:E,B429)</f>
        <v>0</v>
      </c>
      <c r="F429" s="4">
        <f t="shared" si="6"/>
        <v>211945</v>
      </c>
    </row>
    <row r="430" spans="2:6" ht="15" customHeight="1">
      <c r="B430" s="3">
        <v>1115301</v>
      </c>
      <c r="C430" s="3" t="s">
        <v>113</v>
      </c>
      <c r="D430" s="4">
        <f>SUMIFS('GL-Transactions'!C:C,'GL-Transactions'!G:G,"Total",'GL-Transactions'!E:E,B430)</f>
        <v>104650</v>
      </c>
      <c r="E430" s="4">
        <f>SUMIFS('GL-Transactions'!B:B,'GL-Transactions'!G:G,"Total",'GL-Transactions'!E:E,B430)</f>
        <v>0</v>
      </c>
      <c r="F430" s="4">
        <f t="shared" si="6"/>
        <v>104650</v>
      </c>
    </row>
    <row r="431" spans="2:6" ht="15" customHeight="1">
      <c r="B431" s="3">
        <v>1115221</v>
      </c>
      <c r="C431" s="3" t="s">
        <v>112</v>
      </c>
      <c r="D431" s="4">
        <f>SUMIFS('GL-Transactions'!C:C,'GL-Transactions'!G:G,"Total",'GL-Transactions'!E:E,B431)</f>
        <v>0</v>
      </c>
      <c r="E431" s="4">
        <f>SUMIFS('GL-Transactions'!B:B,'GL-Transactions'!G:G,"Total",'GL-Transactions'!E:E,B431)</f>
        <v>2865936</v>
      </c>
      <c r="F431" s="4">
        <f t="shared" si="6"/>
        <v>-2865936</v>
      </c>
    </row>
    <row r="432" spans="2:6" ht="15" customHeight="1">
      <c r="B432" s="3">
        <v>1115202</v>
      </c>
      <c r="C432" s="3" t="s">
        <v>111</v>
      </c>
      <c r="D432" s="4">
        <f>SUMIFS('GL-Transactions'!C:C,'GL-Transactions'!G:G,"Total",'GL-Transactions'!E:E,B432)</f>
        <v>63710</v>
      </c>
      <c r="E432" s="4">
        <f>SUMIFS('GL-Transactions'!B:B,'GL-Transactions'!G:G,"Total",'GL-Transactions'!E:E,B432)</f>
        <v>0</v>
      </c>
      <c r="F432" s="4">
        <f t="shared" si="6"/>
        <v>63710</v>
      </c>
    </row>
    <row r="433" spans="2:6" ht="15" customHeight="1">
      <c r="B433" s="3">
        <v>1115201</v>
      </c>
      <c r="C433" s="3" t="s">
        <v>110</v>
      </c>
      <c r="D433" s="4">
        <f>SUMIFS('GL-Transactions'!C:C,'GL-Transactions'!G:G,"Total",'GL-Transactions'!E:E,B433)</f>
        <v>270164</v>
      </c>
      <c r="E433" s="4">
        <f>SUMIFS('GL-Transactions'!B:B,'GL-Transactions'!G:G,"Total",'GL-Transactions'!E:E,B433)</f>
        <v>0</v>
      </c>
      <c r="F433" s="4">
        <f t="shared" si="6"/>
        <v>270164</v>
      </c>
    </row>
    <row r="434" spans="2:6" ht="15" customHeight="1">
      <c r="B434" s="3">
        <v>1115121</v>
      </c>
      <c r="C434" s="3" t="s">
        <v>109</v>
      </c>
      <c r="D434" s="4">
        <f>SUMIFS('GL-Transactions'!C:C,'GL-Transactions'!G:G,"Total",'GL-Transactions'!E:E,B434)</f>
        <v>1439464</v>
      </c>
      <c r="E434" s="4">
        <f>SUMIFS('GL-Transactions'!B:B,'GL-Transactions'!G:G,"Total",'GL-Transactions'!E:E,B434)</f>
        <v>1439464</v>
      </c>
      <c r="F434" s="4">
        <f t="shared" si="6"/>
        <v>0</v>
      </c>
    </row>
    <row r="435" spans="2:6" ht="15" customHeight="1">
      <c r="B435" s="3">
        <v>1115021</v>
      </c>
      <c r="C435" s="3" t="s">
        <v>108</v>
      </c>
      <c r="D435" s="4">
        <f>SUMIFS('GL-Transactions'!C:C,'GL-Transactions'!G:G,"Total",'GL-Transactions'!E:E,B435)</f>
        <v>0</v>
      </c>
      <c r="E435" s="4">
        <f>SUMIFS('GL-Transactions'!B:B,'GL-Transactions'!G:G,"Total",'GL-Transactions'!E:E,B435)</f>
        <v>1754670</v>
      </c>
      <c r="F435" s="4">
        <f t="shared" si="6"/>
        <v>-1754670</v>
      </c>
    </row>
    <row r="436" spans="2:6" ht="15" customHeight="1">
      <c r="B436" s="3">
        <v>1115002</v>
      </c>
      <c r="C436" s="3" t="s">
        <v>107</v>
      </c>
      <c r="D436" s="4">
        <f>SUMIFS('GL-Transactions'!C:C,'GL-Transactions'!G:G,"Total",'GL-Transactions'!E:E,B436)</f>
        <v>190670</v>
      </c>
      <c r="E436" s="4">
        <f>SUMIFS('GL-Transactions'!B:B,'GL-Transactions'!G:G,"Total",'GL-Transactions'!E:E,B436)</f>
        <v>0</v>
      </c>
      <c r="F436" s="4">
        <f t="shared" si="6"/>
        <v>190670</v>
      </c>
    </row>
    <row r="437" spans="2:6" ht="15" customHeight="1">
      <c r="B437" s="3">
        <v>1115001</v>
      </c>
      <c r="C437" s="3" t="s">
        <v>106</v>
      </c>
      <c r="D437" s="4">
        <f>SUMIFS('GL-Transactions'!C:C,'GL-Transactions'!G:G,"Total",'GL-Transactions'!E:E,B437)</f>
        <v>278875</v>
      </c>
      <c r="E437" s="4">
        <f>SUMIFS('GL-Transactions'!B:B,'GL-Transactions'!G:G,"Total",'GL-Transactions'!E:E,B437)</f>
        <v>0</v>
      </c>
      <c r="F437" s="4">
        <f t="shared" si="6"/>
        <v>278875</v>
      </c>
    </row>
    <row r="438" spans="2:6" ht="15" customHeight="1">
      <c r="B438" s="3">
        <v>1114921</v>
      </c>
      <c r="C438" s="3" t="s">
        <v>105</v>
      </c>
      <c r="D438" s="4">
        <f>SUMIFS('GL-Transactions'!C:C,'GL-Transactions'!G:G,"Total",'GL-Transactions'!E:E,B438)</f>
        <v>0</v>
      </c>
      <c r="E438" s="4">
        <f>SUMIFS('GL-Transactions'!B:B,'GL-Transactions'!G:G,"Total",'GL-Transactions'!E:E,B438)</f>
        <v>1511790</v>
      </c>
      <c r="F438" s="4">
        <f t="shared" si="6"/>
        <v>-1511790</v>
      </c>
    </row>
    <row r="439" spans="2:6" ht="15" customHeight="1">
      <c r="B439" s="3">
        <v>1114905</v>
      </c>
      <c r="C439" s="3" t="s">
        <v>104</v>
      </c>
      <c r="D439" s="4">
        <f>SUMIFS('GL-Transactions'!C:C,'GL-Transactions'!G:G,"Total",'GL-Transactions'!E:E,B439)</f>
        <v>322000</v>
      </c>
      <c r="E439" s="4">
        <f>SUMIFS('GL-Transactions'!B:B,'GL-Transactions'!G:G,"Total",'GL-Transactions'!E:E,B439)</f>
        <v>0</v>
      </c>
      <c r="F439" s="4">
        <f t="shared" si="6"/>
        <v>322000</v>
      </c>
    </row>
    <row r="440" spans="2:6" ht="15" customHeight="1">
      <c r="B440" s="3">
        <v>1114821</v>
      </c>
      <c r="C440" s="3" t="s">
        <v>103</v>
      </c>
      <c r="D440" s="4">
        <f>SUMIFS('GL-Transactions'!C:C,'GL-Transactions'!G:G,"Total",'GL-Transactions'!E:E,B440)</f>
        <v>0</v>
      </c>
      <c r="E440" s="4">
        <f>SUMIFS('GL-Transactions'!B:B,'GL-Transactions'!G:G,"Total",'GL-Transactions'!E:E,B440)</f>
        <v>2134891</v>
      </c>
      <c r="F440" s="4">
        <f t="shared" si="6"/>
        <v>-2134891</v>
      </c>
    </row>
    <row r="441" spans="2:6" ht="15" customHeight="1">
      <c r="B441" s="3">
        <v>1114802</v>
      </c>
      <c r="C441" s="3" t="s">
        <v>102</v>
      </c>
      <c r="D441" s="4">
        <f>SUMIFS('GL-Transactions'!C:C,'GL-Transactions'!G:G,"Total",'GL-Transactions'!E:E,B441)</f>
        <v>103500</v>
      </c>
      <c r="E441" s="4">
        <f>SUMIFS('GL-Transactions'!B:B,'GL-Transactions'!G:G,"Total",'GL-Transactions'!E:E,B441)</f>
        <v>0</v>
      </c>
      <c r="F441" s="4">
        <f t="shared" si="6"/>
        <v>103500</v>
      </c>
    </row>
    <row r="442" spans="2:6" ht="15" customHeight="1">
      <c r="B442" s="3">
        <v>1114801</v>
      </c>
      <c r="C442" s="3" t="s">
        <v>101</v>
      </c>
      <c r="D442" s="4">
        <f>SUMIFS('GL-Transactions'!C:C,'GL-Transactions'!G:G,"Total",'GL-Transactions'!E:E,B442)</f>
        <v>69748</v>
      </c>
      <c r="E442" s="4">
        <f>SUMIFS('GL-Transactions'!B:B,'GL-Transactions'!G:G,"Total",'GL-Transactions'!E:E,B442)</f>
        <v>0</v>
      </c>
      <c r="F442" s="4">
        <f t="shared" si="6"/>
        <v>69748</v>
      </c>
    </row>
    <row r="443" spans="2:6" ht="15" customHeight="1">
      <c r="B443" s="3">
        <v>1114721</v>
      </c>
      <c r="C443" s="3" t="s">
        <v>100</v>
      </c>
      <c r="D443" s="4">
        <f>SUMIFS('GL-Transactions'!C:C,'GL-Transactions'!G:G,"Total",'GL-Transactions'!E:E,B443)</f>
        <v>0</v>
      </c>
      <c r="E443" s="4">
        <f>SUMIFS('GL-Transactions'!B:B,'GL-Transactions'!G:G,"Total",'GL-Transactions'!E:E,B443)</f>
        <v>3515410</v>
      </c>
      <c r="F443" s="4">
        <f t="shared" si="6"/>
        <v>-3515410</v>
      </c>
    </row>
    <row r="444" spans="2:6" ht="15" customHeight="1">
      <c r="B444" s="3">
        <v>1114705</v>
      </c>
      <c r="C444" s="3" t="s">
        <v>99</v>
      </c>
      <c r="D444" s="4">
        <f>SUMIFS('GL-Transactions'!C:C,'GL-Transactions'!G:G,"Total",'GL-Transactions'!E:E,B444)</f>
        <v>1724062</v>
      </c>
      <c r="E444" s="4">
        <f>SUMIFS('GL-Transactions'!B:B,'GL-Transactions'!G:G,"Total",'GL-Transactions'!E:E,B444)</f>
        <v>0</v>
      </c>
      <c r="F444" s="4">
        <f t="shared" si="6"/>
        <v>1724062</v>
      </c>
    </row>
    <row r="445" spans="2:6" ht="15" customHeight="1">
      <c r="B445" s="3">
        <v>1114702</v>
      </c>
      <c r="C445" s="3" t="s">
        <v>98</v>
      </c>
      <c r="D445" s="4">
        <f>SUMIFS('GL-Transactions'!C:C,'GL-Transactions'!G:G,"Total",'GL-Transactions'!E:E,B445)</f>
        <v>103500</v>
      </c>
      <c r="E445" s="4">
        <f>SUMIFS('GL-Transactions'!B:B,'GL-Transactions'!G:G,"Total",'GL-Transactions'!E:E,B445)</f>
        <v>0</v>
      </c>
      <c r="F445" s="4">
        <f t="shared" si="6"/>
        <v>103500</v>
      </c>
    </row>
    <row r="446" spans="2:6" ht="15" customHeight="1">
      <c r="B446" s="3">
        <v>1114701</v>
      </c>
      <c r="C446" s="3" t="s">
        <v>97</v>
      </c>
      <c r="D446" s="4">
        <f>SUMIFS('GL-Transactions'!C:C,'GL-Transactions'!G:G,"Total",'GL-Transactions'!E:E,B446)</f>
        <v>69748</v>
      </c>
      <c r="E446" s="4">
        <f>SUMIFS('GL-Transactions'!B:B,'GL-Transactions'!G:G,"Total",'GL-Transactions'!E:E,B446)</f>
        <v>0</v>
      </c>
      <c r="F446" s="4">
        <f t="shared" si="6"/>
        <v>69748</v>
      </c>
    </row>
    <row r="447" spans="2:6" ht="15" customHeight="1">
      <c r="B447" s="3">
        <v>1114601</v>
      </c>
      <c r="C447" s="3" t="s">
        <v>96</v>
      </c>
      <c r="D447" s="4">
        <f>SUMIFS('GL-Transactions'!C:C,'GL-Transactions'!G:G,"Total",'GL-Transactions'!E:E,B447)</f>
        <v>209185</v>
      </c>
      <c r="E447" s="4">
        <f>SUMIFS('GL-Transactions'!B:B,'GL-Transactions'!G:G,"Total",'GL-Transactions'!E:E,B447)</f>
        <v>0</v>
      </c>
      <c r="F447" s="4">
        <f t="shared" si="6"/>
        <v>209185</v>
      </c>
    </row>
    <row r="448" spans="2:6" ht="15" customHeight="1">
      <c r="B448" s="3">
        <v>1114521</v>
      </c>
      <c r="C448" s="3" t="s">
        <v>95</v>
      </c>
      <c r="D448" s="4">
        <f>SUMIFS('GL-Transactions'!C:C,'GL-Transactions'!G:G,"Total",'GL-Transactions'!E:E,B448)</f>
        <v>0</v>
      </c>
      <c r="E448" s="4">
        <f>SUMIFS('GL-Transactions'!B:B,'GL-Transactions'!G:G,"Total",'GL-Transactions'!E:E,B448)</f>
        <v>1746267</v>
      </c>
      <c r="F448" s="4">
        <f t="shared" si="6"/>
        <v>-1746267</v>
      </c>
    </row>
    <row r="449" spans="2:6" ht="15" customHeight="1">
      <c r="B449" s="3">
        <v>1114502</v>
      </c>
      <c r="C449" s="3" t="s">
        <v>94</v>
      </c>
      <c r="D449" s="4">
        <f>SUMIFS('GL-Transactions'!C:C,'GL-Transactions'!G:G,"Total",'GL-Transactions'!E:E,B449)</f>
        <v>26152</v>
      </c>
      <c r="E449" s="4">
        <f>SUMIFS('GL-Transactions'!B:B,'GL-Transactions'!G:G,"Total",'GL-Transactions'!E:E,B449)</f>
        <v>0</v>
      </c>
      <c r="F449" s="4">
        <f t="shared" si="6"/>
        <v>26152</v>
      </c>
    </row>
    <row r="450" spans="2:6" ht="15" customHeight="1">
      <c r="B450" s="3">
        <v>1114501</v>
      </c>
      <c r="C450" s="3" t="s">
        <v>93</v>
      </c>
      <c r="D450" s="4">
        <f>SUMIFS('GL-Transactions'!C:C,'GL-Transactions'!G:G,"Total",'GL-Transactions'!E:E,B450)</f>
        <v>191685</v>
      </c>
      <c r="E450" s="4">
        <f>SUMIFS('GL-Transactions'!B:B,'GL-Transactions'!G:G,"Total",'GL-Transactions'!E:E,B450)</f>
        <v>0</v>
      </c>
      <c r="F450" s="4">
        <f t="shared" si="6"/>
        <v>191685</v>
      </c>
    </row>
    <row r="451" spans="2:6" ht="15" customHeight="1">
      <c r="B451" s="3">
        <v>1114421</v>
      </c>
      <c r="C451" s="3" t="s">
        <v>92</v>
      </c>
      <c r="D451" s="4">
        <f>SUMIFS('GL-Transactions'!C:C,'GL-Transactions'!G:G,"Total",'GL-Transactions'!E:E,B451)</f>
        <v>0</v>
      </c>
      <c r="E451" s="4">
        <f>SUMIFS('GL-Transactions'!B:B,'GL-Transactions'!G:G,"Total",'GL-Transactions'!E:E,B451)</f>
        <v>4459360</v>
      </c>
      <c r="F451" s="4">
        <f t="shared" si="6"/>
        <v>-4459360</v>
      </c>
    </row>
    <row r="452" spans="2:6" ht="15" customHeight="1">
      <c r="B452" s="3">
        <v>1114405</v>
      </c>
      <c r="C452" s="3" t="s">
        <v>91</v>
      </c>
      <c r="D452" s="4">
        <f>SUMIFS('GL-Transactions'!C:C,'GL-Transactions'!G:G,"Total",'GL-Transactions'!E:E,B452)</f>
        <v>64687</v>
      </c>
      <c r="E452" s="4">
        <f>SUMIFS('GL-Transactions'!B:B,'GL-Transactions'!G:G,"Total",'GL-Transactions'!E:E,B452)</f>
        <v>0</v>
      </c>
      <c r="F452" s="4">
        <f t="shared" si="6"/>
        <v>64687</v>
      </c>
    </row>
    <row r="453" spans="2:6" ht="15" customHeight="1">
      <c r="B453" s="3">
        <v>1114401</v>
      </c>
      <c r="C453" s="3" t="s">
        <v>90</v>
      </c>
      <c r="D453" s="4">
        <f>SUMIFS('GL-Transactions'!C:C,'GL-Transactions'!G:G,"Total",'GL-Transactions'!E:E,B453)</f>
        <v>34960</v>
      </c>
      <c r="E453" s="4">
        <f>SUMIFS('GL-Transactions'!B:B,'GL-Transactions'!G:G,"Total",'GL-Transactions'!E:E,B453)</f>
        <v>0</v>
      </c>
      <c r="F453" s="4">
        <f t="shared" ref="F453:F516" si="7">D453-E453</f>
        <v>34960</v>
      </c>
    </row>
    <row r="454" spans="2:6" ht="15" customHeight="1">
      <c r="B454" s="3">
        <v>1114321</v>
      </c>
      <c r="C454" s="3" t="s">
        <v>89</v>
      </c>
      <c r="D454" s="4">
        <f>SUMIFS('GL-Transactions'!C:C,'GL-Transactions'!G:G,"Total",'GL-Transactions'!E:E,B454)</f>
        <v>0</v>
      </c>
      <c r="E454" s="4">
        <f>SUMIFS('GL-Transactions'!B:B,'GL-Transactions'!G:G,"Total",'GL-Transactions'!E:E,B454)</f>
        <v>2025962</v>
      </c>
      <c r="F454" s="4">
        <f t="shared" si="7"/>
        <v>-2025962</v>
      </c>
    </row>
    <row r="455" spans="2:6" ht="15" customHeight="1">
      <c r="B455" s="3">
        <v>1114301</v>
      </c>
      <c r="C455" s="3" t="s">
        <v>88</v>
      </c>
      <c r="D455" s="4">
        <f>SUMIFS('GL-Transactions'!C:C,'GL-Transactions'!G:G,"Total",'GL-Transactions'!E:E,B455)</f>
        <v>244145</v>
      </c>
      <c r="E455" s="4">
        <f>SUMIFS('GL-Transactions'!B:B,'GL-Transactions'!G:G,"Total",'GL-Transactions'!E:E,B455)</f>
        <v>0</v>
      </c>
      <c r="F455" s="4">
        <f t="shared" si="7"/>
        <v>244145</v>
      </c>
    </row>
    <row r="456" spans="2:6" ht="15" customHeight="1">
      <c r="B456" s="3">
        <v>1114205</v>
      </c>
      <c r="C456" s="3" t="s">
        <v>87</v>
      </c>
      <c r="D456" s="4">
        <f>SUMIFS('GL-Transactions'!C:C,'GL-Transactions'!G:G,"Total",'GL-Transactions'!E:E,B456)</f>
        <v>258750</v>
      </c>
      <c r="E456" s="4">
        <f>SUMIFS('GL-Transactions'!B:B,'GL-Transactions'!G:G,"Total",'GL-Transactions'!E:E,B456)</f>
        <v>0</v>
      </c>
      <c r="F456" s="4">
        <f t="shared" si="7"/>
        <v>258750</v>
      </c>
    </row>
    <row r="457" spans="2:6" ht="15" customHeight="1">
      <c r="B457" s="3">
        <v>1114121</v>
      </c>
      <c r="C457" s="3" t="s">
        <v>86</v>
      </c>
      <c r="D457" s="4">
        <f>SUMIFS('GL-Transactions'!C:C,'GL-Transactions'!G:G,"Total",'GL-Transactions'!E:E,B457)</f>
        <v>0</v>
      </c>
      <c r="E457" s="4">
        <f>SUMIFS('GL-Transactions'!B:B,'GL-Transactions'!G:G,"Total",'GL-Transactions'!E:E,B457)</f>
        <v>1526933</v>
      </c>
      <c r="F457" s="4">
        <f t="shared" si="7"/>
        <v>-1526933</v>
      </c>
    </row>
    <row r="458" spans="2:6" ht="15" customHeight="1">
      <c r="B458" s="3">
        <v>1114101</v>
      </c>
      <c r="C458" s="3" t="s">
        <v>85</v>
      </c>
      <c r="D458" s="4">
        <f>SUMIFS('GL-Transactions'!C:C,'GL-Transactions'!G:G,"Total",'GL-Transactions'!E:E,B458)</f>
        <v>104650</v>
      </c>
      <c r="E458" s="4">
        <f>SUMIFS('GL-Transactions'!B:B,'GL-Transactions'!G:G,"Total",'GL-Transactions'!E:E,B458)</f>
        <v>0</v>
      </c>
      <c r="F458" s="4">
        <f t="shared" si="7"/>
        <v>104650</v>
      </c>
    </row>
    <row r="459" spans="2:6" ht="15" customHeight="1">
      <c r="B459" s="3">
        <v>1114021</v>
      </c>
      <c r="C459" s="3" t="s">
        <v>84</v>
      </c>
      <c r="D459" s="4">
        <f>SUMIFS('GL-Transactions'!C:C,'GL-Transactions'!G:G,"Total",'GL-Transactions'!E:E,B459)</f>
        <v>1929914</v>
      </c>
      <c r="E459" s="4">
        <f>SUMIFS('GL-Transactions'!B:B,'GL-Transactions'!G:G,"Total",'GL-Transactions'!E:E,B459)</f>
        <v>1929914</v>
      </c>
      <c r="F459" s="4">
        <f t="shared" si="7"/>
        <v>0</v>
      </c>
    </row>
    <row r="460" spans="2:6" ht="15" customHeight="1">
      <c r="B460" s="3">
        <v>1113921</v>
      </c>
      <c r="C460" s="3" t="s">
        <v>83</v>
      </c>
      <c r="D460" s="4">
        <f>SUMIFS('GL-Transactions'!C:C,'GL-Transactions'!G:G,"Total",'GL-Transactions'!E:E,B460)</f>
        <v>0</v>
      </c>
      <c r="E460" s="4">
        <f>SUMIFS('GL-Transactions'!B:B,'GL-Transactions'!G:G,"Total",'GL-Transactions'!E:E,B460)</f>
        <v>2278404</v>
      </c>
      <c r="F460" s="4">
        <f t="shared" si="7"/>
        <v>-2278404</v>
      </c>
    </row>
    <row r="461" spans="2:6" ht="15" customHeight="1">
      <c r="B461" s="3">
        <v>1113901</v>
      </c>
      <c r="C461" s="3" t="s">
        <v>82</v>
      </c>
      <c r="D461" s="4">
        <f>SUMIFS('GL-Transactions'!C:C,'GL-Transactions'!G:G,"Total",'GL-Transactions'!E:E,B461)</f>
        <v>156918</v>
      </c>
      <c r="E461" s="4">
        <f>SUMIFS('GL-Transactions'!B:B,'GL-Transactions'!G:G,"Total",'GL-Transactions'!E:E,B461)</f>
        <v>0</v>
      </c>
      <c r="F461" s="4">
        <f t="shared" si="7"/>
        <v>156918</v>
      </c>
    </row>
    <row r="462" spans="2:6" ht="15" customHeight="1">
      <c r="B462" s="3">
        <v>1113821</v>
      </c>
      <c r="C462" s="3" t="s">
        <v>81</v>
      </c>
      <c r="D462" s="4">
        <f>SUMIFS('GL-Transactions'!C:C,'GL-Transactions'!G:G,"Total",'GL-Transactions'!E:E,B462)</f>
        <v>0</v>
      </c>
      <c r="E462" s="4">
        <f>SUMIFS('GL-Transactions'!B:B,'GL-Transactions'!G:G,"Total",'GL-Transactions'!E:E,B462)</f>
        <v>2147431</v>
      </c>
      <c r="F462" s="4">
        <f t="shared" si="7"/>
        <v>-2147431</v>
      </c>
    </row>
    <row r="463" spans="2:6" ht="15" customHeight="1">
      <c r="B463" s="3">
        <v>1113801</v>
      </c>
      <c r="C463" s="3" t="s">
        <v>80</v>
      </c>
      <c r="D463" s="4">
        <f>SUMIFS('GL-Transactions'!C:C,'GL-Transactions'!G:G,"Total",'GL-Transactions'!E:E,B463)</f>
        <v>156918</v>
      </c>
      <c r="E463" s="4">
        <f>SUMIFS('GL-Transactions'!B:B,'GL-Transactions'!G:G,"Total",'GL-Transactions'!E:E,B463)</f>
        <v>0</v>
      </c>
      <c r="F463" s="4">
        <f t="shared" si="7"/>
        <v>156918</v>
      </c>
    </row>
    <row r="464" spans="2:6" ht="15" customHeight="1">
      <c r="B464" s="3">
        <v>1113721</v>
      </c>
      <c r="C464" s="3" t="s">
        <v>79</v>
      </c>
      <c r="D464" s="4">
        <f>SUMIFS('GL-Transactions'!C:C,'GL-Transactions'!G:G,"Total",'GL-Transactions'!E:E,B464)</f>
        <v>0</v>
      </c>
      <c r="E464" s="4">
        <f>SUMIFS('GL-Transactions'!B:B,'GL-Transactions'!G:G,"Total",'GL-Transactions'!E:E,B464)</f>
        <v>1561065</v>
      </c>
      <c r="F464" s="4">
        <f t="shared" si="7"/>
        <v>-1561065</v>
      </c>
    </row>
    <row r="465" spans="2:6" ht="15" customHeight="1">
      <c r="B465" s="3">
        <v>1113701</v>
      </c>
      <c r="C465" s="3" t="s">
        <v>78</v>
      </c>
      <c r="D465" s="4">
        <f>SUMIFS('GL-Transactions'!C:C,'GL-Transactions'!G:G,"Total",'GL-Transactions'!E:E,B465)</f>
        <v>104592</v>
      </c>
      <c r="E465" s="4">
        <f>SUMIFS('GL-Transactions'!B:B,'GL-Transactions'!G:G,"Total",'GL-Transactions'!E:E,B465)</f>
        <v>0</v>
      </c>
      <c r="F465" s="4">
        <f t="shared" si="7"/>
        <v>104592</v>
      </c>
    </row>
    <row r="466" spans="2:6" ht="15" customHeight="1">
      <c r="B466" s="3">
        <v>1113621</v>
      </c>
      <c r="C466" s="3" t="s">
        <v>77</v>
      </c>
      <c r="D466" s="4">
        <f>SUMIFS('GL-Transactions'!C:C,'GL-Transactions'!G:G,"Total",'GL-Transactions'!E:E,B466)</f>
        <v>0</v>
      </c>
      <c r="E466" s="4">
        <f>SUMIFS('GL-Transactions'!B:B,'GL-Transactions'!G:G,"Total",'GL-Transactions'!E:E,B466)</f>
        <v>1561065</v>
      </c>
      <c r="F466" s="4">
        <f t="shared" si="7"/>
        <v>-1561065</v>
      </c>
    </row>
    <row r="467" spans="2:6" ht="15" customHeight="1">
      <c r="B467" s="3">
        <v>1113601</v>
      </c>
      <c r="C467" s="3" t="s">
        <v>76</v>
      </c>
      <c r="D467" s="4">
        <f>SUMIFS('GL-Transactions'!C:C,'GL-Transactions'!G:G,"Total",'GL-Transactions'!E:E,B467)</f>
        <v>104592</v>
      </c>
      <c r="E467" s="4">
        <f>SUMIFS('GL-Transactions'!B:B,'GL-Transactions'!G:G,"Total",'GL-Transactions'!E:E,B467)</f>
        <v>0</v>
      </c>
      <c r="F467" s="4">
        <f t="shared" si="7"/>
        <v>104592</v>
      </c>
    </row>
    <row r="468" spans="2:6" ht="15" customHeight="1">
      <c r="B468" s="3">
        <v>1113521</v>
      </c>
      <c r="C468" s="3" t="s">
        <v>69</v>
      </c>
      <c r="D468" s="4">
        <f>SUMIFS('GL-Transactions'!C:C,'GL-Transactions'!G:G,"Total",'GL-Transactions'!E:E,B468)</f>
        <v>0</v>
      </c>
      <c r="E468" s="4">
        <f>SUMIFS('GL-Transactions'!B:B,'GL-Transactions'!G:G,"Total",'GL-Transactions'!E:E,B468)</f>
        <v>1328733</v>
      </c>
      <c r="F468" s="4">
        <f t="shared" si="7"/>
        <v>-1328733</v>
      </c>
    </row>
    <row r="469" spans="2:6" ht="15" customHeight="1">
      <c r="B469" s="3">
        <v>1113421</v>
      </c>
      <c r="C469" s="3" t="s">
        <v>75</v>
      </c>
      <c r="D469" s="4">
        <f>SUMIFS('GL-Transactions'!C:C,'GL-Transactions'!G:G,"Total",'GL-Transactions'!E:E,B469)</f>
        <v>0</v>
      </c>
      <c r="E469" s="4">
        <f>SUMIFS('GL-Transactions'!B:B,'GL-Transactions'!G:G,"Total",'GL-Transactions'!E:E,B469)</f>
        <v>1887488</v>
      </c>
      <c r="F469" s="4">
        <f t="shared" si="7"/>
        <v>-1887488</v>
      </c>
    </row>
    <row r="470" spans="2:6" ht="15" customHeight="1">
      <c r="B470" s="3">
        <v>1113405</v>
      </c>
      <c r="C470" s="3" t="s">
        <v>74</v>
      </c>
      <c r="D470" s="4">
        <f>SUMIFS('GL-Transactions'!C:C,'GL-Transactions'!G:G,"Total",'GL-Transactions'!E:E,B470)</f>
        <v>280313</v>
      </c>
      <c r="E470" s="4">
        <f>SUMIFS('GL-Transactions'!B:B,'GL-Transactions'!G:G,"Total",'GL-Transactions'!E:E,B470)</f>
        <v>0</v>
      </c>
      <c r="F470" s="4">
        <f t="shared" si="7"/>
        <v>280313</v>
      </c>
    </row>
    <row r="471" spans="2:6" ht="15" customHeight="1">
      <c r="B471" s="3">
        <v>1113401</v>
      </c>
      <c r="C471" s="3" t="s">
        <v>73</v>
      </c>
      <c r="D471" s="4">
        <f>SUMIFS('GL-Transactions'!C:C,'GL-Transactions'!G:G,"Total",'GL-Transactions'!E:E,B471)</f>
        <v>130956</v>
      </c>
      <c r="E471" s="4">
        <f>SUMIFS('GL-Transactions'!B:B,'GL-Transactions'!G:G,"Total",'GL-Transactions'!E:E,B471)</f>
        <v>0</v>
      </c>
      <c r="F471" s="4">
        <f t="shared" si="7"/>
        <v>130956</v>
      </c>
    </row>
    <row r="472" spans="2:6" ht="15" customHeight="1">
      <c r="B472" s="3">
        <v>1113321</v>
      </c>
      <c r="C472" s="3" t="s">
        <v>72</v>
      </c>
      <c r="D472" s="4">
        <f>SUMIFS('GL-Transactions'!C:C,'GL-Transactions'!G:G,"Total",'GL-Transactions'!E:E,B472)</f>
        <v>0</v>
      </c>
      <c r="E472" s="4">
        <f>SUMIFS('GL-Transactions'!B:B,'GL-Transactions'!G:G,"Total",'GL-Transactions'!E:E,B472)</f>
        <v>2775692</v>
      </c>
      <c r="F472" s="4">
        <f t="shared" si="7"/>
        <v>-2775692</v>
      </c>
    </row>
    <row r="473" spans="2:6" ht="15" customHeight="1">
      <c r="B473" s="3">
        <v>1113305</v>
      </c>
      <c r="C473" s="3" t="s">
        <v>71</v>
      </c>
      <c r="D473" s="4">
        <f>SUMIFS('GL-Transactions'!C:C,'GL-Transactions'!G:G,"Total",'GL-Transactions'!E:E,B473)</f>
        <v>86250</v>
      </c>
      <c r="E473" s="4">
        <f>SUMIFS('GL-Transactions'!B:B,'GL-Transactions'!G:G,"Total",'GL-Transactions'!E:E,B473)</f>
        <v>0</v>
      </c>
      <c r="F473" s="4">
        <f t="shared" si="7"/>
        <v>86250</v>
      </c>
    </row>
    <row r="474" spans="2:6" ht="15" customHeight="1">
      <c r="B474" s="3">
        <v>1113301</v>
      </c>
      <c r="C474" s="3" t="s">
        <v>70</v>
      </c>
      <c r="D474" s="4">
        <f>SUMIFS('GL-Transactions'!C:C,'GL-Transactions'!G:G,"Total",'GL-Transactions'!E:E,B474)</f>
        <v>148264</v>
      </c>
      <c r="E474" s="4">
        <f>SUMIFS('GL-Transactions'!B:B,'GL-Transactions'!G:G,"Total",'GL-Transactions'!E:E,B474)</f>
        <v>0</v>
      </c>
      <c r="F474" s="4">
        <f t="shared" si="7"/>
        <v>148264</v>
      </c>
    </row>
    <row r="475" spans="2:6" ht="15" customHeight="1">
      <c r="B475" s="3">
        <v>1113221</v>
      </c>
      <c r="C475" s="3" t="s">
        <v>69</v>
      </c>
      <c r="D475" s="4">
        <f>SUMIFS('GL-Transactions'!C:C,'GL-Transactions'!G:G,"Total",'GL-Transactions'!E:E,B475)</f>
        <v>0</v>
      </c>
      <c r="E475" s="4">
        <f>SUMIFS('GL-Transactions'!B:B,'GL-Transactions'!G:G,"Total",'GL-Transactions'!E:E,B475)</f>
        <v>4206160</v>
      </c>
      <c r="F475" s="4">
        <f t="shared" si="7"/>
        <v>-4206160</v>
      </c>
    </row>
    <row r="476" spans="2:6" ht="15" customHeight="1">
      <c r="B476" s="3">
        <v>1113205</v>
      </c>
      <c r="C476" s="3" t="s">
        <v>68</v>
      </c>
      <c r="D476" s="4">
        <f>SUMIFS('GL-Transactions'!C:C,'GL-Transactions'!G:G,"Total",'GL-Transactions'!E:E,B476)</f>
        <v>280313</v>
      </c>
      <c r="E476" s="4">
        <f>SUMIFS('GL-Transactions'!B:B,'GL-Transactions'!G:G,"Total",'GL-Transactions'!E:E,B476)</f>
        <v>0</v>
      </c>
      <c r="F476" s="4">
        <f t="shared" si="7"/>
        <v>280313</v>
      </c>
    </row>
    <row r="477" spans="2:6" ht="15" customHeight="1">
      <c r="B477" s="3">
        <v>1113201</v>
      </c>
      <c r="C477" s="3" t="s">
        <v>67</v>
      </c>
      <c r="D477" s="4">
        <f>SUMIFS('GL-Transactions'!C:C,'GL-Transactions'!G:G,"Total",'GL-Transactions'!E:E,B477)</f>
        <v>313835</v>
      </c>
      <c r="E477" s="4">
        <f>SUMIFS('GL-Transactions'!B:B,'GL-Transactions'!G:G,"Total",'GL-Transactions'!E:E,B477)</f>
        <v>0</v>
      </c>
      <c r="F477" s="4">
        <f t="shared" si="7"/>
        <v>313835</v>
      </c>
    </row>
    <row r="478" spans="2:6" ht="15" customHeight="1">
      <c r="B478" s="3">
        <v>1113105</v>
      </c>
      <c r="C478" s="3" t="s">
        <v>66</v>
      </c>
      <c r="D478" s="4">
        <f>SUMIFS('GL-Transactions'!C:C,'GL-Transactions'!G:G,"Total",'GL-Transactions'!E:E,B478)</f>
        <v>64687</v>
      </c>
      <c r="E478" s="4">
        <f>SUMIFS('GL-Transactions'!B:B,'GL-Transactions'!G:G,"Total",'GL-Transactions'!E:E,B478)</f>
        <v>0</v>
      </c>
      <c r="F478" s="4">
        <f t="shared" si="7"/>
        <v>64687</v>
      </c>
    </row>
    <row r="479" spans="2:6" ht="15" customHeight="1">
      <c r="B479" s="3">
        <v>1113101</v>
      </c>
      <c r="C479" s="3" t="s">
        <v>33</v>
      </c>
      <c r="D479" s="4">
        <f>SUMIFS('GL-Transactions'!C:C,'GL-Transactions'!G:G,"Total",'GL-Transactions'!E:E,B479)</f>
        <v>244145</v>
      </c>
      <c r="E479" s="4">
        <f>SUMIFS('GL-Transactions'!B:B,'GL-Transactions'!G:G,"Total",'GL-Transactions'!E:E,B479)</f>
        <v>0</v>
      </c>
      <c r="F479" s="4">
        <f t="shared" si="7"/>
        <v>244145</v>
      </c>
    </row>
    <row r="480" spans="2:6" ht="15" customHeight="1">
      <c r="B480" s="3">
        <v>1112921</v>
      </c>
      <c r="C480" s="3" t="s">
        <v>65</v>
      </c>
      <c r="D480" s="4">
        <f>SUMIFS('GL-Transactions'!C:C,'GL-Transactions'!G:G,"Total",'GL-Transactions'!E:E,B480)</f>
        <v>0</v>
      </c>
      <c r="E480" s="4">
        <f>SUMIFS('GL-Transactions'!B:B,'GL-Transactions'!G:G,"Total",'GL-Transactions'!E:E,B480)</f>
        <v>2271308</v>
      </c>
      <c r="F480" s="4">
        <f t="shared" si="7"/>
        <v>-2271308</v>
      </c>
    </row>
    <row r="481" spans="2:6" ht="15" customHeight="1">
      <c r="B481" s="3">
        <v>1112905</v>
      </c>
      <c r="C481" s="3" t="s">
        <v>64</v>
      </c>
      <c r="D481" s="4">
        <f>SUMIFS('GL-Transactions'!C:C,'GL-Transactions'!G:G,"Total",'GL-Transactions'!E:E,B481)</f>
        <v>158125</v>
      </c>
      <c r="E481" s="4">
        <f>SUMIFS('GL-Transactions'!B:B,'GL-Transactions'!G:G,"Total",'GL-Transactions'!E:E,B481)</f>
        <v>0</v>
      </c>
      <c r="F481" s="4">
        <f t="shared" si="7"/>
        <v>158125</v>
      </c>
    </row>
    <row r="482" spans="2:6" ht="15" customHeight="1">
      <c r="B482" s="3">
        <v>1112901</v>
      </c>
      <c r="C482" s="3" t="s">
        <v>63</v>
      </c>
      <c r="D482" s="4">
        <f>SUMIFS('GL-Transactions'!C:C,'GL-Transactions'!G:G,"Total",'GL-Transactions'!E:E,B482)</f>
        <v>379155</v>
      </c>
      <c r="E482" s="4">
        <f>SUMIFS('GL-Transactions'!B:B,'GL-Transactions'!G:G,"Total",'GL-Transactions'!E:E,B482)</f>
        <v>0</v>
      </c>
      <c r="F482" s="4">
        <f t="shared" si="7"/>
        <v>379155</v>
      </c>
    </row>
    <row r="483" spans="2:6" ht="15" customHeight="1">
      <c r="B483" s="3">
        <v>1112801</v>
      </c>
      <c r="C483" s="3" t="s">
        <v>62</v>
      </c>
      <c r="D483" s="4">
        <f>SUMIFS('GL-Transactions'!C:C,'GL-Transactions'!G:G,"Total",'GL-Transactions'!E:E,B483)</f>
        <v>69805</v>
      </c>
      <c r="E483" s="4">
        <f>SUMIFS('GL-Transactions'!B:B,'GL-Transactions'!G:G,"Total",'GL-Transactions'!E:E,B483)</f>
        <v>0</v>
      </c>
      <c r="F483" s="4">
        <f t="shared" si="7"/>
        <v>69805</v>
      </c>
    </row>
    <row r="484" spans="2:6" ht="15" customHeight="1">
      <c r="B484" s="3">
        <v>1112721</v>
      </c>
      <c r="C484" s="3" t="s">
        <v>61</v>
      </c>
      <c r="D484" s="4">
        <f>SUMIFS('GL-Transactions'!C:C,'GL-Transactions'!G:G,"Total",'GL-Transactions'!E:E,B484)</f>
        <v>0</v>
      </c>
      <c r="E484" s="4">
        <f>SUMIFS('GL-Transactions'!B:B,'GL-Transactions'!G:G,"Total",'GL-Transactions'!E:E,B484)</f>
        <v>2286287</v>
      </c>
      <c r="F484" s="4">
        <f t="shared" si="7"/>
        <v>-2286287</v>
      </c>
    </row>
    <row r="485" spans="2:6" ht="15" customHeight="1">
      <c r="B485" s="3">
        <v>1112702</v>
      </c>
      <c r="C485" s="3" t="s">
        <v>60</v>
      </c>
      <c r="D485" s="4">
        <f>SUMIFS('GL-Transactions'!C:C,'GL-Transactions'!G:G,"Total",'GL-Transactions'!E:E,B485)</f>
        <v>28750</v>
      </c>
      <c r="E485" s="4">
        <f>SUMIFS('GL-Transactions'!B:B,'GL-Transactions'!G:G,"Total",'GL-Transactions'!E:E,B485)</f>
        <v>0</v>
      </c>
      <c r="F485" s="4">
        <f t="shared" si="7"/>
        <v>28750</v>
      </c>
    </row>
    <row r="486" spans="2:6" ht="15" customHeight="1">
      <c r="B486" s="3">
        <v>1112701</v>
      </c>
      <c r="C486" s="3" t="s">
        <v>59</v>
      </c>
      <c r="D486" s="4">
        <f>SUMIFS('GL-Transactions'!C:C,'GL-Transactions'!G:G,"Total",'GL-Transactions'!E:E,B486)</f>
        <v>278875</v>
      </c>
      <c r="E486" s="4">
        <f>SUMIFS('GL-Transactions'!B:B,'GL-Transactions'!G:G,"Total",'GL-Transactions'!E:E,B486)</f>
        <v>0</v>
      </c>
      <c r="F486" s="4">
        <f t="shared" si="7"/>
        <v>278875</v>
      </c>
    </row>
    <row r="487" spans="2:6" ht="15" customHeight="1">
      <c r="B487" s="3">
        <v>1112521</v>
      </c>
      <c r="C487" s="3" t="s">
        <v>58</v>
      </c>
      <c r="D487" s="4">
        <f>SUMIFS('GL-Transactions'!C:C,'GL-Transactions'!G:G,"Total",'GL-Transactions'!E:E,B487)</f>
        <v>0</v>
      </c>
      <c r="E487" s="4">
        <f>SUMIFS('GL-Transactions'!B:B,'GL-Transactions'!G:G,"Total",'GL-Transactions'!E:E,B487)</f>
        <v>2947228</v>
      </c>
      <c r="F487" s="4">
        <f t="shared" si="7"/>
        <v>-2947228</v>
      </c>
    </row>
    <row r="488" spans="2:6" ht="15" customHeight="1">
      <c r="B488" s="3">
        <v>1112502</v>
      </c>
      <c r="C488" s="3" t="s">
        <v>57</v>
      </c>
      <c r="D488" s="4">
        <f>SUMIFS('GL-Transactions'!C:C,'GL-Transactions'!G:G,"Total",'GL-Transactions'!E:E,B488)</f>
        <v>32200</v>
      </c>
      <c r="E488" s="4">
        <f>SUMIFS('GL-Transactions'!B:B,'GL-Transactions'!G:G,"Total",'GL-Transactions'!E:E,B488)</f>
        <v>0</v>
      </c>
      <c r="F488" s="4">
        <f t="shared" si="7"/>
        <v>32200</v>
      </c>
    </row>
    <row r="489" spans="2:6" ht="15" customHeight="1">
      <c r="B489" s="3">
        <v>1112501</v>
      </c>
      <c r="C489" s="3" t="s">
        <v>56</v>
      </c>
      <c r="D489" s="4">
        <f>SUMIFS('GL-Transactions'!C:C,'GL-Transactions'!G:G,"Total",'GL-Transactions'!E:E,B489)</f>
        <v>200445</v>
      </c>
      <c r="E489" s="4">
        <f>SUMIFS('GL-Transactions'!B:B,'GL-Transactions'!G:G,"Total",'GL-Transactions'!E:E,B489)</f>
        <v>0</v>
      </c>
      <c r="F489" s="4">
        <f t="shared" si="7"/>
        <v>200445</v>
      </c>
    </row>
    <row r="490" spans="2:6" ht="15" customHeight="1">
      <c r="B490" s="3">
        <v>1112421</v>
      </c>
      <c r="C490" s="3" t="s">
        <v>55</v>
      </c>
      <c r="D490" s="4">
        <f>SUMIFS('GL-Transactions'!C:C,'GL-Transactions'!G:G,"Total",'GL-Transactions'!E:E,B490)</f>
        <v>0</v>
      </c>
      <c r="E490" s="4">
        <f>SUMIFS('GL-Transactions'!B:B,'GL-Transactions'!G:G,"Total",'GL-Transactions'!E:E,B490)</f>
        <v>1804089</v>
      </c>
      <c r="F490" s="4">
        <f t="shared" si="7"/>
        <v>-1804089</v>
      </c>
    </row>
    <row r="491" spans="2:6" ht="15" customHeight="1">
      <c r="B491" s="3">
        <v>1112405</v>
      </c>
      <c r="C491" s="3" t="s">
        <v>54</v>
      </c>
      <c r="D491" s="4">
        <f>SUMIFS('GL-Transactions'!C:C,'GL-Transactions'!G:G,"Total",'GL-Transactions'!E:E,B491)</f>
        <v>391000</v>
      </c>
      <c r="E491" s="4">
        <f>SUMIFS('GL-Transactions'!B:B,'GL-Transactions'!G:G,"Total",'GL-Transactions'!E:E,B491)</f>
        <v>0</v>
      </c>
      <c r="F491" s="4">
        <f t="shared" si="7"/>
        <v>391000</v>
      </c>
    </row>
    <row r="492" spans="2:6" ht="15" customHeight="1">
      <c r="B492" s="3">
        <v>1112321</v>
      </c>
      <c r="C492" s="3" t="s">
        <v>53</v>
      </c>
      <c r="D492" s="4">
        <f>SUMIFS('GL-Transactions'!C:C,'GL-Transactions'!G:G,"Total",'GL-Transactions'!E:E,B492)</f>
        <v>0</v>
      </c>
      <c r="E492" s="4">
        <f>SUMIFS('GL-Transactions'!B:B,'GL-Transactions'!G:G,"Total",'GL-Transactions'!E:E,B492)</f>
        <v>2245599</v>
      </c>
      <c r="F492" s="4">
        <f t="shared" si="7"/>
        <v>-2245599</v>
      </c>
    </row>
    <row r="493" spans="2:6" ht="15" customHeight="1">
      <c r="B493" s="3">
        <v>1112305</v>
      </c>
      <c r="C493" s="3" t="s">
        <v>52</v>
      </c>
      <c r="D493" s="4">
        <f>SUMIFS('GL-Transactions'!C:C,'GL-Transactions'!G:G,"Total",'GL-Transactions'!E:E,B493)</f>
        <v>64687</v>
      </c>
      <c r="E493" s="4">
        <f>SUMIFS('GL-Transactions'!B:B,'GL-Transactions'!G:G,"Total",'GL-Transactions'!E:E,B493)</f>
        <v>0</v>
      </c>
      <c r="F493" s="4">
        <f t="shared" si="7"/>
        <v>64687</v>
      </c>
    </row>
    <row r="494" spans="2:6" ht="15" customHeight="1">
      <c r="B494" s="3">
        <v>1112301</v>
      </c>
      <c r="C494" s="3" t="s">
        <v>51</v>
      </c>
      <c r="D494" s="4">
        <f>SUMIFS('GL-Transactions'!C:C,'GL-Transactions'!G:G,"Total",'GL-Transactions'!E:E,B494)</f>
        <v>139610</v>
      </c>
      <c r="E494" s="4">
        <f>SUMIFS('GL-Transactions'!B:B,'GL-Transactions'!G:G,"Total",'GL-Transactions'!E:E,B494)</f>
        <v>69805</v>
      </c>
      <c r="F494" s="4">
        <f t="shared" si="7"/>
        <v>69805</v>
      </c>
    </row>
    <row r="495" spans="2:6" ht="15" customHeight="1">
      <c r="B495" s="3">
        <v>1112121</v>
      </c>
      <c r="C495" s="3" t="s">
        <v>50</v>
      </c>
      <c r="D495" s="4">
        <f>SUMIFS('GL-Transactions'!C:C,'GL-Transactions'!G:G,"Total",'GL-Transactions'!E:E,B495)</f>
        <v>948175</v>
      </c>
      <c r="E495" s="4">
        <f>SUMIFS('GL-Transactions'!B:B,'GL-Transactions'!G:G,"Total",'GL-Transactions'!E:E,B495)</f>
        <v>10117649</v>
      </c>
      <c r="F495" s="4">
        <f t="shared" si="7"/>
        <v>-9169474</v>
      </c>
    </row>
    <row r="496" spans="2:6" ht="15" customHeight="1">
      <c r="B496" s="3">
        <v>1112105</v>
      </c>
      <c r="C496" s="3" t="s">
        <v>49</v>
      </c>
      <c r="D496" s="4">
        <f>SUMIFS('GL-Transactions'!C:C,'GL-Transactions'!G:G,"Total",'GL-Transactions'!E:E,B496)</f>
        <v>172500</v>
      </c>
      <c r="E496" s="4">
        <f>SUMIFS('GL-Transactions'!B:B,'GL-Transactions'!G:G,"Total",'GL-Transactions'!E:E,B496)</f>
        <v>0</v>
      </c>
      <c r="F496" s="4">
        <f t="shared" si="7"/>
        <v>172500</v>
      </c>
    </row>
    <row r="497" spans="2:6" ht="15" customHeight="1">
      <c r="B497" s="3">
        <v>1112102</v>
      </c>
      <c r="C497" s="3" t="s">
        <v>48</v>
      </c>
      <c r="D497" s="4">
        <f>SUMIFS('GL-Transactions'!C:C,'GL-Transactions'!G:G,"Total",'GL-Transactions'!E:E,B497)</f>
        <v>222870</v>
      </c>
      <c r="E497" s="4">
        <f>SUMIFS('GL-Transactions'!B:B,'GL-Transactions'!G:G,"Total",'GL-Transactions'!E:E,B497)</f>
        <v>0</v>
      </c>
      <c r="F497" s="4">
        <f t="shared" si="7"/>
        <v>222870</v>
      </c>
    </row>
    <row r="498" spans="2:6" ht="15" customHeight="1">
      <c r="B498" s="3">
        <v>1112101</v>
      </c>
      <c r="C498" s="3" t="s">
        <v>47</v>
      </c>
      <c r="D498" s="4">
        <f>SUMIFS('GL-Transactions'!C:C,'GL-Transactions'!G:G,"Total",'GL-Transactions'!E:E,B498)</f>
        <v>514452</v>
      </c>
      <c r="E498" s="4">
        <f>SUMIFS('GL-Transactions'!B:B,'GL-Transactions'!G:G,"Total",'GL-Transactions'!E:E,B498)</f>
        <v>0</v>
      </c>
      <c r="F498" s="4">
        <f t="shared" si="7"/>
        <v>514452</v>
      </c>
    </row>
    <row r="499" spans="2:6" ht="15" customHeight="1">
      <c r="B499" s="3">
        <v>1112021</v>
      </c>
      <c r="C499" s="3" t="s">
        <v>46</v>
      </c>
      <c r="D499" s="4">
        <f>SUMIFS('GL-Transactions'!C:C,'GL-Transactions'!G:G,"Total",'GL-Transactions'!E:E,B499)</f>
        <v>0</v>
      </c>
      <c r="E499" s="4">
        <f>SUMIFS('GL-Transactions'!B:B,'GL-Transactions'!G:G,"Total",'GL-Transactions'!E:E,B499)</f>
        <v>4304816</v>
      </c>
      <c r="F499" s="4">
        <f t="shared" si="7"/>
        <v>-4304816</v>
      </c>
    </row>
    <row r="500" spans="2:6" ht="15" customHeight="1">
      <c r="B500" s="3">
        <v>1112005</v>
      </c>
      <c r="C500" s="3" t="s">
        <v>45</v>
      </c>
      <c r="D500" s="4">
        <f>SUMIFS('GL-Transactions'!C:C,'GL-Transactions'!G:G,"Total",'GL-Transactions'!E:E,B500)</f>
        <v>237187</v>
      </c>
      <c r="E500" s="4">
        <f>SUMIFS('GL-Transactions'!B:B,'GL-Transactions'!G:G,"Total",'GL-Transactions'!E:E,B500)</f>
        <v>0</v>
      </c>
      <c r="F500" s="4">
        <f t="shared" si="7"/>
        <v>237187</v>
      </c>
    </row>
    <row r="501" spans="2:6" ht="15" customHeight="1">
      <c r="B501" s="3">
        <v>1112001</v>
      </c>
      <c r="C501" s="3" t="s">
        <v>44</v>
      </c>
      <c r="D501" s="4">
        <f>SUMIFS('GL-Transactions'!C:C,'GL-Transactions'!G:G,"Total",'GL-Transactions'!E:E,B501)</f>
        <v>209242</v>
      </c>
      <c r="E501" s="4">
        <f>SUMIFS('GL-Transactions'!B:B,'GL-Transactions'!G:G,"Total",'GL-Transactions'!E:E,B501)</f>
        <v>0</v>
      </c>
      <c r="F501" s="4">
        <f t="shared" si="7"/>
        <v>209242</v>
      </c>
    </row>
    <row r="502" spans="2:6" ht="15" customHeight="1">
      <c r="B502" s="3">
        <v>1111921</v>
      </c>
      <c r="C502" s="3" t="s">
        <v>43</v>
      </c>
      <c r="D502" s="4">
        <f>SUMIFS('GL-Transactions'!C:C,'GL-Transactions'!G:G,"Total",'GL-Transactions'!E:E,B502)</f>
        <v>0</v>
      </c>
      <c r="E502" s="4">
        <f>SUMIFS('GL-Transactions'!B:B,'GL-Transactions'!G:G,"Total",'GL-Transactions'!E:E,B502)</f>
        <v>2363091</v>
      </c>
      <c r="F502" s="4">
        <f t="shared" si="7"/>
        <v>-2363091</v>
      </c>
    </row>
    <row r="503" spans="2:6" ht="15" customHeight="1">
      <c r="B503" s="3">
        <v>1111902</v>
      </c>
      <c r="C503" s="3" t="s">
        <v>42</v>
      </c>
      <c r="D503" s="4">
        <f>SUMIFS('GL-Transactions'!C:C,'GL-Transactions'!G:G,"Total",'GL-Transactions'!E:E,B503)</f>
        <v>5922</v>
      </c>
      <c r="E503" s="4">
        <f>SUMIFS('GL-Transactions'!B:B,'GL-Transactions'!G:G,"Total",'GL-Transactions'!E:E,B503)</f>
        <v>0</v>
      </c>
      <c r="F503" s="4">
        <f t="shared" si="7"/>
        <v>5922</v>
      </c>
    </row>
    <row r="504" spans="2:6" ht="15" customHeight="1">
      <c r="B504" s="3">
        <v>1111901</v>
      </c>
      <c r="C504" s="3" t="s">
        <v>41</v>
      </c>
      <c r="D504" s="4">
        <f>SUMIFS('GL-Transactions'!C:C,'GL-Transactions'!G:G,"Total",'GL-Transactions'!E:E,B504)</f>
        <v>487887</v>
      </c>
      <c r="E504" s="4">
        <f>SUMIFS('GL-Transactions'!B:B,'GL-Transactions'!G:G,"Total",'GL-Transactions'!E:E,B504)</f>
        <v>0</v>
      </c>
      <c r="F504" s="4">
        <f t="shared" si="7"/>
        <v>487887</v>
      </c>
    </row>
    <row r="505" spans="2:6" ht="15" customHeight="1">
      <c r="B505" s="3">
        <v>1111821</v>
      </c>
      <c r="C505" s="3" t="s">
        <v>40</v>
      </c>
      <c r="D505" s="4">
        <f>SUMIFS('GL-Transactions'!C:C,'GL-Transactions'!G:G,"Total",'GL-Transactions'!E:E,B505)</f>
        <v>0</v>
      </c>
      <c r="E505" s="4">
        <f>SUMIFS('GL-Transactions'!B:B,'GL-Transactions'!G:G,"Total",'GL-Transactions'!E:E,B505)</f>
        <v>3199517</v>
      </c>
      <c r="F505" s="4">
        <f t="shared" si="7"/>
        <v>-3199517</v>
      </c>
    </row>
    <row r="506" spans="2:6" ht="15" customHeight="1">
      <c r="B506" s="3">
        <v>1111801</v>
      </c>
      <c r="C506" s="3" t="s">
        <v>39</v>
      </c>
      <c r="D506" s="4">
        <f>SUMIFS('GL-Transactions'!C:C,'GL-Transactions'!G:G,"Total",'GL-Transactions'!E:E,B506)</f>
        <v>226722</v>
      </c>
      <c r="E506" s="4">
        <f>SUMIFS('GL-Transactions'!B:B,'GL-Transactions'!G:G,"Total",'GL-Transactions'!E:E,B506)</f>
        <v>0</v>
      </c>
      <c r="F506" s="4">
        <f t="shared" si="7"/>
        <v>226722</v>
      </c>
    </row>
    <row r="507" spans="2:6" ht="15" customHeight="1">
      <c r="B507" s="3">
        <v>1111721</v>
      </c>
      <c r="C507" s="3" t="s">
        <v>38</v>
      </c>
      <c r="D507" s="4">
        <f>SUMIFS('GL-Transactions'!C:C,'GL-Transactions'!G:G,"Total",'GL-Transactions'!E:E,B507)</f>
        <v>0</v>
      </c>
      <c r="E507" s="4">
        <f>SUMIFS('GL-Transactions'!B:B,'GL-Transactions'!G:G,"Total",'GL-Transactions'!E:E,B507)</f>
        <v>2626825</v>
      </c>
      <c r="F507" s="4">
        <f t="shared" si="7"/>
        <v>-2626825</v>
      </c>
    </row>
    <row r="508" spans="2:6" ht="15" customHeight="1">
      <c r="B508" s="3">
        <v>1111702</v>
      </c>
      <c r="C508" s="3" t="s">
        <v>37</v>
      </c>
      <c r="D508" s="4">
        <f>SUMIFS('GL-Transactions'!C:C,'GL-Transactions'!G:G,"Total",'GL-Transactions'!E:E,B508)</f>
        <v>124363</v>
      </c>
      <c r="E508" s="4">
        <f>SUMIFS('GL-Transactions'!B:B,'GL-Transactions'!G:G,"Total",'GL-Transactions'!E:E,B508)</f>
        <v>0</v>
      </c>
      <c r="F508" s="4">
        <f t="shared" si="7"/>
        <v>124363</v>
      </c>
    </row>
    <row r="509" spans="2:6" ht="15" customHeight="1">
      <c r="B509" s="3">
        <v>1111701</v>
      </c>
      <c r="C509" s="3" t="s">
        <v>36</v>
      </c>
      <c r="D509" s="4">
        <f>SUMIFS('GL-Transactions'!C:C,'GL-Transactions'!G:G,"Total",'GL-Transactions'!E:E,B509)</f>
        <v>267452</v>
      </c>
      <c r="E509" s="4">
        <f>SUMIFS('GL-Transactions'!B:B,'GL-Transactions'!G:G,"Total",'GL-Transactions'!E:E,B509)</f>
        <v>34903</v>
      </c>
      <c r="F509" s="4">
        <f t="shared" si="7"/>
        <v>232549</v>
      </c>
    </row>
    <row r="510" spans="2:6" ht="15" customHeight="1">
      <c r="B510" s="3">
        <v>1111621</v>
      </c>
      <c r="C510" s="3" t="s">
        <v>35</v>
      </c>
      <c r="D510" s="4">
        <f>SUMIFS('GL-Transactions'!C:C,'GL-Transactions'!G:G,"Total",'GL-Transactions'!E:E,B510)</f>
        <v>0</v>
      </c>
      <c r="E510" s="4">
        <f>SUMIFS('GL-Transactions'!B:B,'GL-Transactions'!G:G,"Total",'GL-Transactions'!E:E,B510)</f>
        <v>7386047</v>
      </c>
      <c r="F510" s="4">
        <f t="shared" si="7"/>
        <v>-7386047</v>
      </c>
    </row>
    <row r="511" spans="2:6" ht="15" customHeight="1">
      <c r="B511" s="3">
        <v>1111602</v>
      </c>
      <c r="C511" s="3" t="s">
        <v>34</v>
      </c>
      <c r="D511" s="4">
        <f>SUMIFS('GL-Transactions'!C:C,'GL-Transactions'!G:G,"Total",'GL-Transactions'!E:E,B511)</f>
        <v>60950</v>
      </c>
      <c r="E511" s="4">
        <f>SUMIFS('GL-Transactions'!B:B,'GL-Transactions'!G:G,"Total",'GL-Transactions'!E:E,B511)</f>
        <v>0</v>
      </c>
      <c r="F511" s="4">
        <f t="shared" si="7"/>
        <v>60950</v>
      </c>
    </row>
    <row r="512" spans="2:6" ht="15" customHeight="1">
      <c r="B512" s="3">
        <v>1111601</v>
      </c>
      <c r="C512" s="3" t="s">
        <v>33</v>
      </c>
      <c r="D512" s="4">
        <f>SUMIFS('GL-Transactions'!C:C,'GL-Transactions'!G:G,"Total",'GL-Transactions'!E:E,B512)</f>
        <v>232454</v>
      </c>
      <c r="E512" s="4">
        <f>SUMIFS('GL-Transactions'!B:B,'GL-Transactions'!G:G,"Total",'GL-Transactions'!E:E,B512)</f>
        <v>34845</v>
      </c>
      <c r="F512" s="4">
        <f t="shared" si="7"/>
        <v>197609</v>
      </c>
    </row>
    <row r="513" spans="2:6" ht="15" customHeight="1">
      <c r="B513" s="3">
        <v>1111521</v>
      </c>
      <c r="C513" s="3" t="s">
        <v>32</v>
      </c>
      <c r="D513" s="4">
        <f>SUMIFS('GL-Transactions'!C:C,'GL-Transactions'!G:G,"Total",'GL-Transactions'!E:E,B513)</f>
        <v>0</v>
      </c>
      <c r="E513" s="4">
        <f>SUMIFS('GL-Transactions'!B:B,'GL-Transactions'!G:G,"Total",'GL-Transactions'!E:E,B513)</f>
        <v>13994950</v>
      </c>
      <c r="F513" s="4">
        <f t="shared" si="7"/>
        <v>-13994950</v>
      </c>
    </row>
    <row r="514" spans="2:6" ht="15" customHeight="1">
      <c r="B514" s="3">
        <v>1111502</v>
      </c>
      <c r="C514" s="3" t="s">
        <v>31</v>
      </c>
      <c r="D514" s="4">
        <f>SUMIFS('GL-Transactions'!C:C,'GL-Transactions'!G:G,"Total",'GL-Transactions'!E:E,B514)</f>
        <v>225170</v>
      </c>
      <c r="E514" s="4">
        <f>SUMIFS('GL-Transactions'!B:B,'GL-Transactions'!G:G,"Total",'GL-Transactions'!E:E,B514)</f>
        <v>0</v>
      </c>
      <c r="F514" s="4">
        <f t="shared" si="7"/>
        <v>225170</v>
      </c>
    </row>
    <row r="515" spans="2:6" ht="15" customHeight="1">
      <c r="B515" s="3">
        <v>1111501</v>
      </c>
      <c r="C515" s="3" t="s">
        <v>30</v>
      </c>
      <c r="D515" s="4">
        <f>SUMIFS('GL-Transactions'!C:C,'GL-Transactions'!G:G,"Total",'GL-Transactions'!E:E,B515)</f>
        <v>592595</v>
      </c>
      <c r="E515" s="4">
        <f>SUMIFS('GL-Transactions'!B:B,'GL-Transactions'!G:G,"Total",'GL-Transactions'!E:E,B515)</f>
        <v>0</v>
      </c>
      <c r="F515" s="4">
        <f t="shared" si="7"/>
        <v>592595</v>
      </c>
    </row>
    <row r="516" spans="2:6" ht="15" customHeight="1">
      <c r="B516" s="3">
        <v>1111401</v>
      </c>
      <c r="C516" s="3" t="s">
        <v>29</v>
      </c>
      <c r="D516" s="4">
        <f>SUMIFS('GL-Transactions'!C:C,'GL-Transactions'!G:G,"Total",'GL-Transactions'!E:E,B516)</f>
        <v>139495</v>
      </c>
      <c r="E516" s="4">
        <f>SUMIFS('GL-Transactions'!B:B,'GL-Transactions'!G:G,"Total",'GL-Transactions'!E:E,B516)</f>
        <v>0</v>
      </c>
      <c r="F516" s="4">
        <f t="shared" si="7"/>
        <v>139495</v>
      </c>
    </row>
    <row r="517" spans="2:6" ht="15" customHeight="1">
      <c r="B517" s="3">
        <v>1111305</v>
      </c>
      <c r="C517" s="3" t="s">
        <v>28</v>
      </c>
      <c r="D517" s="4">
        <f>SUMIFS('GL-Transactions'!C:C,'GL-Transactions'!G:G,"Total",'GL-Transactions'!E:E,B517)</f>
        <v>452812</v>
      </c>
      <c r="E517" s="4">
        <f>SUMIFS('GL-Transactions'!B:B,'GL-Transactions'!G:G,"Total",'GL-Transactions'!E:E,B517)</f>
        <v>0</v>
      </c>
      <c r="F517" s="4">
        <f t="shared" ref="F517:F580" si="8">D517-E517</f>
        <v>452812</v>
      </c>
    </row>
    <row r="518" spans="2:6" ht="15" customHeight="1">
      <c r="B518" s="3">
        <v>1111301</v>
      </c>
      <c r="C518" s="3" t="s">
        <v>27</v>
      </c>
      <c r="D518" s="4">
        <f>SUMIFS('GL-Transactions'!C:C,'GL-Transactions'!G:G,"Total",'GL-Transactions'!E:E,B518)</f>
        <v>691553</v>
      </c>
      <c r="E518" s="4">
        <f>SUMIFS('GL-Transactions'!B:B,'GL-Transactions'!G:G,"Total",'GL-Transactions'!E:E,B518)</f>
        <v>345776</v>
      </c>
      <c r="F518" s="4">
        <f t="shared" si="8"/>
        <v>345777</v>
      </c>
    </row>
    <row r="519" spans="2:6" ht="15" customHeight="1">
      <c r="B519" s="3">
        <v>1111201</v>
      </c>
      <c r="C519" s="3" t="s">
        <v>26</v>
      </c>
      <c r="D519" s="4">
        <f>SUMIFS('GL-Transactions'!C:C,'GL-Transactions'!G:G,"Total",'GL-Transactions'!E:E,B519)</f>
        <v>87170</v>
      </c>
      <c r="E519" s="4">
        <f>SUMIFS('GL-Transactions'!B:B,'GL-Transactions'!G:G,"Total",'GL-Transactions'!E:E,B519)</f>
        <v>0</v>
      </c>
      <c r="F519" s="4">
        <f t="shared" si="8"/>
        <v>87170</v>
      </c>
    </row>
    <row r="520" spans="2:6" ht="15" customHeight="1">
      <c r="B520" s="3">
        <v>1111021</v>
      </c>
      <c r="C520" s="3" t="s">
        <v>25</v>
      </c>
      <c r="D520" s="4">
        <f>SUMIFS('GL-Transactions'!C:C,'GL-Transactions'!G:G,"Total",'GL-Transactions'!E:E,B520)</f>
        <v>9449725</v>
      </c>
      <c r="E520" s="4">
        <f>SUMIFS('GL-Transactions'!B:B,'GL-Transactions'!G:G,"Total",'GL-Transactions'!E:E,B520)</f>
        <v>9449725</v>
      </c>
      <c r="F520" s="4">
        <f t="shared" si="8"/>
        <v>0</v>
      </c>
    </row>
    <row r="521" spans="2:6" ht="15" customHeight="1">
      <c r="B521" s="3">
        <v>1111001</v>
      </c>
      <c r="C521" s="3" t="s">
        <v>24</v>
      </c>
      <c r="D521" s="4">
        <f>SUMIFS('GL-Transactions'!C:C,'GL-Transactions'!G:G,"Total",'GL-Transactions'!E:E,B521)</f>
        <v>61007</v>
      </c>
      <c r="E521" s="4">
        <f>SUMIFS('GL-Transactions'!B:B,'GL-Transactions'!G:G,"Total",'GL-Transactions'!E:E,B521)</f>
        <v>0</v>
      </c>
      <c r="F521" s="4">
        <f t="shared" si="8"/>
        <v>61007</v>
      </c>
    </row>
    <row r="522" spans="2:6" ht="15" customHeight="1">
      <c r="B522" s="3">
        <v>1110921</v>
      </c>
      <c r="C522" s="3" t="s">
        <v>23</v>
      </c>
      <c r="D522" s="4">
        <f>SUMIFS('GL-Transactions'!C:C,'GL-Transactions'!G:G,"Total",'GL-Transactions'!E:E,B522)</f>
        <v>0</v>
      </c>
      <c r="E522" s="4">
        <f>SUMIFS('GL-Transactions'!B:B,'GL-Transactions'!G:G,"Total",'GL-Transactions'!E:E,B522)</f>
        <v>2974572</v>
      </c>
      <c r="F522" s="4">
        <f t="shared" si="8"/>
        <v>-2974572</v>
      </c>
    </row>
    <row r="523" spans="2:6" ht="15" customHeight="1">
      <c r="B523" s="3">
        <v>1110902</v>
      </c>
      <c r="C523" s="3" t="s">
        <v>22</v>
      </c>
      <c r="D523" s="4">
        <f>SUMIFS('GL-Transactions'!C:C,'GL-Transactions'!G:G,"Total",'GL-Transactions'!E:E,B523)</f>
        <v>103500</v>
      </c>
      <c r="E523" s="4">
        <f>SUMIFS('GL-Transactions'!B:B,'GL-Transactions'!G:G,"Total",'GL-Transactions'!E:E,B523)</f>
        <v>0</v>
      </c>
      <c r="F523" s="4">
        <f t="shared" si="8"/>
        <v>103500</v>
      </c>
    </row>
    <row r="524" spans="2:6" ht="15" customHeight="1">
      <c r="B524" s="3">
        <v>1110901</v>
      </c>
      <c r="C524" s="3" t="s">
        <v>21</v>
      </c>
      <c r="D524" s="4">
        <f>SUMIFS('GL-Transactions'!C:C,'GL-Transactions'!G:G,"Total",'GL-Transactions'!E:E,B524)</f>
        <v>345872</v>
      </c>
      <c r="E524" s="4">
        <f>SUMIFS('GL-Transactions'!B:B,'GL-Transactions'!G:G,"Total",'GL-Transactions'!E:E,B524)</f>
        <v>104707</v>
      </c>
      <c r="F524" s="4">
        <f t="shared" si="8"/>
        <v>241165</v>
      </c>
    </row>
    <row r="525" spans="2:6" ht="15" customHeight="1">
      <c r="B525" s="3">
        <v>1110821</v>
      </c>
      <c r="C525" s="3" t="s">
        <v>20</v>
      </c>
      <c r="D525" s="4">
        <f>SUMIFS('GL-Transactions'!C:C,'GL-Transactions'!G:G,"Total",'GL-Transactions'!E:E,B525)</f>
        <v>0</v>
      </c>
      <c r="E525" s="4">
        <f>SUMIFS('GL-Transactions'!B:B,'GL-Transactions'!G:G,"Total",'GL-Transactions'!E:E,B525)</f>
        <v>3041307</v>
      </c>
      <c r="F525" s="4">
        <f t="shared" si="8"/>
        <v>-3041307</v>
      </c>
    </row>
    <row r="526" spans="2:6" ht="15" customHeight="1">
      <c r="B526" s="3">
        <v>1110802</v>
      </c>
      <c r="C526" s="3" t="s">
        <v>19</v>
      </c>
      <c r="D526" s="4">
        <f>SUMIFS('GL-Transactions'!C:C,'GL-Transactions'!G:G,"Total",'GL-Transactions'!E:E,B526)</f>
        <v>32200</v>
      </c>
      <c r="E526" s="4">
        <f>SUMIFS('GL-Transactions'!B:B,'GL-Transactions'!G:G,"Total",'GL-Transactions'!E:E,B526)</f>
        <v>0</v>
      </c>
      <c r="F526" s="4">
        <f t="shared" si="8"/>
        <v>32200</v>
      </c>
    </row>
    <row r="527" spans="2:6" ht="15" customHeight="1">
      <c r="B527" s="3">
        <v>1110801</v>
      </c>
      <c r="C527" s="3" t="s">
        <v>18</v>
      </c>
      <c r="D527" s="4">
        <f>SUMIFS('GL-Transactions'!C:C,'GL-Transactions'!G:G,"Total",'GL-Transactions'!E:E,B527)</f>
        <v>200445</v>
      </c>
      <c r="E527" s="4">
        <f>SUMIFS('GL-Transactions'!B:B,'GL-Transactions'!G:G,"Total",'GL-Transactions'!E:E,B527)</f>
        <v>0</v>
      </c>
      <c r="F527" s="4">
        <f t="shared" si="8"/>
        <v>200445</v>
      </c>
    </row>
    <row r="528" spans="2:6" ht="15" customHeight="1">
      <c r="B528" s="3">
        <v>1110621</v>
      </c>
      <c r="C528" s="3" t="s">
        <v>17</v>
      </c>
      <c r="D528" s="4">
        <f>SUMIFS('GL-Transactions'!C:C,'GL-Transactions'!G:G,"Total",'GL-Transactions'!E:E,B528)</f>
        <v>0</v>
      </c>
      <c r="E528" s="4">
        <f>SUMIFS('GL-Transactions'!B:B,'GL-Transactions'!G:G,"Total",'GL-Transactions'!E:E,B528)</f>
        <v>1707771</v>
      </c>
      <c r="F528" s="4">
        <f t="shared" si="8"/>
        <v>-1707771</v>
      </c>
    </row>
    <row r="529" spans="2:6" ht="15" customHeight="1">
      <c r="B529" s="3">
        <v>1110605</v>
      </c>
      <c r="C529" s="3" t="s">
        <v>16</v>
      </c>
      <c r="D529" s="4">
        <f>SUMIFS('GL-Transactions'!C:C,'GL-Transactions'!G:G,"Total",'GL-Transactions'!E:E,B529)</f>
        <v>258750</v>
      </c>
      <c r="E529" s="4">
        <f>SUMIFS('GL-Transactions'!B:B,'GL-Transactions'!G:G,"Total",'GL-Transactions'!E:E,B529)</f>
        <v>0</v>
      </c>
      <c r="F529" s="4">
        <f t="shared" si="8"/>
        <v>258750</v>
      </c>
    </row>
    <row r="530" spans="2:6" ht="15" customHeight="1">
      <c r="B530" s="3">
        <v>1110601</v>
      </c>
      <c r="C530" s="3" t="s">
        <v>15</v>
      </c>
      <c r="D530" s="4">
        <f>SUMIFS('GL-Transactions'!C:C,'GL-Transactions'!G:G,"Total",'GL-Transactions'!E:E,B530)</f>
        <v>95881</v>
      </c>
      <c r="E530" s="4">
        <f>SUMIFS('GL-Transactions'!B:B,'GL-Transactions'!G:G,"Total",'GL-Transactions'!E:E,B530)</f>
        <v>0</v>
      </c>
      <c r="F530" s="4">
        <f t="shared" si="8"/>
        <v>95881</v>
      </c>
    </row>
    <row r="531" spans="2:6" ht="15" customHeight="1">
      <c r="B531" s="3">
        <v>1110521</v>
      </c>
      <c r="C531" s="3" t="s">
        <v>14</v>
      </c>
      <c r="D531" s="4">
        <f>SUMIFS('GL-Transactions'!C:C,'GL-Transactions'!G:G,"Total",'GL-Transactions'!E:E,B531)</f>
        <v>1899376</v>
      </c>
      <c r="E531" s="4">
        <f>SUMIFS('GL-Transactions'!B:B,'GL-Transactions'!G:G,"Total",'GL-Transactions'!E:E,B531)</f>
        <v>3575128</v>
      </c>
      <c r="F531" s="4">
        <f t="shared" si="8"/>
        <v>-1675752</v>
      </c>
    </row>
    <row r="532" spans="2:6" ht="15" customHeight="1">
      <c r="B532" s="3">
        <v>1110505</v>
      </c>
      <c r="C532" s="3" t="s">
        <v>13</v>
      </c>
      <c r="D532" s="4">
        <f>SUMIFS('GL-Transactions'!C:C,'GL-Transactions'!G:G,"Total",'GL-Transactions'!E:E,B532)</f>
        <v>391000</v>
      </c>
      <c r="E532" s="4">
        <f>SUMIFS('GL-Transactions'!B:B,'GL-Transactions'!G:G,"Total",'GL-Transactions'!E:E,B532)</f>
        <v>0</v>
      </c>
      <c r="F532" s="4">
        <f t="shared" si="8"/>
        <v>391000</v>
      </c>
    </row>
    <row r="533" spans="2:6" ht="15" customHeight="1">
      <c r="B533" s="3">
        <v>1110501</v>
      </c>
      <c r="C533" s="3" t="s">
        <v>12</v>
      </c>
      <c r="D533" s="4">
        <f>SUMIFS('GL-Transactions'!C:C,'GL-Transactions'!G:G,"Total",'GL-Transactions'!E:E,B533)</f>
        <v>139610</v>
      </c>
      <c r="E533" s="4">
        <f>SUMIFS('GL-Transactions'!B:B,'GL-Transactions'!G:G,"Total",'GL-Transactions'!E:E,B533)</f>
        <v>0</v>
      </c>
      <c r="F533" s="4">
        <f t="shared" si="8"/>
        <v>139610</v>
      </c>
    </row>
    <row r="534" spans="2:6" ht="15" customHeight="1">
      <c r="B534" s="3">
        <v>1110304</v>
      </c>
      <c r="C534" s="3" t="s">
        <v>11</v>
      </c>
      <c r="D534" s="4">
        <f>SUMIFS('GL-Transactions'!C:C,'GL-Transactions'!G:G,"Total",'GL-Transactions'!E:E,B534)</f>
        <v>84180</v>
      </c>
      <c r="E534" s="4">
        <f>SUMIFS('GL-Transactions'!B:B,'GL-Transactions'!G:G,"Total",'GL-Transactions'!E:E,B534)</f>
        <v>0</v>
      </c>
      <c r="F534" s="4">
        <f t="shared" si="8"/>
        <v>84180</v>
      </c>
    </row>
    <row r="535" spans="2:6" ht="15" customHeight="1">
      <c r="B535" s="3">
        <v>1110302</v>
      </c>
      <c r="C535" s="3" t="s">
        <v>10</v>
      </c>
      <c r="D535" s="4">
        <f>SUMIFS('GL-Transactions'!C:C,'GL-Transactions'!G:G,"Total",'GL-Transactions'!E:E,B535)</f>
        <v>32200</v>
      </c>
      <c r="E535" s="4">
        <f>SUMIFS('GL-Transactions'!B:B,'GL-Transactions'!G:G,"Total",'GL-Transactions'!E:E,B535)</f>
        <v>0</v>
      </c>
      <c r="F535" s="4">
        <f t="shared" si="8"/>
        <v>32200</v>
      </c>
    </row>
    <row r="536" spans="2:6" ht="15" customHeight="1">
      <c r="B536" s="3">
        <v>1110301</v>
      </c>
      <c r="C536" s="3" t="s">
        <v>9</v>
      </c>
      <c r="D536" s="4">
        <f>SUMIFS('GL-Transactions'!C:C,'GL-Transactions'!G:G,"Total",'GL-Transactions'!E:E,B536)</f>
        <v>173995</v>
      </c>
      <c r="E536" s="4">
        <f>SUMIFS('GL-Transactions'!B:B,'GL-Transactions'!G:G,"Total",'GL-Transactions'!E:E,B536)</f>
        <v>0</v>
      </c>
      <c r="F536" s="4">
        <f t="shared" si="8"/>
        <v>173995</v>
      </c>
    </row>
    <row r="537" spans="2:6" ht="15" customHeight="1">
      <c r="B537" s="3">
        <v>1110121</v>
      </c>
      <c r="C537" s="3" t="s">
        <v>8</v>
      </c>
      <c r="D537" s="4">
        <f>SUMIFS('GL-Transactions'!C:C,'GL-Transactions'!G:G,"Total",'GL-Transactions'!E:E,B537)</f>
        <v>0</v>
      </c>
      <c r="E537" s="4">
        <f>SUMIFS('GL-Transactions'!B:B,'GL-Transactions'!G:G,"Total",'GL-Transactions'!E:E,B537)</f>
        <v>1589177</v>
      </c>
      <c r="F537" s="4">
        <f t="shared" si="8"/>
        <v>-1589177</v>
      </c>
    </row>
    <row r="538" spans="2:6" ht="15" customHeight="1">
      <c r="B538" s="3">
        <v>1110105</v>
      </c>
      <c r="C538" s="3" t="s">
        <v>7</v>
      </c>
      <c r="D538" s="4">
        <f>SUMIFS('GL-Transactions'!C:C,'GL-Transactions'!G:G,"Total",'GL-Transactions'!E:E,B538)</f>
        <v>215625</v>
      </c>
      <c r="E538" s="4">
        <f>SUMIFS('GL-Transactions'!B:B,'GL-Transactions'!G:G,"Total",'GL-Transactions'!E:E,B538)</f>
        <v>0</v>
      </c>
      <c r="F538" s="4">
        <f t="shared" si="8"/>
        <v>215625</v>
      </c>
    </row>
    <row r="539" spans="2:6" ht="15" customHeight="1">
      <c r="B539" s="3">
        <v>1110101</v>
      </c>
      <c r="C539" s="3" t="s">
        <v>6</v>
      </c>
      <c r="D539" s="4">
        <f>SUMIFS('GL-Transactions'!C:C,'GL-Transactions'!G:G,"Total",'GL-Transactions'!E:E,B539)</f>
        <v>95881</v>
      </c>
      <c r="E539" s="4">
        <f>SUMIFS('GL-Transactions'!B:B,'GL-Transactions'!G:G,"Total",'GL-Transactions'!E:E,B539)</f>
        <v>0</v>
      </c>
      <c r="F539" s="4">
        <f t="shared" si="8"/>
        <v>95881</v>
      </c>
    </row>
    <row r="540" spans="2:6" ht="15" customHeight="1">
      <c r="B540" s="3">
        <v>97040</v>
      </c>
      <c r="C540" s="3" t="s">
        <v>556</v>
      </c>
      <c r="D540" s="4">
        <f>SUMIFS('GL-Transactions'!C:C,'GL-Transactions'!G:G,"Total",'GL-Transactions'!E:E,B540)</f>
        <v>21876566</v>
      </c>
      <c r="E540" s="4">
        <f>SUMIFS('GL-Transactions'!B:B,'GL-Transactions'!G:G,"Total",'GL-Transactions'!E:E,B540)</f>
        <v>290950</v>
      </c>
      <c r="F540" s="4">
        <f t="shared" si="8"/>
        <v>21585616</v>
      </c>
    </row>
    <row r="541" spans="2:6" ht="15" customHeight="1">
      <c r="B541" s="3">
        <v>96040</v>
      </c>
      <c r="C541" s="3" t="s">
        <v>541</v>
      </c>
      <c r="D541" s="4">
        <f>SUMIFS('GL-Transactions'!C:C,'GL-Transactions'!G:G,"Total",'GL-Transactions'!E:E,B541)</f>
        <v>7045629</v>
      </c>
      <c r="E541" s="4">
        <f>SUMIFS('GL-Transactions'!B:B,'GL-Transactions'!G:G,"Total",'GL-Transactions'!E:E,B541)</f>
        <v>259900</v>
      </c>
      <c r="F541" s="4">
        <f t="shared" si="8"/>
        <v>6785729</v>
      </c>
    </row>
    <row r="542" spans="2:6" ht="15" customHeight="1">
      <c r="B542" s="3">
        <v>95040</v>
      </c>
      <c r="C542" s="3" t="s">
        <v>527</v>
      </c>
      <c r="D542" s="4">
        <f>SUMIFS('GL-Transactions'!C:C,'GL-Transactions'!G:G,"Total",'GL-Transactions'!E:E,B542)</f>
        <v>6684084</v>
      </c>
      <c r="E542" s="4">
        <f>SUMIFS('GL-Transactions'!B:B,'GL-Transactions'!G:G,"Total",'GL-Transactions'!E:E,B542)</f>
        <v>431915</v>
      </c>
      <c r="F542" s="4">
        <f t="shared" si="8"/>
        <v>6252169</v>
      </c>
    </row>
    <row r="543" spans="2:6" ht="15" customHeight="1">
      <c r="B543" s="3">
        <v>94040</v>
      </c>
      <c r="C543" s="3" t="s">
        <v>511</v>
      </c>
      <c r="D543" s="4">
        <f>SUMIFS('GL-Transactions'!C:C,'GL-Transactions'!G:G,"Total",'GL-Transactions'!E:E,B543)</f>
        <v>6066425</v>
      </c>
      <c r="E543" s="4">
        <f>SUMIFS('GL-Transactions'!B:B,'GL-Transactions'!G:G,"Total",'GL-Transactions'!E:E,B543)</f>
        <v>0</v>
      </c>
      <c r="F543" s="4">
        <f t="shared" si="8"/>
        <v>6066425</v>
      </c>
    </row>
    <row r="544" spans="2:6" ht="15" customHeight="1">
      <c r="B544" s="3">
        <v>93040</v>
      </c>
      <c r="C544" s="3" t="s">
        <v>499</v>
      </c>
      <c r="D544" s="4">
        <f>SUMIFS('GL-Transactions'!C:C,'GL-Transactions'!G:G,"Total",'GL-Transactions'!E:E,B544)</f>
        <v>189343</v>
      </c>
      <c r="E544" s="4">
        <f>SUMIFS('GL-Transactions'!B:B,'GL-Transactions'!G:G,"Total",'GL-Transactions'!E:E,B544)</f>
        <v>0</v>
      </c>
      <c r="F544" s="4">
        <f t="shared" si="8"/>
        <v>189343</v>
      </c>
    </row>
    <row r="545" spans="2:6" ht="15" customHeight="1">
      <c r="B545" s="3">
        <v>92040</v>
      </c>
      <c r="C545" s="3" t="s">
        <v>489</v>
      </c>
      <c r="D545" s="4">
        <f>SUMIFS('GL-Transactions'!C:C,'GL-Transactions'!G:G,"Total",'GL-Transactions'!E:E,B545)</f>
        <v>11861716</v>
      </c>
      <c r="E545" s="4">
        <f>SUMIFS('GL-Transactions'!B:B,'GL-Transactions'!G:G,"Total",'GL-Transactions'!E:E,B545)</f>
        <v>0</v>
      </c>
      <c r="F545" s="4">
        <f t="shared" si="8"/>
        <v>11861716</v>
      </c>
    </row>
    <row r="546" spans="2:6" ht="15" customHeight="1">
      <c r="B546" s="3">
        <v>91040</v>
      </c>
      <c r="C546" s="3" t="s">
        <v>484</v>
      </c>
      <c r="D546" s="4">
        <f>SUMIFS('GL-Transactions'!C:C,'GL-Transactions'!G:G,"Total",'GL-Transactions'!E:E,B546)</f>
        <v>37252326</v>
      </c>
      <c r="E546" s="4">
        <f>SUMIFS('GL-Transactions'!B:B,'GL-Transactions'!G:G,"Total",'GL-Transactions'!E:E,B546)</f>
        <v>6026000</v>
      </c>
      <c r="F546" s="4">
        <f t="shared" si="8"/>
        <v>31226326</v>
      </c>
    </row>
    <row r="547" spans="2:6" ht="15" customHeight="1">
      <c r="B547" s="3">
        <v>41702</v>
      </c>
      <c r="C547" s="3" t="s">
        <v>455</v>
      </c>
      <c r="D547" s="4">
        <f>SUMIFS('GL-Transactions'!C:C,'GL-Transactions'!G:G,"Total",'GL-Transactions'!E:E,B547)</f>
        <v>62909600</v>
      </c>
      <c r="E547" s="4">
        <f>SUMIFS('GL-Transactions'!B:B,'GL-Transactions'!G:G,"Total",'GL-Transactions'!E:E,B547)</f>
        <v>62909600</v>
      </c>
      <c r="F547" s="4">
        <f t="shared" si="8"/>
        <v>0</v>
      </c>
    </row>
    <row r="548" spans="2:6" ht="15" customHeight="1">
      <c r="B548" s="3">
        <v>41701</v>
      </c>
      <c r="C548" s="3" t="s">
        <v>453</v>
      </c>
      <c r="D548" s="4">
        <f>SUMIFS('GL-Transactions'!C:C,'GL-Transactions'!G:G,"Total",'GL-Transactions'!E:E,B548)</f>
        <v>32628950</v>
      </c>
      <c r="E548" s="4">
        <f>SUMIFS('GL-Transactions'!B:B,'GL-Transactions'!G:G,"Total",'GL-Transactions'!E:E,B548)</f>
        <v>37393975</v>
      </c>
      <c r="F548" s="4">
        <f t="shared" si="8"/>
        <v>-4765025</v>
      </c>
    </row>
    <row r="549" spans="2:6" ht="15" customHeight="1">
      <c r="B549" s="3">
        <v>33651</v>
      </c>
      <c r="C549" s="3" t="s">
        <v>448</v>
      </c>
      <c r="D549" s="4">
        <f>SUMIFS('GL-Transactions'!C:C,'GL-Transactions'!G:G,"Total",'GL-Transactions'!E:E,B549)</f>
        <v>559652</v>
      </c>
      <c r="E549" s="4">
        <f>SUMIFS('GL-Transactions'!B:B,'GL-Transactions'!G:G,"Total",'GL-Transactions'!E:E,B549)</f>
        <v>9167208</v>
      </c>
      <c r="F549" s="4">
        <f t="shared" si="8"/>
        <v>-8607556</v>
      </c>
    </row>
    <row r="550" spans="2:6" ht="15" customHeight="1">
      <c r="B550" s="3">
        <v>32602</v>
      </c>
      <c r="C550" s="3" t="s">
        <v>445</v>
      </c>
      <c r="D550" s="4">
        <f>SUMIFS('GL-Transactions'!C:C,'GL-Transactions'!G:G,"Total",'GL-Transactions'!E:E,B550)</f>
        <v>28750</v>
      </c>
      <c r="E550" s="4">
        <f>SUMIFS('GL-Transactions'!B:B,'GL-Transactions'!G:G,"Total",'GL-Transactions'!E:E,B550)</f>
        <v>0</v>
      </c>
      <c r="F550" s="4">
        <f t="shared" si="8"/>
        <v>28750</v>
      </c>
    </row>
    <row r="551" spans="2:6" ht="15" customHeight="1">
      <c r="B551" s="3">
        <v>32601</v>
      </c>
      <c r="C551" s="3" t="s">
        <v>443</v>
      </c>
      <c r="D551" s="4">
        <f>SUMIFS('GL-Transactions'!C:C,'GL-Transactions'!G:G,"Total",'GL-Transactions'!E:E,B551)</f>
        <v>8299816</v>
      </c>
      <c r="E551" s="4">
        <f>SUMIFS('GL-Transactions'!B:B,'GL-Transactions'!G:G,"Total",'GL-Transactions'!E:E,B551)</f>
        <v>11040000</v>
      </c>
      <c r="F551" s="4">
        <f t="shared" si="8"/>
        <v>-2740184</v>
      </c>
    </row>
    <row r="552" spans="2:6" ht="15" customHeight="1">
      <c r="B552" s="3">
        <v>31502</v>
      </c>
      <c r="C552" s="3" t="s">
        <v>438</v>
      </c>
      <c r="D552" s="4">
        <f>SUMIFS('GL-Transactions'!C:C,'GL-Transactions'!G:G,"Total",'GL-Transactions'!E:E,B552)</f>
        <v>2014052</v>
      </c>
      <c r="E552" s="4">
        <f>SUMIFS('GL-Transactions'!B:B,'GL-Transactions'!G:G,"Total",'GL-Transactions'!E:E,B552)</f>
        <v>13110000</v>
      </c>
      <c r="F552" s="4">
        <f t="shared" si="8"/>
        <v>-11095948</v>
      </c>
    </row>
    <row r="553" spans="2:6" ht="15" customHeight="1">
      <c r="B553" s="3">
        <v>31501</v>
      </c>
      <c r="C553" s="3" t="s">
        <v>433</v>
      </c>
      <c r="D553" s="4">
        <f>SUMIFS('GL-Transactions'!C:C,'GL-Transactions'!G:G,"Total",'GL-Transactions'!E:E,B553)</f>
        <v>25919996</v>
      </c>
      <c r="E553" s="4">
        <f>SUMIFS('GL-Transactions'!B:B,'GL-Transactions'!G:G,"Total",'GL-Transactions'!E:E,B553)</f>
        <v>22655000</v>
      </c>
      <c r="F553" s="4">
        <f t="shared" si="8"/>
        <v>3264996</v>
      </c>
    </row>
    <row r="554" spans="2:6" ht="15" customHeight="1">
      <c r="B554" s="3">
        <v>21402</v>
      </c>
      <c r="C554" s="3" t="s">
        <v>365</v>
      </c>
      <c r="D554" s="4">
        <f>SUMIFS('GL-Transactions'!C:C,'GL-Transactions'!G:G,"Total",'GL-Transactions'!E:E,B554)</f>
        <v>86250</v>
      </c>
      <c r="E554" s="4">
        <f>SUMIFS('GL-Transactions'!B:B,'GL-Transactions'!G:G,"Total",'GL-Transactions'!E:E,B554)</f>
        <v>846112</v>
      </c>
      <c r="F554" s="4">
        <f t="shared" si="8"/>
        <v>-759862</v>
      </c>
    </row>
    <row r="555" spans="2:6" ht="15" customHeight="1">
      <c r="B555" s="3">
        <v>21401</v>
      </c>
      <c r="C555" s="3" t="s">
        <v>362</v>
      </c>
      <c r="D555" s="4">
        <f>SUMIFS('GL-Transactions'!C:C,'GL-Transactions'!G:G,"Total",'GL-Transactions'!E:E,B555)</f>
        <v>333500</v>
      </c>
      <c r="E555" s="4">
        <f>SUMIFS('GL-Transactions'!B:B,'GL-Transactions'!G:G,"Total",'GL-Transactions'!E:E,B555)</f>
        <v>1831950</v>
      </c>
      <c r="F555" s="4">
        <f t="shared" si="8"/>
        <v>-1498450</v>
      </c>
    </row>
    <row r="556" spans="2:6" ht="15" customHeight="1">
      <c r="B556" s="3">
        <v>13302</v>
      </c>
      <c r="C556" s="3" t="s">
        <v>144</v>
      </c>
      <c r="D556" s="4">
        <f>SUMIFS('GL-Transactions'!C:C,'GL-Transactions'!G:G,"Total",'GL-Transactions'!E:E,B556)</f>
        <v>672750</v>
      </c>
      <c r="E556" s="4">
        <f>SUMIFS('GL-Transactions'!B:B,'GL-Transactions'!G:G,"Total",'GL-Transactions'!E:E,B556)</f>
        <v>0</v>
      </c>
      <c r="F556" s="4">
        <f t="shared" si="8"/>
        <v>672750</v>
      </c>
    </row>
    <row r="557" spans="2:6" ht="15" customHeight="1">
      <c r="B557" s="3">
        <v>13301</v>
      </c>
      <c r="C557" s="3" t="s">
        <v>141</v>
      </c>
      <c r="D557" s="4">
        <f>SUMIFS('GL-Transactions'!C:C,'GL-Transactions'!G:G,"Total",'GL-Transactions'!E:E,B557)</f>
        <v>287500</v>
      </c>
      <c r="E557" s="4">
        <f>SUMIFS('GL-Transactions'!B:B,'GL-Transactions'!G:G,"Total",'GL-Transactions'!E:E,B557)</f>
        <v>0</v>
      </c>
      <c r="F557" s="4">
        <f t="shared" si="8"/>
        <v>287500</v>
      </c>
    </row>
    <row r="558" spans="2:6" ht="15" customHeight="1">
      <c r="B558" s="3">
        <v>98</v>
      </c>
      <c r="C558" s="3" t="s">
        <v>570</v>
      </c>
      <c r="D558" s="4">
        <f>SUMIFS('GL-Transactions'!C:C,'GL-Transactions'!G:G,"Total",'GL-Transactions'!E:E,B558)</f>
        <v>88883476</v>
      </c>
      <c r="E558" s="4">
        <f>SUMIFS('GL-Transactions'!B:B,'GL-Transactions'!G:G,"Total",'GL-Transactions'!E:E,B558)</f>
        <v>39494025</v>
      </c>
      <c r="F558" s="4">
        <f t="shared" si="8"/>
        <v>49389451</v>
      </c>
    </row>
    <row r="559" spans="2:6" ht="15" customHeight="1">
      <c r="B559" s="3">
        <v>97</v>
      </c>
      <c r="C559" s="3" t="s">
        <v>561</v>
      </c>
      <c r="D559" s="4">
        <f>SUMIFS('GL-Transactions'!C:C,'GL-Transactions'!G:G,"Total",'GL-Transactions'!E:E,B559)</f>
        <v>61463189</v>
      </c>
      <c r="E559" s="4">
        <f>SUMIFS('GL-Transactions'!B:B,'GL-Transactions'!G:G,"Total",'GL-Transactions'!E:E,B559)</f>
        <v>290950</v>
      </c>
      <c r="F559" s="4">
        <f t="shared" si="8"/>
        <v>61172239</v>
      </c>
    </row>
    <row r="560" spans="2:6" ht="15" customHeight="1">
      <c r="B560" s="3">
        <v>96</v>
      </c>
      <c r="C560" s="3" t="s">
        <v>543</v>
      </c>
      <c r="D560" s="4">
        <f>SUMIFS('GL-Transactions'!C:C,'GL-Transactions'!G:G,"Total",'GL-Transactions'!E:E,B560)</f>
        <v>29236528</v>
      </c>
      <c r="E560" s="4">
        <f>SUMIFS('GL-Transactions'!B:B,'GL-Transactions'!G:G,"Total",'GL-Transactions'!E:E,B560)</f>
        <v>259900</v>
      </c>
      <c r="F560" s="4">
        <f t="shared" si="8"/>
        <v>28976628</v>
      </c>
    </row>
    <row r="561" spans="2:6" ht="15" customHeight="1">
      <c r="B561" s="3">
        <v>95</v>
      </c>
      <c r="C561" s="3" t="s">
        <v>531</v>
      </c>
      <c r="D561" s="4">
        <f>SUMIFS('GL-Transactions'!C:C,'GL-Transactions'!G:G,"Total",'GL-Transactions'!E:E,B561)</f>
        <v>53629796</v>
      </c>
      <c r="E561" s="4">
        <f>SUMIFS('GL-Transactions'!B:B,'GL-Transactions'!G:G,"Total",'GL-Transactions'!E:E,B561)</f>
        <v>431915</v>
      </c>
      <c r="F561" s="4">
        <f t="shared" si="8"/>
        <v>53197881</v>
      </c>
    </row>
    <row r="562" spans="2:6" ht="15" customHeight="1">
      <c r="B562" s="3">
        <v>94</v>
      </c>
      <c r="C562" s="3" t="s">
        <v>516</v>
      </c>
      <c r="D562" s="4">
        <f>SUMIFS('GL-Transactions'!C:C,'GL-Transactions'!G:G,"Total",'GL-Transactions'!E:E,B562)</f>
        <v>27504199</v>
      </c>
      <c r="E562" s="4">
        <f>SUMIFS('GL-Transactions'!B:B,'GL-Transactions'!G:G,"Total",'GL-Transactions'!E:E,B562)</f>
        <v>9429940</v>
      </c>
      <c r="F562" s="4">
        <f t="shared" si="8"/>
        <v>18074259</v>
      </c>
    </row>
    <row r="563" spans="2:6" ht="15" customHeight="1">
      <c r="B563" s="3">
        <v>93</v>
      </c>
      <c r="C563" s="3" t="s">
        <v>500</v>
      </c>
      <c r="D563" s="4">
        <f>SUMIFS('GL-Transactions'!C:C,'GL-Transactions'!G:G,"Total",'GL-Transactions'!E:E,B563)</f>
        <v>1774359</v>
      </c>
      <c r="E563" s="4">
        <f>SUMIFS('GL-Transactions'!B:B,'GL-Transactions'!G:G,"Total",'GL-Transactions'!E:E,B563)</f>
        <v>0</v>
      </c>
      <c r="F563" s="4">
        <f t="shared" si="8"/>
        <v>1774359</v>
      </c>
    </row>
    <row r="564" spans="2:6" ht="15" customHeight="1">
      <c r="B564" s="3">
        <v>92</v>
      </c>
      <c r="C564" s="3" t="s">
        <v>494</v>
      </c>
      <c r="D564" s="4">
        <f>SUMIFS('GL-Transactions'!C:C,'GL-Transactions'!G:G,"Total",'GL-Transactions'!E:E,B564)</f>
        <v>17834785</v>
      </c>
      <c r="E564" s="4">
        <f>SUMIFS('GL-Transactions'!B:B,'GL-Transactions'!G:G,"Total",'GL-Transactions'!E:E,B564)</f>
        <v>0</v>
      </c>
      <c r="F564" s="4">
        <f t="shared" si="8"/>
        <v>17834785</v>
      </c>
    </row>
    <row r="565" spans="2:6" ht="15" customHeight="1">
      <c r="B565" s="3">
        <v>91</v>
      </c>
      <c r="C565" s="3" t="s">
        <v>487</v>
      </c>
      <c r="D565" s="4">
        <f>SUMIFS('GL-Transactions'!C:C,'GL-Transactions'!G:G,"Total",'GL-Transactions'!E:E,B565)</f>
        <v>88862216</v>
      </c>
      <c r="E565" s="4">
        <f>SUMIFS('GL-Transactions'!B:B,'GL-Transactions'!G:G,"Total",'GL-Transactions'!E:E,B565)</f>
        <v>6026000</v>
      </c>
      <c r="F565" s="4">
        <f t="shared" si="8"/>
        <v>82836216</v>
      </c>
    </row>
    <row r="566" spans="2:6" ht="15" customHeight="1">
      <c r="B566" s="3">
        <v>41</v>
      </c>
      <c r="C566" s="3" t="s">
        <v>467</v>
      </c>
      <c r="D566" s="4">
        <f>SUMIFS('GL-Transactions'!C:C,'GL-Transactions'!G:G,"Total",'GL-Transactions'!E:E,B566)</f>
        <v>134259039</v>
      </c>
      <c r="E566" s="4">
        <f>SUMIFS('GL-Transactions'!B:B,'GL-Transactions'!G:G,"Total",'GL-Transactions'!E:E,B566)</f>
        <v>176718524</v>
      </c>
      <c r="F566" s="4">
        <f t="shared" si="8"/>
        <v>-42459485</v>
      </c>
    </row>
    <row r="567" spans="2:6" ht="15" customHeight="1">
      <c r="B567" s="3">
        <v>33</v>
      </c>
      <c r="C567" s="3" t="s">
        <v>449</v>
      </c>
      <c r="D567" s="4">
        <f>SUMIFS('GL-Transactions'!C:C,'GL-Transactions'!G:G,"Total",'GL-Transactions'!E:E,B567)</f>
        <v>559652</v>
      </c>
      <c r="E567" s="4">
        <f>SUMIFS('GL-Transactions'!B:B,'GL-Transactions'!G:G,"Total",'GL-Transactions'!E:E,B567)</f>
        <v>9167208</v>
      </c>
      <c r="F567" s="4">
        <f t="shared" si="8"/>
        <v>-8607556</v>
      </c>
    </row>
    <row r="568" spans="2:6" ht="15" customHeight="1">
      <c r="B568" s="3">
        <v>32</v>
      </c>
      <c r="C568" s="3" t="s">
        <v>446</v>
      </c>
      <c r="D568" s="4">
        <f>SUMIFS('GL-Transactions'!C:C,'GL-Transactions'!G:G,"Total",'GL-Transactions'!E:E,B568)</f>
        <v>8328566</v>
      </c>
      <c r="E568" s="4">
        <f>SUMIFS('GL-Transactions'!B:B,'GL-Transactions'!G:G,"Total",'GL-Transactions'!E:E,B568)</f>
        <v>11040000</v>
      </c>
      <c r="F568" s="4">
        <f t="shared" si="8"/>
        <v>-2711434</v>
      </c>
    </row>
    <row r="569" spans="2:6" ht="15" customHeight="1">
      <c r="B569" s="3">
        <v>31</v>
      </c>
      <c r="C569" s="3" t="s">
        <v>439</v>
      </c>
      <c r="D569" s="4">
        <f>SUMIFS('GL-Transactions'!C:C,'GL-Transactions'!G:G,"Total",'GL-Transactions'!E:E,B569)</f>
        <v>27934049</v>
      </c>
      <c r="E569" s="4">
        <f>SUMIFS('GL-Transactions'!B:B,'GL-Transactions'!G:G,"Total",'GL-Transactions'!E:E,B569)</f>
        <v>35765000</v>
      </c>
      <c r="F569" s="4">
        <f t="shared" si="8"/>
        <v>-7830951</v>
      </c>
    </row>
    <row r="570" spans="2:6" ht="15" customHeight="1">
      <c r="B570" s="3">
        <v>23</v>
      </c>
      <c r="C570" s="3" t="s">
        <v>427</v>
      </c>
      <c r="D570" s="4">
        <f>SUMIFS('GL-Transactions'!C:C,'GL-Transactions'!G:G,"Total",'GL-Transactions'!E:E,B570)</f>
        <v>7988647</v>
      </c>
      <c r="E570" s="4">
        <f>SUMIFS('GL-Transactions'!B:B,'GL-Transactions'!G:G,"Total",'GL-Transactions'!E:E,B570)</f>
        <v>17836500</v>
      </c>
      <c r="F570" s="4">
        <f t="shared" si="8"/>
        <v>-9847853</v>
      </c>
    </row>
    <row r="571" spans="2:6" ht="15" customHeight="1">
      <c r="B571" s="3">
        <v>22</v>
      </c>
      <c r="C571" s="3" t="s">
        <v>416</v>
      </c>
      <c r="D571" s="4">
        <f>SUMIFS('GL-Transactions'!C:C,'GL-Transactions'!G:G,"Total",'GL-Transactions'!E:E,B571)</f>
        <v>13127365</v>
      </c>
      <c r="E571" s="4">
        <f>SUMIFS('GL-Transactions'!B:B,'GL-Transactions'!G:G,"Total",'GL-Transactions'!E:E,B571)</f>
        <v>22309713</v>
      </c>
      <c r="F571" s="4">
        <f t="shared" si="8"/>
        <v>-9182348</v>
      </c>
    </row>
    <row r="572" spans="2:6" ht="15" customHeight="1">
      <c r="B572" s="3">
        <v>21</v>
      </c>
      <c r="C572" s="3" t="s">
        <v>388</v>
      </c>
      <c r="D572" s="4">
        <f>SUMIFS('GL-Transactions'!C:C,'GL-Transactions'!G:G,"Total",'GL-Transactions'!E:E,B572)</f>
        <v>9556011</v>
      </c>
      <c r="E572" s="4">
        <f>SUMIFS('GL-Transactions'!B:B,'GL-Transactions'!G:G,"Total",'GL-Transactions'!E:E,B572)</f>
        <v>32441069</v>
      </c>
      <c r="F572" s="4">
        <f t="shared" si="8"/>
        <v>-22885058</v>
      </c>
    </row>
    <row r="573" spans="2:6" ht="15" customHeight="1">
      <c r="B573" s="3">
        <v>13</v>
      </c>
      <c r="C573" s="3" t="s">
        <v>359</v>
      </c>
      <c r="D573" s="4">
        <f>SUMIFS('GL-Transactions'!C:C,'GL-Transactions'!G:G,"Total",'GL-Transactions'!E:E,B573)</f>
        <v>124314653</v>
      </c>
      <c r="E573" s="4">
        <f>SUMIFS('GL-Transactions'!B:B,'GL-Transactions'!G:G,"Total",'GL-Transactions'!E:E,B573)</f>
        <v>321749859</v>
      </c>
      <c r="F573" s="4">
        <f t="shared" si="8"/>
        <v>-197435206</v>
      </c>
    </row>
    <row r="574" spans="2:6" ht="15" customHeight="1">
      <c r="B574" s="3">
        <v>11</v>
      </c>
      <c r="C574" s="3" t="s">
        <v>138</v>
      </c>
      <c r="D574" s="4">
        <f>SUMIFS('GL-Transactions'!C:C,'GL-Transactions'!G:G,"Total",'GL-Transactions'!E:E,B574)</f>
        <v>48760000</v>
      </c>
      <c r="E574" s="4">
        <f>SUMIFS('GL-Transactions'!B:B,'GL-Transactions'!G:G,"Total",'GL-Transactions'!E:E,B574)</f>
        <v>156386981</v>
      </c>
      <c r="F574" s="4">
        <f t="shared" si="8"/>
        <v>-107626981</v>
      </c>
    </row>
    <row r="575" spans="2:6" ht="15" customHeight="1">
      <c r="B575" s="5" t="s">
        <v>571</v>
      </c>
      <c r="C575" s="5"/>
      <c r="D575" s="6">
        <f>SUM(D5:D574)</f>
        <v>1712749956</v>
      </c>
      <c r="E575" s="6">
        <f>SUM(E5:E574)</f>
        <v>1844657779</v>
      </c>
      <c r="F575" s="6">
        <f t="shared" ref="F575" si="9">D575-E575</f>
        <v>-131907823</v>
      </c>
    </row>
  </sheetData>
  <autoFilter ref="B4:F4" xr:uid="{90925012-E84C-F328-FD44-C204377146F8}">
    <sortState xmlns:xlrd2="http://schemas.microsoft.com/office/spreadsheetml/2017/richdata2" ref="B5:F574">
      <sortCondition descending="1" ref="B4:B574"/>
    </sortState>
  </autoFilter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FD2-8D5D-97D8-3A53-EA0B5D0EB143}">
  <dimension ref="A1:G5349"/>
  <sheetViews>
    <sheetView zoomScale="90" workbookViewId="0">
      <pane ySplit="1" topLeftCell="A2464" activePane="bottomLeft" state="frozen"/>
      <selection pane="bottomLeft" activeCell="B2496" sqref="B2496"/>
    </sheetView>
  </sheetViews>
  <sheetFormatPr defaultColWidth="9.1796875" defaultRowHeight="14.5" customHeight="1"/>
  <cols>
    <col min="1" max="3" width="14.36328125" customWidth="1"/>
    <col min="4" max="4" width="11.453125" customWidth="1"/>
    <col min="5" max="5" width="8.453125" customWidth="1"/>
    <col min="6" max="6" width="50" customWidth="1"/>
    <col min="7" max="7" width="17.1796875" customWidth="1"/>
  </cols>
  <sheetData>
    <row r="1" spans="1:7" ht="15.75" customHeight="1">
      <c r="A1" s="7" t="s">
        <v>572</v>
      </c>
      <c r="B1" s="7" t="s">
        <v>573</v>
      </c>
      <c r="C1" s="7" t="s">
        <v>574</v>
      </c>
      <c r="D1" s="7" t="s">
        <v>575</v>
      </c>
      <c r="E1" s="7" t="s">
        <v>576</v>
      </c>
      <c r="F1" s="7" t="s">
        <v>2</v>
      </c>
      <c r="G1" s="7" t="s">
        <v>577</v>
      </c>
    </row>
    <row r="2" spans="1:7" ht="15.75" customHeight="1">
      <c r="A2" s="8">
        <f t="shared" ref="A2:A256" si="0">C2-B2</f>
        <v>0</v>
      </c>
      <c r="B2" s="8"/>
      <c r="C2" s="8"/>
    </row>
    <row r="3" spans="1:7" ht="15.75" customHeight="1">
      <c r="A3" s="8">
        <f t="shared" si="0"/>
        <v>0</v>
      </c>
      <c r="B3" s="8"/>
      <c r="C3" s="8"/>
      <c r="D3" t="s">
        <v>6</v>
      </c>
      <c r="G3">
        <v>1110101</v>
      </c>
    </row>
    <row r="4" spans="1:7" ht="15.75" customHeight="1">
      <c r="A4" s="8">
        <f t="shared" si="0"/>
        <v>0</v>
      </c>
      <c r="B4" s="8"/>
      <c r="C4" s="8"/>
      <c r="F4" t="s">
        <v>578</v>
      </c>
      <c r="G4">
        <v>63841000</v>
      </c>
    </row>
    <row r="5" spans="1:7" ht="15.75" customHeight="1">
      <c r="A5" s="8">
        <f t="shared" si="0"/>
        <v>95881</v>
      </c>
      <c r="B5" s="8"/>
      <c r="C5" s="8">
        <v>95881</v>
      </c>
      <c r="D5">
        <v>151</v>
      </c>
      <c r="E5" t="s">
        <v>579</v>
      </c>
      <c r="F5" t="s">
        <v>580</v>
      </c>
      <c r="G5" s="9">
        <v>44712</v>
      </c>
    </row>
    <row r="6" spans="1:7" ht="15.75" customHeight="1">
      <c r="A6" s="8">
        <f t="shared" si="0"/>
        <v>95881</v>
      </c>
      <c r="B6" s="8"/>
      <c r="C6" s="8">
        <v>95881</v>
      </c>
    </row>
    <row r="7" spans="1:7" ht="15.75" customHeight="1">
      <c r="A7" s="8">
        <f t="shared" si="0"/>
        <v>95881</v>
      </c>
      <c r="B7" s="8"/>
      <c r="C7" s="8">
        <v>95881</v>
      </c>
      <c r="E7">
        <v>1110101</v>
      </c>
      <c r="F7" t="s">
        <v>6</v>
      </c>
      <c r="G7" t="s">
        <v>581</v>
      </c>
    </row>
    <row r="8" spans="1:7" ht="15.75" customHeight="1">
      <c r="A8" s="8">
        <f t="shared" si="0"/>
        <v>0</v>
      </c>
      <c r="B8" s="8"/>
      <c r="C8" s="8"/>
      <c r="D8" t="s">
        <v>7</v>
      </c>
      <c r="G8">
        <v>1110105</v>
      </c>
    </row>
    <row r="9" spans="1:7" ht="15.75" customHeight="1">
      <c r="A9" s="8">
        <f t="shared" si="0"/>
        <v>0</v>
      </c>
      <c r="B9" s="8"/>
      <c r="C9" s="8"/>
      <c r="F9" t="s">
        <v>582</v>
      </c>
      <c r="G9">
        <v>63240000</v>
      </c>
    </row>
    <row r="10" spans="1:7" ht="15.75" customHeight="1">
      <c r="A10" s="8">
        <f t="shared" si="0"/>
        <v>215625</v>
      </c>
      <c r="B10" s="8"/>
      <c r="C10" s="8">
        <v>215625</v>
      </c>
      <c r="D10">
        <v>256</v>
      </c>
      <c r="E10" t="s">
        <v>579</v>
      </c>
      <c r="F10" t="s">
        <v>583</v>
      </c>
      <c r="G10" s="9">
        <v>44778</v>
      </c>
    </row>
    <row r="11" spans="1:7" ht="15.75" customHeight="1">
      <c r="A11" s="8">
        <f t="shared" si="0"/>
        <v>215625</v>
      </c>
      <c r="B11" s="8"/>
      <c r="C11" s="8">
        <v>215625</v>
      </c>
    </row>
    <row r="12" spans="1:7" ht="15.75" customHeight="1">
      <c r="A12" s="8">
        <f t="shared" si="0"/>
        <v>215625</v>
      </c>
      <c r="B12" s="8"/>
      <c r="C12" s="8">
        <v>215625</v>
      </c>
      <c r="E12">
        <v>1110105</v>
      </c>
      <c r="F12" t="s">
        <v>7</v>
      </c>
      <c r="G12" t="s">
        <v>581</v>
      </c>
    </row>
    <row r="13" spans="1:7" ht="15.75" customHeight="1">
      <c r="A13" s="8">
        <f t="shared" si="0"/>
        <v>0</v>
      </c>
      <c r="B13" s="8"/>
      <c r="C13" s="8"/>
      <c r="D13" t="s">
        <v>8</v>
      </c>
      <c r="G13">
        <v>1110121</v>
      </c>
    </row>
    <row r="14" spans="1:7" ht="15.75" customHeight="1">
      <c r="A14" s="8">
        <f t="shared" si="0"/>
        <v>0</v>
      </c>
      <c r="B14" s="8"/>
      <c r="C14" s="8"/>
      <c r="F14" t="s">
        <v>584</v>
      </c>
      <c r="G14">
        <v>70612000</v>
      </c>
    </row>
    <row r="15" spans="1:7" ht="15.75" customHeight="1">
      <c r="A15" s="8">
        <f t="shared" si="0"/>
        <v>-1589177</v>
      </c>
      <c r="B15" s="8">
        <v>1589177</v>
      </c>
      <c r="C15" s="8"/>
      <c r="D15">
        <v>15</v>
      </c>
      <c r="E15" t="s">
        <v>585</v>
      </c>
      <c r="F15" t="s">
        <v>586</v>
      </c>
      <c r="G15" s="9">
        <v>44600</v>
      </c>
    </row>
    <row r="16" spans="1:7" ht="15.75" customHeight="1">
      <c r="A16" s="8">
        <f t="shared" si="0"/>
        <v>-1589177</v>
      </c>
      <c r="B16" s="8">
        <v>1589177</v>
      </c>
      <c r="C16" s="8"/>
    </row>
    <row r="17" spans="1:7" ht="15.75" customHeight="1">
      <c r="A17" s="8">
        <f t="shared" si="0"/>
        <v>-1589177</v>
      </c>
      <c r="B17" s="8">
        <v>1589177</v>
      </c>
      <c r="C17" s="8"/>
      <c r="E17">
        <v>1110121</v>
      </c>
      <c r="F17" t="s">
        <v>8</v>
      </c>
      <c r="G17" t="s">
        <v>581</v>
      </c>
    </row>
    <row r="18" spans="1:7" ht="15.75" customHeight="1">
      <c r="A18" s="8">
        <f t="shared" si="0"/>
        <v>0</v>
      </c>
      <c r="B18" s="8"/>
      <c r="C18" s="8"/>
      <c r="D18" t="s">
        <v>9</v>
      </c>
      <c r="G18">
        <v>1110301</v>
      </c>
    </row>
    <row r="19" spans="1:7" ht="15.75" customHeight="1">
      <c r="A19" s="8">
        <f t="shared" si="0"/>
        <v>0</v>
      </c>
      <c r="B19" s="8"/>
      <c r="C19" s="8"/>
      <c r="F19" t="s">
        <v>578</v>
      </c>
      <c r="G19">
        <v>63841000</v>
      </c>
    </row>
    <row r="20" spans="1:7" ht="15.75" customHeight="1">
      <c r="A20" s="8">
        <f t="shared" si="0"/>
        <v>34500</v>
      </c>
      <c r="B20" s="8"/>
      <c r="C20" s="8">
        <v>34500</v>
      </c>
      <c r="D20">
        <v>29</v>
      </c>
      <c r="E20" t="s">
        <v>587</v>
      </c>
      <c r="F20" t="s">
        <v>588</v>
      </c>
      <c r="G20" s="9">
        <v>44631</v>
      </c>
    </row>
    <row r="21" spans="1:7" ht="15.75" customHeight="1">
      <c r="A21" s="8">
        <f t="shared" si="0"/>
        <v>139495</v>
      </c>
      <c r="B21" s="8"/>
      <c r="C21" s="8">
        <v>139495</v>
      </c>
      <c r="D21">
        <v>128</v>
      </c>
      <c r="E21" t="s">
        <v>579</v>
      </c>
      <c r="F21" t="s">
        <v>589</v>
      </c>
      <c r="G21" s="9">
        <v>44692</v>
      </c>
    </row>
    <row r="22" spans="1:7" ht="15.75" customHeight="1">
      <c r="A22" s="8">
        <f t="shared" si="0"/>
        <v>173995</v>
      </c>
      <c r="B22" s="8"/>
      <c r="C22" s="8">
        <v>173995</v>
      </c>
    </row>
    <row r="23" spans="1:7" ht="15.75" customHeight="1">
      <c r="A23" s="8">
        <f t="shared" si="0"/>
        <v>173995</v>
      </c>
      <c r="B23" s="8"/>
      <c r="C23" s="8">
        <v>173995</v>
      </c>
      <c r="E23">
        <v>1110301</v>
      </c>
      <c r="F23" t="s">
        <v>9</v>
      </c>
      <c r="G23" t="s">
        <v>581</v>
      </c>
    </row>
    <row r="24" spans="1:7" ht="15.75" customHeight="1">
      <c r="A24" s="8">
        <f t="shared" si="0"/>
        <v>0</v>
      </c>
      <c r="B24" s="8"/>
      <c r="C24" s="8"/>
      <c r="D24" t="s">
        <v>10</v>
      </c>
      <c r="G24">
        <v>1110302</v>
      </c>
    </row>
    <row r="25" spans="1:7" ht="15.75" customHeight="1">
      <c r="A25" s="8">
        <f t="shared" si="0"/>
        <v>0</v>
      </c>
      <c r="B25" s="8"/>
      <c r="C25" s="8"/>
      <c r="F25" t="s">
        <v>590</v>
      </c>
      <c r="G25">
        <v>61811000</v>
      </c>
    </row>
    <row r="26" spans="1:7" ht="15.75" customHeight="1">
      <c r="A26" s="8">
        <f t="shared" si="0"/>
        <v>32200</v>
      </c>
      <c r="B26" s="8"/>
      <c r="C26" s="8">
        <v>32200</v>
      </c>
      <c r="D26">
        <v>301</v>
      </c>
      <c r="E26" t="s">
        <v>579</v>
      </c>
      <c r="F26" t="s">
        <v>591</v>
      </c>
      <c r="G26" s="9">
        <v>44830</v>
      </c>
    </row>
    <row r="27" spans="1:7" ht="15.75" customHeight="1">
      <c r="A27" s="8">
        <f t="shared" si="0"/>
        <v>32200</v>
      </c>
      <c r="B27" s="8"/>
      <c r="C27" s="8">
        <v>32200</v>
      </c>
    </row>
    <row r="28" spans="1:7" ht="15.75" customHeight="1">
      <c r="A28" s="8">
        <f t="shared" si="0"/>
        <v>32200</v>
      </c>
      <c r="B28" s="8"/>
      <c r="C28" s="8">
        <v>32200</v>
      </c>
      <c r="E28">
        <v>1110302</v>
      </c>
      <c r="F28" t="s">
        <v>10</v>
      </c>
      <c r="G28" t="s">
        <v>581</v>
      </c>
    </row>
    <row r="29" spans="1:7" ht="15.75" customHeight="1">
      <c r="A29" s="8">
        <f t="shared" si="0"/>
        <v>0</v>
      </c>
      <c r="B29" s="8"/>
      <c r="C29" s="8"/>
      <c r="D29" t="s">
        <v>11</v>
      </c>
      <c r="G29">
        <v>1110304</v>
      </c>
    </row>
    <row r="30" spans="1:7" ht="15.75" customHeight="1">
      <c r="A30" s="8">
        <f t="shared" si="0"/>
        <v>0</v>
      </c>
      <c r="B30" s="8"/>
      <c r="C30" s="8"/>
      <c r="F30" t="s">
        <v>592</v>
      </c>
      <c r="G30">
        <v>63833</v>
      </c>
    </row>
    <row r="31" spans="1:7" ht="15.75" customHeight="1">
      <c r="A31" s="8">
        <f t="shared" si="0"/>
        <v>84180</v>
      </c>
      <c r="B31" s="8"/>
      <c r="C31" s="8">
        <v>84180</v>
      </c>
      <c r="D31">
        <v>52</v>
      </c>
      <c r="E31" t="s">
        <v>579</v>
      </c>
      <c r="F31" t="s">
        <v>593</v>
      </c>
      <c r="G31" s="9">
        <v>44635</v>
      </c>
    </row>
    <row r="32" spans="1:7" ht="15.75" customHeight="1">
      <c r="A32" s="8">
        <f t="shared" si="0"/>
        <v>84180</v>
      </c>
      <c r="B32" s="8"/>
      <c r="C32" s="8">
        <v>84180</v>
      </c>
    </row>
    <row r="33" spans="1:7" ht="15.75" customHeight="1">
      <c r="A33" s="8">
        <f t="shared" si="0"/>
        <v>84180</v>
      </c>
      <c r="B33" s="8"/>
      <c r="C33" s="8">
        <v>84180</v>
      </c>
      <c r="E33">
        <v>1110304</v>
      </c>
      <c r="F33" t="s">
        <v>11</v>
      </c>
      <c r="G33" t="s">
        <v>581</v>
      </c>
    </row>
    <row r="34" spans="1:7" ht="15.75" customHeight="1">
      <c r="A34" s="8">
        <f t="shared" si="0"/>
        <v>0</v>
      </c>
      <c r="B34" s="8"/>
      <c r="C34" s="8"/>
      <c r="D34" t="s">
        <v>12</v>
      </c>
      <c r="G34">
        <v>1110501</v>
      </c>
    </row>
    <row r="35" spans="1:7" ht="15.75" customHeight="1">
      <c r="A35" s="8">
        <f t="shared" si="0"/>
        <v>0</v>
      </c>
      <c r="B35" s="8"/>
      <c r="C35" s="8"/>
      <c r="F35" t="s">
        <v>578</v>
      </c>
      <c r="G35">
        <v>63841000</v>
      </c>
    </row>
    <row r="36" spans="1:7" ht="15.75" customHeight="1">
      <c r="A36" s="8">
        <f t="shared" si="0"/>
        <v>69805</v>
      </c>
      <c r="B36" s="8"/>
      <c r="C36" s="8">
        <v>69805</v>
      </c>
      <c r="D36">
        <v>50</v>
      </c>
      <c r="E36" t="s">
        <v>594</v>
      </c>
      <c r="F36" t="s">
        <v>595</v>
      </c>
      <c r="G36" s="9">
        <v>44763</v>
      </c>
    </row>
    <row r="37" spans="1:7" ht="15.75" customHeight="1">
      <c r="A37" s="8">
        <f t="shared" si="0"/>
        <v>69805</v>
      </c>
      <c r="B37" s="8"/>
      <c r="C37" s="8">
        <v>69805</v>
      </c>
      <c r="D37">
        <v>78</v>
      </c>
      <c r="E37" t="s">
        <v>594</v>
      </c>
      <c r="F37" t="s">
        <v>596</v>
      </c>
      <c r="G37" s="9">
        <v>44774</v>
      </c>
    </row>
    <row r="38" spans="1:7" ht="15.75" customHeight="1">
      <c r="A38" s="8">
        <f t="shared" si="0"/>
        <v>139610</v>
      </c>
      <c r="B38" s="8"/>
      <c r="C38" s="8">
        <v>139610</v>
      </c>
    </row>
    <row r="39" spans="1:7" ht="15.75" customHeight="1">
      <c r="A39" s="8">
        <f t="shared" si="0"/>
        <v>139610</v>
      </c>
      <c r="B39" s="8"/>
      <c r="C39" s="8">
        <v>139610</v>
      </c>
      <c r="E39">
        <v>1110501</v>
      </c>
      <c r="F39" t="s">
        <v>12</v>
      </c>
      <c r="G39" t="s">
        <v>581</v>
      </c>
    </row>
    <row r="40" spans="1:7" ht="15.75" customHeight="1">
      <c r="A40" s="8">
        <f t="shared" si="0"/>
        <v>0</v>
      </c>
      <c r="B40" s="8"/>
      <c r="C40" s="8"/>
      <c r="D40" t="s">
        <v>13</v>
      </c>
      <c r="G40">
        <v>1110505</v>
      </c>
    </row>
    <row r="41" spans="1:7" ht="15.75" customHeight="1">
      <c r="A41" s="8">
        <f t="shared" si="0"/>
        <v>0</v>
      </c>
      <c r="B41" s="8"/>
      <c r="C41" s="8"/>
      <c r="F41" t="s">
        <v>582</v>
      </c>
      <c r="G41">
        <v>63240000</v>
      </c>
    </row>
    <row r="42" spans="1:7" ht="15.75" customHeight="1">
      <c r="A42" s="8">
        <f t="shared" si="0"/>
        <v>391000</v>
      </c>
      <c r="B42" s="8"/>
      <c r="C42" s="8">
        <v>391000</v>
      </c>
      <c r="D42">
        <v>257</v>
      </c>
      <c r="E42" t="s">
        <v>579</v>
      </c>
      <c r="F42" t="s">
        <v>597</v>
      </c>
      <c r="G42" s="9">
        <v>44783</v>
      </c>
    </row>
    <row r="43" spans="1:7" ht="15.75" customHeight="1">
      <c r="A43" s="8">
        <f t="shared" si="0"/>
        <v>391000</v>
      </c>
      <c r="B43" s="8"/>
      <c r="C43" s="8">
        <v>391000</v>
      </c>
    </row>
    <row r="44" spans="1:7" ht="15.75" customHeight="1">
      <c r="A44" s="8">
        <f t="shared" si="0"/>
        <v>391000</v>
      </c>
      <c r="B44" s="8"/>
      <c r="C44" s="8">
        <v>391000</v>
      </c>
      <c r="E44">
        <v>1110505</v>
      </c>
      <c r="F44" t="s">
        <v>13</v>
      </c>
      <c r="G44" t="s">
        <v>581</v>
      </c>
    </row>
    <row r="45" spans="1:7" ht="15.75" customHeight="1">
      <c r="A45" s="8">
        <f t="shared" si="0"/>
        <v>0</v>
      </c>
      <c r="B45" s="8"/>
      <c r="C45" s="8"/>
      <c r="D45" t="s">
        <v>14</v>
      </c>
      <c r="G45">
        <v>1110521</v>
      </c>
    </row>
    <row r="46" spans="1:7" ht="15.75" customHeight="1">
      <c r="A46" s="8">
        <f t="shared" si="0"/>
        <v>0</v>
      </c>
      <c r="B46" s="8"/>
      <c r="C46" s="8"/>
      <c r="F46" t="s">
        <v>584</v>
      </c>
      <c r="G46">
        <v>70612000</v>
      </c>
    </row>
    <row r="47" spans="1:7" ht="15.75" customHeight="1">
      <c r="A47" s="8">
        <f t="shared" si="0"/>
        <v>-1388252</v>
      </c>
      <c r="B47" s="8">
        <v>1388252</v>
      </c>
      <c r="C47" s="8"/>
      <c r="D47">
        <v>21</v>
      </c>
      <c r="E47" t="s">
        <v>585</v>
      </c>
      <c r="F47" t="s">
        <v>598</v>
      </c>
      <c r="G47" s="9">
        <v>44607</v>
      </c>
    </row>
    <row r="48" spans="1:7" ht="15.75" customHeight="1">
      <c r="A48" s="8">
        <f t="shared" si="0"/>
        <v>-287500</v>
      </c>
      <c r="B48" s="8">
        <v>287500</v>
      </c>
      <c r="C48" s="8"/>
      <c r="D48">
        <v>46</v>
      </c>
      <c r="E48" t="s">
        <v>585</v>
      </c>
      <c r="F48" t="s">
        <v>599</v>
      </c>
      <c r="G48" s="9">
        <v>44649</v>
      </c>
    </row>
    <row r="49" spans="1:7" ht="15.75" customHeight="1">
      <c r="A49" s="8">
        <f t="shared" si="0"/>
        <v>-1899376</v>
      </c>
      <c r="B49" s="8">
        <v>1899376</v>
      </c>
      <c r="C49" s="8"/>
      <c r="D49">
        <v>215</v>
      </c>
      <c r="E49" t="s">
        <v>585</v>
      </c>
      <c r="F49" t="s">
        <v>600</v>
      </c>
      <c r="G49" s="9">
        <v>44902</v>
      </c>
    </row>
    <row r="50" spans="1:7" ht="15.75" customHeight="1">
      <c r="A50" s="8">
        <f t="shared" si="0"/>
        <v>1899376</v>
      </c>
      <c r="B50" s="8"/>
      <c r="C50" s="8">
        <v>1899376</v>
      </c>
      <c r="D50">
        <v>278</v>
      </c>
      <c r="E50" t="s">
        <v>594</v>
      </c>
      <c r="F50" t="s">
        <v>601</v>
      </c>
      <c r="G50" s="9">
        <v>44925</v>
      </c>
    </row>
    <row r="51" spans="1:7" ht="15.75" customHeight="1">
      <c r="A51" s="8">
        <f t="shared" si="0"/>
        <v>-1675752</v>
      </c>
      <c r="B51" s="8">
        <v>3575128</v>
      </c>
      <c r="C51" s="8">
        <v>1899376</v>
      </c>
    </row>
    <row r="52" spans="1:7" ht="15.75" customHeight="1">
      <c r="A52" s="8">
        <f t="shared" si="0"/>
        <v>-1675752</v>
      </c>
      <c r="B52" s="8">
        <v>3575128</v>
      </c>
      <c r="C52" s="8">
        <v>1899376</v>
      </c>
      <c r="E52">
        <v>1110521</v>
      </c>
      <c r="F52" t="s">
        <v>14</v>
      </c>
      <c r="G52" t="s">
        <v>581</v>
      </c>
    </row>
    <row r="53" spans="1:7" ht="15.75" customHeight="1">
      <c r="A53" s="8">
        <f t="shared" si="0"/>
        <v>0</v>
      </c>
      <c r="B53" s="8"/>
      <c r="C53" s="8"/>
      <c r="D53" t="s">
        <v>15</v>
      </c>
      <c r="G53">
        <v>1110601</v>
      </c>
    </row>
    <row r="54" spans="1:7" ht="15.75" customHeight="1">
      <c r="A54" s="8">
        <f t="shared" si="0"/>
        <v>0</v>
      </c>
      <c r="B54" s="8"/>
      <c r="C54" s="8"/>
      <c r="F54" t="s">
        <v>578</v>
      </c>
      <c r="G54">
        <v>63841000</v>
      </c>
    </row>
    <row r="55" spans="1:7" ht="15.75" customHeight="1">
      <c r="A55" s="8">
        <f t="shared" si="0"/>
        <v>95881</v>
      </c>
      <c r="B55" s="8"/>
      <c r="C55" s="8">
        <v>95881</v>
      </c>
      <c r="D55">
        <v>151</v>
      </c>
      <c r="E55" t="s">
        <v>579</v>
      </c>
      <c r="F55" t="s">
        <v>580</v>
      </c>
      <c r="G55" s="9">
        <v>44712</v>
      </c>
    </row>
    <row r="56" spans="1:7" ht="15.75" customHeight="1">
      <c r="A56" s="8">
        <f t="shared" si="0"/>
        <v>95881</v>
      </c>
      <c r="B56" s="8"/>
      <c r="C56" s="8">
        <v>95881</v>
      </c>
    </row>
    <row r="57" spans="1:7" ht="15.75" customHeight="1">
      <c r="A57" s="8">
        <f t="shared" si="0"/>
        <v>95881</v>
      </c>
      <c r="B57" s="8"/>
      <c r="C57" s="8">
        <v>95881</v>
      </c>
      <c r="E57">
        <v>1110601</v>
      </c>
      <c r="F57" t="s">
        <v>15</v>
      </c>
      <c r="G57" t="s">
        <v>581</v>
      </c>
    </row>
    <row r="58" spans="1:7" ht="15.75" customHeight="1">
      <c r="A58" s="8">
        <f t="shared" si="0"/>
        <v>0</v>
      </c>
      <c r="B58" s="8"/>
      <c r="C58" s="8"/>
      <c r="D58" t="s">
        <v>16</v>
      </c>
      <c r="G58">
        <v>1110605</v>
      </c>
    </row>
    <row r="59" spans="1:7" ht="15.75" customHeight="1">
      <c r="A59" s="8">
        <f t="shared" si="0"/>
        <v>0</v>
      </c>
      <c r="B59" s="8"/>
      <c r="C59" s="8"/>
      <c r="F59" t="s">
        <v>582</v>
      </c>
      <c r="G59">
        <v>63240000</v>
      </c>
    </row>
    <row r="60" spans="1:7" ht="15.75" customHeight="1">
      <c r="A60" s="8">
        <f t="shared" si="0"/>
        <v>258750</v>
      </c>
      <c r="B60" s="8"/>
      <c r="C60" s="8">
        <v>258750</v>
      </c>
      <c r="D60">
        <v>256</v>
      </c>
      <c r="E60" t="s">
        <v>579</v>
      </c>
      <c r="F60" t="s">
        <v>583</v>
      </c>
      <c r="G60" s="9">
        <v>44778</v>
      </c>
    </row>
    <row r="61" spans="1:7" ht="15.75" customHeight="1">
      <c r="A61" s="8">
        <f t="shared" si="0"/>
        <v>258750</v>
      </c>
      <c r="B61" s="8"/>
      <c r="C61" s="8">
        <v>258750</v>
      </c>
    </row>
    <row r="62" spans="1:7" ht="15.75" customHeight="1">
      <c r="A62" s="8">
        <f t="shared" si="0"/>
        <v>258750</v>
      </c>
      <c r="B62" s="8"/>
      <c r="C62" s="8">
        <v>258750</v>
      </c>
      <c r="E62">
        <v>1110605</v>
      </c>
      <c r="F62" t="s">
        <v>16</v>
      </c>
      <c r="G62" t="s">
        <v>581</v>
      </c>
    </row>
    <row r="63" spans="1:7" ht="15.75" customHeight="1">
      <c r="A63" s="8">
        <f t="shared" si="0"/>
        <v>0</v>
      </c>
      <c r="B63" s="8"/>
      <c r="C63" s="8"/>
      <c r="D63" t="s">
        <v>17</v>
      </c>
      <c r="G63">
        <v>1110621</v>
      </c>
    </row>
    <row r="64" spans="1:7" ht="15.75" customHeight="1">
      <c r="A64" s="8">
        <f t="shared" si="0"/>
        <v>0</v>
      </c>
      <c r="B64" s="8"/>
      <c r="C64" s="8"/>
      <c r="F64" t="s">
        <v>584</v>
      </c>
      <c r="G64">
        <v>70612000</v>
      </c>
    </row>
    <row r="65" spans="1:7" ht="15.75" customHeight="1">
      <c r="A65" s="8">
        <f t="shared" si="0"/>
        <v>-1707771</v>
      </c>
      <c r="B65" s="8">
        <v>1707771</v>
      </c>
      <c r="C65" s="8"/>
      <c r="D65">
        <v>32</v>
      </c>
      <c r="E65" t="s">
        <v>585</v>
      </c>
      <c r="F65" t="s">
        <v>602</v>
      </c>
      <c r="G65" s="9">
        <v>44623</v>
      </c>
    </row>
    <row r="66" spans="1:7" ht="15.75" customHeight="1">
      <c r="A66" s="8">
        <f t="shared" si="0"/>
        <v>-1707771</v>
      </c>
      <c r="B66" s="8">
        <v>1707771</v>
      </c>
      <c r="C66" s="8"/>
    </row>
    <row r="67" spans="1:7" ht="15.75" customHeight="1">
      <c r="A67" s="8">
        <f t="shared" si="0"/>
        <v>-1707771</v>
      </c>
      <c r="B67" s="8">
        <v>1707771</v>
      </c>
      <c r="C67" s="8"/>
      <c r="E67">
        <v>1110621</v>
      </c>
      <c r="F67" t="s">
        <v>17</v>
      </c>
      <c r="G67" t="s">
        <v>581</v>
      </c>
    </row>
    <row r="68" spans="1:7" ht="15.75" customHeight="1">
      <c r="A68" s="8">
        <f t="shared" si="0"/>
        <v>0</v>
      </c>
      <c r="B68" s="8"/>
      <c r="C68" s="8"/>
      <c r="D68" t="s">
        <v>18</v>
      </c>
      <c r="G68">
        <v>1110801</v>
      </c>
    </row>
    <row r="69" spans="1:7" ht="15.75" customHeight="1">
      <c r="A69" s="8">
        <f t="shared" si="0"/>
        <v>0</v>
      </c>
      <c r="B69" s="8"/>
      <c r="C69" s="8"/>
      <c r="F69" t="s">
        <v>578</v>
      </c>
      <c r="G69">
        <v>63841000</v>
      </c>
    </row>
    <row r="70" spans="1:7" ht="15.75" customHeight="1">
      <c r="A70" s="8">
        <f t="shared" si="0"/>
        <v>139438</v>
      </c>
      <c r="B70" s="8"/>
      <c r="C70" s="8">
        <v>139438</v>
      </c>
      <c r="D70">
        <v>112</v>
      </c>
      <c r="E70" t="s">
        <v>579</v>
      </c>
      <c r="F70" t="s">
        <v>603</v>
      </c>
      <c r="G70" s="9">
        <v>44684</v>
      </c>
    </row>
    <row r="71" spans="1:7" ht="15.75" customHeight="1">
      <c r="A71" s="8">
        <f t="shared" si="0"/>
        <v>61007</v>
      </c>
      <c r="B71" s="8"/>
      <c r="C71" s="8">
        <v>61007</v>
      </c>
      <c r="D71">
        <v>124</v>
      </c>
      <c r="E71" t="s">
        <v>594</v>
      </c>
      <c r="F71" t="s">
        <v>604</v>
      </c>
      <c r="G71" s="9">
        <v>44830</v>
      </c>
    </row>
    <row r="72" spans="1:7" ht="15.75" customHeight="1">
      <c r="A72" s="8">
        <f t="shared" si="0"/>
        <v>200445</v>
      </c>
      <c r="B72" s="8"/>
      <c r="C72" s="8">
        <v>200445</v>
      </c>
    </row>
    <row r="73" spans="1:7" ht="15.75" customHeight="1">
      <c r="A73" s="8">
        <f t="shared" si="0"/>
        <v>200445</v>
      </c>
      <c r="B73" s="8"/>
      <c r="C73" s="8">
        <v>200445</v>
      </c>
      <c r="E73">
        <v>1110801</v>
      </c>
      <c r="F73" t="s">
        <v>18</v>
      </c>
      <c r="G73" t="s">
        <v>581</v>
      </c>
    </row>
    <row r="74" spans="1:7" ht="15.75" customHeight="1">
      <c r="A74" s="8">
        <f t="shared" si="0"/>
        <v>0</v>
      </c>
      <c r="B74" s="8"/>
      <c r="C74" s="8"/>
      <c r="D74" t="s">
        <v>19</v>
      </c>
      <c r="G74">
        <v>1110802</v>
      </c>
    </row>
    <row r="75" spans="1:7" ht="15.75" customHeight="1">
      <c r="A75" s="8">
        <f t="shared" si="0"/>
        <v>0</v>
      </c>
      <c r="B75" s="8"/>
      <c r="C75" s="8"/>
      <c r="F75" t="s">
        <v>590</v>
      </c>
      <c r="G75">
        <v>61811000</v>
      </c>
    </row>
    <row r="76" spans="1:7" ht="15.75" customHeight="1">
      <c r="A76" s="8">
        <f t="shared" si="0"/>
        <v>32200</v>
      </c>
      <c r="B76" s="8"/>
      <c r="C76" s="8">
        <v>32200</v>
      </c>
      <c r="D76">
        <v>301</v>
      </c>
      <c r="E76" t="s">
        <v>579</v>
      </c>
      <c r="F76" t="s">
        <v>591</v>
      </c>
      <c r="G76" s="9">
        <v>44830</v>
      </c>
    </row>
    <row r="77" spans="1:7" ht="15.75" customHeight="1">
      <c r="A77" s="8">
        <f t="shared" si="0"/>
        <v>32200</v>
      </c>
      <c r="B77" s="8"/>
      <c r="C77" s="8">
        <v>32200</v>
      </c>
    </row>
    <row r="78" spans="1:7" ht="15.75" customHeight="1">
      <c r="A78" s="8">
        <f t="shared" si="0"/>
        <v>32200</v>
      </c>
      <c r="B78" s="8"/>
      <c r="C78" s="8">
        <v>32200</v>
      </c>
      <c r="E78">
        <v>1110802</v>
      </c>
      <c r="F78" t="s">
        <v>19</v>
      </c>
      <c r="G78" t="s">
        <v>581</v>
      </c>
    </row>
    <row r="79" spans="1:7" ht="15.75" customHeight="1">
      <c r="A79" s="8">
        <f t="shared" si="0"/>
        <v>0</v>
      </c>
      <c r="B79" s="8"/>
      <c r="C79" s="8"/>
      <c r="D79" t="s">
        <v>20</v>
      </c>
      <c r="G79">
        <v>1110821</v>
      </c>
    </row>
    <row r="80" spans="1:7" ht="15.75" customHeight="1">
      <c r="A80" s="8">
        <f t="shared" si="0"/>
        <v>0</v>
      </c>
      <c r="B80" s="8"/>
      <c r="C80" s="8"/>
      <c r="F80" t="s">
        <v>584</v>
      </c>
      <c r="G80">
        <v>70612000</v>
      </c>
    </row>
    <row r="81" spans="1:7" ht="15.75" customHeight="1">
      <c r="A81" s="8">
        <f t="shared" si="0"/>
        <v>-3041307</v>
      </c>
      <c r="B81" s="8">
        <v>3041307</v>
      </c>
      <c r="C81" s="8"/>
      <c r="D81">
        <v>2</v>
      </c>
      <c r="E81" t="s">
        <v>585</v>
      </c>
      <c r="F81" t="s">
        <v>605</v>
      </c>
      <c r="G81" s="9">
        <v>44573</v>
      </c>
    </row>
    <row r="82" spans="1:7" ht="15.75" customHeight="1">
      <c r="A82" s="8">
        <f t="shared" si="0"/>
        <v>-3041307</v>
      </c>
      <c r="B82" s="8">
        <v>3041307</v>
      </c>
      <c r="C82" s="8"/>
    </row>
    <row r="83" spans="1:7" ht="15.75" customHeight="1">
      <c r="A83" s="8">
        <f t="shared" si="0"/>
        <v>-3041307</v>
      </c>
      <c r="B83" s="8">
        <v>3041307</v>
      </c>
      <c r="C83" s="8"/>
      <c r="E83">
        <v>1110821</v>
      </c>
      <c r="F83" t="s">
        <v>20</v>
      </c>
      <c r="G83" t="s">
        <v>581</v>
      </c>
    </row>
    <row r="84" spans="1:7" ht="15.75" customHeight="1">
      <c r="A84" s="8">
        <f t="shared" si="0"/>
        <v>0</v>
      </c>
      <c r="B84" s="8"/>
      <c r="C84" s="8"/>
      <c r="D84" t="s">
        <v>21</v>
      </c>
      <c r="G84">
        <v>1110901</v>
      </c>
    </row>
    <row r="85" spans="1:7" ht="15.75" customHeight="1">
      <c r="A85" s="8">
        <f t="shared" si="0"/>
        <v>0</v>
      </c>
      <c r="B85" s="8"/>
      <c r="C85" s="8"/>
      <c r="F85" t="s">
        <v>578</v>
      </c>
      <c r="G85">
        <v>63841000</v>
      </c>
    </row>
    <row r="86" spans="1:7" ht="15.75" customHeight="1">
      <c r="A86" s="8">
        <f t="shared" si="0"/>
        <v>182994</v>
      </c>
      <c r="B86" s="8"/>
      <c r="C86" s="8">
        <v>182994</v>
      </c>
      <c r="D86">
        <v>95</v>
      </c>
      <c r="E86" t="s">
        <v>579</v>
      </c>
      <c r="F86" t="s">
        <v>606</v>
      </c>
      <c r="G86" s="9">
        <v>44663</v>
      </c>
    </row>
    <row r="87" spans="1:7" ht="15.75" customHeight="1">
      <c r="A87" s="8">
        <f t="shared" si="0"/>
        <v>34903</v>
      </c>
      <c r="B87" s="8"/>
      <c r="C87" s="8">
        <v>34903</v>
      </c>
      <c r="D87">
        <v>184</v>
      </c>
      <c r="E87" t="s">
        <v>587</v>
      </c>
      <c r="F87" t="s">
        <v>607</v>
      </c>
      <c r="G87" s="9">
        <v>44725</v>
      </c>
    </row>
    <row r="88" spans="1:7" ht="15.75" customHeight="1">
      <c r="A88" s="8">
        <f t="shared" si="0"/>
        <v>23268</v>
      </c>
      <c r="B88" s="8"/>
      <c r="C88" s="8">
        <v>23268</v>
      </c>
      <c r="D88">
        <v>185</v>
      </c>
      <c r="E88" t="s">
        <v>587</v>
      </c>
      <c r="F88" t="s">
        <v>608</v>
      </c>
      <c r="G88" s="9">
        <v>44726</v>
      </c>
    </row>
    <row r="89" spans="1:7" ht="15.75" customHeight="1">
      <c r="A89" s="8">
        <f t="shared" si="0"/>
        <v>-69805</v>
      </c>
      <c r="B89" s="8">
        <v>69805</v>
      </c>
      <c r="C89" s="8"/>
      <c r="D89">
        <v>120379</v>
      </c>
      <c r="E89" t="s">
        <v>587</v>
      </c>
      <c r="F89" t="s">
        <v>609</v>
      </c>
      <c r="G89" s="9">
        <v>44925</v>
      </c>
    </row>
    <row r="90" spans="1:7" ht="15.75" customHeight="1">
      <c r="A90" s="8">
        <f t="shared" si="0"/>
        <v>-34903</v>
      </c>
      <c r="B90" s="8">
        <v>34903</v>
      </c>
      <c r="C90" s="8"/>
      <c r="D90">
        <v>120380</v>
      </c>
      <c r="E90" t="s">
        <v>587</v>
      </c>
      <c r="F90" t="s">
        <v>610</v>
      </c>
      <c r="G90" s="9">
        <v>44925</v>
      </c>
    </row>
    <row r="91" spans="1:7" ht="15.75" customHeight="1">
      <c r="A91" s="8">
        <f t="shared" si="0"/>
        <v>69805</v>
      </c>
      <c r="B91" s="8"/>
      <c r="C91" s="8">
        <v>69805</v>
      </c>
      <c r="D91">
        <v>245</v>
      </c>
      <c r="E91" t="s">
        <v>594</v>
      </c>
      <c r="F91" t="s">
        <v>611</v>
      </c>
      <c r="G91" s="9">
        <v>44925</v>
      </c>
    </row>
    <row r="92" spans="1:7" ht="15.75" customHeight="1">
      <c r="A92" s="8">
        <f t="shared" si="0"/>
        <v>34903</v>
      </c>
      <c r="B92" s="8"/>
      <c r="C92" s="8">
        <v>34903</v>
      </c>
      <c r="D92">
        <v>246</v>
      </c>
      <c r="E92" t="s">
        <v>594</v>
      </c>
      <c r="F92" t="s">
        <v>611</v>
      </c>
      <c r="G92" s="9">
        <v>44925</v>
      </c>
    </row>
    <row r="93" spans="1:7" ht="15.75" customHeight="1">
      <c r="A93" s="8">
        <f t="shared" si="0"/>
        <v>241165</v>
      </c>
      <c r="B93" s="8">
        <v>104707</v>
      </c>
      <c r="C93" s="8">
        <v>345872</v>
      </c>
    </row>
    <row r="94" spans="1:7" ht="15.75" customHeight="1">
      <c r="A94" s="8">
        <f t="shared" si="0"/>
        <v>241165</v>
      </c>
      <c r="B94" s="8">
        <v>104707</v>
      </c>
      <c r="C94" s="8">
        <v>345872</v>
      </c>
      <c r="E94">
        <v>1110901</v>
      </c>
      <c r="F94" t="s">
        <v>21</v>
      </c>
      <c r="G94" t="s">
        <v>581</v>
      </c>
    </row>
    <row r="95" spans="1:7" ht="15.75" customHeight="1">
      <c r="A95" s="8">
        <f t="shared" si="0"/>
        <v>0</v>
      </c>
      <c r="B95" s="8"/>
      <c r="C95" s="8"/>
      <c r="D95" t="s">
        <v>22</v>
      </c>
      <c r="G95">
        <v>1110902</v>
      </c>
    </row>
    <row r="96" spans="1:7" ht="15.75" customHeight="1">
      <c r="A96" s="8">
        <f t="shared" si="0"/>
        <v>0</v>
      </c>
      <c r="B96" s="8"/>
      <c r="C96" s="8"/>
      <c r="F96" t="s">
        <v>590</v>
      </c>
      <c r="G96">
        <v>61811000</v>
      </c>
    </row>
    <row r="97" spans="1:7" ht="15.75" customHeight="1">
      <c r="A97" s="8">
        <f t="shared" si="0"/>
        <v>69000</v>
      </c>
      <c r="B97" s="8"/>
      <c r="C97" s="8">
        <v>69000</v>
      </c>
      <c r="D97">
        <v>94</v>
      </c>
      <c r="E97" t="s">
        <v>579</v>
      </c>
      <c r="F97" t="s">
        <v>612</v>
      </c>
      <c r="G97" s="9">
        <v>44662</v>
      </c>
    </row>
    <row r="98" spans="1:7" ht="15.75" customHeight="1">
      <c r="A98" s="8">
        <f t="shared" si="0"/>
        <v>34500</v>
      </c>
      <c r="B98" s="8"/>
      <c r="C98" s="8">
        <v>34500</v>
      </c>
      <c r="D98">
        <v>182</v>
      </c>
      <c r="E98" t="s">
        <v>579</v>
      </c>
      <c r="F98" t="s">
        <v>613</v>
      </c>
      <c r="G98" s="9">
        <v>44714</v>
      </c>
    </row>
    <row r="99" spans="1:7" ht="15.75" customHeight="1">
      <c r="A99" s="8">
        <f t="shared" si="0"/>
        <v>103500</v>
      </c>
      <c r="B99" s="8"/>
      <c r="C99" s="8">
        <v>103500</v>
      </c>
    </row>
    <row r="100" spans="1:7" ht="15.75" customHeight="1">
      <c r="A100" s="8">
        <f t="shared" si="0"/>
        <v>103500</v>
      </c>
      <c r="B100" s="8"/>
      <c r="C100" s="8">
        <v>103500</v>
      </c>
      <c r="E100">
        <v>1110902</v>
      </c>
      <c r="F100" t="s">
        <v>22</v>
      </c>
      <c r="G100" t="s">
        <v>581</v>
      </c>
    </row>
    <row r="101" spans="1:7" ht="15.75" customHeight="1">
      <c r="A101" s="8">
        <f t="shared" si="0"/>
        <v>0</v>
      </c>
      <c r="B101" s="8"/>
      <c r="C101" s="8"/>
      <c r="D101" t="s">
        <v>23</v>
      </c>
      <c r="G101">
        <v>1110921</v>
      </c>
    </row>
    <row r="102" spans="1:7" ht="15.75" customHeight="1">
      <c r="A102" s="8">
        <f t="shared" si="0"/>
        <v>0</v>
      </c>
      <c r="B102" s="8"/>
      <c r="C102" s="8"/>
      <c r="F102" t="s">
        <v>584</v>
      </c>
      <c r="G102">
        <v>70612000</v>
      </c>
    </row>
    <row r="103" spans="1:7" ht="15.75" customHeight="1">
      <c r="A103" s="8">
        <f t="shared" si="0"/>
        <v>-2974572</v>
      </c>
      <c r="B103" s="8">
        <v>2974572</v>
      </c>
      <c r="C103" s="8"/>
      <c r="D103">
        <v>41</v>
      </c>
      <c r="E103" t="s">
        <v>585</v>
      </c>
      <c r="F103" t="s">
        <v>614</v>
      </c>
      <c r="G103" s="9">
        <v>44642</v>
      </c>
    </row>
    <row r="104" spans="1:7" ht="15.75" customHeight="1">
      <c r="A104" s="8">
        <f t="shared" si="0"/>
        <v>-2974572</v>
      </c>
      <c r="B104" s="8">
        <v>2974572</v>
      </c>
      <c r="C104" s="8"/>
    </row>
    <row r="105" spans="1:7" ht="15.75" customHeight="1">
      <c r="A105" s="8">
        <f t="shared" si="0"/>
        <v>-2974572</v>
      </c>
      <c r="B105" s="8">
        <v>2974572</v>
      </c>
      <c r="C105" s="8"/>
      <c r="E105">
        <v>1110921</v>
      </c>
      <c r="F105" t="s">
        <v>23</v>
      </c>
      <c r="G105" t="s">
        <v>581</v>
      </c>
    </row>
    <row r="106" spans="1:7" ht="15.75" customHeight="1">
      <c r="A106" s="8">
        <f t="shared" si="0"/>
        <v>0</v>
      </c>
      <c r="B106" s="8"/>
      <c r="C106" s="8"/>
      <c r="D106" t="s">
        <v>24</v>
      </c>
      <c r="G106">
        <v>1111001</v>
      </c>
    </row>
    <row r="107" spans="1:7" ht="15.75" customHeight="1">
      <c r="A107" s="8">
        <f t="shared" si="0"/>
        <v>0</v>
      </c>
      <c r="B107" s="8"/>
      <c r="C107" s="8"/>
      <c r="F107" t="s">
        <v>578</v>
      </c>
      <c r="G107">
        <v>63841000</v>
      </c>
    </row>
    <row r="108" spans="1:7" ht="15.75" customHeight="1">
      <c r="A108" s="8">
        <f t="shared" si="0"/>
        <v>61007</v>
      </c>
      <c r="B108" s="8"/>
      <c r="C108" s="8">
        <v>61007</v>
      </c>
      <c r="D108">
        <v>124</v>
      </c>
      <c r="E108" t="s">
        <v>594</v>
      </c>
      <c r="F108" t="s">
        <v>604</v>
      </c>
      <c r="G108" s="9">
        <v>44830</v>
      </c>
    </row>
    <row r="109" spans="1:7" ht="15.75" customHeight="1">
      <c r="A109" s="8">
        <f t="shared" si="0"/>
        <v>61007</v>
      </c>
      <c r="B109" s="8"/>
      <c r="C109" s="8">
        <v>61007</v>
      </c>
    </row>
    <row r="110" spans="1:7" ht="15.75" customHeight="1">
      <c r="A110" s="8">
        <f t="shared" si="0"/>
        <v>61007</v>
      </c>
      <c r="B110" s="8"/>
      <c r="C110" s="8">
        <v>61007</v>
      </c>
      <c r="E110">
        <v>1111001</v>
      </c>
      <c r="F110" t="s">
        <v>24</v>
      </c>
      <c r="G110" t="s">
        <v>581</v>
      </c>
    </row>
    <row r="111" spans="1:7" ht="15.75" customHeight="1">
      <c r="A111" s="8">
        <f t="shared" si="0"/>
        <v>0</v>
      </c>
      <c r="B111" s="8"/>
      <c r="C111" s="8"/>
      <c r="D111" t="s">
        <v>25</v>
      </c>
      <c r="G111">
        <v>1111021</v>
      </c>
    </row>
    <row r="112" spans="1:7" ht="15.75" customHeight="1">
      <c r="A112" s="8">
        <f t="shared" si="0"/>
        <v>0</v>
      </c>
      <c r="B112" s="8"/>
      <c r="C112" s="8"/>
      <c r="F112" t="s">
        <v>584</v>
      </c>
      <c r="G112">
        <v>70612000</v>
      </c>
    </row>
    <row r="113" spans="1:7" ht="15.75" customHeight="1">
      <c r="A113" s="8">
        <f t="shared" si="0"/>
        <v>-4724862</v>
      </c>
      <c r="B113" s="8">
        <v>4724862</v>
      </c>
      <c r="C113" s="8"/>
      <c r="D113">
        <v>203</v>
      </c>
      <c r="E113" t="s">
        <v>585</v>
      </c>
      <c r="F113" t="s">
        <v>615</v>
      </c>
      <c r="G113" s="9">
        <v>44873</v>
      </c>
    </row>
    <row r="114" spans="1:7" ht="15.75" customHeight="1">
      <c r="A114" s="8">
        <f t="shared" si="0"/>
        <v>4724862</v>
      </c>
      <c r="B114" s="8"/>
      <c r="C114" s="8">
        <v>4724862</v>
      </c>
      <c r="D114">
        <v>204</v>
      </c>
      <c r="E114" t="s">
        <v>585</v>
      </c>
      <c r="F114" t="s">
        <v>616</v>
      </c>
      <c r="G114" s="9">
        <v>44874</v>
      </c>
    </row>
    <row r="115" spans="1:7" ht="15.75" customHeight="1">
      <c r="A115" s="8">
        <f t="shared" si="0"/>
        <v>-4724862</v>
      </c>
      <c r="B115" s="8">
        <v>4724862</v>
      </c>
      <c r="C115" s="8"/>
      <c r="D115">
        <v>205</v>
      </c>
      <c r="E115" t="s">
        <v>585</v>
      </c>
      <c r="F115" t="s">
        <v>617</v>
      </c>
      <c r="G115" s="9">
        <v>44874</v>
      </c>
    </row>
    <row r="116" spans="1:7" ht="15.75" customHeight="1">
      <c r="A116" s="8">
        <f t="shared" si="0"/>
        <v>4724862</v>
      </c>
      <c r="B116" s="8"/>
      <c r="C116" s="8">
        <v>4724862</v>
      </c>
      <c r="D116">
        <v>277</v>
      </c>
      <c r="E116" t="s">
        <v>594</v>
      </c>
      <c r="F116" t="s">
        <v>618</v>
      </c>
      <c r="G116" s="9">
        <v>44925</v>
      </c>
    </row>
    <row r="117" spans="1:7" ht="15.75" customHeight="1">
      <c r="A117" s="8">
        <f t="shared" si="0"/>
        <v>0</v>
      </c>
      <c r="B117" s="8">
        <v>9449725</v>
      </c>
      <c r="C117" s="8">
        <v>9449725</v>
      </c>
    </row>
    <row r="118" spans="1:7" ht="15.75" customHeight="1">
      <c r="A118" s="8">
        <f t="shared" si="0"/>
        <v>0</v>
      </c>
      <c r="B118" s="8">
        <v>9449725</v>
      </c>
      <c r="C118" s="8">
        <v>9449725</v>
      </c>
      <c r="E118">
        <v>1111021</v>
      </c>
      <c r="F118" t="s">
        <v>25</v>
      </c>
      <c r="G118" t="s">
        <v>581</v>
      </c>
    </row>
    <row r="119" spans="1:7" ht="15.75" customHeight="1">
      <c r="A119" s="8">
        <f t="shared" si="0"/>
        <v>0</v>
      </c>
      <c r="B119" s="8"/>
      <c r="C119" s="8"/>
      <c r="D119" t="s">
        <v>26</v>
      </c>
      <c r="G119">
        <v>1111201</v>
      </c>
    </row>
    <row r="120" spans="1:7" ht="15.75" customHeight="1">
      <c r="A120" s="8">
        <f t="shared" si="0"/>
        <v>0</v>
      </c>
      <c r="B120" s="8"/>
      <c r="C120" s="8"/>
      <c r="F120" t="s">
        <v>578</v>
      </c>
      <c r="G120">
        <v>63841000</v>
      </c>
    </row>
    <row r="121" spans="1:7" ht="15.75" customHeight="1">
      <c r="A121" s="8">
        <f t="shared" si="0"/>
        <v>87170</v>
      </c>
      <c r="B121" s="8"/>
      <c r="C121" s="8">
        <v>87170</v>
      </c>
      <c r="D121">
        <v>153</v>
      </c>
      <c r="E121" t="s">
        <v>579</v>
      </c>
      <c r="F121" t="s">
        <v>619</v>
      </c>
      <c r="G121" s="9">
        <v>44712</v>
      </c>
    </row>
    <row r="122" spans="1:7" ht="15.75" customHeight="1">
      <c r="A122" s="8">
        <f t="shared" si="0"/>
        <v>87170</v>
      </c>
      <c r="B122" s="8"/>
      <c r="C122" s="8">
        <v>87170</v>
      </c>
    </row>
    <row r="123" spans="1:7" ht="15.75" customHeight="1">
      <c r="A123" s="8">
        <f t="shared" si="0"/>
        <v>87170</v>
      </c>
      <c r="B123" s="8"/>
      <c r="C123" s="8">
        <v>87170</v>
      </c>
      <c r="E123">
        <v>1111201</v>
      </c>
      <c r="F123" t="s">
        <v>26</v>
      </c>
      <c r="G123" t="s">
        <v>581</v>
      </c>
    </row>
    <row r="124" spans="1:7" ht="15.75" customHeight="1">
      <c r="A124" s="8">
        <f t="shared" si="0"/>
        <v>0</v>
      </c>
      <c r="B124" s="8"/>
      <c r="C124" s="8"/>
      <c r="D124" t="s">
        <v>27</v>
      </c>
      <c r="G124">
        <v>1111301</v>
      </c>
    </row>
    <row r="125" spans="1:7" ht="15.75" customHeight="1">
      <c r="A125" s="8">
        <f t="shared" si="0"/>
        <v>0</v>
      </c>
      <c r="B125" s="8"/>
      <c r="C125" s="8"/>
      <c r="F125" t="s">
        <v>578</v>
      </c>
      <c r="G125">
        <v>63841000</v>
      </c>
    </row>
    <row r="126" spans="1:7" ht="15.75" customHeight="1">
      <c r="A126" s="8">
        <f t="shared" si="0"/>
        <v>119169</v>
      </c>
      <c r="B126" s="8"/>
      <c r="C126" s="8">
        <v>119169</v>
      </c>
      <c r="D126">
        <v>180</v>
      </c>
      <c r="E126" t="s">
        <v>587</v>
      </c>
      <c r="F126" t="s">
        <v>620</v>
      </c>
      <c r="G126" s="9">
        <v>44722</v>
      </c>
    </row>
    <row r="127" spans="1:7" ht="15.75" customHeight="1">
      <c r="A127" s="8">
        <f t="shared" si="0"/>
        <v>226607</v>
      </c>
      <c r="B127" s="8"/>
      <c r="C127" s="8">
        <v>226607</v>
      </c>
      <c r="D127">
        <v>182</v>
      </c>
      <c r="E127" t="s">
        <v>587</v>
      </c>
      <c r="F127" t="s">
        <v>621</v>
      </c>
      <c r="G127" s="9">
        <v>44722</v>
      </c>
    </row>
    <row r="128" spans="1:7" ht="15.75" customHeight="1">
      <c r="A128" s="8">
        <f t="shared" si="0"/>
        <v>-226607</v>
      </c>
      <c r="B128" s="8">
        <v>226607</v>
      </c>
      <c r="C128" s="8"/>
      <c r="D128">
        <v>120381</v>
      </c>
      <c r="E128" t="s">
        <v>587</v>
      </c>
      <c r="F128" t="s">
        <v>622</v>
      </c>
      <c r="G128" s="9">
        <v>44925</v>
      </c>
    </row>
    <row r="129" spans="1:7" ht="15.75" customHeight="1">
      <c r="A129" s="8">
        <f t="shared" si="0"/>
        <v>-119169</v>
      </c>
      <c r="B129" s="8">
        <v>119169</v>
      </c>
      <c r="C129" s="8"/>
      <c r="D129">
        <v>120383</v>
      </c>
      <c r="E129" t="s">
        <v>587</v>
      </c>
      <c r="F129" t="s">
        <v>623</v>
      </c>
      <c r="G129" s="9">
        <v>44925</v>
      </c>
    </row>
    <row r="130" spans="1:7" ht="15.75" customHeight="1">
      <c r="A130" s="8">
        <f t="shared" si="0"/>
        <v>226607</v>
      </c>
      <c r="B130" s="8"/>
      <c r="C130" s="8">
        <v>226607</v>
      </c>
      <c r="D130">
        <v>247</v>
      </c>
      <c r="E130" t="s">
        <v>594</v>
      </c>
      <c r="F130" t="s">
        <v>624</v>
      </c>
      <c r="G130" s="9">
        <v>44925</v>
      </c>
    </row>
    <row r="131" spans="1:7" ht="15.75" customHeight="1">
      <c r="A131" s="8">
        <f t="shared" si="0"/>
        <v>119169</v>
      </c>
      <c r="B131" s="8"/>
      <c r="C131" s="8">
        <v>119169</v>
      </c>
      <c r="D131">
        <v>248</v>
      </c>
      <c r="E131" t="s">
        <v>594</v>
      </c>
      <c r="F131" t="s">
        <v>625</v>
      </c>
      <c r="G131" s="9">
        <v>44925</v>
      </c>
    </row>
    <row r="132" spans="1:7" ht="15.75" customHeight="1">
      <c r="A132" s="8">
        <f t="shared" si="0"/>
        <v>345777</v>
      </c>
      <c r="B132" s="8">
        <v>345776</v>
      </c>
      <c r="C132" s="8">
        <v>691553</v>
      </c>
    </row>
    <row r="133" spans="1:7" ht="15.75" customHeight="1">
      <c r="A133" s="8">
        <f t="shared" si="0"/>
        <v>345777</v>
      </c>
      <c r="B133" s="8">
        <v>345776</v>
      </c>
      <c r="C133" s="8">
        <v>691553</v>
      </c>
      <c r="E133">
        <v>1111301</v>
      </c>
      <c r="F133" t="s">
        <v>27</v>
      </c>
      <c r="G133" t="s">
        <v>581</v>
      </c>
    </row>
    <row r="134" spans="1:7" ht="15.75" customHeight="1">
      <c r="A134" s="8">
        <f t="shared" si="0"/>
        <v>0</v>
      </c>
      <c r="B134" s="8"/>
      <c r="C134" s="8"/>
      <c r="D134" t="s">
        <v>28</v>
      </c>
      <c r="G134">
        <v>1111305</v>
      </c>
    </row>
    <row r="135" spans="1:7" ht="15.75" customHeight="1">
      <c r="A135" s="8">
        <f t="shared" si="0"/>
        <v>0</v>
      </c>
      <c r="B135" s="8"/>
      <c r="C135" s="8"/>
      <c r="F135" t="s">
        <v>582</v>
      </c>
      <c r="G135">
        <v>63240000</v>
      </c>
    </row>
    <row r="136" spans="1:7" ht="15.75" customHeight="1">
      <c r="A136" s="8">
        <f t="shared" si="0"/>
        <v>452812</v>
      </c>
      <c r="B136" s="8"/>
      <c r="C136" s="8">
        <v>452812</v>
      </c>
      <c r="D136">
        <v>256</v>
      </c>
      <c r="E136" t="s">
        <v>579</v>
      </c>
      <c r="F136" t="s">
        <v>583</v>
      </c>
      <c r="G136" s="9">
        <v>44778</v>
      </c>
    </row>
    <row r="137" spans="1:7" ht="15.75" customHeight="1">
      <c r="A137" s="8">
        <f t="shared" si="0"/>
        <v>452812</v>
      </c>
      <c r="B137" s="8"/>
      <c r="C137" s="8">
        <v>452812</v>
      </c>
    </row>
    <row r="138" spans="1:7" ht="15.75" customHeight="1">
      <c r="A138" s="8">
        <f t="shared" si="0"/>
        <v>452812</v>
      </c>
      <c r="B138" s="8"/>
      <c r="C138" s="8">
        <v>452812</v>
      </c>
      <c r="E138">
        <v>1111305</v>
      </c>
      <c r="F138" t="s">
        <v>28</v>
      </c>
      <c r="G138" t="s">
        <v>581</v>
      </c>
    </row>
    <row r="139" spans="1:7" ht="15.75" customHeight="1">
      <c r="A139" s="8">
        <f t="shared" si="0"/>
        <v>0</v>
      </c>
      <c r="B139" s="8"/>
      <c r="C139" s="8"/>
      <c r="D139" t="s">
        <v>29</v>
      </c>
      <c r="G139">
        <v>1111401</v>
      </c>
    </row>
    <row r="140" spans="1:7" ht="15.75" customHeight="1">
      <c r="A140" s="8">
        <f t="shared" si="0"/>
        <v>0</v>
      </c>
      <c r="B140" s="8"/>
      <c r="C140" s="8"/>
      <c r="F140" t="s">
        <v>578</v>
      </c>
      <c r="G140">
        <v>63841000</v>
      </c>
    </row>
    <row r="141" spans="1:7" ht="15.75" customHeight="1">
      <c r="A141" s="8">
        <f t="shared" si="0"/>
        <v>69748</v>
      </c>
      <c r="B141" s="8"/>
      <c r="C141" s="8">
        <v>69748</v>
      </c>
      <c r="D141">
        <v>47</v>
      </c>
      <c r="E141" t="s">
        <v>594</v>
      </c>
      <c r="F141" t="s">
        <v>626</v>
      </c>
      <c r="G141" s="9">
        <v>44754</v>
      </c>
    </row>
    <row r="142" spans="1:7" ht="15.75" customHeight="1">
      <c r="A142" s="8">
        <f t="shared" si="0"/>
        <v>69748</v>
      </c>
      <c r="B142" s="8"/>
      <c r="C142" s="8">
        <v>69748</v>
      </c>
      <c r="D142">
        <v>48</v>
      </c>
      <c r="E142" t="s">
        <v>594</v>
      </c>
      <c r="F142" t="s">
        <v>627</v>
      </c>
      <c r="G142" s="9">
        <v>44754</v>
      </c>
    </row>
    <row r="143" spans="1:7" ht="15.75" customHeight="1">
      <c r="A143" s="8">
        <f t="shared" si="0"/>
        <v>139495</v>
      </c>
      <c r="B143" s="8"/>
      <c r="C143" s="8">
        <v>139495</v>
      </c>
    </row>
    <row r="144" spans="1:7" ht="15.75" customHeight="1">
      <c r="A144" s="8">
        <f t="shared" si="0"/>
        <v>139495</v>
      </c>
      <c r="B144" s="8"/>
      <c r="C144" s="8">
        <v>139495</v>
      </c>
      <c r="E144">
        <v>1111401</v>
      </c>
      <c r="F144" t="s">
        <v>29</v>
      </c>
      <c r="G144" t="s">
        <v>581</v>
      </c>
    </row>
    <row r="145" spans="1:7" ht="15.75" customHeight="1">
      <c r="A145" s="8">
        <f t="shared" si="0"/>
        <v>0</v>
      </c>
      <c r="B145" s="8"/>
      <c r="C145" s="8"/>
      <c r="D145" t="s">
        <v>30</v>
      </c>
      <c r="G145">
        <v>1111501</v>
      </c>
    </row>
    <row r="146" spans="1:7" ht="15.75" customHeight="1">
      <c r="A146" s="8">
        <f t="shared" si="0"/>
        <v>0</v>
      </c>
      <c r="B146" s="8"/>
      <c r="C146" s="8"/>
      <c r="F146" t="s">
        <v>578</v>
      </c>
      <c r="G146">
        <v>63841000</v>
      </c>
    </row>
    <row r="147" spans="1:7" ht="15.75" customHeight="1">
      <c r="A147" s="8">
        <f t="shared" si="0"/>
        <v>575058</v>
      </c>
      <c r="B147" s="8"/>
      <c r="C147" s="8">
        <v>575058</v>
      </c>
      <c r="D147">
        <v>82</v>
      </c>
      <c r="E147" t="s">
        <v>579</v>
      </c>
      <c r="F147" t="s">
        <v>628</v>
      </c>
      <c r="G147" s="9">
        <v>44652</v>
      </c>
    </row>
    <row r="148" spans="1:7" ht="15.75" customHeight="1">
      <c r="A148" s="8">
        <f t="shared" si="0"/>
        <v>17538</v>
      </c>
      <c r="B148" s="8"/>
      <c r="C148" s="8">
        <v>17538</v>
      </c>
      <c r="D148">
        <v>97</v>
      </c>
      <c r="E148" t="s">
        <v>579</v>
      </c>
      <c r="F148" t="s">
        <v>629</v>
      </c>
      <c r="G148" s="9">
        <v>44663</v>
      </c>
    </row>
    <row r="149" spans="1:7" ht="15.75" customHeight="1">
      <c r="A149" s="8">
        <f t="shared" si="0"/>
        <v>592595</v>
      </c>
      <c r="B149" s="8"/>
      <c r="C149" s="8">
        <v>592595</v>
      </c>
    </row>
    <row r="150" spans="1:7" ht="15.75" customHeight="1">
      <c r="A150" s="8">
        <f t="shared" si="0"/>
        <v>592595</v>
      </c>
      <c r="B150" s="8"/>
      <c r="C150" s="8">
        <v>592595</v>
      </c>
      <c r="E150">
        <v>1111501</v>
      </c>
      <c r="F150" t="s">
        <v>30</v>
      </c>
      <c r="G150" t="s">
        <v>581</v>
      </c>
    </row>
    <row r="151" spans="1:7" ht="15.75" customHeight="1">
      <c r="A151" s="8">
        <f t="shared" si="0"/>
        <v>0</v>
      </c>
      <c r="B151" s="8"/>
      <c r="C151" s="8"/>
      <c r="D151" t="s">
        <v>31</v>
      </c>
      <c r="G151">
        <v>1111502</v>
      </c>
    </row>
    <row r="152" spans="1:7" ht="15.75" customHeight="1">
      <c r="A152" s="8">
        <f t="shared" si="0"/>
        <v>0</v>
      </c>
      <c r="B152" s="8"/>
      <c r="C152" s="8"/>
      <c r="F152" t="s">
        <v>590</v>
      </c>
      <c r="G152">
        <v>61811000</v>
      </c>
    </row>
    <row r="153" spans="1:7" ht="15.75" customHeight="1">
      <c r="A153" s="8">
        <f t="shared" si="0"/>
        <v>225170</v>
      </c>
      <c r="B153" s="8"/>
      <c r="C153" s="8">
        <v>225170</v>
      </c>
      <c r="D153">
        <v>87</v>
      </c>
      <c r="E153" t="s">
        <v>579</v>
      </c>
      <c r="F153" t="s">
        <v>630</v>
      </c>
      <c r="G153" s="9">
        <v>44655</v>
      </c>
    </row>
    <row r="154" spans="1:7" ht="15.75" customHeight="1">
      <c r="A154" s="8">
        <f t="shared" si="0"/>
        <v>225170</v>
      </c>
      <c r="B154" s="8"/>
      <c r="C154" s="8">
        <v>225170</v>
      </c>
    </row>
    <row r="155" spans="1:7" ht="15.75" customHeight="1">
      <c r="A155" s="8">
        <f t="shared" si="0"/>
        <v>225170</v>
      </c>
      <c r="B155" s="8"/>
      <c r="C155" s="8">
        <v>225170</v>
      </c>
      <c r="E155">
        <v>1111502</v>
      </c>
      <c r="F155" t="s">
        <v>31</v>
      </c>
      <c r="G155" t="s">
        <v>581</v>
      </c>
    </row>
    <row r="156" spans="1:7" ht="15.75" customHeight="1">
      <c r="A156" s="8">
        <f t="shared" si="0"/>
        <v>0</v>
      </c>
      <c r="B156" s="8"/>
      <c r="C156" s="8"/>
      <c r="D156" t="s">
        <v>32</v>
      </c>
      <c r="G156">
        <v>1111521</v>
      </c>
    </row>
    <row r="157" spans="1:7" ht="15.75" customHeight="1">
      <c r="A157" s="8">
        <f t="shared" si="0"/>
        <v>0</v>
      </c>
      <c r="B157" s="8"/>
      <c r="C157" s="8"/>
      <c r="F157" t="s">
        <v>584</v>
      </c>
      <c r="G157">
        <v>70612000</v>
      </c>
    </row>
    <row r="158" spans="1:7" ht="15.75" customHeight="1">
      <c r="A158" s="8">
        <f t="shared" si="0"/>
        <v>-12177950</v>
      </c>
      <c r="B158" s="8">
        <v>12177950</v>
      </c>
      <c r="C158" s="8"/>
      <c r="D158">
        <v>56</v>
      </c>
      <c r="E158" t="s">
        <v>585</v>
      </c>
      <c r="F158" t="s">
        <v>631</v>
      </c>
      <c r="G158" s="9">
        <v>44658</v>
      </c>
    </row>
    <row r="159" spans="1:7" ht="15.75" customHeight="1">
      <c r="A159" s="8">
        <f t="shared" si="0"/>
        <v>-1817000</v>
      </c>
      <c r="B159" s="8">
        <v>1817000</v>
      </c>
      <c r="C159" s="8"/>
      <c r="D159">
        <v>94</v>
      </c>
      <c r="E159" t="s">
        <v>585</v>
      </c>
      <c r="F159" t="s">
        <v>632</v>
      </c>
      <c r="G159" s="9">
        <v>44727</v>
      </c>
    </row>
    <row r="160" spans="1:7" ht="15.75" customHeight="1">
      <c r="A160" s="8">
        <f t="shared" si="0"/>
        <v>-13994950</v>
      </c>
      <c r="B160" s="8">
        <v>13994950</v>
      </c>
      <c r="C160" s="8"/>
    </row>
    <row r="161" spans="1:7" ht="15.75" customHeight="1">
      <c r="A161" s="8">
        <f t="shared" si="0"/>
        <v>-13994950</v>
      </c>
      <c r="B161" s="8">
        <v>13994950</v>
      </c>
      <c r="C161" s="8"/>
      <c r="E161">
        <v>1111521</v>
      </c>
      <c r="F161" t="s">
        <v>32</v>
      </c>
      <c r="G161" t="s">
        <v>581</v>
      </c>
    </row>
    <row r="162" spans="1:7" ht="15.75" customHeight="1">
      <c r="A162" s="8">
        <f t="shared" si="0"/>
        <v>0</v>
      </c>
      <c r="B162" s="8"/>
      <c r="C162" s="8"/>
      <c r="D162" t="s">
        <v>33</v>
      </c>
      <c r="G162">
        <v>1111601</v>
      </c>
    </row>
    <row r="163" spans="1:7" ht="15.75" customHeight="1">
      <c r="A163" s="8">
        <f t="shared" si="0"/>
        <v>0</v>
      </c>
      <c r="B163" s="8"/>
      <c r="C163" s="8"/>
      <c r="F163" t="s">
        <v>578</v>
      </c>
      <c r="G163">
        <v>63841000</v>
      </c>
    </row>
    <row r="164" spans="1:7" ht="15.75" customHeight="1">
      <c r="A164" s="8">
        <f t="shared" si="0"/>
        <v>139495</v>
      </c>
      <c r="B164" s="8"/>
      <c r="C164" s="8">
        <v>139495</v>
      </c>
      <c r="D164">
        <v>122</v>
      </c>
      <c r="E164" t="s">
        <v>579</v>
      </c>
      <c r="F164" t="s">
        <v>633</v>
      </c>
      <c r="G164" s="9">
        <v>44687</v>
      </c>
    </row>
    <row r="165" spans="1:7" ht="15.75" customHeight="1">
      <c r="A165" s="8">
        <f t="shared" si="0"/>
        <v>34845</v>
      </c>
      <c r="B165" s="8"/>
      <c r="C165" s="8">
        <v>34845</v>
      </c>
      <c r="D165">
        <v>184</v>
      </c>
      <c r="E165" t="s">
        <v>587</v>
      </c>
      <c r="F165" t="s">
        <v>607</v>
      </c>
      <c r="G165" s="9">
        <v>44725</v>
      </c>
    </row>
    <row r="166" spans="1:7" ht="15.75" customHeight="1">
      <c r="A166" s="8">
        <f t="shared" si="0"/>
        <v>23269</v>
      </c>
      <c r="B166" s="8"/>
      <c r="C166" s="8">
        <v>23269</v>
      </c>
      <c r="D166">
        <v>185</v>
      </c>
      <c r="E166" t="s">
        <v>587</v>
      </c>
      <c r="F166" t="s">
        <v>608</v>
      </c>
      <c r="G166" s="9">
        <v>44726</v>
      </c>
    </row>
    <row r="167" spans="1:7" ht="15.75" customHeight="1">
      <c r="A167" s="8">
        <f t="shared" si="0"/>
        <v>-34845</v>
      </c>
      <c r="B167" s="8">
        <v>34845</v>
      </c>
      <c r="C167" s="8"/>
      <c r="D167">
        <v>120380</v>
      </c>
      <c r="E167" t="s">
        <v>587</v>
      </c>
      <c r="F167" t="s">
        <v>610</v>
      </c>
      <c r="G167" s="9">
        <v>44925</v>
      </c>
    </row>
    <row r="168" spans="1:7" ht="15.75" customHeight="1">
      <c r="A168" s="8">
        <f t="shared" si="0"/>
        <v>34845</v>
      </c>
      <c r="B168" s="8"/>
      <c r="C168" s="8">
        <v>34845</v>
      </c>
      <c r="D168">
        <v>246</v>
      </c>
      <c r="E168" t="s">
        <v>594</v>
      </c>
      <c r="F168" t="s">
        <v>611</v>
      </c>
      <c r="G168" s="9">
        <v>44925</v>
      </c>
    </row>
    <row r="169" spans="1:7" ht="15.75" customHeight="1">
      <c r="A169" s="8">
        <f t="shared" si="0"/>
        <v>197609</v>
      </c>
      <c r="B169" s="8">
        <v>34845</v>
      </c>
      <c r="C169" s="8">
        <v>232454</v>
      </c>
    </row>
    <row r="170" spans="1:7" ht="15.75" customHeight="1">
      <c r="A170" s="8">
        <f t="shared" si="0"/>
        <v>197609</v>
      </c>
      <c r="B170" s="8">
        <v>34845</v>
      </c>
      <c r="C170" s="8">
        <v>232454</v>
      </c>
      <c r="E170">
        <v>1111601</v>
      </c>
      <c r="F170" t="s">
        <v>33</v>
      </c>
      <c r="G170" t="s">
        <v>581</v>
      </c>
    </row>
    <row r="171" spans="1:7" ht="15.75" customHeight="1">
      <c r="A171" s="8">
        <f t="shared" si="0"/>
        <v>0</v>
      </c>
      <c r="B171" s="8"/>
      <c r="C171" s="8"/>
      <c r="D171" t="s">
        <v>34</v>
      </c>
      <c r="G171">
        <v>1111602</v>
      </c>
    </row>
    <row r="172" spans="1:7" ht="15.75" customHeight="1">
      <c r="A172" s="8">
        <f t="shared" si="0"/>
        <v>0</v>
      </c>
      <c r="B172" s="8"/>
      <c r="C172" s="8"/>
      <c r="F172" t="s">
        <v>590</v>
      </c>
      <c r="G172">
        <v>61811000</v>
      </c>
    </row>
    <row r="173" spans="1:7" ht="15.75" customHeight="1">
      <c r="A173" s="8">
        <f t="shared" si="0"/>
        <v>28750</v>
      </c>
      <c r="B173" s="8"/>
      <c r="C173" s="8">
        <v>28750</v>
      </c>
      <c r="D173">
        <v>182</v>
      </c>
      <c r="E173" t="s">
        <v>579</v>
      </c>
      <c r="F173" t="s">
        <v>613</v>
      </c>
      <c r="G173" s="9">
        <v>44714</v>
      </c>
    </row>
    <row r="174" spans="1:7" ht="15.75" customHeight="1">
      <c r="A174" s="8">
        <f t="shared" si="0"/>
        <v>32200</v>
      </c>
      <c r="B174" s="8"/>
      <c r="C174" s="8">
        <v>32200</v>
      </c>
      <c r="D174">
        <v>301</v>
      </c>
      <c r="E174" t="s">
        <v>579</v>
      </c>
      <c r="F174" t="s">
        <v>591</v>
      </c>
      <c r="G174" s="9">
        <v>44830</v>
      </c>
    </row>
    <row r="175" spans="1:7" ht="15.75" customHeight="1">
      <c r="A175" s="8">
        <f t="shared" si="0"/>
        <v>60950</v>
      </c>
      <c r="B175" s="8"/>
      <c r="C175" s="8">
        <v>60950</v>
      </c>
    </row>
    <row r="176" spans="1:7" ht="15.75" customHeight="1">
      <c r="A176" s="8">
        <f t="shared" si="0"/>
        <v>60950</v>
      </c>
      <c r="B176" s="8"/>
      <c r="C176" s="8">
        <v>60950</v>
      </c>
      <c r="E176">
        <v>1111602</v>
      </c>
      <c r="F176" t="s">
        <v>34</v>
      </c>
      <c r="G176" t="s">
        <v>581</v>
      </c>
    </row>
    <row r="177" spans="1:7" ht="15.75" customHeight="1">
      <c r="A177" s="8">
        <f t="shared" si="0"/>
        <v>0</v>
      </c>
      <c r="B177" s="8"/>
      <c r="C177" s="8"/>
      <c r="D177" t="s">
        <v>35</v>
      </c>
      <c r="G177">
        <v>1111621</v>
      </c>
    </row>
    <row r="178" spans="1:7" ht="15.75" customHeight="1">
      <c r="A178" s="8">
        <f t="shared" si="0"/>
        <v>0</v>
      </c>
      <c r="B178" s="8"/>
      <c r="C178" s="8"/>
      <c r="F178" t="s">
        <v>584</v>
      </c>
      <c r="G178">
        <v>70612000</v>
      </c>
    </row>
    <row r="179" spans="1:7" ht="15.75" customHeight="1">
      <c r="A179" s="8">
        <f t="shared" si="0"/>
        <v>-2797660</v>
      </c>
      <c r="B179" s="8">
        <v>2797660</v>
      </c>
      <c r="C179" s="8"/>
      <c r="D179">
        <v>39</v>
      </c>
      <c r="E179" t="s">
        <v>585</v>
      </c>
      <c r="F179" t="s">
        <v>634</v>
      </c>
      <c r="G179" s="9">
        <v>44637</v>
      </c>
    </row>
    <row r="180" spans="1:7" ht="15.75" customHeight="1">
      <c r="A180" s="8">
        <f t="shared" si="0"/>
        <v>-4588387</v>
      </c>
      <c r="B180" s="8">
        <v>4588387</v>
      </c>
      <c r="C180" s="8"/>
      <c r="D180">
        <v>105</v>
      </c>
      <c r="E180" t="s">
        <v>585</v>
      </c>
      <c r="F180" t="s">
        <v>635</v>
      </c>
      <c r="G180" s="9">
        <v>44741</v>
      </c>
    </row>
    <row r="181" spans="1:7" ht="15.75" customHeight="1">
      <c r="A181" s="8">
        <f t="shared" si="0"/>
        <v>-7386047</v>
      </c>
      <c r="B181" s="8">
        <v>7386047</v>
      </c>
      <c r="C181" s="8"/>
    </row>
    <row r="182" spans="1:7" ht="15.75" customHeight="1">
      <c r="A182" s="8">
        <f t="shared" si="0"/>
        <v>-7386047</v>
      </c>
      <c r="B182" s="8">
        <v>7386047</v>
      </c>
      <c r="C182" s="8"/>
      <c r="E182">
        <v>1111621</v>
      </c>
      <c r="F182" t="s">
        <v>35</v>
      </c>
      <c r="G182" t="s">
        <v>581</v>
      </c>
    </row>
    <row r="183" spans="1:7" ht="15.75" customHeight="1">
      <c r="A183" s="8">
        <f t="shared" si="0"/>
        <v>0</v>
      </c>
      <c r="B183" s="8"/>
      <c r="C183" s="8"/>
      <c r="D183" t="s">
        <v>36</v>
      </c>
      <c r="G183">
        <v>1111701</v>
      </c>
    </row>
    <row r="184" spans="1:7" ht="15.75" customHeight="1">
      <c r="A184" s="8">
        <f t="shared" si="0"/>
        <v>0</v>
      </c>
      <c r="B184" s="8"/>
      <c r="C184" s="8"/>
      <c r="F184" t="s">
        <v>578</v>
      </c>
      <c r="G184">
        <v>63841000</v>
      </c>
    </row>
    <row r="185" spans="1:7" ht="15.75" customHeight="1">
      <c r="A185" s="8">
        <f t="shared" si="0"/>
        <v>52307</v>
      </c>
      <c r="B185" s="8"/>
      <c r="C185" s="8">
        <v>52307</v>
      </c>
      <c r="D185">
        <v>36</v>
      </c>
      <c r="E185" t="s">
        <v>587</v>
      </c>
      <c r="F185" t="s">
        <v>636</v>
      </c>
      <c r="G185" s="9">
        <v>44600</v>
      </c>
    </row>
    <row r="186" spans="1:7" ht="15.75" customHeight="1">
      <c r="A186" s="8">
        <f t="shared" si="0"/>
        <v>122072</v>
      </c>
      <c r="B186" s="8"/>
      <c r="C186" s="8">
        <v>122072</v>
      </c>
      <c r="D186">
        <v>100</v>
      </c>
      <c r="E186" t="s">
        <v>579</v>
      </c>
      <c r="F186" t="s">
        <v>637</v>
      </c>
      <c r="G186" s="9">
        <v>44670</v>
      </c>
    </row>
    <row r="187" spans="1:7" ht="15.75" customHeight="1">
      <c r="A187" s="8">
        <f t="shared" si="0"/>
        <v>34903</v>
      </c>
      <c r="B187" s="8"/>
      <c r="C187" s="8">
        <v>34903</v>
      </c>
      <c r="D187">
        <v>184</v>
      </c>
      <c r="E187" t="s">
        <v>587</v>
      </c>
      <c r="F187" t="s">
        <v>607</v>
      </c>
      <c r="G187" s="9">
        <v>44725</v>
      </c>
    </row>
    <row r="188" spans="1:7" ht="15.75" customHeight="1">
      <c r="A188" s="8">
        <f t="shared" si="0"/>
        <v>23268</v>
      </c>
      <c r="B188" s="8"/>
      <c r="C188" s="8">
        <v>23268</v>
      </c>
      <c r="D188">
        <v>185</v>
      </c>
      <c r="E188" t="s">
        <v>587</v>
      </c>
      <c r="F188" t="s">
        <v>608</v>
      </c>
      <c r="G188" s="9">
        <v>44726</v>
      </c>
    </row>
    <row r="189" spans="1:7" ht="15.75" customHeight="1">
      <c r="A189" s="8">
        <f t="shared" si="0"/>
        <v>-34903</v>
      </c>
      <c r="B189" s="8">
        <v>34903</v>
      </c>
      <c r="C189" s="8"/>
      <c r="D189">
        <v>120380</v>
      </c>
      <c r="E189" t="s">
        <v>587</v>
      </c>
      <c r="F189" t="s">
        <v>610</v>
      </c>
      <c r="G189" s="9">
        <v>44925</v>
      </c>
    </row>
    <row r="190" spans="1:7" ht="15.75" customHeight="1">
      <c r="A190" s="8">
        <f t="shared" si="0"/>
        <v>34903</v>
      </c>
      <c r="B190" s="8"/>
      <c r="C190" s="8">
        <v>34903</v>
      </c>
      <c r="D190">
        <v>246</v>
      </c>
      <c r="E190" t="s">
        <v>594</v>
      </c>
      <c r="F190" t="s">
        <v>611</v>
      </c>
      <c r="G190" s="9">
        <v>44925</v>
      </c>
    </row>
    <row r="191" spans="1:7" ht="15.75" customHeight="1">
      <c r="A191" s="8">
        <f t="shared" si="0"/>
        <v>232549</v>
      </c>
      <c r="B191" s="8">
        <v>34903</v>
      </c>
      <c r="C191" s="8">
        <v>267452</v>
      </c>
    </row>
    <row r="192" spans="1:7" ht="15.75" customHeight="1">
      <c r="A192" s="8">
        <f t="shared" si="0"/>
        <v>232549</v>
      </c>
      <c r="B192" s="8">
        <v>34903</v>
      </c>
      <c r="C192" s="8">
        <v>267452</v>
      </c>
      <c r="E192">
        <v>1111701</v>
      </c>
      <c r="F192" t="s">
        <v>36</v>
      </c>
      <c r="G192" t="s">
        <v>581</v>
      </c>
    </row>
    <row r="193" spans="1:7" ht="15.75" customHeight="1">
      <c r="A193" s="8">
        <f t="shared" si="0"/>
        <v>0</v>
      </c>
      <c r="B193" s="8"/>
      <c r="C193" s="8"/>
      <c r="D193" t="s">
        <v>37</v>
      </c>
      <c r="G193">
        <v>1111702</v>
      </c>
    </row>
    <row r="194" spans="1:7" ht="15.75" customHeight="1">
      <c r="A194" s="8">
        <f t="shared" si="0"/>
        <v>0</v>
      </c>
      <c r="B194" s="8"/>
      <c r="C194" s="8"/>
      <c r="F194" t="s">
        <v>638</v>
      </c>
      <c r="G194">
        <v>6121000</v>
      </c>
    </row>
    <row r="195" spans="1:7" ht="15.75" customHeight="1">
      <c r="A195" s="8">
        <f t="shared" si="0"/>
        <v>26153</v>
      </c>
      <c r="B195" s="8"/>
      <c r="C195" s="8">
        <v>26153</v>
      </c>
      <c r="D195">
        <v>36</v>
      </c>
      <c r="E195" t="s">
        <v>587</v>
      </c>
      <c r="F195" t="s">
        <v>636</v>
      </c>
      <c r="G195" s="9">
        <v>44600</v>
      </c>
    </row>
    <row r="196" spans="1:7" ht="15.75" customHeight="1">
      <c r="A196" s="8">
        <f t="shared" si="0"/>
        <v>26153</v>
      </c>
      <c r="B196" s="8"/>
      <c r="C196" s="8">
        <v>26153</v>
      </c>
    </row>
    <row r="197" spans="1:7" ht="15.75" customHeight="1">
      <c r="A197" s="8">
        <f t="shared" si="0"/>
        <v>0</v>
      </c>
      <c r="B197" s="8"/>
      <c r="C197" s="8"/>
      <c r="F197" t="s">
        <v>590</v>
      </c>
      <c r="G197">
        <v>61811000</v>
      </c>
    </row>
    <row r="198" spans="1:7" ht="15.75" customHeight="1">
      <c r="A198" s="8">
        <f t="shared" si="0"/>
        <v>63710</v>
      </c>
      <c r="B198" s="8"/>
      <c r="C198" s="8">
        <v>63710</v>
      </c>
      <c r="D198">
        <v>94</v>
      </c>
      <c r="E198" t="s">
        <v>579</v>
      </c>
      <c r="F198" t="s">
        <v>639</v>
      </c>
      <c r="G198" s="9">
        <v>44662</v>
      </c>
    </row>
    <row r="199" spans="1:7" ht="15.75" customHeight="1">
      <c r="A199" s="8">
        <f t="shared" si="0"/>
        <v>34500</v>
      </c>
      <c r="B199" s="8"/>
      <c r="C199" s="8">
        <v>34500</v>
      </c>
      <c r="D199">
        <v>182</v>
      </c>
      <c r="E199" t="s">
        <v>579</v>
      </c>
      <c r="F199" t="s">
        <v>613</v>
      </c>
      <c r="G199" s="9">
        <v>44714</v>
      </c>
    </row>
    <row r="200" spans="1:7" ht="15.75" customHeight="1">
      <c r="A200" s="8">
        <f t="shared" si="0"/>
        <v>98210</v>
      </c>
      <c r="B200" s="8"/>
      <c r="C200" s="8">
        <v>98210</v>
      </c>
    </row>
    <row r="201" spans="1:7" ht="15.75" customHeight="1">
      <c r="A201" s="8">
        <f t="shared" si="0"/>
        <v>124363</v>
      </c>
      <c r="B201" s="8"/>
      <c r="C201" s="8">
        <v>124363</v>
      </c>
      <c r="E201">
        <v>1111702</v>
      </c>
      <c r="F201" t="s">
        <v>37</v>
      </c>
      <c r="G201" t="s">
        <v>581</v>
      </c>
    </row>
    <row r="202" spans="1:7" ht="15.75" customHeight="1">
      <c r="A202" s="8">
        <f t="shared" si="0"/>
        <v>0</v>
      </c>
      <c r="B202" s="8"/>
      <c r="C202" s="8"/>
      <c r="D202" t="s">
        <v>38</v>
      </c>
      <c r="G202">
        <v>1111721</v>
      </c>
    </row>
    <row r="203" spans="1:7" ht="15.75" customHeight="1">
      <c r="A203" s="8">
        <f t="shared" si="0"/>
        <v>0</v>
      </c>
      <c r="B203" s="8"/>
      <c r="C203" s="8"/>
      <c r="F203" t="s">
        <v>584</v>
      </c>
      <c r="G203">
        <v>70612000</v>
      </c>
    </row>
    <row r="204" spans="1:7" ht="15.75" customHeight="1">
      <c r="A204" s="8">
        <f t="shared" si="0"/>
        <v>-2626825</v>
      </c>
      <c r="B204" s="8">
        <v>2626825</v>
      </c>
      <c r="C204" s="8"/>
      <c r="D204">
        <v>57</v>
      </c>
      <c r="E204" t="s">
        <v>585</v>
      </c>
      <c r="F204" t="s">
        <v>640</v>
      </c>
      <c r="G204" s="9">
        <v>44658</v>
      </c>
    </row>
    <row r="205" spans="1:7" ht="15.75" customHeight="1">
      <c r="A205" s="8">
        <f t="shared" si="0"/>
        <v>-2626825</v>
      </c>
      <c r="B205" s="8">
        <v>2626825</v>
      </c>
      <c r="C205" s="8"/>
    </row>
    <row r="206" spans="1:7" ht="15.75" customHeight="1">
      <c r="A206" s="8">
        <f t="shared" si="0"/>
        <v>-2626825</v>
      </c>
      <c r="B206" s="8">
        <v>2626825</v>
      </c>
      <c r="C206" s="8"/>
      <c r="E206">
        <v>1111721</v>
      </c>
      <c r="F206" t="s">
        <v>38</v>
      </c>
      <c r="G206" t="s">
        <v>581</v>
      </c>
    </row>
    <row r="207" spans="1:7" ht="15.75" customHeight="1">
      <c r="A207" s="8">
        <f t="shared" si="0"/>
        <v>0</v>
      </c>
      <c r="B207" s="8"/>
      <c r="C207" s="8"/>
      <c r="D207" t="s">
        <v>39</v>
      </c>
      <c r="G207">
        <v>1111801</v>
      </c>
    </row>
    <row r="208" spans="1:7" ht="15.75" customHeight="1">
      <c r="A208" s="8">
        <f t="shared" si="0"/>
        <v>0</v>
      </c>
      <c r="B208" s="8"/>
      <c r="C208" s="8"/>
      <c r="F208" t="s">
        <v>578</v>
      </c>
      <c r="G208">
        <v>63841000</v>
      </c>
    </row>
    <row r="209" spans="1:7" ht="15.75" customHeight="1">
      <c r="A209" s="8">
        <f t="shared" si="0"/>
        <v>104650</v>
      </c>
      <c r="B209" s="8"/>
      <c r="C209" s="8">
        <v>104650</v>
      </c>
      <c r="D209">
        <v>129</v>
      </c>
      <c r="E209" t="s">
        <v>579</v>
      </c>
      <c r="F209" t="s">
        <v>641</v>
      </c>
      <c r="G209" s="9">
        <v>44692</v>
      </c>
    </row>
    <row r="210" spans="1:7" ht="15.75" customHeight="1">
      <c r="A210" s="8">
        <f t="shared" si="0"/>
        <v>122072</v>
      </c>
      <c r="B210" s="8"/>
      <c r="C210" s="8">
        <v>122072</v>
      </c>
      <c r="D210">
        <v>134</v>
      </c>
      <c r="E210" t="s">
        <v>579</v>
      </c>
      <c r="F210" t="s">
        <v>642</v>
      </c>
      <c r="G210" s="9">
        <v>44697</v>
      </c>
    </row>
    <row r="211" spans="1:7" ht="15.75" customHeight="1">
      <c r="A211" s="8">
        <f t="shared" si="0"/>
        <v>226722</v>
      </c>
      <c r="B211" s="8"/>
      <c r="C211" s="8">
        <v>226722</v>
      </c>
    </row>
    <row r="212" spans="1:7" ht="15.75" customHeight="1">
      <c r="A212" s="8">
        <f t="shared" si="0"/>
        <v>226722</v>
      </c>
      <c r="B212" s="8"/>
      <c r="C212" s="8">
        <v>226722</v>
      </c>
      <c r="E212">
        <v>1111801</v>
      </c>
      <c r="F212" t="s">
        <v>39</v>
      </c>
      <c r="G212" t="s">
        <v>581</v>
      </c>
    </row>
    <row r="213" spans="1:7" ht="15.75" customHeight="1">
      <c r="A213" s="8">
        <f t="shared" si="0"/>
        <v>0</v>
      </c>
      <c r="B213" s="8"/>
      <c r="C213" s="8"/>
      <c r="D213" t="s">
        <v>40</v>
      </c>
      <c r="G213">
        <v>1111821</v>
      </c>
    </row>
    <row r="214" spans="1:7" ht="15.75" customHeight="1">
      <c r="A214" s="8">
        <f t="shared" si="0"/>
        <v>0</v>
      </c>
      <c r="B214" s="8"/>
      <c r="C214" s="8"/>
      <c r="F214" t="s">
        <v>584</v>
      </c>
      <c r="G214">
        <v>70612000</v>
      </c>
    </row>
    <row r="215" spans="1:7" ht="15.75" customHeight="1">
      <c r="A215" s="8">
        <f t="shared" si="0"/>
        <v>-3199517</v>
      </c>
      <c r="B215" s="8">
        <v>3199517</v>
      </c>
      <c r="C215" s="8"/>
      <c r="D215">
        <v>82</v>
      </c>
      <c r="E215" t="s">
        <v>585</v>
      </c>
      <c r="F215" t="s">
        <v>643</v>
      </c>
      <c r="G215" s="9">
        <v>44691</v>
      </c>
    </row>
    <row r="216" spans="1:7" ht="15.75" customHeight="1">
      <c r="A216" s="8">
        <f t="shared" si="0"/>
        <v>-3199517</v>
      </c>
      <c r="B216" s="8">
        <v>3199517</v>
      </c>
      <c r="C216" s="8"/>
    </row>
    <row r="217" spans="1:7" ht="15.75" customHeight="1">
      <c r="A217" s="8">
        <f t="shared" si="0"/>
        <v>-3199517</v>
      </c>
      <c r="B217" s="8">
        <v>3199517</v>
      </c>
      <c r="C217" s="8"/>
      <c r="E217">
        <v>1111821</v>
      </c>
      <c r="F217" t="s">
        <v>40</v>
      </c>
      <c r="G217" t="s">
        <v>581</v>
      </c>
    </row>
    <row r="218" spans="1:7" ht="15.75" customHeight="1">
      <c r="A218" s="8">
        <f t="shared" si="0"/>
        <v>0</v>
      </c>
      <c r="B218" s="8"/>
      <c r="C218" s="8"/>
      <c r="D218" t="s">
        <v>41</v>
      </c>
      <c r="G218">
        <v>1111901</v>
      </c>
    </row>
    <row r="219" spans="1:7" ht="15.75" customHeight="1">
      <c r="A219" s="8">
        <f t="shared" si="0"/>
        <v>0</v>
      </c>
      <c r="B219" s="8"/>
      <c r="C219" s="8"/>
      <c r="F219" t="s">
        <v>578</v>
      </c>
      <c r="G219">
        <v>63841000</v>
      </c>
    </row>
    <row r="220" spans="1:7" ht="15.75" customHeight="1">
      <c r="A220" s="8">
        <f t="shared" si="0"/>
        <v>139438</v>
      </c>
      <c r="B220" s="8"/>
      <c r="C220" s="8">
        <v>139438</v>
      </c>
      <c r="D220">
        <v>121</v>
      </c>
      <c r="E220" t="s">
        <v>579</v>
      </c>
      <c r="F220" t="s">
        <v>644</v>
      </c>
      <c r="G220" s="9">
        <v>44686</v>
      </c>
    </row>
    <row r="221" spans="1:7" ht="15.75" customHeight="1">
      <c r="A221" s="8">
        <f t="shared" si="0"/>
        <v>139380</v>
      </c>
      <c r="B221" s="8"/>
      <c r="C221" s="8">
        <v>139380</v>
      </c>
      <c r="D221">
        <v>129</v>
      </c>
      <c r="E221" t="s">
        <v>579</v>
      </c>
      <c r="F221" t="s">
        <v>641</v>
      </c>
      <c r="G221" s="9">
        <v>44692</v>
      </c>
    </row>
    <row r="222" spans="1:7" ht="15.75" customHeight="1">
      <c r="A222" s="8">
        <f t="shared" si="0"/>
        <v>69575</v>
      </c>
      <c r="B222" s="8"/>
      <c r="C222" s="8">
        <v>69575</v>
      </c>
      <c r="D222">
        <v>46</v>
      </c>
      <c r="E222" t="s">
        <v>594</v>
      </c>
      <c r="F222" t="s">
        <v>645</v>
      </c>
      <c r="G222" s="9">
        <v>44754</v>
      </c>
    </row>
    <row r="223" spans="1:7" ht="15.75" customHeight="1">
      <c r="A223" s="8">
        <f t="shared" si="0"/>
        <v>69748</v>
      </c>
      <c r="B223" s="8"/>
      <c r="C223" s="8">
        <v>69748</v>
      </c>
      <c r="D223">
        <v>47</v>
      </c>
      <c r="E223" t="s">
        <v>594</v>
      </c>
      <c r="F223" t="s">
        <v>626</v>
      </c>
      <c r="G223" s="9">
        <v>44754</v>
      </c>
    </row>
    <row r="224" spans="1:7" ht="15.75" customHeight="1">
      <c r="A224" s="8">
        <f t="shared" si="0"/>
        <v>69748</v>
      </c>
      <c r="B224" s="8"/>
      <c r="C224" s="8">
        <v>69748</v>
      </c>
      <c r="D224">
        <v>48</v>
      </c>
      <c r="E224" t="s">
        <v>594</v>
      </c>
      <c r="F224" t="s">
        <v>627</v>
      </c>
      <c r="G224" s="9">
        <v>44754</v>
      </c>
    </row>
    <row r="225" spans="1:7" ht="15.75" customHeight="1">
      <c r="A225" s="8">
        <f t="shared" si="0"/>
        <v>487887</v>
      </c>
      <c r="B225" s="8"/>
      <c r="C225" s="8">
        <v>487887</v>
      </c>
    </row>
    <row r="226" spans="1:7" ht="15.75" customHeight="1">
      <c r="A226" s="8">
        <f t="shared" si="0"/>
        <v>487887</v>
      </c>
      <c r="B226" s="8"/>
      <c r="C226" s="8">
        <v>487887</v>
      </c>
      <c r="E226">
        <v>1111901</v>
      </c>
      <c r="F226" t="s">
        <v>41</v>
      </c>
      <c r="G226" t="s">
        <v>581</v>
      </c>
    </row>
    <row r="227" spans="1:7" ht="15.75" customHeight="1">
      <c r="A227" s="8">
        <f t="shared" si="0"/>
        <v>0</v>
      </c>
      <c r="B227" s="8"/>
      <c r="C227" s="8"/>
      <c r="D227" t="s">
        <v>42</v>
      </c>
      <c r="G227">
        <v>1111902</v>
      </c>
    </row>
    <row r="228" spans="1:7" ht="15.75" customHeight="1">
      <c r="A228" s="8">
        <f t="shared" si="0"/>
        <v>0</v>
      </c>
      <c r="B228" s="8"/>
      <c r="C228" s="8"/>
      <c r="F228" t="s">
        <v>590</v>
      </c>
      <c r="G228">
        <v>61811000</v>
      </c>
    </row>
    <row r="229" spans="1:7" ht="15.75" customHeight="1">
      <c r="A229" s="8">
        <f t="shared" si="0"/>
        <v>5922</v>
      </c>
      <c r="B229" s="8"/>
      <c r="C229" s="8">
        <v>5922</v>
      </c>
      <c r="D229">
        <v>46</v>
      </c>
      <c r="E229" t="s">
        <v>594</v>
      </c>
      <c r="F229" t="s">
        <v>645</v>
      </c>
      <c r="G229" s="9">
        <v>44754</v>
      </c>
    </row>
    <row r="230" spans="1:7" ht="15.75" customHeight="1">
      <c r="A230" s="8">
        <f t="shared" si="0"/>
        <v>5922</v>
      </c>
      <c r="B230" s="8"/>
      <c r="C230" s="8">
        <v>5922</v>
      </c>
    </row>
    <row r="231" spans="1:7" ht="15.75" customHeight="1">
      <c r="A231" s="8">
        <f t="shared" si="0"/>
        <v>5922</v>
      </c>
      <c r="B231" s="8"/>
      <c r="C231" s="8">
        <v>5922</v>
      </c>
      <c r="E231">
        <v>1111902</v>
      </c>
      <c r="F231" t="s">
        <v>42</v>
      </c>
      <c r="G231" t="s">
        <v>581</v>
      </c>
    </row>
    <row r="232" spans="1:7" ht="15.75" customHeight="1">
      <c r="A232" s="8">
        <f t="shared" si="0"/>
        <v>0</v>
      </c>
      <c r="B232" s="8"/>
      <c r="C232" s="8"/>
      <c r="D232" t="s">
        <v>43</v>
      </c>
      <c r="G232">
        <v>1111921</v>
      </c>
    </row>
    <row r="233" spans="1:7" ht="15.75" customHeight="1">
      <c r="A233" s="8">
        <f t="shared" si="0"/>
        <v>0</v>
      </c>
      <c r="B233" s="8"/>
      <c r="C233" s="8"/>
      <c r="F233" t="s">
        <v>584</v>
      </c>
      <c r="G233">
        <v>70612000</v>
      </c>
    </row>
    <row r="234" spans="1:7" ht="15.75" customHeight="1">
      <c r="A234" s="8">
        <f t="shared" si="0"/>
        <v>-2363091</v>
      </c>
      <c r="B234" s="8">
        <v>2363091</v>
      </c>
      <c r="C234" s="8"/>
      <c r="D234">
        <v>68</v>
      </c>
      <c r="E234" t="s">
        <v>585</v>
      </c>
      <c r="F234" t="s">
        <v>646</v>
      </c>
      <c r="G234" s="9">
        <v>44680</v>
      </c>
    </row>
    <row r="235" spans="1:7" ht="15.75" customHeight="1">
      <c r="A235" s="8">
        <f t="shared" si="0"/>
        <v>-2363091</v>
      </c>
      <c r="B235" s="8">
        <v>2363091</v>
      </c>
      <c r="C235" s="8"/>
    </row>
    <row r="236" spans="1:7" ht="15.75" customHeight="1">
      <c r="A236" s="8">
        <f t="shared" si="0"/>
        <v>-2363091</v>
      </c>
      <c r="B236" s="8">
        <v>2363091</v>
      </c>
      <c r="C236" s="8"/>
      <c r="E236">
        <v>1111921</v>
      </c>
      <c r="F236" t="s">
        <v>43</v>
      </c>
      <c r="G236" t="s">
        <v>581</v>
      </c>
    </row>
    <row r="237" spans="1:7" ht="15.75" customHeight="1">
      <c r="A237" s="8">
        <f t="shared" si="0"/>
        <v>0</v>
      </c>
      <c r="B237" s="8"/>
      <c r="C237" s="8"/>
      <c r="D237" t="s">
        <v>44</v>
      </c>
      <c r="G237">
        <v>1112001</v>
      </c>
    </row>
    <row r="238" spans="1:7" ht="15.75" customHeight="1">
      <c r="A238" s="8">
        <f t="shared" si="0"/>
        <v>0</v>
      </c>
      <c r="B238" s="8"/>
      <c r="C238" s="8"/>
      <c r="F238" t="s">
        <v>578</v>
      </c>
      <c r="G238">
        <v>63841000</v>
      </c>
    </row>
    <row r="239" spans="1:7" ht="15.75" customHeight="1">
      <c r="A239" s="8">
        <f t="shared" si="0"/>
        <v>139438</v>
      </c>
      <c r="B239" s="8"/>
      <c r="C239" s="8">
        <v>139438</v>
      </c>
      <c r="D239">
        <v>121</v>
      </c>
      <c r="E239" t="s">
        <v>579</v>
      </c>
      <c r="F239" t="s">
        <v>644</v>
      </c>
      <c r="G239" s="9">
        <v>44686</v>
      </c>
    </row>
    <row r="240" spans="1:7" ht="15.75" customHeight="1">
      <c r="A240" s="8">
        <f t="shared" si="0"/>
        <v>69805</v>
      </c>
      <c r="B240" s="8"/>
      <c r="C240" s="8">
        <v>69805</v>
      </c>
      <c r="D240">
        <v>55</v>
      </c>
      <c r="E240" t="s">
        <v>594</v>
      </c>
      <c r="F240" t="s">
        <v>647</v>
      </c>
      <c r="G240" s="9">
        <v>44769</v>
      </c>
    </row>
    <row r="241" spans="1:7" ht="15.75" customHeight="1">
      <c r="A241" s="8">
        <f t="shared" si="0"/>
        <v>209242</v>
      </c>
      <c r="B241" s="8"/>
      <c r="C241" s="8">
        <v>209242</v>
      </c>
    </row>
    <row r="242" spans="1:7" ht="15.75" customHeight="1">
      <c r="A242" s="8">
        <f t="shared" si="0"/>
        <v>209242</v>
      </c>
      <c r="B242" s="8"/>
      <c r="C242" s="8">
        <v>209242</v>
      </c>
      <c r="E242">
        <v>1112001</v>
      </c>
      <c r="F242" t="s">
        <v>44</v>
      </c>
      <c r="G242" t="s">
        <v>581</v>
      </c>
    </row>
    <row r="243" spans="1:7" ht="15.75" customHeight="1">
      <c r="A243" s="8">
        <f t="shared" si="0"/>
        <v>0</v>
      </c>
      <c r="B243" s="8"/>
      <c r="C243" s="8"/>
      <c r="D243" t="s">
        <v>45</v>
      </c>
      <c r="G243">
        <v>1112005</v>
      </c>
    </row>
    <row r="244" spans="1:7" ht="15.75" customHeight="1">
      <c r="A244" s="8">
        <f t="shared" si="0"/>
        <v>0</v>
      </c>
      <c r="B244" s="8"/>
      <c r="C244" s="8"/>
      <c r="F244" t="s">
        <v>582</v>
      </c>
      <c r="G244">
        <v>63240000</v>
      </c>
    </row>
    <row r="245" spans="1:7" ht="15.75" customHeight="1">
      <c r="A245" s="8">
        <f t="shared" si="0"/>
        <v>150938</v>
      </c>
      <c r="B245" s="8"/>
      <c r="C245" s="8">
        <v>150938</v>
      </c>
      <c r="D245">
        <v>256</v>
      </c>
      <c r="E245" t="s">
        <v>579</v>
      </c>
      <c r="F245" t="s">
        <v>583</v>
      </c>
      <c r="G245" s="9">
        <v>44778</v>
      </c>
    </row>
    <row r="246" spans="1:7" ht="15.75" customHeight="1">
      <c r="A246" s="8">
        <f t="shared" si="0"/>
        <v>43125</v>
      </c>
      <c r="B246" s="8"/>
      <c r="C246" s="8">
        <v>43125</v>
      </c>
      <c r="D246">
        <v>313</v>
      </c>
      <c r="E246" t="s">
        <v>579</v>
      </c>
      <c r="F246" t="s">
        <v>648</v>
      </c>
      <c r="G246" s="9">
        <v>44844</v>
      </c>
    </row>
    <row r="247" spans="1:7" ht="15.75" customHeight="1">
      <c r="A247" s="8">
        <f t="shared" si="0"/>
        <v>43125</v>
      </c>
      <c r="B247" s="8"/>
      <c r="C247" s="8">
        <v>43125</v>
      </c>
      <c r="D247">
        <v>313</v>
      </c>
      <c r="E247" t="s">
        <v>579</v>
      </c>
      <c r="F247" t="s">
        <v>648</v>
      </c>
      <c r="G247" s="9">
        <v>44844</v>
      </c>
    </row>
    <row r="248" spans="1:7" ht="15.75" customHeight="1">
      <c r="A248" s="8">
        <f t="shared" si="0"/>
        <v>237187</v>
      </c>
      <c r="B248" s="8"/>
      <c r="C248" s="8">
        <v>237187</v>
      </c>
    </row>
    <row r="249" spans="1:7" ht="15.75" customHeight="1">
      <c r="A249" s="8">
        <f t="shared" si="0"/>
        <v>237187</v>
      </c>
      <c r="B249" s="8"/>
      <c r="C249" s="8">
        <v>237187</v>
      </c>
      <c r="E249">
        <v>1112005</v>
      </c>
      <c r="F249" t="s">
        <v>45</v>
      </c>
      <c r="G249" t="s">
        <v>581</v>
      </c>
    </row>
    <row r="250" spans="1:7" ht="15.75" customHeight="1">
      <c r="A250" s="8">
        <f t="shared" si="0"/>
        <v>0</v>
      </c>
      <c r="B250" s="8"/>
      <c r="C250" s="8"/>
      <c r="D250" t="s">
        <v>46</v>
      </c>
      <c r="G250">
        <v>1112021</v>
      </c>
    </row>
    <row r="251" spans="1:7" ht="15.75" customHeight="1">
      <c r="A251" s="8">
        <f t="shared" si="0"/>
        <v>0</v>
      </c>
      <c r="B251" s="8"/>
      <c r="C251" s="8"/>
      <c r="F251" t="s">
        <v>584</v>
      </c>
      <c r="G251">
        <v>70612000</v>
      </c>
    </row>
    <row r="252" spans="1:7" ht="15.75" customHeight="1">
      <c r="A252" s="8">
        <f t="shared" si="0"/>
        <v>-3879316</v>
      </c>
      <c r="B252" s="8">
        <v>3879316</v>
      </c>
      <c r="C252" s="8"/>
      <c r="D252">
        <v>62</v>
      </c>
      <c r="E252" t="s">
        <v>585</v>
      </c>
      <c r="F252" t="s">
        <v>649</v>
      </c>
      <c r="G252" s="9">
        <v>44670</v>
      </c>
    </row>
    <row r="253" spans="1:7" ht="15.75" customHeight="1">
      <c r="A253" s="8">
        <f t="shared" si="0"/>
        <v>-425500</v>
      </c>
      <c r="B253" s="8">
        <v>425500</v>
      </c>
      <c r="C253" s="8"/>
      <c r="D253">
        <v>185</v>
      </c>
      <c r="E253" t="s">
        <v>585</v>
      </c>
      <c r="F253" t="s">
        <v>650</v>
      </c>
      <c r="G253" s="9">
        <v>44833</v>
      </c>
    </row>
    <row r="254" spans="1:7" ht="15.75" customHeight="1">
      <c r="A254" s="8">
        <f t="shared" si="0"/>
        <v>-4304816</v>
      </c>
      <c r="B254" s="8">
        <v>4304816</v>
      </c>
      <c r="C254" s="8"/>
    </row>
    <row r="255" spans="1:7" ht="15.75" customHeight="1">
      <c r="A255" s="8">
        <f t="shared" si="0"/>
        <v>-4304816</v>
      </c>
      <c r="B255" s="8">
        <v>4304816</v>
      </c>
      <c r="C255" s="8"/>
      <c r="E255">
        <v>1112021</v>
      </c>
      <c r="F255" t="s">
        <v>46</v>
      </c>
      <c r="G255" t="s">
        <v>581</v>
      </c>
    </row>
    <row r="256" spans="1:7" ht="15.75" customHeight="1">
      <c r="A256" s="8">
        <f t="shared" si="0"/>
        <v>0</v>
      </c>
      <c r="B256" s="8"/>
      <c r="C256" s="8"/>
      <c r="D256" t="s">
        <v>47</v>
      </c>
      <c r="G256">
        <v>1112101</v>
      </c>
    </row>
    <row r="257" spans="1:7" ht="15.75" customHeight="1">
      <c r="A257" s="8">
        <f t="shared" ref="A257:A511" si="1">C257-B257</f>
        <v>0</v>
      </c>
      <c r="B257" s="8"/>
      <c r="C257" s="8"/>
      <c r="F257" t="s">
        <v>578</v>
      </c>
      <c r="G257">
        <v>63841000</v>
      </c>
    </row>
    <row r="258" spans="1:7" ht="15.75" customHeight="1">
      <c r="A258" s="8">
        <f t="shared" si="1"/>
        <v>174340</v>
      </c>
      <c r="B258" s="8"/>
      <c r="C258" s="8">
        <v>174340</v>
      </c>
      <c r="D258">
        <v>135</v>
      </c>
      <c r="E258" t="s">
        <v>579</v>
      </c>
      <c r="F258" t="s">
        <v>651</v>
      </c>
      <c r="G258" s="9">
        <v>44699</v>
      </c>
    </row>
    <row r="259" spans="1:7" ht="15.75" customHeight="1">
      <c r="A259" s="8">
        <f t="shared" si="1"/>
        <v>104650</v>
      </c>
      <c r="B259" s="8"/>
      <c r="C259" s="8">
        <v>104650</v>
      </c>
      <c r="D259">
        <v>80</v>
      </c>
      <c r="E259" t="s">
        <v>594</v>
      </c>
      <c r="F259" t="s">
        <v>652</v>
      </c>
      <c r="G259" s="9">
        <v>44775</v>
      </c>
    </row>
    <row r="260" spans="1:7" ht="15.75" customHeight="1">
      <c r="A260" s="8">
        <f t="shared" si="1"/>
        <v>104650</v>
      </c>
      <c r="B260" s="8"/>
      <c r="C260" s="8">
        <v>104650</v>
      </c>
      <c r="D260">
        <v>81</v>
      </c>
      <c r="E260" t="s">
        <v>594</v>
      </c>
      <c r="F260" t="s">
        <v>652</v>
      </c>
      <c r="G260" s="9">
        <v>44775</v>
      </c>
    </row>
    <row r="261" spans="1:7" ht="15.75" customHeight="1">
      <c r="A261" s="8">
        <f t="shared" si="1"/>
        <v>61007</v>
      </c>
      <c r="B261" s="8"/>
      <c r="C261" s="8">
        <v>61007</v>
      </c>
      <c r="D261">
        <v>124</v>
      </c>
      <c r="E261" t="s">
        <v>594</v>
      </c>
      <c r="F261" t="s">
        <v>604</v>
      </c>
      <c r="G261" s="9">
        <v>44830</v>
      </c>
    </row>
    <row r="262" spans="1:7" ht="15.75" customHeight="1">
      <c r="A262" s="8">
        <f t="shared" si="1"/>
        <v>69805</v>
      </c>
      <c r="B262" s="8"/>
      <c r="C262" s="8">
        <v>69805</v>
      </c>
      <c r="D262">
        <v>182</v>
      </c>
      <c r="E262" t="s">
        <v>594</v>
      </c>
      <c r="F262" t="s">
        <v>653</v>
      </c>
      <c r="G262" s="9">
        <v>44900</v>
      </c>
    </row>
    <row r="263" spans="1:7" ht="15.75" customHeight="1">
      <c r="A263" s="8">
        <f t="shared" si="1"/>
        <v>514452</v>
      </c>
      <c r="B263" s="8"/>
      <c r="C263" s="8">
        <v>514452</v>
      </c>
    </row>
    <row r="264" spans="1:7" ht="15.75" customHeight="1">
      <c r="A264" s="8">
        <f t="shared" si="1"/>
        <v>514452</v>
      </c>
      <c r="B264" s="8"/>
      <c r="C264" s="8">
        <v>514452</v>
      </c>
      <c r="E264">
        <v>1112101</v>
      </c>
      <c r="F264" t="s">
        <v>47</v>
      </c>
      <c r="G264" t="s">
        <v>581</v>
      </c>
    </row>
    <row r="265" spans="1:7" ht="15.75" customHeight="1">
      <c r="A265" s="8">
        <f t="shared" si="1"/>
        <v>0</v>
      </c>
      <c r="B265" s="8"/>
      <c r="C265" s="8"/>
      <c r="D265" t="s">
        <v>48</v>
      </c>
      <c r="G265">
        <v>1112102</v>
      </c>
    </row>
    <row r="266" spans="1:7" ht="15.75" customHeight="1">
      <c r="A266" s="8">
        <f t="shared" si="1"/>
        <v>0</v>
      </c>
      <c r="B266" s="8"/>
      <c r="C266" s="8"/>
      <c r="F266" t="s">
        <v>590</v>
      </c>
      <c r="G266">
        <v>61811000</v>
      </c>
    </row>
    <row r="267" spans="1:7" ht="15.75" customHeight="1">
      <c r="A267" s="8">
        <f t="shared" si="1"/>
        <v>190670</v>
      </c>
      <c r="B267" s="8"/>
      <c r="C267" s="8">
        <v>190670</v>
      </c>
      <c r="D267">
        <v>130</v>
      </c>
      <c r="E267" t="s">
        <v>579</v>
      </c>
      <c r="F267" t="s">
        <v>654</v>
      </c>
      <c r="G267" s="9">
        <v>44692</v>
      </c>
    </row>
    <row r="268" spans="1:7" ht="15.75" customHeight="1">
      <c r="A268" s="8">
        <f t="shared" si="1"/>
        <v>32200</v>
      </c>
      <c r="B268" s="8"/>
      <c r="C268" s="8">
        <v>32200</v>
      </c>
      <c r="D268">
        <v>301</v>
      </c>
      <c r="E268" t="s">
        <v>579</v>
      </c>
      <c r="F268" t="s">
        <v>591</v>
      </c>
      <c r="G268" s="9">
        <v>44830</v>
      </c>
    </row>
    <row r="269" spans="1:7" ht="15.75" customHeight="1">
      <c r="A269" s="8">
        <f t="shared" si="1"/>
        <v>222870</v>
      </c>
      <c r="B269" s="8"/>
      <c r="C269" s="8">
        <v>222870</v>
      </c>
    </row>
    <row r="270" spans="1:7" ht="15.75" customHeight="1">
      <c r="A270" s="8">
        <f t="shared" si="1"/>
        <v>222870</v>
      </c>
      <c r="B270" s="8"/>
      <c r="C270" s="8">
        <v>222870</v>
      </c>
      <c r="E270">
        <v>1112102</v>
      </c>
      <c r="F270" t="s">
        <v>48</v>
      </c>
      <c r="G270" t="s">
        <v>581</v>
      </c>
    </row>
    <row r="271" spans="1:7" ht="15.75" customHeight="1">
      <c r="A271" s="8">
        <f t="shared" si="1"/>
        <v>0</v>
      </c>
      <c r="B271" s="8"/>
      <c r="C271" s="8"/>
      <c r="D271" t="s">
        <v>49</v>
      </c>
      <c r="G271">
        <v>1112105</v>
      </c>
    </row>
    <row r="272" spans="1:7" ht="15.75" customHeight="1">
      <c r="A272" s="8">
        <f t="shared" si="1"/>
        <v>0</v>
      </c>
      <c r="B272" s="8"/>
      <c r="C272" s="8"/>
      <c r="F272" t="s">
        <v>582</v>
      </c>
      <c r="G272">
        <v>63240000</v>
      </c>
    </row>
    <row r="273" spans="1:7" ht="15.75" customHeight="1">
      <c r="A273" s="8">
        <f t="shared" si="1"/>
        <v>172500</v>
      </c>
      <c r="B273" s="8"/>
      <c r="C273" s="8">
        <v>172500</v>
      </c>
      <c r="D273">
        <v>256</v>
      </c>
      <c r="E273" t="s">
        <v>579</v>
      </c>
      <c r="F273" t="s">
        <v>583</v>
      </c>
      <c r="G273" s="9">
        <v>44778</v>
      </c>
    </row>
    <row r="274" spans="1:7" ht="15.75" customHeight="1">
      <c r="A274" s="8">
        <f t="shared" si="1"/>
        <v>172500</v>
      </c>
      <c r="B274" s="8"/>
      <c r="C274" s="8">
        <v>172500</v>
      </c>
    </row>
    <row r="275" spans="1:7" ht="15.75" customHeight="1">
      <c r="A275" s="8">
        <f t="shared" si="1"/>
        <v>172500</v>
      </c>
      <c r="B275" s="8"/>
      <c r="C275" s="8">
        <v>172500</v>
      </c>
      <c r="E275">
        <v>1112105</v>
      </c>
      <c r="F275" t="s">
        <v>49</v>
      </c>
      <c r="G275" t="s">
        <v>581</v>
      </c>
    </row>
    <row r="276" spans="1:7" ht="15.75" customHeight="1">
      <c r="A276" s="8">
        <f t="shared" si="1"/>
        <v>0</v>
      </c>
      <c r="B276" s="8"/>
      <c r="C276" s="8"/>
      <c r="D276" t="s">
        <v>50</v>
      </c>
      <c r="G276">
        <v>1112121</v>
      </c>
    </row>
    <row r="277" spans="1:7" ht="15.75" customHeight="1">
      <c r="A277" s="8">
        <f t="shared" si="1"/>
        <v>0</v>
      </c>
      <c r="B277" s="8"/>
      <c r="C277" s="8"/>
      <c r="F277" t="s">
        <v>584</v>
      </c>
      <c r="G277">
        <v>70612000</v>
      </c>
    </row>
    <row r="278" spans="1:7" ht="15.75" customHeight="1">
      <c r="A278" s="8">
        <f t="shared" si="1"/>
        <v>-8221299</v>
      </c>
      <c r="B278" s="8">
        <v>8221299</v>
      </c>
      <c r="C278" s="8"/>
      <c r="D278">
        <v>84</v>
      </c>
      <c r="E278" t="s">
        <v>585</v>
      </c>
      <c r="F278" t="s">
        <v>655</v>
      </c>
      <c r="G278" s="9">
        <v>44693</v>
      </c>
    </row>
    <row r="279" spans="1:7" ht="15.75" customHeight="1">
      <c r="A279" s="8">
        <f t="shared" si="1"/>
        <v>-948175</v>
      </c>
      <c r="B279" s="8">
        <v>948175</v>
      </c>
      <c r="C279" s="8"/>
      <c r="D279">
        <v>192</v>
      </c>
      <c r="E279" t="s">
        <v>585</v>
      </c>
      <c r="F279" t="s">
        <v>656</v>
      </c>
      <c r="G279" s="9">
        <v>44851</v>
      </c>
    </row>
    <row r="280" spans="1:7" ht="15.75" customHeight="1">
      <c r="A280" s="8">
        <f t="shared" si="1"/>
        <v>-948175</v>
      </c>
      <c r="B280" s="8">
        <v>948175</v>
      </c>
      <c r="C280" s="8"/>
      <c r="D280">
        <v>195</v>
      </c>
      <c r="E280" t="s">
        <v>585</v>
      </c>
      <c r="F280" t="s">
        <v>657</v>
      </c>
      <c r="G280" s="9">
        <v>44851</v>
      </c>
    </row>
    <row r="281" spans="1:7" ht="15.75" customHeight="1">
      <c r="A281" s="8">
        <f t="shared" si="1"/>
        <v>948175</v>
      </c>
      <c r="B281" s="8"/>
      <c r="C281" s="8">
        <v>948175</v>
      </c>
      <c r="D281">
        <v>194</v>
      </c>
      <c r="E281" t="s">
        <v>585</v>
      </c>
      <c r="F281" t="s">
        <v>658</v>
      </c>
      <c r="G281" s="9">
        <v>44851</v>
      </c>
    </row>
    <row r="282" spans="1:7" ht="15.75" customHeight="1">
      <c r="A282" s="8">
        <f t="shared" si="1"/>
        <v>-9169474</v>
      </c>
      <c r="B282" s="8">
        <v>10117649</v>
      </c>
      <c r="C282" s="8">
        <v>948175</v>
      </c>
    </row>
    <row r="283" spans="1:7" ht="15.75" customHeight="1">
      <c r="A283" s="8">
        <f t="shared" si="1"/>
        <v>-9169474</v>
      </c>
      <c r="B283" s="8">
        <v>10117649</v>
      </c>
      <c r="C283" s="8">
        <v>948175</v>
      </c>
      <c r="E283">
        <v>1112121</v>
      </c>
      <c r="F283" t="s">
        <v>50</v>
      </c>
      <c r="G283" t="s">
        <v>581</v>
      </c>
    </row>
    <row r="284" spans="1:7" ht="15.75" customHeight="1">
      <c r="A284" s="8">
        <f t="shared" si="1"/>
        <v>0</v>
      </c>
      <c r="B284" s="8"/>
      <c r="C284" s="8"/>
      <c r="D284" t="s">
        <v>51</v>
      </c>
      <c r="G284">
        <v>1112301</v>
      </c>
    </row>
    <row r="285" spans="1:7" ht="15.75" customHeight="1">
      <c r="A285" s="8">
        <f t="shared" si="1"/>
        <v>0</v>
      </c>
      <c r="B285" s="8"/>
      <c r="C285" s="8"/>
      <c r="F285" t="s">
        <v>578</v>
      </c>
      <c r="G285">
        <v>63841000</v>
      </c>
    </row>
    <row r="286" spans="1:7" ht="15.75" customHeight="1">
      <c r="A286" s="8">
        <f t="shared" si="1"/>
        <v>69805</v>
      </c>
      <c r="B286" s="8"/>
      <c r="C286" s="8">
        <v>69805</v>
      </c>
      <c r="D286">
        <v>215</v>
      </c>
      <c r="E286" t="s">
        <v>587</v>
      </c>
      <c r="F286" t="s">
        <v>659</v>
      </c>
      <c r="G286" s="9">
        <v>44741</v>
      </c>
    </row>
    <row r="287" spans="1:7" ht="15.75" customHeight="1">
      <c r="A287" s="8">
        <f t="shared" si="1"/>
        <v>-69805</v>
      </c>
      <c r="B287" s="8">
        <v>69805</v>
      </c>
      <c r="C287" s="8"/>
      <c r="D287">
        <v>120384</v>
      </c>
      <c r="E287" t="s">
        <v>587</v>
      </c>
      <c r="F287" t="s">
        <v>660</v>
      </c>
      <c r="G287" s="9">
        <v>44925</v>
      </c>
    </row>
    <row r="288" spans="1:7" ht="15.75" customHeight="1">
      <c r="A288" s="8">
        <f t="shared" si="1"/>
        <v>69805</v>
      </c>
      <c r="B288" s="8"/>
      <c r="C288" s="8">
        <v>69805</v>
      </c>
      <c r="D288">
        <v>250</v>
      </c>
      <c r="E288" t="s">
        <v>594</v>
      </c>
      <c r="F288" t="s">
        <v>661</v>
      </c>
      <c r="G288" s="9">
        <v>44925</v>
      </c>
    </row>
    <row r="289" spans="1:7" ht="15.75" customHeight="1">
      <c r="A289" s="8">
        <f t="shared" si="1"/>
        <v>69805</v>
      </c>
      <c r="B289" s="8">
        <v>69805</v>
      </c>
      <c r="C289" s="8">
        <v>139610</v>
      </c>
    </row>
    <row r="290" spans="1:7" ht="15.75" customHeight="1">
      <c r="A290" s="8">
        <f t="shared" si="1"/>
        <v>69805</v>
      </c>
      <c r="B290" s="8">
        <v>69805</v>
      </c>
      <c r="C290" s="8">
        <v>139610</v>
      </c>
      <c r="E290">
        <v>1112301</v>
      </c>
      <c r="F290" t="s">
        <v>51</v>
      </c>
      <c r="G290" t="s">
        <v>581</v>
      </c>
    </row>
    <row r="291" spans="1:7" ht="15.75" customHeight="1">
      <c r="A291" s="8">
        <f t="shared" si="1"/>
        <v>0</v>
      </c>
      <c r="B291" s="8"/>
      <c r="C291" s="8"/>
      <c r="D291" t="s">
        <v>52</v>
      </c>
      <c r="G291">
        <v>1112305</v>
      </c>
    </row>
    <row r="292" spans="1:7" ht="15.75" customHeight="1">
      <c r="A292" s="8">
        <f t="shared" si="1"/>
        <v>0</v>
      </c>
      <c r="B292" s="8"/>
      <c r="C292" s="8"/>
      <c r="F292" t="s">
        <v>582</v>
      </c>
      <c r="G292">
        <v>63240000</v>
      </c>
    </row>
    <row r="293" spans="1:7" ht="15.75" customHeight="1">
      <c r="A293" s="8">
        <f t="shared" si="1"/>
        <v>64687</v>
      </c>
      <c r="B293" s="8"/>
      <c r="C293" s="8">
        <v>64687</v>
      </c>
      <c r="D293">
        <v>313</v>
      </c>
      <c r="E293" t="s">
        <v>579</v>
      </c>
      <c r="F293" t="s">
        <v>648</v>
      </c>
      <c r="G293" s="9">
        <v>44844</v>
      </c>
    </row>
    <row r="294" spans="1:7" ht="15.75" customHeight="1">
      <c r="A294" s="8">
        <f t="shared" si="1"/>
        <v>64687</v>
      </c>
      <c r="B294" s="8"/>
      <c r="C294" s="8">
        <v>64687</v>
      </c>
    </row>
    <row r="295" spans="1:7" ht="15.75" customHeight="1">
      <c r="A295" s="8">
        <f t="shared" si="1"/>
        <v>64687</v>
      </c>
      <c r="B295" s="8"/>
      <c r="C295" s="8">
        <v>64687</v>
      </c>
      <c r="E295">
        <v>1112305</v>
      </c>
      <c r="F295" t="s">
        <v>52</v>
      </c>
      <c r="G295" t="s">
        <v>581</v>
      </c>
    </row>
    <row r="296" spans="1:7" ht="15.75" customHeight="1">
      <c r="A296" s="8">
        <f t="shared" si="1"/>
        <v>0</v>
      </c>
      <c r="B296" s="8"/>
      <c r="C296" s="8"/>
      <c r="D296" t="s">
        <v>53</v>
      </c>
      <c r="G296">
        <v>1112321</v>
      </c>
    </row>
    <row r="297" spans="1:7" ht="15.75" customHeight="1">
      <c r="A297" s="8">
        <f t="shared" si="1"/>
        <v>0</v>
      </c>
      <c r="B297" s="8"/>
      <c r="C297" s="8"/>
      <c r="F297" t="s">
        <v>584</v>
      </c>
      <c r="G297">
        <v>70612000</v>
      </c>
    </row>
    <row r="298" spans="1:7" ht="15.75" customHeight="1">
      <c r="A298" s="8">
        <f t="shared" si="1"/>
        <v>-2245599</v>
      </c>
      <c r="B298" s="8">
        <v>2245599</v>
      </c>
      <c r="C298" s="8"/>
      <c r="D298">
        <v>36</v>
      </c>
      <c r="E298" t="s">
        <v>585</v>
      </c>
      <c r="F298" t="s">
        <v>662</v>
      </c>
      <c r="G298" s="9">
        <v>44635</v>
      </c>
    </row>
    <row r="299" spans="1:7" ht="15.75" customHeight="1">
      <c r="A299" s="8">
        <f t="shared" si="1"/>
        <v>-2245599</v>
      </c>
      <c r="B299" s="8">
        <v>2245599</v>
      </c>
      <c r="C299" s="8"/>
    </row>
    <row r="300" spans="1:7" ht="15.75" customHeight="1">
      <c r="A300" s="8">
        <f t="shared" si="1"/>
        <v>-2245599</v>
      </c>
      <c r="B300" s="8">
        <v>2245599</v>
      </c>
      <c r="C300" s="8"/>
      <c r="E300">
        <v>1112321</v>
      </c>
      <c r="F300" t="s">
        <v>53</v>
      </c>
      <c r="G300" t="s">
        <v>581</v>
      </c>
    </row>
    <row r="301" spans="1:7" ht="15.75" customHeight="1">
      <c r="A301" s="8">
        <f t="shared" si="1"/>
        <v>0</v>
      </c>
      <c r="B301" s="8"/>
      <c r="C301" s="8"/>
      <c r="D301" t="s">
        <v>54</v>
      </c>
      <c r="G301">
        <v>1112405</v>
      </c>
    </row>
    <row r="302" spans="1:7" ht="15.75" customHeight="1">
      <c r="A302" s="8">
        <f t="shared" si="1"/>
        <v>0</v>
      </c>
      <c r="B302" s="8"/>
      <c r="C302" s="8"/>
      <c r="F302" t="s">
        <v>582</v>
      </c>
      <c r="G302">
        <v>63240000</v>
      </c>
    </row>
    <row r="303" spans="1:7" ht="15.75" customHeight="1">
      <c r="A303" s="8">
        <f t="shared" si="1"/>
        <v>391000</v>
      </c>
      <c r="B303" s="8"/>
      <c r="C303" s="8">
        <v>391000</v>
      </c>
      <c r="D303">
        <v>258</v>
      </c>
      <c r="E303" t="s">
        <v>579</v>
      </c>
      <c r="F303" t="s">
        <v>663</v>
      </c>
      <c r="G303" s="9">
        <v>44783</v>
      </c>
    </row>
    <row r="304" spans="1:7" ht="15.75" customHeight="1">
      <c r="A304" s="8">
        <f t="shared" si="1"/>
        <v>391000</v>
      </c>
      <c r="B304" s="8"/>
      <c r="C304" s="8">
        <v>391000</v>
      </c>
    </row>
    <row r="305" spans="1:7" ht="15.75" customHeight="1">
      <c r="A305" s="8">
        <f t="shared" si="1"/>
        <v>391000</v>
      </c>
      <c r="B305" s="8"/>
      <c r="C305" s="8">
        <v>391000</v>
      </c>
      <c r="E305">
        <v>1112405</v>
      </c>
      <c r="F305" t="s">
        <v>54</v>
      </c>
      <c r="G305" t="s">
        <v>581</v>
      </c>
    </row>
    <row r="306" spans="1:7" ht="15.75" customHeight="1">
      <c r="A306" s="8">
        <f t="shared" si="1"/>
        <v>0</v>
      </c>
      <c r="B306" s="8"/>
      <c r="C306" s="8"/>
      <c r="D306" t="s">
        <v>55</v>
      </c>
      <c r="G306">
        <v>1112421</v>
      </c>
    </row>
    <row r="307" spans="1:7" ht="15.75" customHeight="1">
      <c r="A307" s="8">
        <f t="shared" si="1"/>
        <v>0</v>
      </c>
      <c r="B307" s="8"/>
      <c r="C307" s="8"/>
      <c r="F307" t="s">
        <v>584</v>
      </c>
      <c r="G307">
        <v>70612000</v>
      </c>
    </row>
    <row r="308" spans="1:7" ht="15.75" customHeight="1">
      <c r="A308" s="8">
        <f t="shared" si="1"/>
        <v>-1804089</v>
      </c>
      <c r="B308" s="8">
        <v>1804089</v>
      </c>
      <c r="C308" s="8"/>
      <c r="D308">
        <v>67</v>
      </c>
      <c r="E308" t="s">
        <v>585</v>
      </c>
      <c r="F308" t="s">
        <v>664</v>
      </c>
      <c r="G308" s="9">
        <v>44680</v>
      </c>
    </row>
    <row r="309" spans="1:7" ht="15.75" customHeight="1">
      <c r="A309" s="8">
        <f t="shared" si="1"/>
        <v>-1804089</v>
      </c>
      <c r="B309" s="8">
        <v>1804089</v>
      </c>
      <c r="C309" s="8"/>
    </row>
    <row r="310" spans="1:7" ht="15.75" customHeight="1">
      <c r="A310" s="8">
        <f t="shared" si="1"/>
        <v>-1804089</v>
      </c>
      <c r="B310" s="8">
        <v>1804089</v>
      </c>
      <c r="C310" s="8"/>
      <c r="E310">
        <v>1112421</v>
      </c>
      <c r="F310" t="s">
        <v>55</v>
      </c>
      <c r="G310" t="s">
        <v>581</v>
      </c>
    </row>
    <row r="311" spans="1:7" ht="15.75" customHeight="1">
      <c r="A311" s="8">
        <f t="shared" si="1"/>
        <v>0</v>
      </c>
      <c r="B311" s="8"/>
      <c r="C311" s="8"/>
      <c r="D311" t="s">
        <v>56</v>
      </c>
      <c r="G311">
        <v>1112501</v>
      </c>
    </row>
    <row r="312" spans="1:7" ht="15.75" customHeight="1">
      <c r="A312" s="8">
        <f t="shared" si="1"/>
        <v>0</v>
      </c>
      <c r="B312" s="8"/>
      <c r="C312" s="8"/>
      <c r="F312" t="s">
        <v>578</v>
      </c>
      <c r="G312">
        <v>63841000</v>
      </c>
    </row>
    <row r="313" spans="1:7" ht="15.75" customHeight="1">
      <c r="A313" s="8">
        <f t="shared" si="1"/>
        <v>139438</v>
      </c>
      <c r="B313" s="8"/>
      <c r="C313" s="8">
        <v>139438</v>
      </c>
      <c r="D313">
        <v>112</v>
      </c>
      <c r="E313" t="s">
        <v>579</v>
      </c>
      <c r="F313" t="s">
        <v>603</v>
      </c>
      <c r="G313" s="9">
        <v>44684</v>
      </c>
    </row>
    <row r="314" spans="1:7" ht="15.75" customHeight="1">
      <c r="A314" s="8">
        <f t="shared" si="1"/>
        <v>61007</v>
      </c>
      <c r="B314" s="8"/>
      <c r="C314" s="8">
        <v>61007</v>
      </c>
      <c r="D314">
        <v>124</v>
      </c>
      <c r="E314" t="s">
        <v>594</v>
      </c>
      <c r="F314" t="s">
        <v>604</v>
      </c>
      <c r="G314" s="9">
        <v>44830</v>
      </c>
    </row>
    <row r="315" spans="1:7" ht="15.75" customHeight="1">
      <c r="A315" s="8">
        <f t="shared" si="1"/>
        <v>200445</v>
      </c>
      <c r="B315" s="8"/>
      <c r="C315" s="8">
        <v>200445</v>
      </c>
    </row>
    <row r="316" spans="1:7" ht="15.75" customHeight="1">
      <c r="A316" s="8">
        <f t="shared" si="1"/>
        <v>200445</v>
      </c>
      <c r="B316" s="8"/>
      <c r="C316" s="8">
        <v>200445</v>
      </c>
      <c r="E316">
        <v>1112501</v>
      </c>
      <c r="F316" t="s">
        <v>56</v>
      </c>
      <c r="G316" t="s">
        <v>581</v>
      </c>
    </row>
    <row r="317" spans="1:7" ht="15.75" customHeight="1">
      <c r="A317" s="8">
        <f t="shared" si="1"/>
        <v>0</v>
      </c>
      <c r="B317" s="8"/>
      <c r="C317" s="8"/>
      <c r="D317" t="s">
        <v>57</v>
      </c>
      <c r="G317">
        <v>1112502</v>
      </c>
    </row>
    <row r="318" spans="1:7" ht="15.75" customHeight="1">
      <c r="A318" s="8">
        <f t="shared" si="1"/>
        <v>0</v>
      </c>
      <c r="B318" s="8"/>
      <c r="C318" s="8"/>
      <c r="F318" t="s">
        <v>590</v>
      </c>
      <c r="G318">
        <v>61811000</v>
      </c>
    </row>
    <row r="319" spans="1:7" ht="15.75" customHeight="1">
      <c r="A319" s="8">
        <f t="shared" si="1"/>
        <v>32200</v>
      </c>
      <c r="B319" s="8"/>
      <c r="C319" s="8">
        <v>32200</v>
      </c>
      <c r="D319">
        <v>301</v>
      </c>
      <c r="E319" t="s">
        <v>579</v>
      </c>
      <c r="F319" t="s">
        <v>591</v>
      </c>
      <c r="G319" s="9">
        <v>44830</v>
      </c>
    </row>
    <row r="320" spans="1:7" ht="15.75" customHeight="1">
      <c r="A320" s="8">
        <f t="shared" si="1"/>
        <v>32200</v>
      </c>
      <c r="B320" s="8"/>
      <c r="C320" s="8">
        <v>32200</v>
      </c>
    </row>
    <row r="321" spans="1:7" ht="15.75" customHeight="1">
      <c r="A321" s="8">
        <f t="shared" si="1"/>
        <v>32200</v>
      </c>
      <c r="B321" s="8"/>
      <c r="C321" s="8">
        <v>32200</v>
      </c>
      <c r="E321">
        <v>1112502</v>
      </c>
      <c r="F321" t="s">
        <v>57</v>
      </c>
      <c r="G321" t="s">
        <v>581</v>
      </c>
    </row>
    <row r="322" spans="1:7" ht="15.75" customHeight="1">
      <c r="A322" s="8">
        <f t="shared" si="1"/>
        <v>0</v>
      </c>
      <c r="B322" s="8"/>
      <c r="C322" s="8"/>
      <c r="D322" t="s">
        <v>58</v>
      </c>
      <c r="G322">
        <v>1112521</v>
      </c>
    </row>
    <row r="323" spans="1:7" ht="15.75" customHeight="1">
      <c r="A323" s="8">
        <f t="shared" si="1"/>
        <v>0</v>
      </c>
      <c r="B323" s="8"/>
      <c r="C323" s="8"/>
      <c r="F323" t="s">
        <v>584</v>
      </c>
      <c r="G323">
        <v>70612000</v>
      </c>
    </row>
    <row r="324" spans="1:7" ht="15.75" customHeight="1">
      <c r="A324" s="8">
        <f t="shared" si="1"/>
        <v>-2947228</v>
      </c>
      <c r="B324" s="8">
        <v>2947228</v>
      </c>
      <c r="C324" s="8"/>
      <c r="D324">
        <v>72</v>
      </c>
      <c r="E324" t="s">
        <v>585</v>
      </c>
      <c r="F324" t="s">
        <v>665</v>
      </c>
      <c r="G324" s="9">
        <v>44680</v>
      </c>
    </row>
    <row r="325" spans="1:7" ht="15.75" customHeight="1">
      <c r="A325" s="8">
        <f t="shared" si="1"/>
        <v>-2947228</v>
      </c>
      <c r="B325" s="8">
        <v>2947228</v>
      </c>
      <c r="C325" s="8"/>
    </row>
    <row r="326" spans="1:7" ht="15.75" customHeight="1">
      <c r="A326" s="8">
        <f t="shared" si="1"/>
        <v>-2947228</v>
      </c>
      <c r="B326" s="8">
        <v>2947228</v>
      </c>
      <c r="C326" s="8"/>
      <c r="E326">
        <v>1112521</v>
      </c>
      <c r="F326" t="s">
        <v>58</v>
      </c>
      <c r="G326" t="s">
        <v>581</v>
      </c>
    </row>
    <row r="327" spans="1:7" ht="15.75" customHeight="1">
      <c r="A327" s="8">
        <f t="shared" si="1"/>
        <v>0</v>
      </c>
      <c r="B327" s="8"/>
      <c r="C327" s="8"/>
      <c r="D327" t="s">
        <v>59</v>
      </c>
      <c r="G327">
        <v>1112701</v>
      </c>
    </row>
    <row r="328" spans="1:7" ht="15.75" customHeight="1">
      <c r="A328" s="8">
        <f t="shared" si="1"/>
        <v>0</v>
      </c>
      <c r="B328" s="8"/>
      <c r="C328" s="8"/>
      <c r="F328" t="s">
        <v>578</v>
      </c>
      <c r="G328">
        <v>63841000</v>
      </c>
    </row>
    <row r="329" spans="1:7" ht="15.75" customHeight="1">
      <c r="A329" s="8">
        <f t="shared" si="1"/>
        <v>278875</v>
      </c>
      <c r="B329" s="8"/>
      <c r="C329" s="8">
        <v>278875</v>
      </c>
      <c r="D329">
        <v>52</v>
      </c>
      <c r="E329" t="s">
        <v>594</v>
      </c>
      <c r="F329" t="s">
        <v>666</v>
      </c>
      <c r="G329" s="9">
        <v>44764</v>
      </c>
    </row>
    <row r="330" spans="1:7" ht="15.75" customHeight="1">
      <c r="A330" s="8">
        <f t="shared" si="1"/>
        <v>278875</v>
      </c>
      <c r="B330" s="8"/>
      <c r="C330" s="8">
        <v>278875</v>
      </c>
    </row>
    <row r="331" spans="1:7" ht="15.75" customHeight="1">
      <c r="A331" s="8">
        <f t="shared" si="1"/>
        <v>278875</v>
      </c>
      <c r="B331" s="8"/>
      <c r="C331" s="8">
        <v>278875</v>
      </c>
      <c r="E331">
        <v>1112701</v>
      </c>
      <c r="F331" t="s">
        <v>59</v>
      </c>
      <c r="G331" t="s">
        <v>581</v>
      </c>
    </row>
    <row r="332" spans="1:7" ht="15.75" customHeight="1">
      <c r="A332" s="8">
        <f t="shared" si="1"/>
        <v>0</v>
      </c>
      <c r="B332" s="8"/>
      <c r="C332" s="8"/>
      <c r="D332" t="s">
        <v>60</v>
      </c>
      <c r="G332">
        <v>1112702</v>
      </c>
    </row>
    <row r="333" spans="1:7" ht="15.75" customHeight="1">
      <c r="A333" s="8">
        <f t="shared" si="1"/>
        <v>0</v>
      </c>
      <c r="B333" s="8"/>
      <c r="C333" s="8"/>
      <c r="F333" t="s">
        <v>590</v>
      </c>
      <c r="G333">
        <v>61811000</v>
      </c>
    </row>
    <row r="334" spans="1:7" ht="15.75" customHeight="1">
      <c r="A334" s="8">
        <f t="shared" si="1"/>
        <v>28750</v>
      </c>
      <c r="B334" s="8"/>
      <c r="C334" s="8">
        <v>28750</v>
      </c>
      <c r="D334">
        <v>154</v>
      </c>
      <c r="E334" t="s">
        <v>667</v>
      </c>
      <c r="F334" t="s">
        <v>668</v>
      </c>
      <c r="G334" s="9">
        <v>44764</v>
      </c>
    </row>
    <row r="335" spans="1:7" ht="15.75" customHeight="1">
      <c r="A335" s="8">
        <f t="shared" si="1"/>
        <v>28750</v>
      </c>
      <c r="B335" s="8"/>
      <c r="C335" s="8">
        <v>28750</v>
      </c>
    </row>
    <row r="336" spans="1:7" ht="15.75" customHeight="1">
      <c r="A336" s="8">
        <f t="shared" si="1"/>
        <v>28750</v>
      </c>
      <c r="B336" s="8"/>
      <c r="C336" s="8">
        <v>28750</v>
      </c>
      <c r="E336">
        <v>1112702</v>
      </c>
      <c r="F336" t="s">
        <v>60</v>
      </c>
      <c r="G336" t="s">
        <v>581</v>
      </c>
    </row>
    <row r="337" spans="1:7" ht="15.75" customHeight="1">
      <c r="A337" s="8">
        <f t="shared" si="1"/>
        <v>0</v>
      </c>
      <c r="B337" s="8"/>
      <c r="C337" s="8"/>
      <c r="D337" t="s">
        <v>61</v>
      </c>
      <c r="G337">
        <v>1112721</v>
      </c>
    </row>
    <row r="338" spans="1:7" ht="15.75" customHeight="1">
      <c r="A338" s="8">
        <f t="shared" si="1"/>
        <v>0</v>
      </c>
      <c r="B338" s="8"/>
      <c r="C338" s="8"/>
      <c r="F338" t="s">
        <v>584</v>
      </c>
      <c r="G338">
        <v>70612000</v>
      </c>
    </row>
    <row r="339" spans="1:7" ht="15.75" customHeight="1">
      <c r="A339" s="8">
        <f t="shared" si="1"/>
        <v>-2286287</v>
      </c>
      <c r="B339" s="8">
        <v>2286287</v>
      </c>
      <c r="C339" s="8"/>
      <c r="D339">
        <v>109</v>
      </c>
      <c r="E339" t="s">
        <v>585</v>
      </c>
      <c r="F339" t="s">
        <v>669</v>
      </c>
      <c r="G339" s="9">
        <v>44750</v>
      </c>
    </row>
    <row r="340" spans="1:7" ht="15.75" customHeight="1">
      <c r="A340" s="8">
        <f t="shared" si="1"/>
        <v>-2286287</v>
      </c>
      <c r="B340" s="8">
        <v>2286287</v>
      </c>
      <c r="C340" s="8"/>
    </row>
    <row r="341" spans="1:7" ht="15.75" customHeight="1">
      <c r="A341" s="8">
        <f t="shared" si="1"/>
        <v>-2286287</v>
      </c>
      <c r="B341" s="8">
        <v>2286287</v>
      </c>
      <c r="C341" s="8"/>
      <c r="E341">
        <v>1112721</v>
      </c>
      <c r="F341" t="s">
        <v>61</v>
      </c>
      <c r="G341" t="s">
        <v>581</v>
      </c>
    </row>
    <row r="342" spans="1:7" ht="15.75" customHeight="1">
      <c r="A342" s="8">
        <f t="shared" si="1"/>
        <v>0</v>
      </c>
      <c r="B342" s="8"/>
      <c r="C342" s="8"/>
      <c r="D342" t="s">
        <v>62</v>
      </c>
      <c r="G342">
        <v>1112801</v>
      </c>
    </row>
    <row r="343" spans="1:7" ht="15.75" customHeight="1">
      <c r="A343" s="8">
        <f t="shared" si="1"/>
        <v>0</v>
      </c>
      <c r="B343" s="8"/>
      <c r="C343" s="8"/>
      <c r="F343" t="s">
        <v>578</v>
      </c>
      <c r="G343">
        <v>63841000</v>
      </c>
    </row>
    <row r="344" spans="1:7" ht="15.75" customHeight="1">
      <c r="A344" s="8">
        <f t="shared" si="1"/>
        <v>69805</v>
      </c>
      <c r="B344" s="8"/>
      <c r="C344" s="8">
        <v>69805</v>
      </c>
      <c r="D344">
        <v>114</v>
      </c>
      <c r="E344" t="s">
        <v>579</v>
      </c>
      <c r="F344" t="s">
        <v>670</v>
      </c>
      <c r="G344" s="9">
        <v>44684</v>
      </c>
    </row>
    <row r="345" spans="1:7" ht="15.75" customHeight="1">
      <c r="A345" s="8">
        <f t="shared" si="1"/>
        <v>69805</v>
      </c>
      <c r="B345" s="8"/>
      <c r="C345" s="8">
        <v>69805</v>
      </c>
    </row>
    <row r="346" spans="1:7" ht="15.75" customHeight="1">
      <c r="A346" s="8">
        <f t="shared" si="1"/>
        <v>69805</v>
      </c>
      <c r="B346" s="8"/>
      <c r="C346" s="8">
        <v>69805</v>
      </c>
      <c r="E346">
        <v>1112801</v>
      </c>
      <c r="F346" t="s">
        <v>62</v>
      </c>
      <c r="G346" t="s">
        <v>581</v>
      </c>
    </row>
    <row r="347" spans="1:7" ht="15.75" customHeight="1">
      <c r="A347" s="8">
        <f t="shared" si="1"/>
        <v>0</v>
      </c>
      <c r="B347" s="8"/>
      <c r="C347" s="8"/>
      <c r="D347" t="s">
        <v>63</v>
      </c>
      <c r="G347">
        <v>1112901</v>
      </c>
    </row>
    <row r="348" spans="1:7" ht="15.75" customHeight="1">
      <c r="A348" s="8">
        <f t="shared" si="1"/>
        <v>0</v>
      </c>
      <c r="B348" s="8"/>
      <c r="C348" s="8"/>
      <c r="F348" t="s">
        <v>578</v>
      </c>
      <c r="G348">
        <v>63841000</v>
      </c>
    </row>
    <row r="349" spans="1:7" ht="15.75" customHeight="1">
      <c r="A349" s="8">
        <f t="shared" si="1"/>
        <v>87228</v>
      </c>
      <c r="B349" s="8"/>
      <c r="C349" s="8">
        <v>87228</v>
      </c>
      <c r="D349">
        <v>125</v>
      </c>
      <c r="E349" t="s">
        <v>594</v>
      </c>
      <c r="F349" t="s">
        <v>671</v>
      </c>
      <c r="G349" s="9">
        <v>44830</v>
      </c>
    </row>
    <row r="350" spans="1:7" ht="15.75" customHeight="1">
      <c r="A350" s="8">
        <f t="shared" si="1"/>
        <v>291928</v>
      </c>
      <c r="B350" s="8"/>
      <c r="C350" s="8">
        <v>291928</v>
      </c>
      <c r="D350">
        <v>126</v>
      </c>
      <c r="E350" t="s">
        <v>594</v>
      </c>
      <c r="F350" t="s">
        <v>672</v>
      </c>
      <c r="G350" s="9">
        <v>44830</v>
      </c>
    </row>
    <row r="351" spans="1:7" ht="15.75" customHeight="1">
      <c r="A351" s="8">
        <f t="shared" si="1"/>
        <v>379155</v>
      </c>
      <c r="B351" s="8"/>
      <c r="C351" s="8">
        <v>379155</v>
      </c>
    </row>
    <row r="352" spans="1:7" ht="15.75" customHeight="1">
      <c r="A352" s="8">
        <f t="shared" si="1"/>
        <v>379155</v>
      </c>
      <c r="B352" s="8"/>
      <c r="C352" s="8">
        <v>379155</v>
      </c>
      <c r="E352">
        <v>1112901</v>
      </c>
      <c r="F352" t="s">
        <v>63</v>
      </c>
      <c r="G352" t="s">
        <v>581</v>
      </c>
    </row>
    <row r="353" spans="1:7" ht="15.75" customHeight="1">
      <c r="A353" s="8">
        <f t="shared" si="1"/>
        <v>0</v>
      </c>
      <c r="B353" s="8"/>
      <c r="C353" s="8"/>
      <c r="D353" t="s">
        <v>64</v>
      </c>
      <c r="G353">
        <v>1112905</v>
      </c>
    </row>
    <row r="354" spans="1:7" ht="15.75" customHeight="1">
      <c r="A354" s="8">
        <f t="shared" si="1"/>
        <v>0</v>
      </c>
      <c r="B354" s="8"/>
      <c r="C354" s="8"/>
      <c r="F354" t="s">
        <v>582</v>
      </c>
      <c r="G354">
        <v>63240000</v>
      </c>
    </row>
    <row r="355" spans="1:7" ht="15.75" customHeight="1">
      <c r="A355" s="8">
        <f t="shared" si="1"/>
        <v>158125</v>
      </c>
      <c r="B355" s="8"/>
      <c r="C355" s="8">
        <v>158125</v>
      </c>
      <c r="D355">
        <v>435</v>
      </c>
      <c r="E355" t="s">
        <v>579</v>
      </c>
      <c r="F355" t="s">
        <v>673</v>
      </c>
      <c r="G355" s="9">
        <v>44925</v>
      </c>
    </row>
    <row r="356" spans="1:7" ht="15.75" customHeight="1">
      <c r="A356" s="8">
        <f t="shared" si="1"/>
        <v>158125</v>
      </c>
      <c r="B356" s="8"/>
      <c r="C356" s="8">
        <v>158125</v>
      </c>
    </row>
    <row r="357" spans="1:7" ht="15.75" customHeight="1">
      <c r="A357" s="8">
        <f t="shared" si="1"/>
        <v>158125</v>
      </c>
      <c r="B357" s="8"/>
      <c r="C357" s="8">
        <v>158125</v>
      </c>
      <c r="E357">
        <v>1112905</v>
      </c>
      <c r="F357" t="s">
        <v>64</v>
      </c>
      <c r="G357" t="s">
        <v>581</v>
      </c>
    </row>
    <row r="358" spans="1:7" ht="15.75" customHeight="1">
      <c r="A358" s="8">
        <f t="shared" si="1"/>
        <v>0</v>
      </c>
      <c r="B358" s="8"/>
      <c r="C358" s="8"/>
      <c r="D358" t="s">
        <v>65</v>
      </c>
      <c r="G358">
        <v>1112921</v>
      </c>
    </row>
    <row r="359" spans="1:7" ht="15.75" customHeight="1">
      <c r="A359" s="8">
        <f t="shared" si="1"/>
        <v>0</v>
      </c>
      <c r="B359" s="8"/>
      <c r="C359" s="8"/>
      <c r="F359" t="s">
        <v>584</v>
      </c>
      <c r="G359">
        <v>70612000</v>
      </c>
    </row>
    <row r="360" spans="1:7" ht="15.75" customHeight="1">
      <c r="A360" s="8">
        <f t="shared" si="1"/>
        <v>-2271308</v>
      </c>
      <c r="B360" s="8">
        <v>2271308</v>
      </c>
      <c r="C360" s="8"/>
      <c r="D360">
        <v>159</v>
      </c>
      <c r="E360" t="s">
        <v>585</v>
      </c>
      <c r="F360" t="s">
        <v>674</v>
      </c>
      <c r="G360" s="9">
        <v>44804</v>
      </c>
    </row>
    <row r="361" spans="1:7" ht="15.75" customHeight="1">
      <c r="A361" s="8">
        <f t="shared" si="1"/>
        <v>-2271308</v>
      </c>
      <c r="B361" s="8">
        <v>2271308</v>
      </c>
      <c r="C361" s="8"/>
    </row>
    <row r="362" spans="1:7" ht="15.75" customHeight="1">
      <c r="A362" s="8">
        <f t="shared" si="1"/>
        <v>-2271308</v>
      </c>
      <c r="B362" s="8">
        <v>2271308</v>
      </c>
      <c r="C362" s="8"/>
      <c r="E362">
        <v>1112921</v>
      </c>
      <c r="F362" t="s">
        <v>65</v>
      </c>
      <c r="G362" t="s">
        <v>581</v>
      </c>
    </row>
    <row r="363" spans="1:7" ht="15.75" customHeight="1">
      <c r="A363" s="8">
        <f t="shared" si="1"/>
        <v>0</v>
      </c>
      <c r="B363" s="8"/>
      <c r="C363" s="8"/>
      <c r="D363" t="s">
        <v>33</v>
      </c>
      <c r="G363">
        <v>1113101</v>
      </c>
    </row>
    <row r="364" spans="1:7" ht="15.75" customHeight="1">
      <c r="A364" s="8">
        <f t="shared" si="1"/>
        <v>0</v>
      </c>
      <c r="B364" s="8"/>
      <c r="C364" s="8"/>
      <c r="F364" t="s">
        <v>578</v>
      </c>
      <c r="G364">
        <v>63841000</v>
      </c>
    </row>
    <row r="365" spans="1:7" ht="15.75" customHeight="1">
      <c r="A365" s="8">
        <f t="shared" si="1"/>
        <v>34960</v>
      </c>
      <c r="B365" s="8"/>
      <c r="C365" s="8">
        <v>34960</v>
      </c>
      <c r="D365">
        <v>41</v>
      </c>
      <c r="E365" t="s">
        <v>579</v>
      </c>
      <c r="F365" t="s">
        <v>675</v>
      </c>
      <c r="G365" s="9">
        <v>44624</v>
      </c>
    </row>
    <row r="366" spans="1:7" ht="15.75" customHeight="1">
      <c r="A366" s="8">
        <f t="shared" si="1"/>
        <v>209185</v>
      </c>
      <c r="B366" s="8"/>
      <c r="C366" s="8">
        <v>209185</v>
      </c>
      <c r="D366">
        <v>115</v>
      </c>
      <c r="E366" t="s">
        <v>594</v>
      </c>
      <c r="F366" t="s">
        <v>676</v>
      </c>
      <c r="G366" s="9">
        <v>44826</v>
      </c>
    </row>
    <row r="367" spans="1:7" ht="15.75" customHeight="1">
      <c r="A367" s="8">
        <f t="shared" si="1"/>
        <v>244145</v>
      </c>
      <c r="B367" s="8"/>
      <c r="C367" s="8">
        <v>244145</v>
      </c>
    </row>
    <row r="368" spans="1:7" ht="15.75" customHeight="1">
      <c r="A368" s="8">
        <f t="shared" si="1"/>
        <v>244145</v>
      </c>
      <c r="B368" s="8"/>
      <c r="C368" s="8">
        <v>244145</v>
      </c>
      <c r="E368">
        <v>1113101</v>
      </c>
      <c r="F368" t="s">
        <v>33</v>
      </c>
      <c r="G368" t="s">
        <v>581</v>
      </c>
    </row>
    <row r="369" spans="1:7" ht="15.75" customHeight="1">
      <c r="A369" s="8">
        <f t="shared" si="1"/>
        <v>0</v>
      </c>
      <c r="B369" s="8"/>
      <c r="C369" s="8"/>
      <c r="D369" t="s">
        <v>66</v>
      </c>
      <c r="G369">
        <v>1113105</v>
      </c>
    </row>
    <row r="370" spans="1:7" ht="15.75" customHeight="1">
      <c r="A370" s="8">
        <f t="shared" si="1"/>
        <v>0</v>
      </c>
      <c r="B370" s="8"/>
      <c r="C370" s="8"/>
      <c r="F370" t="s">
        <v>582</v>
      </c>
      <c r="G370">
        <v>63240000</v>
      </c>
    </row>
    <row r="371" spans="1:7" ht="15.75" customHeight="1">
      <c r="A371" s="8">
        <f t="shared" si="1"/>
        <v>64687</v>
      </c>
      <c r="B371" s="8"/>
      <c r="C371" s="8">
        <v>64687</v>
      </c>
      <c r="D371">
        <v>256</v>
      </c>
      <c r="E371" t="s">
        <v>579</v>
      </c>
      <c r="F371" t="s">
        <v>583</v>
      </c>
      <c r="G371" s="9">
        <v>44778</v>
      </c>
    </row>
    <row r="372" spans="1:7" ht="15.75" customHeight="1">
      <c r="A372" s="8">
        <f t="shared" si="1"/>
        <v>64687</v>
      </c>
      <c r="B372" s="8"/>
      <c r="C372" s="8">
        <v>64687</v>
      </c>
    </row>
    <row r="373" spans="1:7" ht="15.75" customHeight="1">
      <c r="A373" s="8">
        <f t="shared" si="1"/>
        <v>64687</v>
      </c>
      <c r="B373" s="8"/>
      <c r="C373" s="8">
        <v>64687</v>
      </c>
      <c r="E373">
        <v>1113105</v>
      </c>
      <c r="F373" t="s">
        <v>66</v>
      </c>
      <c r="G373" t="s">
        <v>581</v>
      </c>
    </row>
    <row r="374" spans="1:7" ht="15.75" customHeight="1">
      <c r="A374" s="8">
        <f t="shared" si="1"/>
        <v>0</v>
      </c>
      <c r="B374" s="8"/>
      <c r="C374" s="8"/>
      <c r="D374" t="s">
        <v>67</v>
      </c>
      <c r="G374">
        <v>1113201</v>
      </c>
    </row>
    <row r="375" spans="1:7" ht="15.75" customHeight="1">
      <c r="A375" s="8">
        <f t="shared" si="1"/>
        <v>0</v>
      </c>
      <c r="B375" s="8"/>
      <c r="C375" s="8"/>
      <c r="F375" t="s">
        <v>578</v>
      </c>
      <c r="G375">
        <v>63841000</v>
      </c>
    </row>
    <row r="376" spans="1:7" ht="15.75" customHeight="1">
      <c r="A376" s="8">
        <f t="shared" si="1"/>
        <v>156918</v>
      </c>
      <c r="B376" s="8"/>
      <c r="C376" s="8">
        <v>156918</v>
      </c>
      <c r="D376">
        <v>113</v>
      </c>
      <c r="E376" t="s">
        <v>594</v>
      </c>
      <c r="F376" t="s">
        <v>677</v>
      </c>
      <c r="G376" s="9">
        <v>44826</v>
      </c>
    </row>
    <row r="377" spans="1:7" ht="15.75" customHeight="1">
      <c r="A377" s="8">
        <f t="shared" si="1"/>
        <v>156918</v>
      </c>
      <c r="B377" s="8"/>
      <c r="C377" s="8">
        <v>156918</v>
      </c>
      <c r="D377">
        <v>114</v>
      </c>
      <c r="E377" t="s">
        <v>594</v>
      </c>
      <c r="F377" t="s">
        <v>678</v>
      </c>
      <c r="G377" s="9">
        <v>44826</v>
      </c>
    </row>
    <row r="378" spans="1:7" ht="15.75" customHeight="1">
      <c r="A378" s="8">
        <f t="shared" si="1"/>
        <v>313835</v>
      </c>
      <c r="B378" s="8"/>
      <c r="C378" s="8">
        <v>313835</v>
      </c>
    </row>
    <row r="379" spans="1:7" ht="15.75" customHeight="1">
      <c r="A379" s="8">
        <f t="shared" si="1"/>
        <v>313835</v>
      </c>
      <c r="B379" s="8"/>
      <c r="C379" s="8">
        <v>313835</v>
      </c>
      <c r="E379">
        <v>1113201</v>
      </c>
      <c r="F379" t="s">
        <v>67</v>
      </c>
      <c r="G379" t="s">
        <v>581</v>
      </c>
    </row>
    <row r="380" spans="1:7" ht="15.75" customHeight="1">
      <c r="A380" s="8">
        <f t="shared" si="1"/>
        <v>0</v>
      </c>
      <c r="B380" s="8"/>
      <c r="C380" s="8"/>
      <c r="D380" t="s">
        <v>68</v>
      </c>
      <c r="G380">
        <v>1113205</v>
      </c>
    </row>
    <row r="381" spans="1:7" ht="15.75" customHeight="1">
      <c r="A381" s="8">
        <f t="shared" si="1"/>
        <v>0</v>
      </c>
      <c r="B381" s="8"/>
      <c r="C381" s="8"/>
      <c r="F381" t="s">
        <v>582</v>
      </c>
      <c r="G381">
        <v>63240000</v>
      </c>
    </row>
    <row r="382" spans="1:7" ht="15.75" customHeight="1">
      <c r="A382" s="8">
        <f t="shared" si="1"/>
        <v>280313</v>
      </c>
      <c r="B382" s="8"/>
      <c r="C382" s="8">
        <v>280313</v>
      </c>
      <c r="D382">
        <v>313</v>
      </c>
      <c r="E382" t="s">
        <v>579</v>
      </c>
      <c r="F382" t="s">
        <v>648</v>
      </c>
      <c r="G382" s="9">
        <v>44844</v>
      </c>
    </row>
    <row r="383" spans="1:7" ht="15.75" customHeight="1">
      <c r="A383" s="8">
        <f t="shared" si="1"/>
        <v>280313</v>
      </c>
      <c r="B383" s="8"/>
      <c r="C383" s="8">
        <v>280313</v>
      </c>
    </row>
    <row r="384" spans="1:7" ht="15.75" customHeight="1">
      <c r="A384" s="8">
        <f t="shared" si="1"/>
        <v>280313</v>
      </c>
      <c r="B384" s="8"/>
      <c r="C384" s="8">
        <v>280313</v>
      </c>
      <c r="E384">
        <v>1113205</v>
      </c>
      <c r="F384" t="s">
        <v>68</v>
      </c>
      <c r="G384" t="s">
        <v>581</v>
      </c>
    </row>
    <row r="385" spans="1:7" ht="15.75" customHeight="1">
      <c r="A385" s="8">
        <f t="shared" si="1"/>
        <v>0</v>
      </c>
      <c r="B385" s="8"/>
      <c r="C385" s="8"/>
      <c r="D385" t="s">
        <v>69</v>
      </c>
      <c r="G385">
        <v>1113221</v>
      </c>
    </row>
    <row r="386" spans="1:7" ht="15.75" customHeight="1">
      <c r="A386" s="8">
        <f t="shared" si="1"/>
        <v>0</v>
      </c>
      <c r="B386" s="8"/>
      <c r="C386" s="8"/>
      <c r="F386" t="s">
        <v>584</v>
      </c>
      <c r="G386">
        <v>70612000</v>
      </c>
    </row>
    <row r="387" spans="1:7" ht="15.75" customHeight="1">
      <c r="A387" s="8">
        <f t="shared" si="1"/>
        <v>-4206160</v>
      </c>
      <c r="B387" s="8">
        <v>4206160</v>
      </c>
      <c r="C387" s="8"/>
      <c r="D387">
        <v>128</v>
      </c>
      <c r="E387" t="s">
        <v>585</v>
      </c>
      <c r="F387" t="s">
        <v>679</v>
      </c>
      <c r="G387" s="9">
        <v>44767</v>
      </c>
    </row>
    <row r="388" spans="1:7" ht="15.75" customHeight="1">
      <c r="A388" s="8">
        <f t="shared" si="1"/>
        <v>-4206160</v>
      </c>
      <c r="B388" s="8">
        <v>4206160</v>
      </c>
      <c r="C388" s="8"/>
    </row>
    <row r="389" spans="1:7" ht="15.75" customHeight="1">
      <c r="A389" s="8">
        <f t="shared" si="1"/>
        <v>-4206160</v>
      </c>
      <c r="B389" s="8">
        <v>4206160</v>
      </c>
      <c r="C389" s="8"/>
      <c r="E389">
        <v>1113221</v>
      </c>
      <c r="F389" t="s">
        <v>69</v>
      </c>
      <c r="G389" t="s">
        <v>581</v>
      </c>
    </row>
    <row r="390" spans="1:7" ht="15.75" customHeight="1">
      <c r="A390" s="8">
        <f t="shared" si="1"/>
        <v>0</v>
      </c>
      <c r="B390" s="8"/>
      <c r="C390" s="8"/>
      <c r="D390" t="s">
        <v>70</v>
      </c>
      <c r="G390">
        <v>1113301</v>
      </c>
    </row>
    <row r="391" spans="1:7" ht="15.75" customHeight="1">
      <c r="A391" s="8">
        <f t="shared" si="1"/>
        <v>0</v>
      </c>
      <c r="B391" s="8"/>
      <c r="C391" s="8"/>
      <c r="F391" t="s">
        <v>578</v>
      </c>
      <c r="G391">
        <v>63841000</v>
      </c>
    </row>
    <row r="392" spans="1:7" ht="15.75" customHeight="1">
      <c r="A392" s="8">
        <f t="shared" si="1"/>
        <v>26191</v>
      </c>
      <c r="B392" s="8"/>
      <c r="C392" s="8">
        <v>26191</v>
      </c>
      <c r="D392">
        <v>33</v>
      </c>
      <c r="E392" t="s">
        <v>579</v>
      </c>
      <c r="F392" t="s">
        <v>680</v>
      </c>
      <c r="G392" s="9">
        <v>44615</v>
      </c>
    </row>
    <row r="393" spans="1:7" ht="15.75" customHeight="1">
      <c r="A393" s="8">
        <f t="shared" si="1"/>
        <v>122072</v>
      </c>
      <c r="B393" s="8"/>
      <c r="C393" s="8">
        <v>122072</v>
      </c>
      <c r="D393">
        <v>155</v>
      </c>
      <c r="E393" t="s">
        <v>594</v>
      </c>
      <c r="F393" t="s">
        <v>681</v>
      </c>
      <c r="G393" s="9">
        <v>44869</v>
      </c>
    </row>
    <row r="394" spans="1:7" ht="15.75" customHeight="1">
      <c r="A394" s="8">
        <f t="shared" si="1"/>
        <v>148264</v>
      </c>
      <c r="B394" s="8"/>
      <c r="C394" s="8">
        <v>148264</v>
      </c>
    </row>
    <row r="395" spans="1:7" ht="15.75" customHeight="1">
      <c r="A395" s="8">
        <f t="shared" si="1"/>
        <v>148264</v>
      </c>
      <c r="B395" s="8"/>
      <c r="C395" s="8">
        <v>148264</v>
      </c>
      <c r="E395">
        <v>1113301</v>
      </c>
      <c r="F395" t="s">
        <v>70</v>
      </c>
      <c r="G395" t="s">
        <v>581</v>
      </c>
    </row>
    <row r="396" spans="1:7" ht="15.75" customHeight="1">
      <c r="A396" s="8">
        <f t="shared" si="1"/>
        <v>0</v>
      </c>
      <c r="B396" s="8"/>
      <c r="C396" s="8"/>
      <c r="D396" t="s">
        <v>71</v>
      </c>
      <c r="G396">
        <v>1113305</v>
      </c>
    </row>
    <row r="397" spans="1:7" ht="15.75" customHeight="1">
      <c r="A397" s="8">
        <f t="shared" si="1"/>
        <v>0</v>
      </c>
      <c r="B397" s="8"/>
      <c r="C397" s="8"/>
      <c r="F397" t="s">
        <v>582</v>
      </c>
      <c r="G397">
        <v>63240000</v>
      </c>
    </row>
    <row r="398" spans="1:7" ht="15.75" customHeight="1">
      <c r="A398" s="8">
        <f t="shared" si="1"/>
        <v>86250</v>
      </c>
      <c r="B398" s="8"/>
      <c r="C398" s="8">
        <v>86250</v>
      </c>
      <c r="D398">
        <v>256</v>
      </c>
      <c r="E398" t="s">
        <v>579</v>
      </c>
      <c r="F398" t="s">
        <v>583</v>
      </c>
      <c r="G398" s="9">
        <v>44778</v>
      </c>
    </row>
    <row r="399" spans="1:7" ht="15.75" customHeight="1">
      <c r="A399" s="8">
        <f t="shared" si="1"/>
        <v>86250</v>
      </c>
      <c r="B399" s="8"/>
      <c r="C399" s="8">
        <v>86250</v>
      </c>
    </row>
    <row r="400" spans="1:7" ht="15.75" customHeight="1">
      <c r="A400" s="8">
        <f t="shared" si="1"/>
        <v>86250</v>
      </c>
      <c r="B400" s="8"/>
      <c r="C400" s="8">
        <v>86250</v>
      </c>
      <c r="E400">
        <v>1113305</v>
      </c>
      <c r="F400" t="s">
        <v>71</v>
      </c>
      <c r="G400" t="s">
        <v>581</v>
      </c>
    </row>
    <row r="401" spans="1:7" ht="15.75" customHeight="1">
      <c r="A401" s="8">
        <f t="shared" si="1"/>
        <v>0</v>
      </c>
      <c r="B401" s="8"/>
      <c r="C401" s="8"/>
      <c r="D401" t="s">
        <v>72</v>
      </c>
      <c r="G401">
        <v>1113321</v>
      </c>
    </row>
    <row r="402" spans="1:7" ht="15.75" customHeight="1">
      <c r="A402" s="8">
        <f t="shared" si="1"/>
        <v>0</v>
      </c>
      <c r="B402" s="8"/>
      <c r="C402" s="8"/>
      <c r="F402" t="s">
        <v>584</v>
      </c>
      <c r="G402">
        <v>70612000</v>
      </c>
    </row>
    <row r="403" spans="1:7" ht="15.75" customHeight="1">
      <c r="A403" s="8">
        <f t="shared" si="1"/>
        <v>-2775692</v>
      </c>
      <c r="B403" s="8">
        <v>2775692</v>
      </c>
      <c r="C403" s="8"/>
      <c r="D403">
        <v>166</v>
      </c>
      <c r="E403" t="s">
        <v>585</v>
      </c>
      <c r="F403" t="s">
        <v>682</v>
      </c>
      <c r="G403" s="9">
        <v>44816</v>
      </c>
    </row>
    <row r="404" spans="1:7" ht="15.75" customHeight="1">
      <c r="A404" s="8">
        <f t="shared" si="1"/>
        <v>-2775692</v>
      </c>
      <c r="B404" s="8">
        <v>2775692</v>
      </c>
      <c r="C404" s="8"/>
    </row>
    <row r="405" spans="1:7" ht="15.75" customHeight="1">
      <c r="A405" s="8">
        <f t="shared" si="1"/>
        <v>-2775692</v>
      </c>
      <c r="B405" s="8">
        <v>2775692</v>
      </c>
      <c r="C405" s="8"/>
      <c r="E405">
        <v>1113321</v>
      </c>
      <c r="F405" t="s">
        <v>72</v>
      </c>
      <c r="G405" t="s">
        <v>581</v>
      </c>
    </row>
    <row r="406" spans="1:7" ht="15.75" customHeight="1">
      <c r="A406" s="8">
        <f t="shared" si="1"/>
        <v>0</v>
      </c>
      <c r="B406" s="8"/>
      <c r="C406" s="8"/>
      <c r="D406" t="s">
        <v>73</v>
      </c>
      <c r="G406">
        <v>1113401</v>
      </c>
    </row>
    <row r="407" spans="1:7" ht="15.75" customHeight="1">
      <c r="A407" s="8">
        <f t="shared" si="1"/>
        <v>0</v>
      </c>
      <c r="B407" s="8"/>
      <c r="C407" s="8"/>
      <c r="F407" t="s">
        <v>578</v>
      </c>
      <c r="G407">
        <v>63841000</v>
      </c>
    </row>
    <row r="408" spans="1:7" ht="15.75" customHeight="1">
      <c r="A408" s="8">
        <f t="shared" si="1"/>
        <v>26191</v>
      </c>
      <c r="B408" s="8"/>
      <c r="C408" s="8">
        <v>26191</v>
      </c>
      <c r="D408">
        <v>33</v>
      </c>
      <c r="E408" t="s">
        <v>579</v>
      </c>
      <c r="F408" t="s">
        <v>680</v>
      </c>
      <c r="G408" s="9">
        <v>44615</v>
      </c>
    </row>
    <row r="409" spans="1:7" ht="15.75" customHeight="1">
      <c r="A409" s="8">
        <f t="shared" si="1"/>
        <v>69805</v>
      </c>
      <c r="B409" s="8"/>
      <c r="C409" s="8">
        <v>69805</v>
      </c>
      <c r="D409">
        <v>110</v>
      </c>
      <c r="E409" t="s">
        <v>594</v>
      </c>
      <c r="F409" t="s">
        <v>683</v>
      </c>
      <c r="G409" s="9">
        <v>44824</v>
      </c>
    </row>
    <row r="410" spans="1:7" ht="15.75" customHeight="1">
      <c r="A410" s="8">
        <f t="shared" si="1"/>
        <v>34960</v>
      </c>
      <c r="B410" s="8"/>
      <c r="C410" s="8">
        <v>34960</v>
      </c>
      <c r="D410">
        <v>162</v>
      </c>
      <c r="E410" t="s">
        <v>594</v>
      </c>
      <c r="F410" t="s">
        <v>684</v>
      </c>
      <c r="G410" s="9">
        <v>44881</v>
      </c>
    </row>
    <row r="411" spans="1:7" ht="15.75" customHeight="1">
      <c r="A411" s="8">
        <f t="shared" si="1"/>
        <v>130956</v>
      </c>
      <c r="B411" s="8"/>
      <c r="C411" s="8">
        <v>130956</v>
      </c>
    </row>
    <row r="412" spans="1:7" ht="15.75" customHeight="1">
      <c r="A412" s="8">
        <f t="shared" si="1"/>
        <v>130956</v>
      </c>
      <c r="B412" s="8"/>
      <c r="C412" s="8">
        <v>130956</v>
      </c>
      <c r="E412">
        <v>1113401</v>
      </c>
      <c r="F412" t="s">
        <v>73</v>
      </c>
      <c r="G412" t="s">
        <v>581</v>
      </c>
    </row>
    <row r="413" spans="1:7" ht="15.75" customHeight="1">
      <c r="A413" s="8">
        <f t="shared" si="1"/>
        <v>0</v>
      </c>
      <c r="B413" s="8"/>
      <c r="C413" s="8"/>
      <c r="D413" t="s">
        <v>74</v>
      </c>
      <c r="G413">
        <v>1113405</v>
      </c>
    </row>
    <row r="414" spans="1:7" ht="15.75" customHeight="1">
      <c r="A414" s="8">
        <f t="shared" si="1"/>
        <v>0</v>
      </c>
      <c r="B414" s="8"/>
      <c r="C414" s="8"/>
      <c r="F414" t="s">
        <v>582</v>
      </c>
      <c r="G414">
        <v>63240000</v>
      </c>
    </row>
    <row r="415" spans="1:7" ht="15.75" customHeight="1">
      <c r="A415" s="8">
        <f t="shared" si="1"/>
        <v>64687</v>
      </c>
      <c r="B415" s="8"/>
      <c r="C415" s="8">
        <v>64687</v>
      </c>
      <c r="D415">
        <v>256</v>
      </c>
      <c r="E415" t="s">
        <v>579</v>
      </c>
      <c r="F415" t="s">
        <v>583</v>
      </c>
      <c r="G415" s="9">
        <v>44778</v>
      </c>
    </row>
    <row r="416" spans="1:7" ht="15.75" customHeight="1">
      <c r="A416" s="8">
        <f t="shared" si="1"/>
        <v>215625</v>
      </c>
      <c r="B416" s="8"/>
      <c r="C416" s="8">
        <v>215625</v>
      </c>
      <c r="D416">
        <v>313</v>
      </c>
      <c r="E416" t="s">
        <v>579</v>
      </c>
      <c r="F416" t="s">
        <v>648</v>
      </c>
      <c r="G416" s="9">
        <v>44844</v>
      </c>
    </row>
    <row r="417" spans="1:7" ht="15.75" customHeight="1">
      <c r="A417" s="8">
        <f t="shared" si="1"/>
        <v>280313</v>
      </c>
      <c r="B417" s="8"/>
      <c r="C417" s="8">
        <v>280313</v>
      </c>
    </row>
    <row r="418" spans="1:7" ht="15.75" customHeight="1">
      <c r="A418" s="8">
        <f t="shared" si="1"/>
        <v>280313</v>
      </c>
      <c r="B418" s="8"/>
      <c r="C418" s="8">
        <v>280313</v>
      </c>
      <c r="E418">
        <v>1113405</v>
      </c>
      <c r="F418" t="s">
        <v>74</v>
      </c>
      <c r="G418" t="s">
        <v>581</v>
      </c>
    </row>
    <row r="419" spans="1:7" ht="15.75" customHeight="1">
      <c r="A419" s="8">
        <f t="shared" si="1"/>
        <v>0</v>
      </c>
      <c r="B419" s="8"/>
      <c r="C419" s="8"/>
      <c r="D419" t="s">
        <v>75</v>
      </c>
      <c r="G419">
        <v>1113421</v>
      </c>
    </row>
    <row r="420" spans="1:7" ht="15.75" customHeight="1">
      <c r="A420" s="8">
        <f t="shared" si="1"/>
        <v>0</v>
      </c>
      <c r="B420" s="8"/>
      <c r="C420" s="8"/>
      <c r="F420" t="s">
        <v>584</v>
      </c>
      <c r="G420">
        <v>70612000</v>
      </c>
    </row>
    <row r="421" spans="1:7" ht="15.75" customHeight="1">
      <c r="A421" s="8">
        <f t="shared" si="1"/>
        <v>-1887488</v>
      </c>
      <c r="B421" s="8">
        <v>1887488</v>
      </c>
      <c r="C421" s="8"/>
      <c r="D421">
        <v>110</v>
      </c>
      <c r="E421" t="s">
        <v>585</v>
      </c>
      <c r="F421" t="s">
        <v>685</v>
      </c>
      <c r="G421" s="9">
        <v>44753</v>
      </c>
    </row>
    <row r="422" spans="1:7" ht="15.75" customHeight="1">
      <c r="A422" s="8">
        <f t="shared" si="1"/>
        <v>-1887488</v>
      </c>
      <c r="B422" s="8">
        <v>1887488</v>
      </c>
      <c r="C422" s="8"/>
    </row>
    <row r="423" spans="1:7" ht="15.75" customHeight="1">
      <c r="A423" s="8">
        <f t="shared" si="1"/>
        <v>-1887488</v>
      </c>
      <c r="B423" s="8">
        <v>1887488</v>
      </c>
      <c r="C423" s="8"/>
      <c r="E423">
        <v>1113421</v>
      </c>
      <c r="F423" t="s">
        <v>75</v>
      </c>
      <c r="G423" t="s">
        <v>581</v>
      </c>
    </row>
    <row r="424" spans="1:7" ht="15.75" customHeight="1">
      <c r="A424" s="8">
        <f t="shared" si="1"/>
        <v>0</v>
      </c>
      <c r="B424" s="8"/>
      <c r="C424" s="8"/>
      <c r="D424" t="s">
        <v>69</v>
      </c>
      <c r="G424">
        <v>1113521</v>
      </c>
    </row>
    <row r="425" spans="1:7" ht="15.75" customHeight="1">
      <c r="A425" s="8">
        <f t="shared" si="1"/>
        <v>0</v>
      </c>
      <c r="B425" s="8"/>
      <c r="C425" s="8"/>
      <c r="F425" t="s">
        <v>584</v>
      </c>
      <c r="G425">
        <v>70612000</v>
      </c>
    </row>
    <row r="426" spans="1:7" ht="15.75" customHeight="1">
      <c r="A426" s="8">
        <f t="shared" si="1"/>
        <v>-1328733</v>
      </c>
      <c r="B426" s="8">
        <v>1328733</v>
      </c>
      <c r="C426" s="8"/>
      <c r="D426">
        <v>129</v>
      </c>
      <c r="E426" t="s">
        <v>585</v>
      </c>
      <c r="F426" t="s">
        <v>686</v>
      </c>
      <c r="G426" s="9">
        <v>44767</v>
      </c>
    </row>
    <row r="427" spans="1:7" ht="15.75" customHeight="1">
      <c r="A427" s="8">
        <f t="shared" si="1"/>
        <v>-1328733</v>
      </c>
      <c r="B427" s="8">
        <v>1328733</v>
      </c>
      <c r="C427" s="8"/>
    </row>
    <row r="428" spans="1:7" ht="15.75" customHeight="1">
      <c r="A428" s="8">
        <f t="shared" si="1"/>
        <v>-1328733</v>
      </c>
      <c r="B428" s="8">
        <v>1328733</v>
      </c>
      <c r="C428" s="8"/>
      <c r="E428">
        <v>1113521</v>
      </c>
      <c r="F428" t="s">
        <v>69</v>
      </c>
      <c r="G428" t="s">
        <v>581</v>
      </c>
    </row>
    <row r="429" spans="1:7" ht="15.75" customHeight="1">
      <c r="A429" s="8">
        <f t="shared" si="1"/>
        <v>0</v>
      </c>
      <c r="B429" s="8"/>
      <c r="C429" s="8"/>
      <c r="D429" t="s">
        <v>76</v>
      </c>
      <c r="G429">
        <v>1113601</v>
      </c>
    </row>
    <row r="430" spans="1:7" ht="15.75" customHeight="1">
      <c r="A430" s="8">
        <f t="shared" si="1"/>
        <v>0</v>
      </c>
      <c r="B430" s="8"/>
      <c r="C430" s="8"/>
      <c r="F430" t="s">
        <v>578</v>
      </c>
      <c r="G430">
        <v>63841000</v>
      </c>
    </row>
    <row r="431" spans="1:7" ht="15.75" customHeight="1">
      <c r="A431" s="8">
        <f t="shared" si="1"/>
        <v>104592</v>
      </c>
      <c r="B431" s="8"/>
      <c r="C431" s="8">
        <v>104592</v>
      </c>
      <c r="D431">
        <v>183</v>
      </c>
      <c r="E431" t="s">
        <v>594</v>
      </c>
      <c r="F431" t="s">
        <v>687</v>
      </c>
      <c r="G431" s="9">
        <v>44900</v>
      </c>
    </row>
    <row r="432" spans="1:7" ht="15.75" customHeight="1">
      <c r="A432" s="8">
        <f t="shared" si="1"/>
        <v>104592</v>
      </c>
      <c r="B432" s="8"/>
      <c r="C432" s="8">
        <v>104592</v>
      </c>
    </row>
    <row r="433" spans="1:7" ht="15.75" customHeight="1">
      <c r="A433" s="8">
        <f t="shared" si="1"/>
        <v>104592</v>
      </c>
      <c r="B433" s="8"/>
      <c r="C433" s="8">
        <v>104592</v>
      </c>
      <c r="E433">
        <v>1113601</v>
      </c>
      <c r="F433" t="s">
        <v>76</v>
      </c>
      <c r="G433" t="s">
        <v>581</v>
      </c>
    </row>
    <row r="434" spans="1:7" ht="15.75" customHeight="1">
      <c r="A434" s="8">
        <f t="shared" si="1"/>
        <v>0</v>
      </c>
      <c r="B434" s="8"/>
      <c r="C434" s="8"/>
      <c r="D434" t="s">
        <v>77</v>
      </c>
      <c r="G434">
        <v>1113621</v>
      </c>
    </row>
    <row r="435" spans="1:7" ht="15.75" customHeight="1">
      <c r="A435" s="8">
        <f t="shared" si="1"/>
        <v>0</v>
      </c>
      <c r="B435" s="8"/>
      <c r="C435" s="8"/>
      <c r="F435" t="s">
        <v>584</v>
      </c>
      <c r="G435">
        <v>70612000</v>
      </c>
    </row>
    <row r="436" spans="1:7" ht="15.75" customHeight="1">
      <c r="A436" s="8">
        <f t="shared" si="1"/>
        <v>-1561065</v>
      </c>
      <c r="B436" s="8">
        <v>1561065</v>
      </c>
      <c r="C436" s="8"/>
      <c r="D436">
        <v>184</v>
      </c>
      <c r="E436" t="s">
        <v>585</v>
      </c>
      <c r="F436" t="s">
        <v>688</v>
      </c>
      <c r="G436" s="9">
        <v>44833</v>
      </c>
    </row>
    <row r="437" spans="1:7" ht="15.75" customHeight="1">
      <c r="A437" s="8">
        <f t="shared" si="1"/>
        <v>-1561065</v>
      </c>
      <c r="B437" s="8">
        <v>1561065</v>
      </c>
      <c r="C437" s="8"/>
    </row>
    <row r="438" spans="1:7" ht="15.75" customHeight="1">
      <c r="A438" s="8">
        <f t="shared" si="1"/>
        <v>-1561065</v>
      </c>
      <c r="B438" s="8">
        <v>1561065</v>
      </c>
      <c r="C438" s="8"/>
      <c r="E438">
        <v>1113621</v>
      </c>
      <c r="F438" t="s">
        <v>77</v>
      </c>
      <c r="G438" t="s">
        <v>581</v>
      </c>
    </row>
    <row r="439" spans="1:7" ht="15.75" customHeight="1">
      <c r="A439" s="8">
        <f t="shared" si="1"/>
        <v>0</v>
      </c>
      <c r="B439" s="8"/>
      <c r="C439" s="8"/>
      <c r="D439" t="s">
        <v>78</v>
      </c>
      <c r="G439">
        <v>1113701</v>
      </c>
    </row>
    <row r="440" spans="1:7" ht="15.75" customHeight="1">
      <c r="A440" s="8">
        <f t="shared" si="1"/>
        <v>0</v>
      </c>
      <c r="B440" s="8"/>
      <c r="C440" s="8"/>
      <c r="F440" t="s">
        <v>578</v>
      </c>
      <c r="G440">
        <v>63841000</v>
      </c>
    </row>
    <row r="441" spans="1:7" ht="15.75" customHeight="1">
      <c r="A441" s="8">
        <f t="shared" si="1"/>
        <v>104592</v>
      </c>
      <c r="B441" s="8"/>
      <c r="C441" s="8">
        <v>104592</v>
      </c>
      <c r="D441">
        <v>183</v>
      </c>
      <c r="E441" t="s">
        <v>594</v>
      </c>
      <c r="F441" t="s">
        <v>687</v>
      </c>
      <c r="G441" s="9">
        <v>44900</v>
      </c>
    </row>
    <row r="442" spans="1:7" ht="15.75" customHeight="1">
      <c r="A442" s="8">
        <f t="shared" si="1"/>
        <v>104592</v>
      </c>
      <c r="B442" s="8"/>
      <c r="C442" s="8">
        <v>104592</v>
      </c>
    </row>
    <row r="443" spans="1:7" ht="15.75" customHeight="1">
      <c r="A443" s="8">
        <f t="shared" si="1"/>
        <v>104592</v>
      </c>
      <c r="B443" s="8"/>
      <c r="C443" s="8">
        <v>104592</v>
      </c>
      <c r="E443">
        <v>1113701</v>
      </c>
      <c r="F443" t="s">
        <v>78</v>
      </c>
      <c r="G443" t="s">
        <v>581</v>
      </c>
    </row>
    <row r="444" spans="1:7" ht="15.75" customHeight="1">
      <c r="A444" s="8">
        <f t="shared" si="1"/>
        <v>0</v>
      </c>
      <c r="B444" s="8"/>
      <c r="C444" s="8"/>
      <c r="D444" t="s">
        <v>79</v>
      </c>
      <c r="G444">
        <v>1113721</v>
      </c>
    </row>
    <row r="445" spans="1:7" ht="15.75" customHeight="1">
      <c r="A445" s="8">
        <f t="shared" si="1"/>
        <v>0</v>
      </c>
      <c r="B445" s="8"/>
      <c r="C445" s="8"/>
      <c r="F445" t="s">
        <v>584</v>
      </c>
      <c r="G445">
        <v>70612000</v>
      </c>
    </row>
    <row r="446" spans="1:7" ht="15.75" customHeight="1">
      <c r="A446" s="8">
        <f t="shared" si="1"/>
        <v>-1561065</v>
      </c>
      <c r="B446" s="8">
        <v>1561065</v>
      </c>
      <c r="C446" s="8"/>
      <c r="D446">
        <v>183</v>
      </c>
      <c r="E446" t="s">
        <v>585</v>
      </c>
      <c r="F446" t="s">
        <v>689</v>
      </c>
      <c r="G446" s="9">
        <v>44833</v>
      </c>
    </row>
    <row r="447" spans="1:7" ht="15.75" customHeight="1">
      <c r="A447" s="8">
        <f t="shared" si="1"/>
        <v>-1561065</v>
      </c>
      <c r="B447" s="8">
        <v>1561065</v>
      </c>
      <c r="C447" s="8"/>
    </row>
    <row r="448" spans="1:7" ht="15.75" customHeight="1">
      <c r="A448" s="8">
        <f t="shared" si="1"/>
        <v>-1561065</v>
      </c>
      <c r="B448" s="8">
        <v>1561065</v>
      </c>
      <c r="C448" s="8"/>
      <c r="E448">
        <v>1113721</v>
      </c>
      <c r="F448" t="s">
        <v>79</v>
      </c>
      <c r="G448" t="s">
        <v>581</v>
      </c>
    </row>
    <row r="449" spans="1:7" ht="15.75" customHeight="1">
      <c r="A449" s="8">
        <f t="shared" si="1"/>
        <v>0</v>
      </c>
      <c r="B449" s="8"/>
      <c r="C449" s="8"/>
      <c r="D449" t="s">
        <v>80</v>
      </c>
      <c r="G449">
        <v>1113801</v>
      </c>
    </row>
    <row r="450" spans="1:7" ht="15.75" customHeight="1">
      <c r="A450" s="8">
        <f t="shared" si="1"/>
        <v>0</v>
      </c>
      <c r="B450" s="8"/>
      <c r="C450" s="8"/>
      <c r="F450" t="s">
        <v>578</v>
      </c>
      <c r="G450">
        <v>63841000</v>
      </c>
    </row>
    <row r="451" spans="1:7" ht="15.75" customHeight="1">
      <c r="A451" s="8">
        <f t="shared" si="1"/>
        <v>156918</v>
      </c>
      <c r="B451" s="8"/>
      <c r="C451" s="8">
        <v>156918</v>
      </c>
      <c r="D451">
        <v>144</v>
      </c>
      <c r="E451" t="s">
        <v>594</v>
      </c>
      <c r="F451" t="s">
        <v>690</v>
      </c>
      <c r="G451" s="9">
        <v>44840</v>
      </c>
    </row>
    <row r="452" spans="1:7" ht="15.75" customHeight="1">
      <c r="A452" s="8">
        <f t="shared" si="1"/>
        <v>156918</v>
      </c>
      <c r="B452" s="8"/>
      <c r="C452" s="8">
        <v>156918</v>
      </c>
    </row>
    <row r="453" spans="1:7" ht="15.75" customHeight="1">
      <c r="A453" s="8">
        <f t="shared" si="1"/>
        <v>156918</v>
      </c>
      <c r="B453" s="8"/>
      <c r="C453" s="8">
        <v>156918</v>
      </c>
      <c r="E453">
        <v>1113801</v>
      </c>
      <c r="F453" t="s">
        <v>80</v>
      </c>
      <c r="G453" t="s">
        <v>581</v>
      </c>
    </row>
    <row r="454" spans="1:7" ht="15.75" customHeight="1">
      <c r="A454" s="8">
        <f t="shared" si="1"/>
        <v>0</v>
      </c>
      <c r="B454" s="8"/>
      <c r="C454" s="8"/>
      <c r="D454" t="s">
        <v>81</v>
      </c>
      <c r="G454">
        <v>1113821</v>
      </c>
    </row>
    <row r="455" spans="1:7" ht="15.75" customHeight="1">
      <c r="A455" s="8">
        <f t="shared" si="1"/>
        <v>0</v>
      </c>
      <c r="B455" s="8"/>
      <c r="C455" s="8"/>
      <c r="F455" t="s">
        <v>584</v>
      </c>
      <c r="G455">
        <v>70612000</v>
      </c>
    </row>
    <row r="456" spans="1:7" ht="15.75" customHeight="1">
      <c r="A456" s="8">
        <f t="shared" si="1"/>
        <v>-2147431</v>
      </c>
      <c r="B456" s="8">
        <v>2147431</v>
      </c>
      <c r="C456" s="8"/>
      <c r="D456">
        <v>137</v>
      </c>
      <c r="E456" t="s">
        <v>585</v>
      </c>
      <c r="F456" t="s">
        <v>691</v>
      </c>
      <c r="G456" s="9">
        <v>44777</v>
      </c>
    </row>
    <row r="457" spans="1:7" ht="15.75" customHeight="1">
      <c r="A457" s="8">
        <f t="shared" si="1"/>
        <v>-2147431</v>
      </c>
      <c r="B457" s="8">
        <v>2147431</v>
      </c>
      <c r="C457" s="8"/>
    </row>
    <row r="458" spans="1:7" ht="15.75" customHeight="1">
      <c r="A458" s="8">
        <f t="shared" si="1"/>
        <v>-2147431</v>
      </c>
      <c r="B458" s="8">
        <v>2147431</v>
      </c>
      <c r="C458" s="8"/>
      <c r="E458">
        <v>1113821</v>
      </c>
      <c r="F458" t="s">
        <v>81</v>
      </c>
      <c r="G458" t="s">
        <v>581</v>
      </c>
    </row>
    <row r="459" spans="1:7" ht="15.75" customHeight="1">
      <c r="A459" s="8">
        <f t="shared" si="1"/>
        <v>0</v>
      </c>
      <c r="B459" s="8"/>
      <c r="C459" s="8"/>
      <c r="D459" t="s">
        <v>82</v>
      </c>
      <c r="G459">
        <v>1113901</v>
      </c>
    </row>
    <row r="460" spans="1:7" ht="15.75" customHeight="1">
      <c r="A460" s="8">
        <f t="shared" si="1"/>
        <v>0</v>
      </c>
      <c r="B460" s="8"/>
      <c r="C460" s="8"/>
      <c r="F460" t="s">
        <v>578</v>
      </c>
      <c r="G460">
        <v>63841000</v>
      </c>
    </row>
    <row r="461" spans="1:7" ht="15.75" customHeight="1">
      <c r="A461" s="8">
        <f t="shared" si="1"/>
        <v>156918</v>
      </c>
      <c r="B461" s="8"/>
      <c r="C461" s="8">
        <v>156918</v>
      </c>
      <c r="D461">
        <v>123</v>
      </c>
      <c r="E461" t="s">
        <v>594</v>
      </c>
      <c r="F461" t="s">
        <v>692</v>
      </c>
      <c r="G461" s="9">
        <v>44830</v>
      </c>
    </row>
    <row r="462" spans="1:7" ht="15.75" customHeight="1">
      <c r="A462" s="8">
        <f t="shared" si="1"/>
        <v>156918</v>
      </c>
      <c r="B462" s="8"/>
      <c r="C462" s="8">
        <v>156918</v>
      </c>
    </row>
    <row r="463" spans="1:7" ht="15.75" customHeight="1">
      <c r="A463" s="8">
        <f t="shared" si="1"/>
        <v>156918</v>
      </c>
      <c r="B463" s="8"/>
      <c r="C463" s="8">
        <v>156918</v>
      </c>
      <c r="E463">
        <v>1113901</v>
      </c>
      <c r="F463" t="s">
        <v>82</v>
      </c>
      <c r="G463" t="s">
        <v>581</v>
      </c>
    </row>
    <row r="464" spans="1:7" ht="15.75" customHeight="1">
      <c r="A464" s="8">
        <f t="shared" si="1"/>
        <v>0</v>
      </c>
      <c r="B464" s="8"/>
      <c r="C464" s="8"/>
      <c r="D464" t="s">
        <v>83</v>
      </c>
      <c r="G464">
        <v>1113921</v>
      </c>
    </row>
    <row r="465" spans="1:7" ht="15.75" customHeight="1">
      <c r="A465" s="8">
        <f t="shared" si="1"/>
        <v>0</v>
      </c>
      <c r="B465" s="8"/>
      <c r="C465" s="8"/>
      <c r="F465" t="s">
        <v>584</v>
      </c>
      <c r="G465">
        <v>70612000</v>
      </c>
    </row>
    <row r="466" spans="1:7" ht="15.75" customHeight="1">
      <c r="A466" s="8">
        <f t="shared" si="1"/>
        <v>-2278404</v>
      </c>
      <c r="B466" s="8">
        <v>2278404</v>
      </c>
      <c r="C466" s="8"/>
      <c r="D466">
        <v>117</v>
      </c>
      <c r="E466" t="s">
        <v>585</v>
      </c>
      <c r="F466" t="s">
        <v>693</v>
      </c>
      <c r="G466" s="9">
        <v>44756</v>
      </c>
    </row>
    <row r="467" spans="1:7" ht="15.75" customHeight="1">
      <c r="A467" s="8">
        <f t="shared" si="1"/>
        <v>-2278404</v>
      </c>
      <c r="B467" s="8">
        <v>2278404</v>
      </c>
      <c r="C467" s="8"/>
    </row>
    <row r="468" spans="1:7" ht="15.75" customHeight="1">
      <c r="A468" s="8">
        <f t="shared" si="1"/>
        <v>-2278404</v>
      </c>
      <c r="B468" s="8">
        <v>2278404</v>
      </c>
      <c r="C468" s="8"/>
      <c r="E468">
        <v>1113921</v>
      </c>
      <c r="F468" t="s">
        <v>83</v>
      </c>
      <c r="G468" t="s">
        <v>581</v>
      </c>
    </row>
    <row r="469" spans="1:7" ht="15.75" customHeight="1">
      <c r="A469" s="8">
        <f t="shared" si="1"/>
        <v>0</v>
      </c>
      <c r="B469" s="8"/>
      <c r="C469" s="8"/>
      <c r="D469" t="s">
        <v>84</v>
      </c>
      <c r="G469">
        <v>1114021</v>
      </c>
    </row>
    <row r="470" spans="1:7" ht="15.75" customHeight="1">
      <c r="A470" s="8">
        <f t="shared" si="1"/>
        <v>0</v>
      </c>
      <c r="B470" s="8"/>
      <c r="C470" s="8"/>
      <c r="F470" t="s">
        <v>584</v>
      </c>
      <c r="G470">
        <v>70612000</v>
      </c>
    </row>
    <row r="471" spans="1:7" ht="15.75" customHeight="1">
      <c r="A471" s="8">
        <f t="shared" si="1"/>
        <v>-1929914</v>
      </c>
      <c r="B471" s="8">
        <v>1929914</v>
      </c>
      <c r="C471" s="8"/>
      <c r="D471">
        <v>180</v>
      </c>
      <c r="E471" t="s">
        <v>585</v>
      </c>
      <c r="F471" t="s">
        <v>694</v>
      </c>
      <c r="G471" s="9">
        <v>44827</v>
      </c>
    </row>
    <row r="472" spans="1:7" ht="15.75" customHeight="1">
      <c r="A472" s="8">
        <f t="shared" si="1"/>
        <v>1929914</v>
      </c>
      <c r="B472" s="8"/>
      <c r="C472" s="8">
        <v>1929914</v>
      </c>
      <c r="D472">
        <v>282</v>
      </c>
      <c r="E472" t="s">
        <v>594</v>
      </c>
      <c r="F472" t="s">
        <v>695</v>
      </c>
      <c r="G472" s="9">
        <v>44925</v>
      </c>
    </row>
    <row r="473" spans="1:7" ht="15.75" customHeight="1">
      <c r="A473" s="8">
        <f t="shared" si="1"/>
        <v>0</v>
      </c>
      <c r="B473" s="8">
        <v>1929914</v>
      </c>
      <c r="C473" s="8">
        <v>1929914</v>
      </c>
    </row>
    <row r="474" spans="1:7" ht="15.75" customHeight="1">
      <c r="A474" s="8">
        <f t="shared" si="1"/>
        <v>0</v>
      </c>
      <c r="B474" s="8">
        <v>1929914</v>
      </c>
      <c r="C474" s="8">
        <v>1929914</v>
      </c>
      <c r="E474">
        <v>1114021</v>
      </c>
      <c r="F474" t="s">
        <v>84</v>
      </c>
      <c r="G474" t="s">
        <v>581</v>
      </c>
    </row>
    <row r="475" spans="1:7" ht="15.75" customHeight="1">
      <c r="A475" s="8">
        <f t="shared" si="1"/>
        <v>0</v>
      </c>
      <c r="B475" s="8"/>
      <c r="C475" s="8"/>
      <c r="D475" t="s">
        <v>85</v>
      </c>
      <c r="G475">
        <v>1114101</v>
      </c>
    </row>
    <row r="476" spans="1:7" ht="15.75" customHeight="1">
      <c r="A476" s="8">
        <f t="shared" si="1"/>
        <v>0</v>
      </c>
      <c r="B476" s="8"/>
      <c r="C476" s="8"/>
      <c r="F476" t="s">
        <v>578</v>
      </c>
      <c r="G476">
        <v>63841000</v>
      </c>
    </row>
    <row r="477" spans="1:7" ht="15.75" customHeight="1">
      <c r="A477" s="8">
        <f t="shared" si="1"/>
        <v>104650</v>
      </c>
      <c r="B477" s="8"/>
      <c r="C477" s="8">
        <v>104650</v>
      </c>
      <c r="D477">
        <v>185</v>
      </c>
      <c r="E477" t="s">
        <v>594</v>
      </c>
      <c r="F477" t="s">
        <v>696</v>
      </c>
      <c r="G477" s="9">
        <v>44907</v>
      </c>
    </row>
    <row r="478" spans="1:7" ht="15.75" customHeight="1">
      <c r="A478" s="8">
        <f t="shared" si="1"/>
        <v>104650</v>
      </c>
      <c r="B478" s="8"/>
      <c r="C478" s="8">
        <v>104650</v>
      </c>
    </row>
    <row r="479" spans="1:7" ht="15.75" customHeight="1">
      <c r="A479" s="8">
        <f t="shared" si="1"/>
        <v>104650</v>
      </c>
      <c r="B479" s="8"/>
      <c r="C479" s="8">
        <v>104650</v>
      </c>
      <c r="E479">
        <v>1114101</v>
      </c>
      <c r="F479" t="s">
        <v>85</v>
      </c>
      <c r="G479" t="s">
        <v>581</v>
      </c>
    </row>
    <row r="480" spans="1:7" ht="15.75" customHeight="1">
      <c r="A480" s="8">
        <f t="shared" si="1"/>
        <v>0</v>
      </c>
      <c r="B480" s="8"/>
      <c r="C480" s="8"/>
      <c r="D480" t="s">
        <v>86</v>
      </c>
      <c r="G480">
        <v>1114121</v>
      </c>
    </row>
    <row r="481" spans="1:7" ht="15.75" customHeight="1">
      <c r="A481" s="8">
        <f t="shared" si="1"/>
        <v>0</v>
      </c>
      <c r="B481" s="8"/>
      <c r="C481" s="8"/>
      <c r="F481" t="s">
        <v>584</v>
      </c>
      <c r="G481">
        <v>70612000</v>
      </c>
    </row>
    <row r="482" spans="1:7" ht="15.75" customHeight="1">
      <c r="A482" s="8">
        <f t="shared" si="1"/>
        <v>-1526933</v>
      </c>
      <c r="B482" s="8">
        <v>1526933</v>
      </c>
      <c r="C482" s="8"/>
      <c r="D482">
        <v>193</v>
      </c>
      <c r="E482" t="s">
        <v>585</v>
      </c>
      <c r="F482" t="s">
        <v>697</v>
      </c>
      <c r="G482" s="9">
        <v>44851</v>
      </c>
    </row>
    <row r="483" spans="1:7" ht="15.75" customHeight="1">
      <c r="A483" s="8">
        <f t="shared" si="1"/>
        <v>-1526933</v>
      </c>
      <c r="B483" s="8">
        <v>1526933</v>
      </c>
      <c r="C483" s="8"/>
    </row>
    <row r="484" spans="1:7" ht="15.75" customHeight="1">
      <c r="A484" s="8">
        <f t="shared" si="1"/>
        <v>-1526933</v>
      </c>
      <c r="B484" s="8">
        <v>1526933</v>
      </c>
      <c r="C484" s="8"/>
      <c r="E484">
        <v>1114121</v>
      </c>
      <c r="F484" t="s">
        <v>86</v>
      </c>
      <c r="G484" t="s">
        <v>581</v>
      </c>
    </row>
    <row r="485" spans="1:7" ht="15.75" customHeight="1">
      <c r="A485" s="8">
        <f t="shared" si="1"/>
        <v>0</v>
      </c>
      <c r="B485" s="8"/>
      <c r="C485" s="8"/>
      <c r="D485" t="s">
        <v>87</v>
      </c>
      <c r="G485">
        <v>1114205</v>
      </c>
    </row>
    <row r="486" spans="1:7" ht="15.75" customHeight="1">
      <c r="A486" s="8">
        <f t="shared" si="1"/>
        <v>0</v>
      </c>
      <c r="B486" s="8"/>
      <c r="C486" s="8"/>
      <c r="F486" t="s">
        <v>582</v>
      </c>
      <c r="G486">
        <v>63240000</v>
      </c>
    </row>
    <row r="487" spans="1:7" ht="15.75" customHeight="1">
      <c r="A487" s="8">
        <f t="shared" si="1"/>
        <v>258750</v>
      </c>
      <c r="B487" s="8"/>
      <c r="C487" s="8">
        <v>258750</v>
      </c>
      <c r="D487">
        <v>256</v>
      </c>
      <c r="E487" t="s">
        <v>579</v>
      </c>
      <c r="F487" t="s">
        <v>583</v>
      </c>
      <c r="G487" s="9">
        <v>44778</v>
      </c>
    </row>
    <row r="488" spans="1:7" ht="15.75" customHeight="1">
      <c r="A488" s="8">
        <f t="shared" si="1"/>
        <v>258750</v>
      </c>
      <c r="B488" s="8"/>
      <c r="C488" s="8">
        <v>258750</v>
      </c>
    </row>
    <row r="489" spans="1:7" ht="15.75" customHeight="1">
      <c r="A489" s="8">
        <f t="shared" si="1"/>
        <v>258750</v>
      </c>
      <c r="B489" s="8"/>
      <c r="C489" s="8">
        <v>258750</v>
      </c>
      <c r="E489">
        <v>1114205</v>
      </c>
      <c r="F489" t="s">
        <v>87</v>
      </c>
      <c r="G489" t="s">
        <v>581</v>
      </c>
    </row>
    <row r="490" spans="1:7" ht="15.75" customHeight="1">
      <c r="A490" s="8">
        <f t="shared" si="1"/>
        <v>0</v>
      </c>
      <c r="B490" s="8"/>
      <c r="C490" s="8"/>
      <c r="D490" t="s">
        <v>88</v>
      </c>
      <c r="G490">
        <v>1114301</v>
      </c>
    </row>
    <row r="491" spans="1:7" ht="15.75" customHeight="1">
      <c r="A491" s="8">
        <f t="shared" si="1"/>
        <v>0</v>
      </c>
      <c r="B491" s="8"/>
      <c r="C491" s="8"/>
      <c r="F491" t="s">
        <v>578</v>
      </c>
      <c r="G491">
        <v>63841000</v>
      </c>
    </row>
    <row r="492" spans="1:7" ht="15.75" customHeight="1">
      <c r="A492" s="8">
        <f t="shared" si="1"/>
        <v>122072</v>
      </c>
      <c r="B492" s="8"/>
      <c r="C492" s="8">
        <v>122072</v>
      </c>
      <c r="D492">
        <v>163</v>
      </c>
      <c r="E492" t="s">
        <v>594</v>
      </c>
      <c r="F492" t="s">
        <v>698</v>
      </c>
      <c r="G492" s="9">
        <v>44881</v>
      </c>
    </row>
    <row r="493" spans="1:7" ht="15.75" customHeight="1">
      <c r="A493" s="8">
        <f t="shared" si="1"/>
        <v>122072</v>
      </c>
      <c r="B493" s="8"/>
      <c r="C493" s="8">
        <v>122072</v>
      </c>
      <c r="D493">
        <v>164</v>
      </c>
      <c r="E493" t="s">
        <v>594</v>
      </c>
      <c r="F493" t="s">
        <v>699</v>
      </c>
      <c r="G493" s="9">
        <v>44881</v>
      </c>
    </row>
    <row r="494" spans="1:7" ht="15.75" customHeight="1">
      <c r="A494" s="8">
        <f t="shared" si="1"/>
        <v>244145</v>
      </c>
      <c r="B494" s="8"/>
      <c r="C494" s="8">
        <v>244145</v>
      </c>
    </row>
    <row r="495" spans="1:7" ht="15.75" customHeight="1">
      <c r="A495" s="8">
        <f t="shared" si="1"/>
        <v>244145</v>
      </c>
      <c r="B495" s="8"/>
      <c r="C495" s="8">
        <v>244145</v>
      </c>
      <c r="E495">
        <v>1114301</v>
      </c>
      <c r="F495" t="s">
        <v>88</v>
      </c>
      <c r="G495" t="s">
        <v>581</v>
      </c>
    </row>
    <row r="496" spans="1:7" ht="15.75" customHeight="1">
      <c r="A496" s="8">
        <f t="shared" si="1"/>
        <v>0</v>
      </c>
      <c r="B496" s="8"/>
      <c r="C496" s="8"/>
      <c r="D496" t="s">
        <v>89</v>
      </c>
      <c r="G496">
        <v>1114321</v>
      </c>
    </row>
    <row r="497" spans="1:7" ht="15.75" customHeight="1">
      <c r="A497" s="8">
        <f t="shared" si="1"/>
        <v>0</v>
      </c>
      <c r="B497" s="8"/>
      <c r="C497" s="8"/>
      <c r="F497" t="s">
        <v>584</v>
      </c>
      <c r="G497">
        <v>70612000</v>
      </c>
    </row>
    <row r="498" spans="1:7" ht="15.75" customHeight="1">
      <c r="A498" s="8">
        <f t="shared" si="1"/>
        <v>-2025962</v>
      </c>
      <c r="B498" s="8">
        <v>2025962</v>
      </c>
      <c r="C498" s="8"/>
      <c r="D498">
        <v>158</v>
      </c>
      <c r="E498" t="s">
        <v>585</v>
      </c>
      <c r="F498" t="s">
        <v>700</v>
      </c>
      <c r="G498" s="9">
        <v>44804</v>
      </c>
    </row>
    <row r="499" spans="1:7" ht="15.75" customHeight="1">
      <c r="A499" s="8">
        <f t="shared" si="1"/>
        <v>-2025962</v>
      </c>
      <c r="B499" s="8">
        <v>2025962</v>
      </c>
      <c r="C499" s="8"/>
    </row>
    <row r="500" spans="1:7" ht="15.75" customHeight="1">
      <c r="A500" s="8">
        <f t="shared" si="1"/>
        <v>-2025962</v>
      </c>
      <c r="B500" s="8">
        <v>2025962</v>
      </c>
      <c r="C500" s="8"/>
      <c r="E500">
        <v>1114321</v>
      </c>
      <c r="F500" t="s">
        <v>89</v>
      </c>
      <c r="G500" t="s">
        <v>581</v>
      </c>
    </row>
    <row r="501" spans="1:7" ht="15.75" customHeight="1">
      <c r="A501" s="8">
        <f t="shared" si="1"/>
        <v>0</v>
      </c>
      <c r="B501" s="8"/>
      <c r="C501" s="8"/>
      <c r="D501" t="s">
        <v>90</v>
      </c>
      <c r="G501">
        <v>1114401</v>
      </c>
    </row>
    <row r="502" spans="1:7" ht="15.75" customHeight="1">
      <c r="A502" s="8">
        <f t="shared" si="1"/>
        <v>0</v>
      </c>
      <c r="B502" s="8"/>
      <c r="C502" s="8"/>
      <c r="F502" t="s">
        <v>578</v>
      </c>
      <c r="G502">
        <v>63841000</v>
      </c>
    </row>
    <row r="503" spans="1:7" ht="15.75" customHeight="1">
      <c r="A503" s="8">
        <f t="shared" si="1"/>
        <v>34960</v>
      </c>
      <c r="B503" s="8"/>
      <c r="C503" s="8">
        <v>34960</v>
      </c>
      <c r="D503">
        <v>169</v>
      </c>
      <c r="E503" t="s">
        <v>594</v>
      </c>
      <c r="F503" t="s">
        <v>701</v>
      </c>
      <c r="G503" s="9">
        <v>44886</v>
      </c>
    </row>
    <row r="504" spans="1:7" ht="15.75" customHeight="1">
      <c r="A504" s="8">
        <f t="shared" si="1"/>
        <v>34960</v>
      </c>
      <c r="B504" s="8"/>
      <c r="C504" s="8">
        <v>34960</v>
      </c>
    </row>
    <row r="505" spans="1:7" ht="15.75" customHeight="1">
      <c r="A505" s="8">
        <f t="shared" si="1"/>
        <v>34960</v>
      </c>
      <c r="B505" s="8"/>
      <c r="C505" s="8">
        <v>34960</v>
      </c>
      <c r="E505">
        <v>1114401</v>
      </c>
      <c r="F505" t="s">
        <v>90</v>
      </c>
      <c r="G505" t="s">
        <v>581</v>
      </c>
    </row>
    <row r="506" spans="1:7" ht="15.75" customHeight="1">
      <c r="A506" s="8">
        <f t="shared" si="1"/>
        <v>0</v>
      </c>
      <c r="B506" s="8"/>
      <c r="C506" s="8"/>
      <c r="D506" t="s">
        <v>91</v>
      </c>
      <c r="G506">
        <v>1114405</v>
      </c>
    </row>
    <row r="507" spans="1:7" ht="15.75" customHeight="1">
      <c r="A507" s="8">
        <f t="shared" si="1"/>
        <v>0</v>
      </c>
      <c r="B507" s="8"/>
      <c r="C507" s="8"/>
      <c r="F507" t="s">
        <v>582</v>
      </c>
      <c r="G507">
        <v>63240000</v>
      </c>
    </row>
    <row r="508" spans="1:7" ht="15.75" customHeight="1">
      <c r="A508" s="8">
        <f t="shared" si="1"/>
        <v>64687</v>
      </c>
      <c r="B508" s="8"/>
      <c r="C508" s="8">
        <v>64687</v>
      </c>
      <c r="D508">
        <v>256</v>
      </c>
      <c r="E508" t="s">
        <v>579</v>
      </c>
      <c r="F508" t="s">
        <v>583</v>
      </c>
      <c r="G508" s="9">
        <v>44778</v>
      </c>
    </row>
    <row r="509" spans="1:7" ht="15.75" customHeight="1">
      <c r="A509" s="8">
        <f t="shared" si="1"/>
        <v>64687</v>
      </c>
      <c r="B509" s="8"/>
      <c r="C509" s="8">
        <v>64687</v>
      </c>
    </row>
    <row r="510" spans="1:7" ht="15.75" customHeight="1">
      <c r="A510" s="8">
        <f t="shared" si="1"/>
        <v>64687</v>
      </c>
      <c r="B510" s="8"/>
      <c r="C510" s="8">
        <v>64687</v>
      </c>
      <c r="E510">
        <v>1114405</v>
      </c>
      <c r="F510" t="s">
        <v>91</v>
      </c>
      <c r="G510" t="s">
        <v>581</v>
      </c>
    </row>
    <row r="511" spans="1:7" ht="15.75" customHeight="1">
      <c r="A511" s="8">
        <f t="shared" si="1"/>
        <v>0</v>
      </c>
      <c r="B511" s="8"/>
      <c r="C511" s="8"/>
      <c r="D511" t="s">
        <v>92</v>
      </c>
      <c r="G511">
        <v>1114421</v>
      </c>
    </row>
    <row r="512" spans="1:7" ht="15.75" customHeight="1">
      <c r="A512" s="8">
        <f t="shared" ref="A512:A766" si="2">C512-B512</f>
        <v>0</v>
      </c>
      <c r="B512" s="8"/>
      <c r="C512" s="8"/>
      <c r="F512" t="s">
        <v>584</v>
      </c>
      <c r="G512">
        <v>70612000</v>
      </c>
    </row>
    <row r="513" spans="1:7" ht="15.75" customHeight="1">
      <c r="A513" s="8">
        <f t="shared" si="2"/>
        <v>-2212133</v>
      </c>
      <c r="B513" s="8">
        <v>2212133</v>
      </c>
      <c r="C513" s="8"/>
      <c r="D513">
        <v>200</v>
      </c>
      <c r="E513" t="s">
        <v>585</v>
      </c>
      <c r="F513" t="s">
        <v>702</v>
      </c>
      <c r="G513" s="9">
        <v>44867</v>
      </c>
    </row>
    <row r="514" spans="1:7" ht="15.75" customHeight="1">
      <c r="A514" s="8">
        <f t="shared" si="2"/>
        <v>-2247227</v>
      </c>
      <c r="B514" s="8">
        <v>2247227</v>
      </c>
      <c r="C514" s="8"/>
      <c r="D514">
        <v>259</v>
      </c>
      <c r="E514" t="s">
        <v>594</v>
      </c>
      <c r="F514" t="s">
        <v>703</v>
      </c>
      <c r="G514" s="9">
        <v>44925</v>
      </c>
    </row>
    <row r="515" spans="1:7" ht="15.75" customHeight="1">
      <c r="A515" s="8">
        <f t="shared" si="2"/>
        <v>-4459360</v>
      </c>
      <c r="B515" s="8">
        <v>4459360</v>
      </c>
      <c r="C515" s="8"/>
    </row>
    <row r="516" spans="1:7" ht="15.75" customHeight="1">
      <c r="A516" s="8">
        <f t="shared" si="2"/>
        <v>-4459360</v>
      </c>
      <c r="B516" s="8">
        <v>4459360</v>
      </c>
      <c r="C516" s="8"/>
      <c r="E516">
        <v>1114421</v>
      </c>
      <c r="F516" t="s">
        <v>92</v>
      </c>
      <c r="G516" t="s">
        <v>581</v>
      </c>
    </row>
    <row r="517" spans="1:7" ht="15.75" customHeight="1">
      <c r="A517" s="8">
        <f t="shared" si="2"/>
        <v>0</v>
      </c>
      <c r="B517" s="8"/>
      <c r="C517" s="8"/>
      <c r="D517" t="s">
        <v>93</v>
      </c>
      <c r="G517">
        <v>1114501</v>
      </c>
    </row>
    <row r="518" spans="1:7" ht="15.75" customHeight="1">
      <c r="A518" s="8">
        <f t="shared" si="2"/>
        <v>0</v>
      </c>
      <c r="B518" s="8"/>
      <c r="C518" s="8"/>
      <c r="F518" t="s">
        <v>578</v>
      </c>
      <c r="G518">
        <v>63841000</v>
      </c>
    </row>
    <row r="519" spans="1:7" ht="15.75" customHeight="1">
      <c r="A519" s="8">
        <f t="shared" si="2"/>
        <v>52305</v>
      </c>
      <c r="B519" s="8"/>
      <c r="C519" s="8">
        <v>52305</v>
      </c>
      <c r="D519">
        <v>36</v>
      </c>
      <c r="E519" t="s">
        <v>587</v>
      </c>
      <c r="F519" t="s">
        <v>636</v>
      </c>
      <c r="G519" s="9">
        <v>44600</v>
      </c>
    </row>
    <row r="520" spans="1:7" ht="15.75" customHeight="1">
      <c r="A520" s="8">
        <f t="shared" si="2"/>
        <v>139380</v>
      </c>
      <c r="B520" s="8"/>
      <c r="C520" s="8">
        <v>139380</v>
      </c>
      <c r="D520">
        <v>129</v>
      </c>
      <c r="E520" t="s">
        <v>579</v>
      </c>
      <c r="F520" t="s">
        <v>641</v>
      </c>
      <c r="G520" s="9">
        <v>44692</v>
      </c>
    </row>
    <row r="521" spans="1:7" ht="15.75" customHeight="1">
      <c r="A521" s="8">
        <f t="shared" si="2"/>
        <v>191685</v>
      </c>
      <c r="B521" s="8"/>
      <c r="C521" s="8">
        <v>191685</v>
      </c>
    </row>
    <row r="522" spans="1:7" ht="15.75" customHeight="1">
      <c r="A522" s="8">
        <f t="shared" si="2"/>
        <v>191685</v>
      </c>
      <c r="B522" s="8"/>
      <c r="C522" s="8">
        <v>191685</v>
      </c>
      <c r="E522">
        <v>1114501</v>
      </c>
      <c r="F522" t="s">
        <v>93</v>
      </c>
      <c r="G522" t="s">
        <v>581</v>
      </c>
    </row>
    <row r="523" spans="1:7" ht="15.75" customHeight="1">
      <c r="A523" s="8">
        <f t="shared" si="2"/>
        <v>0</v>
      </c>
      <c r="B523" s="8"/>
      <c r="C523" s="8"/>
      <c r="D523" t="s">
        <v>94</v>
      </c>
      <c r="G523">
        <v>1114502</v>
      </c>
    </row>
    <row r="524" spans="1:7" ht="15.75" customHeight="1">
      <c r="A524" s="8">
        <f t="shared" si="2"/>
        <v>0</v>
      </c>
      <c r="B524" s="8"/>
      <c r="C524" s="8"/>
      <c r="F524" t="s">
        <v>638</v>
      </c>
      <c r="G524">
        <v>6121000</v>
      </c>
    </row>
    <row r="525" spans="1:7" ht="15.75" customHeight="1">
      <c r="A525" s="8">
        <f t="shared" si="2"/>
        <v>26152</v>
      </c>
      <c r="B525" s="8"/>
      <c r="C525" s="8">
        <v>26152</v>
      </c>
      <c r="D525">
        <v>36</v>
      </c>
      <c r="E525" t="s">
        <v>587</v>
      </c>
      <c r="F525" t="s">
        <v>636</v>
      </c>
      <c r="G525" s="9">
        <v>44600</v>
      </c>
    </row>
    <row r="526" spans="1:7" ht="15.75" customHeight="1">
      <c r="A526" s="8">
        <f t="shared" si="2"/>
        <v>26152</v>
      </c>
      <c r="B526" s="8"/>
      <c r="C526" s="8">
        <v>26152</v>
      </c>
    </row>
    <row r="527" spans="1:7" ht="15.75" customHeight="1">
      <c r="A527" s="8">
        <f t="shared" si="2"/>
        <v>26152</v>
      </c>
      <c r="B527" s="8"/>
      <c r="C527" s="8">
        <v>26152</v>
      </c>
      <c r="E527">
        <v>1114502</v>
      </c>
      <c r="F527" t="s">
        <v>94</v>
      </c>
      <c r="G527" t="s">
        <v>581</v>
      </c>
    </row>
    <row r="528" spans="1:7" ht="15.75" customHeight="1">
      <c r="A528" s="8">
        <f t="shared" si="2"/>
        <v>0</v>
      </c>
      <c r="B528" s="8"/>
      <c r="C528" s="8"/>
      <c r="D528" t="s">
        <v>95</v>
      </c>
      <c r="G528">
        <v>1114521</v>
      </c>
    </row>
    <row r="529" spans="1:7" ht="15.75" customHeight="1">
      <c r="A529" s="8">
        <f t="shared" si="2"/>
        <v>0</v>
      </c>
      <c r="B529" s="8"/>
      <c r="C529" s="8"/>
      <c r="F529" t="s">
        <v>584</v>
      </c>
      <c r="G529">
        <v>70612000</v>
      </c>
    </row>
    <row r="530" spans="1:7" ht="15.75" customHeight="1">
      <c r="A530" s="8">
        <f t="shared" si="2"/>
        <v>-1746267</v>
      </c>
      <c r="B530" s="8">
        <v>1746267</v>
      </c>
      <c r="C530" s="8"/>
      <c r="D530">
        <v>74</v>
      </c>
      <c r="E530" t="s">
        <v>585</v>
      </c>
      <c r="F530" t="s">
        <v>704</v>
      </c>
      <c r="G530" s="9">
        <v>44684</v>
      </c>
    </row>
    <row r="531" spans="1:7" ht="15.75" customHeight="1">
      <c r="A531" s="8">
        <f t="shared" si="2"/>
        <v>-1746267</v>
      </c>
      <c r="B531" s="8">
        <v>1746267</v>
      </c>
      <c r="C531" s="8"/>
    </row>
    <row r="532" spans="1:7" ht="15.75" customHeight="1">
      <c r="A532" s="8">
        <f t="shared" si="2"/>
        <v>-1746267</v>
      </c>
      <c r="B532" s="8">
        <v>1746267</v>
      </c>
      <c r="C532" s="8"/>
      <c r="E532">
        <v>1114521</v>
      </c>
      <c r="F532" t="s">
        <v>95</v>
      </c>
      <c r="G532" t="s">
        <v>581</v>
      </c>
    </row>
    <row r="533" spans="1:7" ht="15.75" customHeight="1">
      <c r="A533" s="8">
        <f t="shared" si="2"/>
        <v>0</v>
      </c>
      <c r="B533" s="8"/>
      <c r="C533" s="8"/>
      <c r="D533" t="s">
        <v>96</v>
      </c>
      <c r="G533">
        <v>1114601</v>
      </c>
    </row>
    <row r="534" spans="1:7" ht="15.75" customHeight="1">
      <c r="A534" s="8">
        <f t="shared" si="2"/>
        <v>0</v>
      </c>
      <c r="B534" s="8"/>
      <c r="C534" s="8"/>
      <c r="F534" t="s">
        <v>578</v>
      </c>
      <c r="G534">
        <v>63841000</v>
      </c>
    </row>
    <row r="535" spans="1:7" ht="15.75" customHeight="1">
      <c r="A535" s="8">
        <f t="shared" si="2"/>
        <v>209185</v>
      </c>
      <c r="B535" s="8"/>
      <c r="C535" s="8">
        <v>209185</v>
      </c>
      <c r="D535">
        <v>2</v>
      </c>
      <c r="E535" t="s">
        <v>587</v>
      </c>
      <c r="F535" t="s">
        <v>705</v>
      </c>
      <c r="G535" s="9">
        <v>44567</v>
      </c>
    </row>
    <row r="536" spans="1:7" ht="15.75" customHeight="1">
      <c r="A536" s="8">
        <f t="shared" si="2"/>
        <v>209185</v>
      </c>
      <c r="B536" s="8"/>
      <c r="C536" s="8">
        <v>209185</v>
      </c>
    </row>
    <row r="537" spans="1:7" ht="15.75" customHeight="1">
      <c r="A537" s="8">
        <f t="shared" si="2"/>
        <v>209185</v>
      </c>
      <c r="B537" s="8"/>
      <c r="C537" s="8">
        <v>209185</v>
      </c>
      <c r="E537">
        <v>1114601</v>
      </c>
      <c r="F537" t="s">
        <v>96</v>
      </c>
      <c r="G537" t="s">
        <v>581</v>
      </c>
    </row>
    <row r="538" spans="1:7" ht="15.75" customHeight="1">
      <c r="A538" s="8">
        <f t="shared" si="2"/>
        <v>0</v>
      </c>
      <c r="B538" s="8"/>
      <c r="C538" s="8"/>
      <c r="D538" t="s">
        <v>97</v>
      </c>
      <c r="G538">
        <v>1114701</v>
      </c>
    </row>
    <row r="539" spans="1:7" ht="15.75" customHeight="1">
      <c r="A539" s="8">
        <f t="shared" si="2"/>
        <v>0</v>
      </c>
      <c r="B539" s="8"/>
      <c r="C539" s="8"/>
      <c r="F539" t="s">
        <v>578</v>
      </c>
      <c r="G539">
        <v>63841000</v>
      </c>
    </row>
    <row r="540" spans="1:7" ht="15.75" customHeight="1">
      <c r="A540" s="8">
        <f t="shared" si="2"/>
        <v>69748</v>
      </c>
      <c r="B540" s="8"/>
      <c r="C540" s="8">
        <v>69748</v>
      </c>
      <c r="D540">
        <v>58</v>
      </c>
      <c r="E540" t="s">
        <v>579</v>
      </c>
      <c r="F540" t="s">
        <v>706</v>
      </c>
      <c r="G540" s="9">
        <v>44644</v>
      </c>
    </row>
    <row r="541" spans="1:7" ht="15.75" customHeight="1">
      <c r="A541" s="8">
        <f t="shared" si="2"/>
        <v>69748</v>
      </c>
      <c r="B541" s="8"/>
      <c r="C541" s="8">
        <v>69748</v>
      </c>
    </row>
    <row r="542" spans="1:7" ht="15.75" customHeight="1">
      <c r="A542" s="8">
        <f t="shared" si="2"/>
        <v>69748</v>
      </c>
      <c r="B542" s="8"/>
      <c r="C542" s="8">
        <v>69748</v>
      </c>
      <c r="E542">
        <v>1114701</v>
      </c>
      <c r="F542" t="s">
        <v>97</v>
      </c>
      <c r="G542" t="s">
        <v>581</v>
      </c>
    </row>
    <row r="543" spans="1:7" ht="15.75" customHeight="1">
      <c r="A543" s="8">
        <f t="shared" si="2"/>
        <v>0</v>
      </c>
      <c r="B543" s="8"/>
      <c r="C543" s="8"/>
      <c r="D543" t="s">
        <v>98</v>
      </c>
      <c r="G543">
        <v>1114702</v>
      </c>
    </row>
    <row r="544" spans="1:7" ht="15.75" customHeight="1">
      <c r="A544" s="8">
        <f t="shared" si="2"/>
        <v>0</v>
      </c>
      <c r="B544" s="8"/>
      <c r="C544" s="8"/>
      <c r="F544" t="s">
        <v>590</v>
      </c>
      <c r="G544">
        <v>61811000</v>
      </c>
    </row>
    <row r="545" spans="1:7" ht="15.75" customHeight="1">
      <c r="A545" s="8">
        <f t="shared" si="2"/>
        <v>103500</v>
      </c>
      <c r="B545" s="8"/>
      <c r="C545" s="8">
        <v>103500</v>
      </c>
      <c r="D545">
        <v>64</v>
      </c>
      <c r="E545" t="s">
        <v>579</v>
      </c>
      <c r="F545" t="s">
        <v>707</v>
      </c>
      <c r="G545" s="9">
        <v>44648</v>
      </c>
    </row>
    <row r="546" spans="1:7" ht="15.75" customHeight="1">
      <c r="A546" s="8">
        <f t="shared" si="2"/>
        <v>103500</v>
      </c>
      <c r="B546" s="8"/>
      <c r="C546" s="8">
        <v>103500</v>
      </c>
    </row>
    <row r="547" spans="1:7" ht="15.75" customHeight="1">
      <c r="A547" s="8">
        <f t="shared" si="2"/>
        <v>103500</v>
      </c>
      <c r="B547" s="8"/>
      <c r="C547" s="8">
        <v>103500</v>
      </c>
      <c r="E547">
        <v>1114702</v>
      </c>
      <c r="F547" t="s">
        <v>98</v>
      </c>
      <c r="G547" t="s">
        <v>581</v>
      </c>
    </row>
    <row r="548" spans="1:7" ht="15.75" customHeight="1">
      <c r="A548" s="8">
        <f t="shared" si="2"/>
        <v>0</v>
      </c>
      <c r="B548" s="8"/>
      <c r="C548" s="8"/>
      <c r="D548" t="s">
        <v>99</v>
      </c>
      <c r="G548">
        <v>1114705</v>
      </c>
    </row>
    <row r="549" spans="1:7" ht="15.75" customHeight="1">
      <c r="A549" s="8">
        <f t="shared" si="2"/>
        <v>0</v>
      </c>
      <c r="B549" s="8"/>
      <c r="C549" s="8"/>
      <c r="F549" t="s">
        <v>582</v>
      </c>
      <c r="G549">
        <v>63240000</v>
      </c>
    </row>
    <row r="550" spans="1:7" ht="15.75" customHeight="1">
      <c r="A550" s="8">
        <f t="shared" si="2"/>
        <v>1724062</v>
      </c>
      <c r="B550" s="8"/>
      <c r="C550" s="8">
        <v>1724062</v>
      </c>
      <c r="D550">
        <v>19</v>
      </c>
      <c r="E550" t="s">
        <v>579</v>
      </c>
      <c r="F550" t="s">
        <v>708</v>
      </c>
      <c r="G550" s="9">
        <v>44608</v>
      </c>
    </row>
    <row r="551" spans="1:7" ht="15.75" customHeight="1">
      <c r="A551" s="8">
        <f t="shared" si="2"/>
        <v>1724062</v>
      </c>
      <c r="B551" s="8"/>
      <c r="C551" s="8">
        <v>1724062</v>
      </c>
    </row>
    <row r="552" spans="1:7" ht="15.75" customHeight="1">
      <c r="A552" s="8">
        <f t="shared" si="2"/>
        <v>1724062</v>
      </c>
      <c r="B552" s="8"/>
      <c r="C552" s="8">
        <v>1724062</v>
      </c>
      <c r="E552">
        <v>1114705</v>
      </c>
      <c r="F552" t="s">
        <v>99</v>
      </c>
      <c r="G552" t="s">
        <v>581</v>
      </c>
    </row>
    <row r="553" spans="1:7" ht="15.75" customHeight="1">
      <c r="A553" s="8">
        <f t="shared" si="2"/>
        <v>0</v>
      </c>
      <c r="B553" s="8"/>
      <c r="C553" s="8"/>
      <c r="D553" t="s">
        <v>100</v>
      </c>
      <c r="G553">
        <v>1114721</v>
      </c>
    </row>
    <row r="554" spans="1:7" ht="15.75" customHeight="1">
      <c r="A554" s="8">
        <f t="shared" si="2"/>
        <v>0</v>
      </c>
      <c r="B554" s="8"/>
      <c r="C554" s="8"/>
      <c r="F554" t="s">
        <v>584</v>
      </c>
      <c r="G554">
        <v>70612000</v>
      </c>
    </row>
    <row r="555" spans="1:7" ht="15.75" customHeight="1">
      <c r="A555" s="8">
        <f t="shared" si="2"/>
        <v>-3515410</v>
      </c>
      <c r="B555" s="8">
        <v>3515410</v>
      </c>
      <c r="C555" s="8"/>
      <c r="D555">
        <v>18</v>
      </c>
      <c r="E555" t="s">
        <v>585</v>
      </c>
      <c r="F555" t="s">
        <v>709</v>
      </c>
      <c r="G555" s="9">
        <v>44602</v>
      </c>
    </row>
    <row r="556" spans="1:7" ht="15.75" customHeight="1">
      <c r="A556" s="8">
        <f t="shared" si="2"/>
        <v>-3515410</v>
      </c>
      <c r="B556" s="8">
        <v>3515410</v>
      </c>
      <c r="C556" s="8"/>
    </row>
    <row r="557" spans="1:7" ht="15.75" customHeight="1">
      <c r="A557" s="8">
        <f t="shared" si="2"/>
        <v>-3515410</v>
      </c>
      <c r="B557" s="8">
        <v>3515410</v>
      </c>
      <c r="C557" s="8"/>
      <c r="E557">
        <v>1114721</v>
      </c>
      <c r="F557" t="s">
        <v>100</v>
      </c>
      <c r="G557" t="s">
        <v>581</v>
      </c>
    </row>
    <row r="558" spans="1:7" ht="15.75" customHeight="1">
      <c r="A558" s="8">
        <f t="shared" si="2"/>
        <v>0</v>
      </c>
      <c r="B558" s="8"/>
      <c r="C558" s="8"/>
      <c r="D558" t="s">
        <v>101</v>
      </c>
      <c r="G558">
        <v>1114801</v>
      </c>
    </row>
    <row r="559" spans="1:7" ht="15.75" customHeight="1">
      <c r="A559" s="8">
        <f t="shared" si="2"/>
        <v>0</v>
      </c>
      <c r="B559" s="8"/>
      <c r="C559" s="8"/>
      <c r="F559" t="s">
        <v>578</v>
      </c>
      <c r="G559">
        <v>63841000</v>
      </c>
    </row>
    <row r="560" spans="1:7" ht="15.75" customHeight="1">
      <c r="A560" s="8">
        <f t="shared" si="2"/>
        <v>69748</v>
      </c>
      <c r="B560" s="8"/>
      <c r="C560" s="8">
        <v>69748</v>
      </c>
      <c r="D560">
        <v>58</v>
      </c>
      <c r="E560" t="s">
        <v>579</v>
      </c>
      <c r="F560" t="s">
        <v>706</v>
      </c>
      <c r="G560" s="9">
        <v>44644</v>
      </c>
    </row>
    <row r="561" spans="1:7" ht="15.75" customHeight="1">
      <c r="A561" s="8">
        <f t="shared" si="2"/>
        <v>69748</v>
      </c>
      <c r="B561" s="8"/>
      <c r="C561" s="8">
        <v>69748</v>
      </c>
    </row>
    <row r="562" spans="1:7" ht="15.75" customHeight="1">
      <c r="A562" s="8">
        <f t="shared" si="2"/>
        <v>69748</v>
      </c>
      <c r="B562" s="8"/>
      <c r="C562" s="8">
        <v>69748</v>
      </c>
      <c r="E562">
        <v>1114801</v>
      </c>
      <c r="F562" t="s">
        <v>101</v>
      </c>
      <c r="G562" t="s">
        <v>581</v>
      </c>
    </row>
    <row r="563" spans="1:7" ht="15.75" customHeight="1">
      <c r="A563" s="8">
        <f t="shared" si="2"/>
        <v>0</v>
      </c>
      <c r="B563" s="8"/>
      <c r="C563" s="8"/>
      <c r="D563" t="s">
        <v>102</v>
      </c>
      <c r="G563">
        <v>1114802</v>
      </c>
    </row>
    <row r="564" spans="1:7" ht="15.75" customHeight="1">
      <c r="A564" s="8">
        <f t="shared" si="2"/>
        <v>0</v>
      </c>
      <c r="B564" s="8"/>
      <c r="C564" s="8"/>
      <c r="F564" t="s">
        <v>590</v>
      </c>
      <c r="G564">
        <v>61811000</v>
      </c>
    </row>
    <row r="565" spans="1:7" ht="15.75" customHeight="1">
      <c r="A565" s="8">
        <f t="shared" si="2"/>
        <v>103500</v>
      </c>
      <c r="B565" s="8"/>
      <c r="C565" s="8">
        <v>103500</v>
      </c>
      <c r="D565">
        <v>64</v>
      </c>
      <c r="E565" t="s">
        <v>579</v>
      </c>
      <c r="F565" t="s">
        <v>707</v>
      </c>
      <c r="G565" s="9">
        <v>44648</v>
      </c>
    </row>
    <row r="566" spans="1:7" ht="15.75" customHeight="1">
      <c r="A566" s="8">
        <f t="shared" si="2"/>
        <v>103500</v>
      </c>
      <c r="B566" s="8"/>
      <c r="C566" s="8">
        <v>103500</v>
      </c>
    </row>
    <row r="567" spans="1:7" ht="15.75" customHeight="1">
      <c r="A567" s="8">
        <f t="shared" si="2"/>
        <v>103500</v>
      </c>
      <c r="B567" s="8"/>
      <c r="C567" s="8">
        <v>103500</v>
      </c>
      <c r="E567">
        <v>1114802</v>
      </c>
      <c r="F567" t="s">
        <v>102</v>
      </c>
      <c r="G567" t="s">
        <v>581</v>
      </c>
    </row>
    <row r="568" spans="1:7" ht="15.75" customHeight="1">
      <c r="A568" s="8">
        <f t="shared" si="2"/>
        <v>0</v>
      </c>
      <c r="B568" s="8"/>
      <c r="C568" s="8"/>
      <c r="D568" t="s">
        <v>103</v>
      </c>
      <c r="G568">
        <v>1114821</v>
      </c>
    </row>
    <row r="569" spans="1:7" ht="15.75" customHeight="1">
      <c r="A569" s="8">
        <f t="shared" si="2"/>
        <v>0</v>
      </c>
      <c r="B569" s="8"/>
      <c r="C569" s="8"/>
      <c r="F569" t="s">
        <v>584</v>
      </c>
      <c r="G569">
        <v>70612000</v>
      </c>
    </row>
    <row r="570" spans="1:7" ht="15.75" customHeight="1">
      <c r="A570" s="8">
        <f t="shared" si="2"/>
        <v>-2134891</v>
      </c>
      <c r="B570" s="8">
        <v>2134891</v>
      </c>
      <c r="C570" s="8"/>
      <c r="D570">
        <v>24</v>
      </c>
      <c r="E570" t="s">
        <v>585</v>
      </c>
      <c r="F570" t="s">
        <v>710</v>
      </c>
      <c r="G570" s="9">
        <v>44609</v>
      </c>
    </row>
    <row r="571" spans="1:7" ht="15.75" customHeight="1">
      <c r="A571" s="8">
        <f t="shared" si="2"/>
        <v>-2134891</v>
      </c>
      <c r="B571" s="8">
        <v>2134891</v>
      </c>
      <c r="C571" s="8"/>
    </row>
    <row r="572" spans="1:7" ht="15.75" customHeight="1">
      <c r="A572" s="8">
        <f t="shared" si="2"/>
        <v>-2134891</v>
      </c>
      <c r="B572" s="8">
        <v>2134891</v>
      </c>
      <c r="C572" s="8"/>
      <c r="E572">
        <v>1114821</v>
      </c>
      <c r="F572" t="s">
        <v>103</v>
      </c>
      <c r="G572" t="s">
        <v>581</v>
      </c>
    </row>
    <row r="573" spans="1:7" ht="15.75" customHeight="1">
      <c r="A573" s="8">
        <f t="shared" si="2"/>
        <v>0</v>
      </c>
      <c r="B573" s="8"/>
      <c r="C573" s="8"/>
      <c r="D573" t="s">
        <v>104</v>
      </c>
      <c r="G573">
        <v>1114905</v>
      </c>
    </row>
    <row r="574" spans="1:7" ht="15.75" customHeight="1">
      <c r="A574" s="8">
        <f t="shared" si="2"/>
        <v>0</v>
      </c>
      <c r="B574" s="8"/>
      <c r="C574" s="8"/>
      <c r="F574" t="s">
        <v>582</v>
      </c>
      <c r="G574">
        <v>63240000</v>
      </c>
    </row>
    <row r="575" spans="1:7" ht="15.75" customHeight="1">
      <c r="A575" s="8">
        <f t="shared" si="2"/>
        <v>322000</v>
      </c>
      <c r="B575" s="8"/>
      <c r="C575" s="8">
        <v>322000</v>
      </c>
      <c r="D575">
        <v>259</v>
      </c>
      <c r="E575" t="s">
        <v>579</v>
      </c>
      <c r="F575" t="s">
        <v>711</v>
      </c>
      <c r="G575" s="9">
        <v>44783</v>
      </c>
    </row>
    <row r="576" spans="1:7" ht="15.75" customHeight="1">
      <c r="A576" s="8">
        <f t="shared" si="2"/>
        <v>322000</v>
      </c>
      <c r="B576" s="8"/>
      <c r="C576" s="8">
        <v>322000</v>
      </c>
    </row>
    <row r="577" spans="1:7" ht="15.75" customHeight="1">
      <c r="A577" s="8">
        <f t="shared" si="2"/>
        <v>322000</v>
      </c>
      <c r="B577" s="8"/>
      <c r="C577" s="8">
        <v>322000</v>
      </c>
      <c r="E577">
        <v>1114905</v>
      </c>
      <c r="F577" t="s">
        <v>104</v>
      </c>
      <c r="G577" t="s">
        <v>581</v>
      </c>
    </row>
    <row r="578" spans="1:7" ht="15.75" customHeight="1">
      <c r="A578" s="8">
        <f t="shared" si="2"/>
        <v>0</v>
      </c>
      <c r="B578" s="8"/>
      <c r="C578" s="8"/>
      <c r="D578" t="s">
        <v>105</v>
      </c>
      <c r="G578">
        <v>1114921</v>
      </c>
    </row>
    <row r="579" spans="1:7" ht="15.75" customHeight="1">
      <c r="A579" s="8">
        <f t="shared" si="2"/>
        <v>0</v>
      </c>
      <c r="B579" s="8"/>
      <c r="C579" s="8"/>
      <c r="F579" t="s">
        <v>584</v>
      </c>
      <c r="G579">
        <v>70612000</v>
      </c>
    </row>
    <row r="580" spans="1:7" ht="15.75" customHeight="1">
      <c r="A580" s="8">
        <f t="shared" si="2"/>
        <v>-1454290</v>
      </c>
      <c r="B580" s="8">
        <v>1454290</v>
      </c>
      <c r="C580" s="8"/>
      <c r="D580">
        <v>28</v>
      </c>
      <c r="E580" t="s">
        <v>585</v>
      </c>
      <c r="F580" t="s">
        <v>712</v>
      </c>
      <c r="G580" s="9">
        <v>44614</v>
      </c>
    </row>
    <row r="581" spans="1:7" ht="15.75" customHeight="1">
      <c r="A581" s="8">
        <f t="shared" si="2"/>
        <v>-57500</v>
      </c>
      <c r="B581" s="8">
        <v>57500</v>
      </c>
      <c r="C581" s="8"/>
      <c r="D581">
        <v>167</v>
      </c>
      <c r="E581" t="s">
        <v>585</v>
      </c>
      <c r="F581" t="s">
        <v>713</v>
      </c>
      <c r="G581" s="9">
        <v>44818</v>
      </c>
    </row>
    <row r="582" spans="1:7" ht="15.75" customHeight="1">
      <c r="A582" s="8">
        <f t="shared" si="2"/>
        <v>-1511790</v>
      </c>
      <c r="B582" s="8">
        <v>1511790</v>
      </c>
      <c r="C582" s="8"/>
    </row>
    <row r="583" spans="1:7" ht="15.75" customHeight="1">
      <c r="A583" s="8">
        <f t="shared" si="2"/>
        <v>-1511790</v>
      </c>
      <c r="B583" s="8">
        <v>1511790</v>
      </c>
      <c r="C583" s="8"/>
      <c r="E583">
        <v>1114921</v>
      </c>
      <c r="F583" t="s">
        <v>105</v>
      </c>
      <c r="G583" t="s">
        <v>581</v>
      </c>
    </row>
    <row r="584" spans="1:7" ht="15.75" customHeight="1">
      <c r="A584" s="8">
        <f t="shared" si="2"/>
        <v>0</v>
      </c>
      <c r="B584" s="8"/>
      <c r="C584" s="8"/>
      <c r="D584" t="s">
        <v>106</v>
      </c>
      <c r="G584">
        <v>1115001</v>
      </c>
    </row>
    <row r="585" spans="1:7" ht="15.75" customHeight="1">
      <c r="A585" s="8">
        <f t="shared" si="2"/>
        <v>0</v>
      </c>
      <c r="B585" s="8"/>
      <c r="C585" s="8"/>
      <c r="F585" t="s">
        <v>578</v>
      </c>
      <c r="G585">
        <v>63841000</v>
      </c>
    </row>
    <row r="586" spans="1:7" ht="15.75" customHeight="1">
      <c r="A586" s="8">
        <f t="shared" si="2"/>
        <v>278875</v>
      </c>
      <c r="B586" s="8"/>
      <c r="C586" s="8">
        <v>278875</v>
      </c>
      <c r="D586">
        <v>55</v>
      </c>
      <c r="E586" t="s">
        <v>579</v>
      </c>
      <c r="F586" t="s">
        <v>714</v>
      </c>
      <c r="G586" s="9">
        <v>44641</v>
      </c>
    </row>
    <row r="587" spans="1:7" ht="15.75" customHeight="1">
      <c r="A587" s="8">
        <f t="shared" si="2"/>
        <v>278875</v>
      </c>
      <c r="B587" s="8"/>
      <c r="C587" s="8">
        <v>278875</v>
      </c>
    </row>
    <row r="588" spans="1:7" ht="15.75" customHeight="1">
      <c r="A588" s="8">
        <f t="shared" si="2"/>
        <v>278875</v>
      </c>
      <c r="B588" s="8"/>
      <c r="C588" s="8">
        <v>278875</v>
      </c>
      <c r="E588">
        <v>1115001</v>
      </c>
      <c r="F588" t="s">
        <v>106</v>
      </c>
      <c r="G588" t="s">
        <v>581</v>
      </c>
    </row>
    <row r="589" spans="1:7" ht="15.75" customHeight="1">
      <c r="A589" s="8">
        <f t="shared" si="2"/>
        <v>0</v>
      </c>
      <c r="B589" s="8"/>
      <c r="C589" s="8"/>
      <c r="D589" t="s">
        <v>107</v>
      </c>
      <c r="G589">
        <v>1115002</v>
      </c>
    </row>
    <row r="590" spans="1:7" ht="15.75" customHeight="1">
      <c r="A590" s="8">
        <f t="shared" si="2"/>
        <v>0</v>
      </c>
      <c r="B590" s="8"/>
      <c r="C590" s="8"/>
      <c r="F590" t="s">
        <v>590</v>
      </c>
      <c r="G590">
        <v>61811000</v>
      </c>
    </row>
    <row r="591" spans="1:7" ht="15.75" customHeight="1">
      <c r="A591" s="8">
        <f t="shared" si="2"/>
        <v>190670</v>
      </c>
      <c r="B591" s="8"/>
      <c r="C591" s="8">
        <v>190670</v>
      </c>
      <c r="D591">
        <v>76</v>
      </c>
      <c r="E591" t="s">
        <v>579</v>
      </c>
      <c r="F591" t="s">
        <v>715</v>
      </c>
      <c r="G591" s="9">
        <v>44638</v>
      </c>
    </row>
    <row r="592" spans="1:7" ht="15.75" customHeight="1">
      <c r="A592" s="8">
        <f t="shared" si="2"/>
        <v>190670</v>
      </c>
      <c r="B592" s="8"/>
      <c r="C592" s="8">
        <v>190670</v>
      </c>
    </row>
    <row r="593" spans="1:7" ht="15.75" customHeight="1">
      <c r="A593" s="8">
        <f t="shared" si="2"/>
        <v>190670</v>
      </c>
      <c r="B593" s="8"/>
      <c r="C593" s="8">
        <v>190670</v>
      </c>
      <c r="E593">
        <v>1115002</v>
      </c>
      <c r="F593" t="s">
        <v>107</v>
      </c>
      <c r="G593" t="s">
        <v>581</v>
      </c>
    </row>
    <row r="594" spans="1:7" ht="15.75" customHeight="1">
      <c r="A594" s="8">
        <f t="shared" si="2"/>
        <v>0</v>
      </c>
      <c r="B594" s="8"/>
      <c r="C594" s="8"/>
      <c r="D594" t="s">
        <v>108</v>
      </c>
      <c r="G594">
        <v>1115021</v>
      </c>
    </row>
    <row r="595" spans="1:7" ht="15.75" customHeight="1">
      <c r="A595" s="8">
        <f t="shared" si="2"/>
        <v>0</v>
      </c>
      <c r="B595" s="8"/>
      <c r="C595" s="8"/>
      <c r="F595" t="s">
        <v>584</v>
      </c>
      <c r="G595">
        <v>70612000</v>
      </c>
    </row>
    <row r="596" spans="1:7" ht="15.75" customHeight="1">
      <c r="A596" s="8">
        <f t="shared" si="2"/>
        <v>-1754670</v>
      </c>
      <c r="B596" s="8">
        <v>1754670</v>
      </c>
      <c r="C596" s="8"/>
      <c r="D596">
        <v>40</v>
      </c>
      <c r="E596" t="s">
        <v>585</v>
      </c>
      <c r="F596" t="s">
        <v>716</v>
      </c>
      <c r="G596" s="9">
        <v>44642</v>
      </c>
    </row>
    <row r="597" spans="1:7" ht="15.75" customHeight="1">
      <c r="A597" s="8">
        <f t="shared" si="2"/>
        <v>-1754670</v>
      </c>
      <c r="B597" s="8">
        <v>1754670</v>
      </c>
      <c r="C597" s="8"/>
    </row>
    <row r="598" spans="1:7" ht="15.75" customHeight="1">
      <c r="A598" s="8">
        <f t="shared" si="2"/>
        <v>-1754670</v>
      </c>
      <c r="B598" s="8">
        <v>1754670</v>
      </c>
      <c r="C598" s="8"/>
      <c r="E598">
        <v>1115021</v>
      </c>
      <c r="F598" t="s">
        <v>108</v>
      </c>
      <c r="G598" t="s">
        <v>581</v>
      </c>
    </row>
    <row r="599" spans="1:7" ht="15.75" customHeight="1">
      <c r="A599" s="8">
        <f t="shared" si="2"/>
        <v>0</v>
      </c>
      <c r="B599" s="8"/>
      <c r="C599" s="8"/>
      <c r="D599" t="s">
        <v>109</v>
      </c>
      <c r="G599">
        <v>1115121</v>
      </c>
    </row>
    <row r="600" spans="1:7" ht="15.75" customHeight="1">
      <c r="A600" s="8">
        <f t="shared" si="2"/>
        <v>0</v>
      </c>
      <c r="B600" s="8"/>
      <c r="C600" s="8"/>
      <c r="F600" t="s">
        <v>584</v>
      </c>
      <c r="G600">
        <v>70612000</v>
      </c>
    </row>
    <row r="601" spans="1:7" ht="15.75" customHeight="1">
      <c r="A601" s="8">
        <f t="shared" si="2"/>
        <v>-1439464</v>
      </c>
      <c r="B601" s="8">
        <v>1439464</v>
      </c>
      <c r="C601" s="8"/>
      <c r="D601">
        <v>47</v>
      </c>
      <c r="E601" t="s">
        <v>585</v>
      </c>
      <c r="F601" t="s">
        <v>717</v>
      </c>
      <c r="G601" s="9">
        <v>44649</v>
      </c>
    </row>
    <row r="602" spans="1:7" ht="15.75" customHeight="1">
      <c r="A602" s="8">
        <f t="shared" si="2"/>
        <v>1439464</v>
      </c>
      <c r="B602" s="8"/>
      <c r="C602" s="8">
        <v>1439464</v>
      </c>
      <c r="D602">
        <v>294</v>
      </c>
      <c r="E602" t="s">
        <v>594</v>
      </c>
      <c r="F602" t="s">
        <v>718</v>
      </c>
      <c r="G602" s="9">
        <v>44925</v>
      </c>
    </row>
    <row r="603" spans="1:7" ht="15.75" customHeight="1">
      <c r="A603" s="8">
        <f t="shared" si="2"/>
        <v>0</v>
      </c>
      <c r="B603" s="8">
        <v>1439464</v>
      </c>
      <c r="C603" s="8">
        <v>1439464</v>
      </c>
    </row>
    <row r="604" spans="1:7" ht="15.75" customHeight="1">
      <c r="A604" s="8">
        <f t="shared" si="2"/>
        <v>0</v>
      </c>
      <c r="B604" s="8">
        <v>1439464</v>
      </c>
      <c r="C604" s="8">
        <v>1439464</v>
      </c>
      <c r="E604">
        <v>1115121</v>
      </c>
      <c r="F604" t="s">
        <v>109</v>
      </c>
      <c r="G604" t="s">
        <v>581</v>
      </c>
    </row>
    <row r="605" spans="1:7" ht="15.75" customHeight="1">
      <c r="A605" s="8">
        <f t="shared" si="2"/>
        <v>0</v>
      </c>
      <c r="B605" s="8"/>
      <c r="C605" s="8"/>
      <c r="D605" t="s">
        <v>110</v>
      </c>
      <c r="G605">
        <v>1115201</v>
      </c>
    </row>
    <row r="606" spans="1:7" ht="15.75" customHeight="1">
      <c r="A606" s="8">
        <f t="shared" si="2"/>
        <v>0</v>
      </c>
      <c r="B606" s="8"/>
      <c r="C606" s="8"/>
      <c r="F606" t="s">
        <v>578</v>
      </c>
      <c r="G606">
        <v>63841000</v>
      </c>
    </row>
    <row r="607" spans="1:7" ht="15.75" customHeight="1">
      <c r="A607" s="8">
        <f t="shared" si="2"/>
        <v>182994</v>
      </c>
      <c r="B607" s="8"/>
      <c r="C607" s="8">
        <v>182994</v>
      </c>
      <c r="D607">
        <v>95</v>
      </c>
      <c r="E607" t="s">
        <v>579</v>
      </c>
      <c r="F607" t="s">
        <v>719</v>
      </c>
      <c r="G607" s="9">
        <v>44663</v>
      </c>
    </row>
    <row r="608" spans="1:7" ht="15.75" customHeight="1">
      <c r="A608" s="8">
        <f t="shared" si="2"/>
        <v>87170</v>
      </c>
      <c r="B608" s="8"/>
      <c r="C608" s="8">
        <v>87170</v>
      </c>
      <c r="D608">
        <v>153</v>
      </c>
      <c r="E608" t="s">
        <v>579</v>
      </c>
      <c r="F608" t="s">
        <v>619</v>
      </c>
      <c r="G608" s="9">
        <v>44712</v>
      </c>
    </row>
    <row r="609" spans="1:7" ht="15.75" customHeight="1">
      <c r="A609" s="8">
        <f t="shared" si="2"/>
        <v>270164</v>
      </c>
      <c r="B609" s="8"/>
      <c r="C609" s="8">
        <v>270164</v>
      </c>
    </row>
    <row r="610" spans="1:7" ht="15.75" customHeight="1">
      <c r="A610" s="8">
        <f t="shared" si="2"/>
        <v>270164</v>
      </c>
      <c r="B610" s="8"/>
      <c r="C610" s="8">
        <v>270164</v>
      </c>
      <c r="E610">
        <v>1115201</v>
      </c>
      <c r="F610" t="s">
        <v>110</v>
      </c>
      <c r="G610" t="s">
        <v>581</v>
      </c>
    </row>
    <row r="611" spans="1:7" ht="15.75" customHeight="1">
      <c r="A611" s="8">
        <f t="shared" si="2"/>
        <v>0</v>
      </c>
      <c r="B611" s="8"/>
      <c r="C611" s="8"/>
      <c r="D611" t="s">
        <v>111</v>
      </c>
      <c r="G611">
        <v>1115202</v>
      </c>
    </row>
    <row r="612" spans="1:7" ht="15.75" customHeight="1">
      <c r="A612" s="8">
        <f t="shared" si="2"/>
        <v>0</v>
      </c>
      <c r="B612" s="8"/>
      <c r="C612" s="8"/>
      <c r="F612" t="s">
        <v>590</v>
      </c>
      <c r="G612">
        <v>61811000</v>
      </c>
    </row>
    <row r="613" spans="1:7" ht="15.75" customHeight="1">
      <c r="A613" s="8">
        <f t="shared" si="2"/>
        <v>63710</v>
      </c>
      <c r="B613" s="8"/>
      <c r="C613" s="8">
        <v>63710</v>
      </c>
      <c r="D613">
        <v>94</v>
      </c>
      <c r="E613" t="s">
        <v>579</v>
      </c>
      <c r="F613" t="s">
        <v>720</v>
      </c>
      <c r="G613" s="9">
        <v>44662</v>
      </c>
    </row>
    <row r="614" spans="1:7" ht="15.75" customHeight="1">
      <c r="A614" s="8">
        <f t="shared" si="2"/>
        <v>63710</v>
      </c>
      <c r="B614" s="8"/>
      <c r="C614" s="8">
        <v>63710</v>
      </c>
    </row>
    <row r="615" spans="1:7" ht="15.75" customHeight="1">
      <c r="A615" s="8">
        <f t="shared" si="2"/>
        <v>63710</v>
      </c>
      <c r="B615" s="8"/>
      <c r="C615" s="8">
        <v>63710</v>
      </c>
      <c r="E615">
        <v>1115202</v>
      </c>
      <c r="F615" t="s">
        <v>111</v>
      </c>
      <c r="G615" t="s">
        <v>581</v>
      </c>
    </row>
    <row r="616" spans="1:7" ht="15.75" customHeight="1">
      <c r="A616" s="8">
        <f t="shared" si="2"/>
        <v>0</v>
      </c>
      <c r="B616" s="8"/>
      <c r="C616" s="8"/>
      <c r="D616" t="s">
        <v>112</v>
      </c>
      <c r="G616">
        <v>1115221</v>
      </c>
    </row>
    <row r="617" spans="1:7" ht="15.75" customHeight="1">
      <c r="A617" s="8">
        <f t="shared" si="2"/>
        <v>0</v>
      </c>
      <c r="B617" s="8"/>
      <c r="C617" s="8"/>
      <c r="F617" t="s">
        <v>584</v>
      </c>
      <c r="G617">
        <v>70612000</v>
      </c>
    </row>
    <row r="618" spans="1:7" ht="15.75" customHeight="1">
      <c r="A618" s="8">
        <f t="shared" si="2"/>
        <v>-2865936</v>
      </c>
      <c r="B618" s="8">
        <v>2865936</v>
      </c>
      <c r="C618" s="8"/>
      <c r="D618">
        <v>58</v>
      </c>
      <c r="E618" t="s">
        <v>585</v>
      </c>
      <c r="F618" t="s">
        <v>721</v>
      </c>
      <c r="G618" s="9">
        <v>44658</v>
      </c>
    </row>
    <row r="619" spans="1:7" ht="15.75" customHeight="1">
      <c r="A619" s="8">
        <f t="shared" si="2"/>
        <v>-2865936</v>
      </c>
      <c r="B619" s="8">
        <v>2865936</v>
      </c>
      <c r="C619" s="8"/>
    </row>
    <row r="620" spans="1:7" ht="15.75" customHeight="1">
      <c r="A620" s="8">
        <f t="shared" si="2"/>
        <v>-2865936</v>
      </c>
      <c r="B620" s="8">
        <v>2865936</v>
      </c>
      <c r="C620" s="8"/>
      <c r="E620">
        <v>1115221</v>
      </c>
      <c r="F620" t="s">
        <v>112</v>
      </c>
      <c r="G620" t="s">
        <v>581</v>
      </c>
    </row>
    <row r="621" spans="1:7" ht="15.75" customHeight="1">
      <c r="A621" s="8">
        <f t="shared" si="2"/>
        <v>0</v>
      </c>
      <c r="B621" s="8"/>
      <c r="C621" s="8"/>
      <c r="D621" t="s">
        <v>113</v>
      </c>
      <c r="G621">
        <v>1115301</v>
      </c>
    </row>
    <row r="622" spans="1:7" ht="15.75" customHeight="1">
      <c r="A622" s="8">
        <f t="shared" si="2"/>
        <v>0</v>
      </c>
      <c r="B622" s="8"/>
      <c r="C622" s="8"/>
      <c r="F622" t="s">
        <v>578</v>
      </c>
      <c r="G622">
        <v>63841000</v>
      </c>
    </row>
    <row r="623" spans="1:7" ht="15.75" customHeight="1">
      <c r="A623" s="8">
        <f t="shared" si="2"/>
        <v>104650</v>
      </c>
      <c r="B623" s="8"/>
      <c r="C623" s="8">
        <v>104650</v>
      </c>
      <c r="D623">
        <v>136</v>
      </c>
      <c r="E623" t="s">
        <v>579</v>
      </c>
      <c r="F623" t="s">
        <v>722</v>
      </c>
      <c r="G623" s="9">
        <v>44699</v>
      </c>
    </row>
    <row r="624" spans="1:7" ht="15.75" customHeight="1">
      <c r="A624" s="8">
        <f t="shared" si="2"/>
        <v>104650</v>
      </c>
      <c r="B624" s="8"/>
      <c r="C624" s="8">
        <v>104650</v>
      </c>
    </row>
    <row r="625" spans="1:7" ht="15.75" customHeight="1">
      <c r="A625" s="8">
        <f t="shared" si="2"/>
        <v>104650</v>
      </c>
      <c r="B625" s="8"/>
      <c r="C625" s="8">
        <v>104650</v>
      </c>
      <c r="E625">
        <v>1115301</v>
      </c>
      <c r="F625" t="s">
        <v>113</v>
      </c>
      <c r="G625" t="s">
        <v>581</v>
      </c>
    </row>
    <row r="626" spans="1:7" ht="15.75" customHeight="1">
      <c r="A626" s="8">
        <f t="shared" si="2"/>
        <v>0</v>
      </c>
      <c r="B626" s="8"/>
      <c r="C626" s="8"/>
      <c r="D626" t="s">
        <v>114</v>
      </c>
      <c r="G626">
        <v>1115302</v>
      </c>
    </row>
    <row r="627" spans="1:7" ht="15.75" customHeight="1">
      <c r="A627" s="8">
        <f t="shared" si="2"/>
        <v>0</v>
      </c>
      <c r="B627" s="8"/>
      <c r="C627" s="8"/>
      <c r="F627" t="s">
        <v>590</v>
      </c>
      <c r="G627">
        <v>61811000</v>
      </c>
    </row>
    <row r="628" spans="1:7" ht="15.75" customHeight="1">
      <c r="A628" s="8">
        <f t="shared" si="2"/>
        <v>211945</v>
      </c>
      <c r="B628" s="8"/>
      <c r="C628" s="8">
        <v>211945</v>
      </c>
      <c r="D628">
        <v>124</v>
      </c>
      <c r="E628" t="s">
        <v>579</v>
      </c>
      <c r="F628" t="s">
        <v>723</v>
      </c>
      <c r="G628" s="9">
        <v>44690</v>
      </c>
    </row>
    <row r="629" spans="1:7" ht="15.75" customHeight="1">
      <c r="A629" s="8">
        <f t="shared" si="2"/>
        <v>211945</v>
      </c>
      <c r="B629" s="8"/>
      <c r="C629" s="8">
        <v>211945</v>
      </c>
    </row>
    <row r="630" spans="1:7" ht="15.75" customHeight="1">
      <c r="A630" s="8">
        <f t="shared" si="2"/>
        <v>211945</v>
      </c>
      <c r="B630" s="8"/>
      <c r="C630" s="8">
        <v>211945</v>
      </c>
      <c r="E630">
        <v>1115302</v>
      </c>
      <c r="F630" t="s">
        <v>114</v>
      </c>
      <c r="G630" t="s">
        <v>581</v>
      </c>
    </row>
    <row r="631" spans="1:7" ht="15.75" customHeight="1">
      <c r="A631" s="8">
        <f t="shared" si="2"/>
        <v>0</v>
      </c>
      <c r="B631" s="8"/>
      <c r="C631" s="8"/>
      <c r="D631" t="s">
        <v>115</v>
      </c>
      <c r="G631">
        <v>1115321</v>
      </c>
    </row>
    <row r="632" spans="1:7" ht="15.75" customHeight="1">
      <c r="A632" s="8">
        <f t="shared" si="2"/>
        <v>0</v>
      </c>
      <c r="B632" s="8"/>
      <c r="C632" s="8"/>
      <c r="F632" t="s">
        <v>584</v>
      </c>
      <c r="G632">
        <v>70612000</v>
      </c>
    </row>
    <row r="633" spans="1:7" ht="15.75" customHeight="1">
      <c r="A633" s="8">
        <f t="shared" si="2"/>
        <v>-5470654</v>
      </c>
      <c r="B633" s="8">
        <v>5470654</v>
      </c>
      <c r="C633" s="8"/>
      <c r="D633">
        <v>69</v>
      </c>
      <c r="E633" t="s">
        <v>585</v>
      </c>
      <c r="F633" t="s">
        <v>724</v>
      </c>
      <c r="G633" s="9">
        <v>44680</v>
      </c>
    </row>
    <row r="634" spans="1:7" ht="15.75" customHeight="1">
      <c r="A634" s="8">
        <f t="shared" si="2"/>
        <v>-10377390</v>
      </c>
      <c r="B634" s="8">
        <v>10377390</v>
      </c>
      <c r="C634" s="8"/>
      <c r="D634">
        <v>216</v>
      </c>
      <c r="E634" t="s">
        <v>585</v>
      </c>
      <c r="F634" t="s">
        <v>725</v>
      </c>
      <c r="G634" s="9">
        <v>44907</v>
      </c>
    </row>
    <row r="635" spans="1:7" ht="15.75" customHeight="1">
      <c r="A635" s="8">
        <f t="shared" si="2"/>
        <v>-15848043</v>
      </c>
      <c r="B635" s="8">
        <v>15848043</v>
      </c>
      <c r="C635" s="8"/>
    </row>
    <row r="636" spans="1:7" ht="15.75" customHeight="1">
      <c r="A636" s="8">
        <f t="shared" si="2"/>
        <v>-15848043</v>
      </c>
      <c r="B636" s="8">
        <v>15848043</v>
      </c>
      <c r="C636" s="8"/>
      <c r="E636">
        <v>1115321</v>
      </c>
      <c r="F636" t="s">
        <v>115</v>
      </c>
      <c r="G636" t="s">
        <v>581</v>
      </c>
    </row>
    <row r="637" spans="1:7" ht="15.75" customHeight="1">
      <c r="A637" s="8">
        <f t="shared" si="2"/>
        <v>0</v>
      </c>
      <c r="B637" s="8"/>
      <c r="C637" s="8"/>
      <c r="D637" t="s">
        <v>116</v>
      </c>
      <c r="G637">
        <v>1115401</v>
      </c>
    </row>
    <row r="638" spans="1:7" ht="15.75" customHeight="1">
      <c r="A638" s="8">
        <f t="shared" si="2"/>
        <v>0</v>
      </c>
      <c r="B638" s="8"/>
      <c r="C638" s="8"/>
      <c r="F638" t="s">
        <v>578</v>
      </c>
      <c r="G638">
        <v>63841000</v>
      </c>
    </row>
    <row r="639" spans="1:7" ht="15.75" customHeight="1">
      <c r="A639" s="8">
        <f t="shared" si="2"/>
        <v>139380</v>
      </c>
      <c r="B639" s="8"/>
      <c r="C639" s="8">
        <v>139380</v>
      </c>
      <c r="D639">
        <v>97</v>
      </c>
      <c r="E639" t="s">
        <v>579</v>
      </c>
      <c r="F639" t="s">
        <v>726</v>
      </c>
      <c r="G639" s="9">
        <v>44663</v>
      </c>
    </row>
    <row r="640" spans="1:7" ht="15.75" customHeight="1">
      <c r="A640" s="8">
        <f t="shared" si="2"/>
        <v>139380</v>
      </c>
      <c r="B640" s="8"/>
      <c r="C640" s="8">
        <v>139380</v>
      </c>
    </row>
    <row r="641" spans="1:7" ht="15.75" customHeight="1">
      <c r="A641" s="8">
        <f t="shared" si="2"/>
        <v>139380</v>
      </c>
      <c r="B641" s="8"/>
      <c r="C641" s="8">
        <v>139380</v>
      </c>
      <c r="E641">
        <v>1115401</v>
      </c>
      <c r="F641" t="s">
        <v>116</v>
      </c>
      <c r="G641" t="s">
        <v>581</v>
      </c>
    </row>
    <row r="642" spans="1:7" ht="15.75" customHeight="1">
      <c r="A642" s="8">
        <f t="shared" si="2"/>
        <v>0</v>
      </c>
      <c r="B642" s="8"/>
      <c r="C642" s="8"/>
      <c r="D642" t="s">
        <v>117</v>
      </c>
      <c r="G642">
        <v>1115402</v>
      </c>
    </row>
    <row r="643" spans="1:7" ht="15.75" customHeight="1">
      <c r="A643" s="8">
        <f t="shared" si="2"/>
        <v>0</v>
      </c>
      <c r="B643" s="8"/>
      <c r="C643" s="8"/>
      <c r="F643" t="s">
        <v>638</v>
      </c>
      <c r="G643">
        <v>6121000</v>
      </c>
    </row>
    <row r="644" spans="1:7" ht="15.75" customHeight="1">
      <c r="A644" s="8">
        <f t="shared" si="2"/>
        <v>3162</v>
      </c>
      <c r="B644" s="8"/>
      <c r="C644" s="8">
        <v>3162</v>
      </c>
      <c r="D644">
        <v>77</v>
      </c>
      <c r="E644" t="s">
        <v>667</v>
      </c>
      <c r="F644" t="s">
        <v>727</v>
      </c>
      <c r="G644" s="9">
        <v>44680</v>
      </c>
    </row>
    <row r="645" spans="1:7" ht="15.75" customHeight="1">
      <c r="A645" s="8">
        <f t="shared" si="2"/>
        <v>3162</v>
      </c>
      <c r="B645" s="8"/>
      <c r="C645" s="8">
        <v>3162</v>
      </c>
    </row>
    <row r="646" spans="1:7" ht="15.75" customHeight="1">
      <c r="A646" s="8">
        <f t="shared" si="2"/>
        <v>3162</v>
      </c>
      <c r="B646" s="8"/>
      <c r="C646" s="8">
        <v>3162</v>
      </c>
      <c r="E646">
        <v>1115402</v>
      </c>
      <c r="F646" t="s">
        <v>117</v>
      </c>
      <c r="G646" t="s">
        <v>581</v>
      </c>
    </row>
    <row r="647" spans="1:7" ht="15.75" customHeight="1">
      <c r="A647" s="8">
        <f t="shared" si="2"/>
        <v>0</v>
      </c>
      <c r="B647" s="8"/>
      <c r="C647" s="8"/>
      <c r="D647" t="s">
        <v>118</v>
      </c>
      <c r="G647">
        <v>1115502</v>
      </c>
    </row>
    <row r="648" spans="1:7" ht="15.75" customHeight="1">
      <c r="A648" s="8">
        <f t="shared" si="2"/>
        <v>0</v>
      </c>
      <c r="B648" s="8"/>
      <c r="C648" s="8"/>
      <c r="F648" t="s">
        <v>590</v>
      </c>
      <c r="G648">
        <v>61811000</v>
      </c>
    </row>
    <row r="649" spans="1:7" ht="15.75" customHeight="1">
      <c r="A649" s="8">
        <f t="shared" si="2"/>
        <v>345000</v>
      </c>
      <c r="B649" s="8"/>
      <c r="C649" s="8">
        <v>345000</v>
      </c>
      <c r="D649">
        <v>102</v>
      </c>
      <c r="E649" t="s">
        <v>579</v>
      </c>
      <c r="F649" t="s">
        <v>728</v>
      </c>
      <c r="G649" s="9">
        <v>44670</v>
      </c>
    </row>
    <row r="650" spans="1:7" ht="15.75" customHeight="1">
      <c r="A650" s="8">
        <f t="shared" si="2"/>
        <v>345000</v>
      </c>
      <c r="B650" s="8"/>
      <c r="C650" s="8">
        <v>345000</v>
      </c>
    </row>
    <row r="651" spans="1:7" ht="15.75" customHeight="1">
      <c r="A651" s="8">
        <f t="shared" si="2"/>
        <v>345000</v>
      </c>
      <c r="B651" s="8"/>
      <c r="C651" s="8">
        <v>345000</v>
      </c>
      <c r="E651">
        <v>1115502</v>
      </c>
      <c r="F651" t="s">
        <v>118</v>
      </c>
      <c r="G651" t="s">
        <v>581</v>
      </c>
    </row>
    <row r="652" spans="1:7" ht="15.75" customHeight="1">
      <c r="A652" s="8">
        <f t="shared" si="2"/>
        <v>0</v>
      </c>
      <c r="B652" s="8"/>
      <c r="C652" s="8"/>
      <c r="D652" t="s">
        <v>119</v>
      </c>
      <c r="G652">
        <v>1115601</v>
      </c>
    </row>
    <row r="653" spans="1:7" ht="15.75" customHeight="1">
      <c r="A653" s="8">
        <f t="shared" si="2"/>
        <v>0</v>
      </c>
      <c r="B653" s="8"/>
      <c r="C653" s="8"/>
      <c r="F653" t="s">
        <v>578</v>
      </c>
      <c r="G653">
        <v>63841000</v>
      </c>
    </row>
    <row r="654" spans="1:7" ht="15.75" customHeight="1">
      <c r="A654" s="8">
        <f t="shared" si="2"/>
        <v>69805</v>
      </c>
      <c r="B654" s="8"/>
      <c r="C654" s="8">
        <v>69805</v>
      </c>
      <c r="D654">
        <v>51</v>
      </c>
      <c r="E654" t="s">
        <v>594</v>
      </c>
      <c r="F654" t="s">
        <v>729</v>
      </c>
      <c r="G654" s="9">
        <v>44764</v>
      </c>
    </row>
    <row r="655" spans="1:7" ht="15.75" customHeight="1">
      <c r="A655" s="8">
        <f t="shared" si="2"/>
        <v>69805</v>
      </c>
      <c r="B655" s="8"/>
      <c r="C655" s="8">
        <v>69805</v>
      </c>
    </row>
    <row r="656" spans="1:7" ht="15.75" customHeight="1">
      <c r="A656" s="8">
        <f t="shared" si="2"/>
        <v>69805</v>
      </c>
      <c r="B656" s="8"/>
      <c r="C656" s="8">
        <v>69805</v>
      </c>
      <c r="E656">
        <v>1115601</v>
      </c>
      <c r="F656" t="s">
        <v>119</v>
      </c>
      <c r="G656" t="s">
        <v>581</v>
      </c>
    </row>
    <row r="657" spans="1:7" ht="15.75" customHeight="1">
      <c r="A657" s="8">
        <f t="shared" si="2"/>
        <v>0</v>
      </c>
      <c r="B657" s="8"/>
      <c r="C657" s="8"/>
      <c r="D657" t="s">
        <v>120</v>
      </c>
      <c r="G657">
        <v>1115605</v>
      </c>
    </row>
    <row r="658" spans="1:7" ht="15.75" customHeight="1">
      <c r="A658" s="8">
        <f t="shared" si="2"/>
        <v>0</v>
      </c>
      <c r="B658" s="8"/>
      <c r="C658" s="8"/>
      <c r="F658" t="s">
        <v>582</v>
      </c>
      <c r="G658">
        <v>63240000</v>
      </c>
    </row>
    <row r="659" spans="1:7" ht="15.75" customHeight="1">
      <c r="A659" s="8">
        <f t="shared" si="2"/>
        <v>215625</v>
      </c>
      <c r="B659" s="8"/>
      <c r="C659" s="8">
        <v>215625</v>
      </c>
      <c r="D659">
        <v>256</v>
      </c>
      <c r="E659" t="s">
        <v>579</v>
      </c>
      <c r="F659" t="s">
        <v>583</v>
      </c>
      <c r="G659" s="9">
        <v>44778</v>
      </c>
    </row>
    <row r="660" spans="1:7" ht="15.75" customHeight="1">
      <c r="A660" s="8">
        <f t="shared" si="2"/>
        <v>215625</v>
      </c>
      <c r="B660" s="8"/>
      <c r="C660" s="8">
        <v>215625</v>
      </c>
    </row>
    <row r="661" spans="1:7" ht="15.75" customHeight="1">
      <c r="A661" s="8">
        <f t="shared" si="2"/>
        <v>215625</v>
      </c>
      <c r="B661" s="8"/>
      <c r="C661" s="8">
        <v>215625</v>
      </c>
      <c r="E661">
        <v>1115605</v>
      </c>
      <c r="F661" t="s">
        <v>120</v>
      </c>
      <c r="G661" t="s">
        <v>581</v>
      </c>
    </row>
    <row r="662" spans="1:7" ht="15.75" customHeight="1">
      <c r="A662" s="8">
        <f t="shared" si="2"/>
        <v>0</v>
      </c>
      <c r="B662" s="8"/>
      <c r="C662" s="8"/>
      <c r="D662" t="s">
        <v>121</v>
      </c>
      <c r="G662">
        <v>1115701</v>
      </c>
    </row>
    <row r="663" spans="1:7" ht="15.75" customHeight="1">
      <c r="A663" s="8">
        <f t="shared" si="2"/>
        <v>0</v>
      </c>
      <c r="B663" s="8"/>
      <c r="C663" s="8"/>
      <c r="F663" t="s">
        <v>578</v>
      </c>
      <c r="G663">
        <v>63841000</v>
      </c>
    </row>
    <row r="664" spans="1:7" ht="15.75" customHeight="1">
      <c r="A664" s="8">
        <f t="shared" si="2"/>
        <v>104650</v>
      </c>
      <c r="B664" s="8"/>
      <c r="C664" s="8">
        <v>104650</v>
      </c>
      <c r="D664">
        <v>53</v>
      </c>
      <c r="E664" t="s">
        <v>594</v>
      </c>
      <c r="F664" t="s">
        <v>730</v>
      </c>
      <c r="G664" s="9">
        <v>44767</v>
      </c>
    </row>
    <row r="665" spans="1:7" ht="15.75" customHeight="1">
      <c r="A665" s="8">
        <f t="shared" si="2"/>
        <v>34845</v>
      </c>
      <c r="B665" s="8"/>
      <c r="C665" s="8">
        <v>34845</v>
      </c>
      <c r="D665">
        <v>162</v>
      </c>
      <c r="E665" t="s">
        <v>594</v>
      </c>
      <c r="F665" t="s">
        <v>684</v>
      </c>
      <c r="G665" s="9">
        <v>44881</v>
      </c>
    </row>
    <row r="666" spans="1:7" ht="15.75" customHeight="1">
      <c r="A666" s="8">
        <f t="shared" si="2"/>
        <v>139495</v>
      </c>
      <c r="B666" s="8"/>
      <c r="C666" s="8">
        <v>139495</v>
      </c>
    </row>
    <row r="667" spans="1:7" ht="15.75" customHeight="1">
      <c r="A667" s="8">
        <f t="shared" si="2"/>
        <v>139495</v>
      </c>
      <c r="B667" s="8"/>
      <c r="C667" s="8">
        <v>139495</v>
      </c>
      <c r="E667">
        <v>1115701</v>
      </c>
      <c r="F667" t="s">
        <v>121</v>
      </c>
      <c r="G667" t="s">
        <v>581</v>
      </c>
    </row>
    <row r="668" spans="1:7" ht="15.75" customHeight="1">
      <c r="A668" s="8">
        <f t="shared" si="2"/>
        <v>0</v>
      </c>
      <c r="B668" s="8"/>
      <c r="C668" s="8"/>
      <c r="D668" t="s">
        <v>122</v>
      </c>
      <c r="G668">
        <v>1115705</v>
      </c>
    </row>
    <row r="669" spans="1:7" ht="15.75" customHeight="1">
      <c r="A669" s="8">
        <f t="shared" si="2"/>
        <v>0</v>
      </c>
      <c r="B669" s="8"/>
      <c r="C669" s="8"/>
      <c r="F669" t="s">
        <v>582</v>
      </c>
      <c r="G669">
        <v>63240000</v>
      </c>
    </row>
    <row r="670" spans="1:7" ht="15.75" customHeight="1">
      <c r="A670" s="8">
        <f t="shared" si="2"/>
        <v>280313</v>
      </c>
      <c r="B670" s="8"/>
      <c r="C670" s="8">
        <v>280313</v>
      </c>
      <c r="D670">
        <v>256</v>
      </c>
      <c r="E670" t="s">
        <v>579</v>
      </c>
      <c r="F670" t="s">
        <v>583</v>
      </c>
      <c r="G670" s="9">
        <v>44778</v>
      </c>
    </row>
    <row r="671" spans="1:7" ht="15.75" customHeight="1">
      <c r="A671" s="8">
        <f t="shared" si="2"/>
        <v>280313</v>
      </c>
      <c r="B671" s="8"/>
      <c r="C671" s="8">
        <v>280313</v>
      </c>
    </row>
    <row r="672" spans="1:7" ht="15.75" customHeight="1">
      <c r="A672" s="8">
        <f t="shared" si="2"/>
        <v>280313</v>
      </c>
      <c r="B672" s="8"/>
      <c r="C672" s="8">
        <v>280313</v>
      </c>
      <c r="E672">
        <v>1115705</v>
      </c>
      <c r="F672" t="s">
        <v>122</v>
      </c>
      <c r="G672" t="s">
        <v>581</v>
      </c>
    </row>
    <row r="673" spans="1:7" ht="15.75" customHeight="1">
      <c r="A673" s="8">
        <f t="shared" si="2"/>
        <v>0</v>
      </c>
      <c r="B673" s="8"/>
      <c r="C673" s="8"/>
      <c r="D673" t="s">
        <v>123</v>
      </c>
      <c r="G673">
        <v>1115801</v>
      </c>
    </row>
    <row r="674" spans="1:7" ht="15.75" customHeight="1">
      <c r="A674" s="8">
        <f t="shared" si="2"/>
        <v>0</v>
      </c>
      <c r="B674" s="8"/>
      <c r="C674" s="8"/>
      <c r="F674" t="s">
        <v>578</v>
      </c>
      <c r="G674">
        <v>63841000</v>
      </c>
    </row>
    <row r="675" spans="1:7" ht="15.75" customHeight="1">
      <c r="A675" s="8">
        <f t="shared" si="2"/>
        <v>348565</v>
      </c>
      <c r="B675" s="8"/>
      <c r="C675" s="8">
        <v>348565</v>
      </c>
      <c r="D675">
        <v>97</v>
      </c>
      <c r="E675" t="s">
        <v>594</v>
      </c>
      <c r="F675" t="s">
        <v>731</v>
      </c>
      <c r="G675" s="9">
        <v>44803</v>
      </c>
    </row>
    <row r="676" spans="1:7" ht="15.75" customHeight="1">
      <c r="A676" s="8">
        <f t="shared" si="2"/>
        <v>348565</v>
      </c>
      <c r="B676" s="8"/>
      <c r="C676" s="8">
        <v>348565</v>
      </c>
    </row>
    <row r="677" spans="1:7" ht="15.75" customHeight="1">
      <c r="A677" s="8">
        <f t="shared" si="2"/>
        <v>348565</v>
      </c>
      <c r="B677" s="8"/>
      <c r="C677" s="8">
        <v>348565</v>
      </c>
      <c r="E677">
        <v>1115801</v>
      </c>
      <c r="F677" t="s">
        <v>123</v>
      </c>
      <c r="G677" t="s">
        <v>581</v>
      </c>
    </row>
    <row r="678" spans="1:7" ht="15.75" customHeight="1">
      <c r="A678" s="8">
        <f t="shared" si="2"/>
        <v>0</v>
      </c>
      <c r="B678" s="8"/>
      <c r="C678" s="8"/>
      <c r="D678" t="s">
        <v>124</v>
      </c>
      <c r="G678">
        <v>1115802</v>
      </c>
    </row>
    <row r="679" spans="1:7" ht="15.75" customHeight="1">
      <c r="A679" s="8">
        <f t="shared" si="2"/>
        <v>0</v>
      </c>
      <c r="B679" s="8"/>
      <c r="C679" s="8"/>
      <c r="F679" t="s">
        <v>590</v>
      </c>
      <c r="G679">
        <v>61811000</v>
      </c>
    </row>
    <row r="680" spans="1:7" ht="15.75" customHeight="1">
      <c r="A680" s="8">
        <f t="shared" si="2"/>
        <v>28750</v>
      </c>
      <c r="B680" s="8"/>
      <c r="C680" s="8">
        <v>28750</v>
      </c>
      <c r="D680">
        <v>185</v>
      </c>
      <c r="E680" t="s">
        <v>667</v>
      </c>
      <c r="F680" t="s">
        <v>732</v>
      </c>
      <c r="G680" s="9">
        <v>44803</v>
      </c>
    </row>
    <row r="681" spans="1:7" ht="15.75" customHeight="1">
      <c r="A681" s="8">
        <f t="shared" si="2"/>
        <v>595700</v>
      </c>
      <c r="B681" s="8"/>
      <c r="C681" s="8">
        <v>595700</v>
      </c>
      <c r="D681">
        <v>275</v>
      </c>
      <c r="E681" t="s">
        <v>579</v>
      </c>
      <c r="F681" t="s">
        <v>733</v>
      </c>
      <c r="G681" s="9">
        <v>44805</v>
      </c>
    </row>
    <row r="682" spans="1:7" ht="15.75" customHeight="1">
      <c r="A682" s="8">
        <f t="shared" si="2"/>
        <v>258750</v>
      </c>
      <c r="B682" s="8"/>
      <c r="C682" s="8">
        <v>258750</v>
      </c>
      <c r="D682">
        <v>199</v>
      </c>
      <c r="E682" t="s">
        <v>667</v>
      </c>
      <c r="F682" t="s">
        <v>734</v>
      </c>
      <c r="G682" s="9">
        <v>44814</v>
      </c>
    </row>
    <row r="683" spans="1:7" ht="15.75" customHeight="1">
      <c r="A683" s="8">
        <f t="shared" si="2"/>
        <v>883200</v>
      </c>
      <c r="B683" s="8"/>
      <c r="C683" s="8">
        <v>883200</v>
      </c>
    </row>
    <row r="684" spans="1:7" ht="15.75" customHeight="1">
      <c r="A684" s="8">
        <f t="shared" si="2"/>
        <v>883200</v>
      </c>
      <c r="B684" s="8"/>
      <c r="C684" s="8">
        <v>883200</v>
      </c>
      <c r="E684">
        <v>1115802</v>
      </c>
      <c r="F684" t="s">
        <v>124</v>
      </c>
      <c r="G684" t="s">
        <v>581</v>
      </c>
    </row>
    <row r="685" spans="1:7" ht="15.75" customHeight="1">
      <c r="A685" s="8">
        <f t="shared" si="2"/>
        <v>0</v>
      </c>
      <c r="B685" s="8"/>
      <c r="C685" s="8"/>
      <c r="D685" t="s">
        <v>125</v>
      </c>
      <c r="G685">
        <v>1115805</v>
      </c>
    </row>
    <row r="686" spans="1:7" ht="15.75" customHeight="1">
      <c r="A686" s="8">
        <f t="shared" si="2"/>
        <v>0</v>
      </c>
      <c r="B686" s="8"/>
      <c r="C686" s="8"/>
      <c r="F686" t="s">
        <v>582</v>
      </c>
      <c r="G686">
        <v>63240000</v>
      </c>
    </row>
    <row r="687" spans="1:7" ht="15.75" customHeight="1">
      <c r="A687" s="8">
        <f t="shared" si="2"/>
        <v>388125</v>
      </c>
      <c r="B687" s="8"/>
      <c r="C687" s="8">
        <v>388125</v>
      </c>
      <c r="D687">
        <v>313</v>
      </c>
      <c r="E687" t="s">
        <v>579</v>
      </c>
      <c r="F687" t="s">
        <v>648</v>
      </c>
      <c r="G687" s="9">
        <v>44844</v>
      </c>
    </row>
    <row r="688" spans="1:7" ht="15.75" customHeight="1">
      <c r="A688" s="8">
        <f t="shared" si="2"/>
        <v>388125</v>
      </c>
      <c r="B688" s="8"/>
      <c r="C688" s="8">
        <v>388125</v>
      </c>
    </row>
    <row r="689" spans="1:7" ht="15.75" customHeight="1">
      <c r="A689" s="8">
        <f t="shared" si="2"/>
        <v>388125</v>
      </c>
      <c r="B689" s="8"/>
      <c r="C689" s="8">
        <v>388125</v>
      </c>
      <c r="E689">
        <v>1115805</v>
      </c>
      <c r="F689" t="s">
        <v>125</v>
      </c>
      <c r="G689" t="s">
        <v>581</v>
      </c>
    </row>
    <row r="690" spans="1:7" ht="15.75" customHeight="1">
      <c r="A690" s="8">
        <f t="shared" si="2"/>
        <v>0</v>
      </c>
      <c r="B690" s="8"/>
      <c r="C690" s="8"/>
      <c r="D690" t="s">
        <v>126</v>
      </c>
      <c r="G690">
        <v>1115901</v>
      </c>
    </row>
    <row r="691" spans="1:7" ht="15.75" customHeight="1">
      <c r="A691" s="8">
        <f t="shared" si="2"/>
        <v>0</v>
      </c>
      <c r="B691" s="8"/>
      <c r="C691" s="8"/>
      <c r="F691" t="s">
        <v>578</v>
      </c>
      <c r="G691">
        <v>63841000</v>
      </c>
    </row>
    <row r="692" spans="1:7" ht="15.75" customHeight="1">
      <c r="A692" s="8">
        <f t="shared" si="2"/>
        <v>87228</v>
      </c>
      <c r="B692" s="8"/>
      <c r="C692" s="8">
        <v>87228</v>
      </c>
      <c r="D692">
        <v>88</v>
      </c>
      <c r="E692" t="s">
        <v>594</v>
      </c>
      <c r="F692" t="s">
        <v>735</v>
      </c>
      <c r="G692" s="9">
        <v>44789</v>
      </c>
    </row>
    <row r="693" spans="1:7" ht="15.75" customHeight="1">
      <c r="A693" s="8">
        <f t="shared" si="2"/>
        <v>87228</v>
      </c>
      <c r="B693" s="8"/>
      <c r="C693" s="8">
        <v>87228</v>
      </c>
    </row>
    <row r="694" spans="1:7" ht="15.75" customHeight="1">
      <c r="A694" s="8">
        <f t="shared" si="2"/>
        <v>87228</v>
      </c>
      <c r="B694" s="8"/>
      <c r="C694" s="8">
        <v>87228</v>
      </c>
      <c r="E694">
        <v>1115901</v>
      </c>
      <c r="F694" t="s">
        <v>126</v>
      </c>
      <c r="G694" t="s">
        <v>581</v>
      </c>
    </row>
    <row r="695" spans="1:7" ht="15.75" customHeight="1">
      <c r="A695" s="8">
        <f t="shared" si="2"/>
        <v>0</v>
      </c>
      <c r="B695" s="8"/>
      <c r="C695" s="8"/>
      <c r="D695" t="s">
        <v>127</v>
      </c>
      <c r="G695">
        <v>1115921</v>
      </c>
    </row>
    <row r="696" spans="1:7" ht="15.75" customHeight="1">
      <c r="A696" s="8">
        <f t="shared" si="2"/>
        <v>0</v>
      </c>
      <c r="B696" s="8"/>
      <c r="C696" s="8"/>
      <c r="F696" t="s">
        <v>584</v>
      </c>
      <c r="G696">
        <v>70612000</v>
      </c>
    </row>
    <row r="697" spans="1:7" ht="15.75" customHeight="1">
      <c r="A697" s="8">
        <f t="shared" si="2"/>
        <v>-4896024</v>
      </c>
      <c r="B697" s="8">
        <v>4896024</v>
      </c>
      <c r="C697" s="8"/>
      <c r="D697">
        <v>225</v>
      </c>
      <c r="E697" t="s">
        <v>585</v>
      </c>
      <c r="F697" t="s">
        <v>736</v>
      </c>
      <c r="G697" s="9">
        <v>44925</v>
      </c>
    </row>
    <row r="698" spans="1:7" ht="15.75" customHeight="1">
      <c r="A698" s="8">
        <f t="shared" si="2"/>
        <v>4896024</v>
      </c>
      <c r="B698" s="8"/>
      <c r="C698" s="8">
        <v>4896024</v>
      </c>
      <c r="D698">
        <v>307</v>
      </c>
      <c r="E698" t="s">
        <v>594</v>
      </c>
      <c r="F698" t="s">
        <v>737</v>
      </c>
      <c r="G698" s="9">
        <v>44925</v>
      </c>
    </row>
    <row r="699" spans="1:7" ht="15.75" customHeight="1">
      <c r="A699" s="8">
        <f t="shared" si="2"/>
        <v>0</v>
      </c>
      <c r="B699" s="8">
        <v>4896024</v>
      </c>
      <c r="C699" s="8">
        <v>4896024</v>
      </c>
    </row>
    <row r="700" spans="1:7" ht="15.75" customHeight="1">
      <c r="A700" s="8">
        <f t="shared" si="2"/>
        <v>0</v>
      </c>
      <c r="B700" s="8">
        <v>4896024</v>
      </c>
      <c r="C700" s="8">
        <v>4896024</v>
      </c>
      <c r="E700">
        <v>1115921</v>
      </c>
      <c r="F700" t="s">
        <v>127</v>
      </c>
      <c r="G700" t="s">
        <v>581</v>
      </c>
    </row>
    <row r="701" spans="1:7" ht="15.75" customHeight="1">
      <c r="A701" s="8">
        <f t="shared" si="2"/>
        <v>0</v>
      </c>
      <c r="B701" s="8"/>
      <c r="C701" s="8"/>
      <c r="D701" t="s">
        <v>128</v>
      </c>
      <c r="G701">
        <v>1116001</v>
      </c>
    </row>
    <row r="702" spans="1:7" ht="15.75" customHeight="1">
      <c r="A702" s="8">
        <f t="shared" si="2"/>
        <v>0</v>
      </c>
      <c r="B702" s="8"/>
      <c r="C702" s="8"/>
      <c r="F702" t="s">
        <v>578</v>
      </c>
      <c r="G702">
        <v>63841000</v>
      </c>
    </row>
    <row r="703" spans="1:7" ht="15.75" customHeight="1">
      <c r="A703" s="8">
        <f t="shared" si="2"/>
        <v>104650</v>
      </c>
      <c r="B703" s="8"/>
      <c r="C703" s="8">
        <v>104650</v>
      </c>
      <c r="D703">
        <v>89</v>
      </c>
      <c r="E703" t="s">
        <v>594</v>
      </c>
      <c r="F703" t="s">
        <v>738</v>
      </c>
      <c r="G703" s="9">
        <v>44789</v>
      </c>
    </row>
    <row r="704" spans="1:7" ht="15.75" customHeight="1">
      <c r="A704" s="8">
        <f t="shared" si="2"/>
        <v>34845</v>
      </c>
      <c r="B704" s="8"/>
      <c r="C704" s="8">
        <v>34845</v>
      </c>
      <c r="D704">
        <v>162</v>
      </c>
      <c r="E704" t="s">
        <v>594</v>
      </c>
      <c r="F704" t="s">
        <v>684</v>
      </c>
      <c r="G704" s="9">
        <v>44881</v>
      </c>
    </row>
    <row r="705" spans="1:7" ht="15.75" customHeight="1">
      <c r="A705" s="8">
        <f t="shared" si="2"/>
        <v>139495</v>
      </c>
      <c r="B705" s="8"/>
      <c r="C705" s="8">
        <v>139495</v>
      </c>
    </row>
    <row r="706" spans="1:7" ht="15.75" customHeight="1">
      <c r="A706" s="8">
        <f t="shared" si="2"/>
        <v>139495</v>
      </c>
      <c r="B706" s="8"/>
      <c r="C706" s="8">
        <v>139495</v>
      </c>
      <c r="E706">
        <v>1116001</v>
      </c>
      <c r="F706" t="s">
        <v>128</v>
      </c>
      <c r="G706" t="s">
        <v>581</v>
      </c>
    </row>
    <row r="707" spans="1:7" ht="15.75" customHeight="1">
      <c r="A707" s="8">
        <f t="shared" si="2"/>
        <v>0</v>
      </c>
      <c r="B707" s="8"/>
      <c r="C707" s="8"/>
      <c r="D707" t="s">
        <v>129</v>
      </c>
      <c r="G707">
        <v>1116021</v>
      </c>
    </row>
    <row r="708" spans="1:7" ht="15.75" customHeight="1">
      <c r="A708" s="8">
        <f t="shared" si="2"/>
        <v>0</v>
      </c>
      <c r="B708" s="8"/>
      <c r="C708" s="8"/>
      <c r="F708" t="s">
        <v>584</v>
      </c>
      <c r="G708">
        <v>70612000</v>
      </c>
    </row>
    <row r="709" spans="1:7" ht="15.75" customHeight="1">
      <c r="A709" s="8">
        <f t="shared" si="2"/>
        <v>-2330820</v>
      </c>
      <c r="B709" s="8">
        <v>2330820</v>
      </c>
      <c r="C709" s="8"/>
      <c r="D709">
        <v>260</v>
      </c>
      <c r="E709" t="s">
        <v>594</v>
      </c>
      <c r="F709" t="s">
        <v>739</v>
      </c>
      <c r="G709" s="9">
        <v>44925</v>
      </c>
    </row>
    <row r="710" spans="1:7" ht="15.75" customHeight="1">
      <c r="A710" s="8">
        <f t="shared" si="2"/>
        <v>-2330820</v>
      </c>
      <c r="B710" s="8">
        <v>2330820</v>
      </c>
      <c r="C710" s="8"/>
    </row>
    <row r="711" spans="1:7" ht="15.75" customHeight="1">
      <c r="A711" s="8">
        <f t="shared" si="2"/>
        <v>-2330820</v>
      </c>
      <c r="B711" s="8">
        <v>2330820</v>
      </c>
      <c r="C711" s="8"/>
      <c r="E711">
        <v>1116021</v>
      </c>
      <c r="F711" t="s">
        <v>129</v>
      </c>
      <c r="G711" t="s">
        <v>581</v>
      </c>
    </row>
    <row r="712" spans="1:7" ht="15.75" customHeight="1">
      <c r="A712" s="8">
        <f t="shared" si="2"/>
        <v>0</v>
      </c>
      <c r="B712" s="8"/>
      <c r="C712" s="8"/>
      <c r="D712" t="s">
        <v>130</v>
      </c>
      <c r="G712">
        <v>1116101</v>
      </c>
    </row>
    <row r="713" spans="1:7" ht="15.75" customHeight="1">
      <c r="A713" s="8">
        <f t="shared" si="2"/>
        <v>0</v>
      </c>
      <c r="B713" s="8"/>
      <c r="C713" s="8"/>
      <c r="F713" t="s">
        <v>578</v>
      </c>
      <c r="G713">
        <v>63841000</v>
      </c>
    </row>
    <row r="714" spans="1:7" ht="15.75" customHeight="1">
      <c r="A714" s="8">
        <f t="shared" si="2"/>
        <v>183051</v>
      </c>
      <c r="B714" s="8"/>
      <c r="C714" s="8">
        <v>183051</v>
      </c>
      <c r="D714">
        <v>165</v>
      </c>
      <c r="E714" t="s">
        <v>594</v>
      </c>
      <c r="F714" t="s">
        <v>740</v>
      </c>
      <c r="G714" s="9">
        <v>44881</v>
      </c>
    </row>
    <row r="715" spans="1:7" ht="15.75" customHeight="1">
      <c r="A715" s="8">
        <f t="shared" si="2"/>
        <v>78516</v>
      </c>
      <c r="B715" s="8"/>
      <c r="C715" s="8">
        <v>78516</v>
      </c>
      <c r="D715">
        <v>166</v>
      </c>
      <c r="E715" t="s">
        <v>594</v>
      </c>
      <c r="F715" t="s">
        <v>741</v>
      </c>
      <c r="G715" s="9">
        <v>44881</v>
      </c>
    </row>
    <row r="716" spans="1:7" ht="15.75" customHeight="1">
      <c r="A716" s="8">
        <f t="shared" si="2"/>
        <v>261567</v>
      </c>
      <c r="B716" s="8"/>
      <c r="C716" s="8">
        <v>261567</v>
      </c>
    </row>
    <row r="717" spans="1:7" ht="15.75" customHeight="1">
      <c r="A717" s="8">
        <f t="shared" si="2"/>
        <v>261567</v>
      </c>
      <c r="B717" s="8"/>
      <c r="C717" s="8">
        <v>261567</v>
      </c>
      <c r="E717">
        <v>1116101</v>
      </c>
      <c r="F717" t="s">
        <v>130</v>
      </c>
      <c r="G717" t="s">
        <v>581</v>
      </c>
    </row>
    <row r="718" spans="1:7" ht="15.75" customHeight="1">
      <c r="A718" s="8">
        <f t="shared" si="2"/>
        <v>0</v>
      </c>
      <c r="B718" s="8"/>
      <c r="C718" s="8"/>
      <c r="D718" t="s">
        <v>131</v>
      </c>
      <c r="G718">
        <v>1116201</v>
      </c>
    </row>
    <row r="719" spans="1:7" ht="15.75" customHeight="1">
      <c r="A719" s="8">
        <f t="shared" si="2"/>
        <v>0</v>
      </c>
      <c r="B719" s="8"/>
      <c r="C719" s="8"/>
      <c r="F719" t="s">
        <v>578</v>
      </c>
      <c r="G719">
        <v>63841000</v>
      </c>
    </row>
    <row r="720" spans="1:7" ht="15.75" customHeight="1">
      <c r="A720" s="8">
        <f t="shared" si="2"/>
        <v>720245</v>
      </c>
      <c r="B720" s="8"/>
      <c r="C720" s="8">
        <v>720245</v>
      </c>
      <c r="D720">
        <v>186</v>
      </c>
      <c r="E720" t="s">
        <v>594</v>
      </c>
      <c r="F720" t="s">
        <v>742</v>
      </c>
      <c r="G720" s="9">
        <v>44907</v>
      </c>
    </row>
    <row r="721" spans="1:7" ht="15.75" customHeight="1">
      <c r="A721" s="8">
        <f t="shared" si="2"/>
        <v>713000</v>
      </c>
      <c r="B721" s="8"/>
      <c r="C721" s="8">
        <v>713000</v>
      </c>
      <c r="D721">
        <v>856</v>
      </c>
      <c r="E721" t="s">
        <v>587</v>
      </c>
      <c r="F721" t="s">
        <v>743</v>
      </c>
      <c r="G721" s="9">
        <v>44911</v>
      </c>
    </row>
    <row r="722" spans="1:7" ht="15.75" customHeight="1">
      <c r="A722" s="8">
        <f t="shared" si="2"/>
        <v>1433245</v>
      </c>
      <c r="B722" s="8"/>
      <c r="C722" s="8">
        <v>1433245</v>
      </c>
    </row>
    <row r="723" spans="1:7" ht="15.75" customHeight="1">
      <c r="A723" s="8">
        <f t="shared" si="2"/>
        <v>1433245</v>
      </c>
      <c r="B723" s="8"/>
      <c r="C723" s="8">
        <v>1433245</v>
      </c>
      <c r="E723">
        <v>1116201</v>
      </c>
      <c r="F723" t="s">
        <v>131</v>
      </c>
      <c r="G723" t="s">
        <v>581</v>
      </c>
    </row>
    <row r="724" spans="1:7" ht="15.75" customHeight="1">
      <c r="A724" s="8">
        <f t="shared" si="2"/>
        <v>0</v>
      </c>
      <c r="B724" s="8"/>
      <c r="C724" s="8"/>
      <c r="D724" t="s">
        <v>132</v>
      </c>
      <c r="G724">
        <v>1116202</v>
      </c>
    </row>
    <row r="725" spans="1:7" ht="15.75" customHeight="1">
      <c r="A725" s="8">
        <f t="shared" si="2"/>
        <v>0</v>
      </c>
      <c r="B725" s="8"/>
      <c r="C725" s="8"/>
      <c r="F725" t="s">
        <v>590</v>
      </c>
      <c r="G725">
        <v>61811000</v>
      </c>
    </row>
    <row r="726" spans="1:7" ht="15.75" customHeight="1">
      <c r="A726" s="8">
        <f t="shared" si="2"/>
        <v>1204165</v>
      </c>
      <c r="B726" s="8"/>
      <c r="C726" s="8">
        <v>1204165</v>
      </c>
      <c r="D726">
        <v>420</v>
      </c>
      <c r="E726" t="s">
        <v>579</v>
      </c>
      <c r="F726" t="s">
        <v>744</v>
      </c>
      <c r="G726" s="9">
        <v>44918</v>
      </c>
    </row>
    <row r="727" spans="1:7" ht="15.75" customHeight="1">
      <c r="A727" s="8">
        <f t="shared" si="2"/>
        <v>1204165</v>
      </c>
      <c r="B727" s="8"/>
      <c r="C727" s="8">
        <v>1204165</v>
      </c>
    </row>
    <row r="728" spans="1:7" ht="15.75" customHeight="1">
      <c r="A728" s="8">
        <f t="shared" si="2"/>
        <v>1204165</v>
      </c>
      <c r="B728" s="8"/>
      <c r="C728" s="8">
        <v>1204165</v>
      </c>
      <c r="E728">
        <v>1116202</v>
      </c>
      <c r="F728" t="s">
        <v>132</v>
      </c>
      <c r="G728" t="s">
        <v>581</v>
      </c>
    </row>
    <row r="729" spans="1:7" ht="15.75" customHeight="1">
      <c r="A729" s="8">
        <f t="shared" si="2"/>
        <v>0</v>
      </c>
      <c r="B729" s="8"/>
      <c r="C729" s="8"/>
      <c r="D729" t="s">
        <v>133</v>
      </c>
      <c r="G729">
        <v>1116205</v>
      </c>
    </row>
    <row r="730" spans="1:7" ht="15.75" customHeight="1">
      <c r="A730" s="8">
        <f t="shared" si="2"/>
        <v>0</v>
      </c>
      <c r="B730" s="8"/>
      <c r="C730" s="8"/>
      <c r="F730" t="s">
        <v>582</v>
      </c>
      <c r="G730">
        <v>63240000</v>
      </c>
    </row>
    <row r="731" spans="1:7" ht="15.75" customHeight="1">
      <c r="A731" s="8">
        <f t="shared" si="2"/>
        <v>402500</v>
      </c>
      <c r="B731" s="8"/>
      <c r="C731" s="8">
        <v>402500</v>
      </c>
      <c r="D731">
        <v>435</v>
      </c>
      <c r="E731" t="s">
        <v>579</v>
      </c>
      <c r="F731" t="s">
        <v>673</v>
      </c>
      <c r="G731" s="9">
        <v>44925</v>
      </c>
    </row>
    <row r="732" spans="1:7" ht="15.75" customHeight="1">
      <c r="A732" s="8">
        <f t="shared" si="2"/>
        <v>402500</v>
      </c>
      <c r="B732" s="8"/>
      <c r="C732" s="8">
        <v>402500</v>
      </c>
    </row>
    <row r="733" spans="1:7" ht="15.75" customHeight="1">
      <c r="A733" s="8">
        <f t="shared" si="2"/>
        <v>402500</v>
      </c>
      <c r="B733" s="8"/>
      <c r="C733" s="8">
        <v>402500</v>
      </c>
      <c r="E733">
        <v>1116205</v>
      </c>
      <c r="F733" t="s">
        <v>133</v>
      </c>
      <c r="G733" t="s">
        <v>581</v>
      </c>
    </row>
    <row r="734" spans="1:7" ht="15.75" customHeight="1">
      <c r="A734" s="8">
        <f t="shared" si="2"/>
        <v>0</v>
      </c>
      <c r="B734" s="8"/>
      <c r="C734" s="8"/>
      <c r="D734" t="s">
        <v>134</v>
      </c>
      <c r="G734">
        <v>1116221</v>
      </c>
    </row>
    <row r="735" spans="1:7" ht="15.75" customHeight="1">
      <c r="A735" s="8">
        <f t="shared" si="2"/>
        <v>0</v>
      </c>
      <c r="B735" s="8"/>
      <c r="C735" s="8"/>
      <c r="F735" t="s">
        <v>584</v>
      </c>
      <c r="G735">
        <v>70612000</v>
      </c>
    </row>
    <row r="736" spans="1:7" ht="15.75" customHeight="1">
      <c r="A736" s="8">
        <f t="shared" si="2"/>
        <v>-5966051</v>
      </c>
      <c r="B736" s="8">
        <v>5966051</v>
      </c>
      <c r="C736" s="8"/>
      <c r="D736">
        <v>217</v>
      </c>
      <c r="E736" t="s">
        <v>585</v>
      </c>
      <c r="F736" t="s">
        <v>745</v>
      </c>
      <c r="G736" s="9">
        <v>44909</v>
      </c>
    </row>
    <row r="737" spans="1:7" ht="15.75" customHeight="1">
      <c r="A737" s="8">
        <f t="shared" si="2"/>
        <v>-5966051</v>
      </c>
      <c r="B737" s="8">
        <v>5966051</v>
      </c>
      <c r="C737" s="8"/>
    </row>
    <row r="738" spans="1:7" ht="15.75" customHeight="1">
      <c r="A738" s="8">
        <f t="shared" si="2"/>
        <v>-5966051</v>
      </c>
      <c r="B738" s="8">
        <v>5966051</v>
      </c>
      <c r="C738" s="8"/>
      <c r="E738">
        <v>1116221</v>
      </c>
      <c r="F738" t="s">
        <v>134</v>
      </c>
      <c r="G738" t="s">
        <v>581</v>
      </c>
    </row>
    <row r="739" spans="1:7" ht="15.75" customHeight="1">
      <c r="A739" s="8">
        <f t="shared" si="2"/>
        <v>0</v>
      </c>
      <c r="B739" s="8"/>
      <c r="C739" s="8"/>
      <c r="D739" t="s">
        <v>135</v>
      </c>
      <c r="G739">
        <v>1116321</v>
      </c>
    </row>
    <row r="740" spans="1:7" ht="15.75" customHeight="1">
      <c r="A740" s="8">
        <f t="shared" si="2"/>
        <v>0</v>
      </c>
      <c r="B740" s="8"/>
      <c r="C740" s="8"/>
      <c r="F740" t="s">
        <v>584</v>
      </c>
      <c r="G740">
        <v>70612000</v>
      </c>
    </row>
    <row r="741" spans="1:7" ht="15.75" customHeight="1">
      <c r="A741" s="8">
        <f t="shared" si="2"/>
        <v>-2300670</v>
      </c>
      <c r="B741" s="8">
        <v>2300670</v>
      </c>
      <c r="C741" s="8"/>
      <c r="D741">
        <v>212</v>
      </c>
      <c r="E741" t="s">
        <v>585</v>
      </c>
      <c r="F741" t="s">
        <v>746</v>
      </c>
      <c r="G741" s="9">
        <v>44896</v>
      </c>
    </row>
    <row r="742" spans="1:7" ht="15.75" customHeight="1">
      <c r="A742" s="8">
        <f t="shared" si="2"/>
        <v>2300670</v>
      </c>
      <c r="B742" s="8"/>
      <c r="C742" s="8">
        <v>2300670</v>
      </c>
      <c r="D742">
        <v>279</v>
      </c>
      <c r="E742" t="s">
        <v>594</v>
      </c>
      <c r="F742" t="s">
        <v>747</v>
      </c>
      <c r="G742" s="9">
        <v>44925</v>
      </c>
    </row>
    <row r="743" spans="1:7" ht="15.75" customHeight="1">
      <c r="A743" s="8">
        <f t="shared" si="2"/>
        <v>0</v>
      </c>
      <c r="B743" s="8">
        <v>2300670</v>
      </c>
      <c r="C743" s="8">
        <v>2300670</v>
      </c>
    </row>
    <row r="744" spans="1:7" ht="15.75" customHeight="1">
      <c r="A744" s="8">
        <f t="shared" si="2"/>
        <v>0</v>
      </c>
      <c r="B744" s="8">
        <v>2300670</v>
      </c>
      <c r="C744" s="8">
        <v>2300670</v>
      </c>
      <c r="E744">
        <v>1116321</v>
      </c>
      <c r="F744" t="s">
        <v>135</v>
      </c>
      <c r="G744" t="s">
        <v>581</v>
      </c>
    </row>
    <row r="745" spans="1:7" ht="15.75" customHeight="1">
      <c r="A745" s="8">
        <f t="shared" si="2"/>
        <v>0</v>
      </c>
      <c r="B745" s="8"/>
      <c r="C745" s="8"/>
      <c r="D745" t="s">
        <v>136</v>
      </c>
      <c r="G745">
        <v>1116421</v>
      </c>
    </row>
    <row r="746" spans="1:7" ht="15.75" customHeight="1">
      <c r="A746" s="8">
        <f t="shared" si="2"/>
        <v>0</v>
      </c>
      <c r="B746" s="8"/>
      <c r="C746" s="8"/>
      <c r="F746" t="s">
        <v>584</v>
      </c>
      <c r="G746">
        <v>70612000</v>
      </c>
    </row>
    <row r="747" spans="1:7" ht="15.75" customHeight="1">
      <c r="A747" s="8">
        <f t="shared" si="2"/>
        <v>-1980108</v>
      </c>
      <c r="B747" s="8">
        <v>1980108</v>
      </c>
      <c r="C747" s="8"/>
      <c r="D747">
        <v>213</v>
      </c>
      <c r="E747" t="s">
        <v>585</v>
      </c>
      <c r="F747" t="s">
        <v>748</v>
      </c>
      <c r="G747" s="9">
        <v>44901</v>
      </c>
    </row>
    <row r="748" spans="1:7" ht="15.75" customHeight="1">
      <c r="A748" s="8">
        <f t="shared" si="2"/>
        <v>1980108</v>
      </c>
      <c r="B748" s="8"/>
      <c r="C748" s="8">
        <v>1980108</v>
      </c>
      <c r="D748">
        <v>280</v>
      </c>
      <c r="E748" t="s">
        <v>594</v>
      </c>
      <c r="F748" t="s">
        <v>749</v>
      </c>
      <c r="G748" s="9">
        <v>44925</v>
      </c>
    </row>
    <row r="749" spans="1:7" ht="15.75" customHeight="1">
      <c r="A749" s="8">
        <f t="shared" si="2"/>
        <v>0</v>
      </c>
      <c r="B749" s="8">
        <v>1980108</v>
      </c>
      <c r="C749" s="8">
        <v>1980108</v>
      </c>
    </row>
    <row r="750" spans="1:7" ht="15.75" customHeight="1">
      <c r="A750" s="8">
        <f t="shared" si="2"/>
        <v>0</v>
      </c>
      <c r="B750" s="8">
        <v>1980108</v>
      </c>
      <c r="C750" s="8">
        <v>1980108</v>
      </c>
      <c r="E750">
        <v>1116421</v>
      </c>
      <c r="F750" t="s">
        <v>136</v>
      </c>
      <c r="G750" t="s">
        <v>581</v>
      </c>
    </row>
    <row r="751" spans="1:7" ht="15.75" customHeight="1">
      <c r="A751" s="8">
        <f t="shared" si="2"/>
        <v>0</v>
      </c>
      <c r="B751" s="8"/>
      <c r="C751" s="8"/>
      <c r="D751" t="s">
        <v>137</v>
      </c>
      <c r="G751">
        <v>1116521</v>
      </c>
    </row>
    <row r="752" spans="1:7" ht="15.75" customHeight="1">
      <c r="A752" s="8">
        <f t="shared" si="2"/>
        <v>0</v>
      </c>
      <c r="B752" s="8"/>
      <c r="C752" s="8"/>
      <c r="F752" t="s">
        <v>584</v>
      </c>
      <c r="G752">
        <v>70612000</v>
      </c>
    </row>
    <row r="753" spans="1:7" ht="15.75" customHeight="1">
      <c r="A753" s="8">
        <f t="shared" si="2"/>
        <v>-1933508</v>
      </c>
      <c r="B753" s="8">
        <v>1933508</v>
      </c>
      <c r="C753" s="8"/>
      <c r="D753">
        <v>214</v>
      </c>
      <c r="E753" t="s">
        <v>585</v>
      </c>
      <c r="F753" t="s">
        <v>750</v>
      </c>
      <c r="G753" s="9">
        <v>44902</v>
      </c>
    </row>
    <row r="754" spans="1:7" ht="15.75" customHeight="1">
      <c r="A754" s="8">
        <f t="shared" si="2"/>
        <v>1933508</v>
      </c>
      <c r="B754" s="8"/>
      <c r="C754" s="8">
        <v>1933508</v>
      </c>
      <c r="D754">
        <v>281</v>
      </c>
      <c r="E754" t="s">
        <v>594</v>
      </c>
      <c r="F754" t="s">
        <v>751</v>
      </c>
      <c r="G754" s="9">
        <v>44925</v>
      </c>
    </row>
    <row r="755" spans="1:7" ht="15.75" customHeight="1">
      <c r="A755" s="8">
        <f t="shared" si="2"/>
        <v>0</v>
      </c>
      <c r="B755" s="8">
        <v>1933508</v>
      </c>
      <c r="C755" s="8">
        <v>1933508</v>
      </c>
    </row>
    <row r="756" spans="1:7" ht="15.75" customHeight="1">
      <c r="A756" s="8">
        <f t="shared" si="2"/>
        <v>0</v>
      </c>
      <c r="B756" s="8">
        <v>1933508</v>
      </c>
      <c r="C756" s="8">
        <v>1933508</v>
      </c>
      <c r="E756">
        <v>1116521</v>
      </c>
      <c r="F756" t="s">
        <v>137</v>
      </c>
      <c r="G756" t="s">
        <v>581</v>
      </c>
    </row>
    <row r="757" spans="1:7" ht="15.75" customHeight="1">
      <c r="A757" s="8">
        <f t="shared" si="2"/>
        <v>-107626981</v>
      </c>
      <c r="B757" s="8">
        <v>156386981</v>
      </c>
      <c r="C757" s="8">
        <v>48760000</v>
      </c>
      <c r="E757">
        <v>11</v>
      </c>
      <c r="F757" t="s">
        <v>138</v>
      </c>
      <c r="G757" t="s">
        <v>581</v>
      </c>
    </row>
    <row r="758" spans="1:7" ht="15.75" customHeight="1">
      <c r="A758" s="8">
        <f t="shared" si="2"/>
        <v>0</v>
      </c>
      <c r="B758" s="8"/>
      <c r="C758" s="8"/>
      <c r="D758" t="s">
        <v>139</v>
      </c>
      <c r="G758">
        <v>1330102</v>
      </c>
    </row>
    <row r="759" spans="1:7" ht="15.75" customHeight="1">
      <c r="A759" s="8">
        <f t="shared" si="2"/>
        <v>0</v>
      </c>
      <c r="B759" s="8"/>
      <c r="C759" s="8"/>
      <c r="F759" t="s">
        <v>638</v>
      </c>
      <c r="G759">
        <v>6121000</v>
      </c>
    </row>
    <row r="760" spans="1:7" ht="15.75" customHeight="1">
      <c r="A760" s="8">
        <f t="shared" si="2"/>
        <v>28750</v>
      </c>
      <c r="B760" s="8"/>
      <c r="C760" s="8">
        <v>28750</v>
      </c>
      <c r="D760">
        <v>244</v>
      </c>
      <c r="E760" t="s">
        <v>587</v>
      </c>
      <c r="F760" t="s">
        <v>752</v>
      </c>
      <c r="G760" s="9">
        <v>44742</v>
      </c>
    </row>
    <row r="761" spans="1:7" ht="15.75" customHeight="1">
      <c r="A761" s="8">
        <f t="shared" si="2"/>
        <v>51750</v>
      </c>
      <c r="B761" s="8"/>
      <c r="C761" s="8">
        <v>51750</v>
      </c>
      <c r="D761">
        <v>260</v>
      </c>
      <c r="E761" t="s">
        <v>587</v>
      </c>
      <c r="F761" t="s">
        <v>753</v>
      </c>
      <c r="G761" s="9">
        <v>44746</v>
      </c>
    </row>
    <row r="762" spans="1:7" ht="15.75" customHeight="1">
      <c r="A762" s="8">
        <f t="shared" si="2"/>
        <v>80500</v>
      </c>
      <c r="B762" s="8"/>
      <c r="C762" s="8">
        <v>80500</v>
      </c>
    </row>
    <row r="763" spans="1:7" ht="15.75" customHeight="1">
      <c r="A763" s="8">
        <f t="shared" si="2"/>
        <v>80500</v>
      </c>
      <c r="B763" s="8"/>
      <c r="C763" s="8">
        <v>80500</v>
      </c>
      <c r="E763">
        <v>1330102</v>
      </c>
      <c r="F763" t="s">
        <v>139</v>
      </c>
      <c r="G763" t="s">
        <v>581</v>
      </c>
    </row>
    <row r="764" spans="1:7" ht="15.75" customHeight="1">
      <c r="A764" s="8">
        <f t="shared" si="2"/>
        <v>0</v>
      </c>
      <c r="B764" s="8"/>
      <c r="C764" s="8"/>
      <c r="D764" t="s">
        <v>140</v>
      </c>
      <c r="G764">
        <v>1330105</v>
      </c>
    </row>
    <row r="765" spans="1:7" ht="15.75" customHeight="1">
      <c r="A765" s="8">
        <f t="shared" si="2"/>
        <v>0</v>
      </c>
      <c r="B765" s="8"/>
      <c r="C765" s="8"/>
      <c r="F765" t="s">
        <v>582</v>
      </c>
      <c r="G765">
        <v>63240000</v>
      </c>
    </row>
    <row r="766" spans="1:7" ht="15.75" customHeight="1">
      <c r="A766" s="8">
        <f t="shared" si="2"/>
        <v>116437</v>
      </c>
      <c r="B766" s="8"/>
      <c r="C766" s="8">
        <v>116437</v>
      </c>
      <c r="D766">
        <v>188</v>
      </c>
      <c r="E766" t="s">
        <v>579</v>
      </c>
      <c r="F766" t="s">
        <v>754</v>
      </c>
      <c r="G766" s="9">
        <v>44735</v>
      </c>
    </row>
    <row r="767" spans="1:7" ht="15.75" customHeight="1">
      <c r="A767" s="8">
        <f t="shared" ref="A767:A1021" si="3">C767-B767</f>
        <v>90563</v>
      </c>
      <c r="B767" s="8"/>
      <c r="C767" s="8">
        <v>90563</v>
      </c>
      <c r="D767">
        <v>189</v>
      </c>
      <c r="E767" t="s">
        <v>579</v>
      </c>
      <c r="F767" t="s">
        <v>755</v>
      </c>
      <c r="G767" s="9">
        <v>44735</v>
      </c>
    </row>
    <row r="768" spans="1:7" ht="15.75" customHeight="1">
      <c r="A768" s="8">
        <f t="shared" si="3"/>
        <v>207000</v>
      </c>
      <c r="B768" s="8"/>
      <c r="C768" s="8">
        <v>207000</v>
      </c>
    </row>
    <row r="769" spans="1:7" ht="15.75" customHeight="1">
      <c r="A769" s="8">
        <f t="shared" si="3"/>
        <v>207000</v>
      </c>
      <c r="B769" s="8"/>
      <c r="C769" s="8">
        <v>207000</v>
      </c>
      <c r="E769">
        <v>1330105</v>
      </c>
      <c r="F769" t="s">
        <v>140</v>
      </c>
      <c r="G769" t="s">
        <v>581</v>
      </c>
    </row>
    <row r="770" spans="1:7" ht="15.75" customHeight="1">
      <c r="A770" s="8">
        <f t="shared" si="3"/>
        <v>287500</v>
      </c>
      <c r="B770" s="8"/>
      <c r="C770" s="8">
        <v>287500</v>
      </c>
      <c r="E770">
        <v>13301</v>
      </c>
      <c r="F770" t="s">
        <v>141</v>
      </c>
      <c r="G770" t="s">
        <v>581</v>
      </c>
    </row>
    <row r="771" spans="1:7" ht="15.75" customHeight="1">
      <c r="A771" s="8">
        <f t="shared" si="3"/>
        <v>0</v>
      </c>
      <c r="B771" s="8"/>
      <c r="C771" s="8"/>
      <c r="D771" t="s">
        <v>142</v>
      </c>
      <c r="G771">
        <v>1330202</v>
      </c>
    </row>
    <row r="772" spans="1:7" ht="15.75" customHeight="1">
      <c r="A772" s="8">
        <f t="shared" si="3"/>
        <v>0</v>
      </c>
      <c r="B772" s="8"/>
      <c r="C772" s="8"/>
      <c r="F772" t="s">
        <v>638</v>
      </c>
      <c r="G772">
        <v>6121000</v>
      </c>
    </row>
    <row r="773" spans="1:7" ht="15.75" customHeight="1">
      <c r="A773" s="8">
        <f t="shared" si="3"/>
        <v>28750</v>
      </c>
      <c r="B773" s="8"/>
      <c r="C773" s="8">
        <v>28750</v>
      </c>
      <c r="D773">
        <v>244</v>
      </c>
      <c r="E773" t="s">
        <v>587</v>
      </c>
      <c r="F773" t="s">
        <v>752</v>
      </c>
      <c r="G773" s="9">
        <v>44742</v>
      </c>
    </row>
    <row r="774" spans="1:7" ht="15.75" customHeight="1">
      <c r="A774" s="8">
        <f t="shared" si="3"/>
        <v>28750</v>
      </c>
      <c r="B774" s="8"/>
      <c r="C774" s="8">
        <v>28750</v>
      </c>
    </row>
    <row r="775" spans="1:7" ht="15.75" customHeight="1">
      <c r="A775" s="8">
        <f t="shared" si="3"/>
        <v>28750</v>
      </c>
      <c r="B775" s="8"/>
      <c r="C775" s="8">
        <v>28750</v>
      </c>
      <c r="E775">
        <v>1330202</v>
      </c>
      <c r="F775" t="s">
        <v>142</v>
      </c>
      <c r="G775" t="s">
        <v>581</v>
      </c>
    </row>
    <row r="776" spans="1:7" ht="15.75" customHeight="1">
      <c r="A776" s="8">
        <f t="shared" si="3"/>
        <v>0</v>
      </c>
      <c r="B776" s="8"/>
      <c r="C776" s="8"/>
      <c r="D776" t="s">
        <v>143</v>
      </c>
      <c r="G776">
        <v>1330205</v>
      </c>
    </row>
    <row r="777" spans="1:7" ht="15.75" customHeight="1">
      <c r="A777" s="8">
        <f t="shared" si="3"/>
        <v>0</v>
      </c>
      <c r="B777" s="8"/>
      <c r="C777" s="8"/>
      <c r="F777" t="s">
        <v>582</v>
      </c>
      <c r="G777">
        <v>63240000</v>
      </c>
    </row>
    <row r="778" spans="1:7" ht="15.75" customHeight="1">
      <c r="A778" s="8">
        <f t="shared" si="3"/>
        <v>201250</v>
      </c>
      <c r="B778" s="8"/>
      <c r="C778" s="8">
        <v>201250</v>
      </c>
      <c r="D778">
        <v>69</v>
      </c>
      <c r="E778" t="s">
        <v>579</v>
      </c>
      <c r="F778" t="s">
        <v>756</v>
      </c>
      <c r="G778" s="9">
        <v>44650</v>
      </c>
    </row>
    <row r="779" spans="1:7" ht="15.75" customHeight="1">
      <c r="A779" s="8">
        <f t="shared" si="3"/>
        <v>201250</v>
      </c>
      <c r="B779" s="8"/>
      <c r="C779" s="8">
        <v>201250</v>
      </c>
      <c r="D779">
        <v>70</v>
      </c>
      <c r="E779" t="s">
        <v>579</v>
      </c>
      <c r="F779" t="s">
        <v>757</v>
      </c>
      <c r="G779" s="9">
        <v>44650</v>
      </c>
    </row>
    <row r="780" spans="1:7" ht="15.75" customHeight="1">
      <c r="A780" s="8">
        <f t="shared" si="3"/>
        <v>241500</v>
      </c>
      <c r="B780" s="8"/>
      <c r="C780" s="8">
        <v>241500</v>
      </c>
      <c r="D780">
        <v>71</v>
      </c>
      <c r="E780" t="s">
        <v>579</v>
      </c>
      <c r="F780" t="s">
        <v>758</v>
      </c>
      <c r="G780" s="9">
        <v>44650</v>
      </c>
    </row>
    <row r="781" spans="1:7" ht="15.75" customHeight="1">
      <c r="A781" s="8">
        <f t="shared" si="3"/>
        <v>644000</v>
      </c>
      <c r="B781" s="8"/>
      <c r="C781" s="8">
        <v>644000</v>
      </c>
    </row>
    <row r="782" spans="1:7" ht="15.75" customHeight="1">
      <c r="A782" s="8">
        <f t="shared" si="3"/>
        <v>644000</v>
      </c>
      <c r="B782" s="8"/>
      <c r="C782" s="8">
        <v>644000</v>
      </c>
      <c r="E782">
        <v>1330205</v>
      </c>
      <c r="F782" t="s">
        <v>143</v>
      </c>
      <c r="G782" t="s">
        <v>581</v>
      </c>
    </row>
    <row r="783" spans="1:7" ht="15.75" customHeight="1">
      <c r="A783" s="8">
        <f t="shared" si="3"/>
        <v>672750</v>
      </c>
      <c r="B783" s="8"/>
      <c r="C783" s="8">
        <v>672750</v>
      </c>
      <c r="E783">
        <v>13302</v>
      </c>
      <c r="F783" t="s">
        <v>144</v>
      </c>
      <c r="G783" t="s">
        <v>581</v>
      </c>
    </row>
    <row r="784" spans="1:7" ht="15.75" customHeight="1">
      <c r="A784" s="8">
        <f t="shared" si="3"/>
        <v>0</v>
      </c>
      <c r="B784" s="8"/>
      <c r="C784" s="8"/>
      <c r="D784" t="s">
        <v>145</v>
      </c>
      <c r="G784">
        <v>1330302</v>
      </c>
    </row>
    <row r="785" spans="1:7" ht="15.75" customHeight="1">
      <c r="A785" s="8">
        <f t="shared" si="3"/>
        <v>0</v>
      </c>
      <c r="B785" s="8"/>
      <c r="C785" s="8"/>
      <c r="F785" t="s">
        <v>638</v>
      </c>
      <c r="G785">
        <v>6121000</v>
      </c>
    </row>
    <row r="786" spans="1:7" ht="15.75" customHeight="1">
      <c r="A786" s="8">
        <f t="shared" si="3"/>
        <v>69000</v>
      </c>
      <c r="B786" s="8"/>
      <c r="C786" s="8">
        <v>69000</v>
      </c>
      <c r="D786">
        <v>136</v>
      </c>
      <c r="E786" t="s">
        <v>587</v>
      </c>
      <c r="F786" t="s">
        <v>759</v>
      </c>
      <c r="G786" s="9">
        <v>44694</v>
      </c>
    </row>
    <row r="787" spans="1:7" ht="15.75" customHeight="1">
      <c r="A787" s="8">
        <f t="shared" si="3"/>
        <v>69000</v>
      </c>
      <c r="B787" s="8"/>
      <c r="C787" s="8">
        <v>69000</v>
      </c>
    </row>
    <row r="788" spans="1:7" ht="15.75" customHeight="1">
      <c r="A788" s="8">
        <f t="shared" si="3"/>
        <v>69000</v>
      </c>
      <c r="B788" s="8"/>
      <c r="C788" s="8">
        <v>69000</v>
      </c>
      <c r="E788">
        <v>1330302</v>
      </c>
      <c r="F788" t="s">
        <v>145</v>
      </c>
      <c r="G788" t="s">
        <v>581</v>
      </c>
    </row>
    <row r="789" spans="1:7" ht="15.75" customHeight="1">
      <c r="A789" s="8">
        <f t="shared" si="3"/>
        <v>0</v>
      </c>
      <c r="B789" s="8"/>
      <c r="C789" s="8"/>
      <c r="D789" t="s">
        <v>146</v>
      </c>
      <c r="G789">
        <v>1330305</v>
      </c>
    </row>
    <row r="790" spans="1:7" ht="15.75" customHeight="1">
      <c r="A790" s="8">
        <f t="shared" si="3"/>
        <v>0</v>
      </c>
      <c r="B790" s="8"/>
      <c r="C790" s="8"/>
      <c r="F790" t="s">
        <v>582</v>
      </c>
      <c r="G790">
        <v>63240000</v>
      </c>
    </row>
    <row r="791" spans="1:7" ht="15.75" customHeight="1">
      <c r="A791" s="8">
        <f t="shared" si="3"/>
        <v>110687</v>
      </c>
      <c r="B791" s="8"/>
      <c r="C791" s="8">
        <v>110687</v>
      </c>
      <c r="D791">
        <v>67</v>
      </c>
      <c r="E791" t="s">
        <v>579</v>
      </c>
      <c r="F791" t="s">
        <v>760</v>
      </c>
      <c r="G791" s="9">
        <v>44650</v>
      </c>
    </row>
    <row r="792" spans="1:7" ht="15.75" customHeight="1">
      <c r="A792" s="8">
        <f t="shared" si="3"/>
        <v>110687</v>
      </c>
      <c r="B792" s="8"/>
      <c r="C792" s="8">
        <v>110687</v>
      </c>
    </row>
    <row r="793" spans="1:7" ht="15.75" customHeight="1">
      <c r="A793" s="8">
        <f t="shared" si="3"/>
        <v>110687</v>
      </c>
      <c r="B793" s="8"/>
      <c r="C793" s="8">
        <v>110687</v>
      </c>
      <c r="E793">
        <v>1330305</v>
      </c>
      <c r="F793" t="s">
        <v>146</v>
      </c>
      <c r="G793" t="s">
        <v>581</v>
      </c>
    </row>
    <row r="794" spans="1:7" ht="15.75" customHeight="1">
      <c r="A794" s="8">
        <f t="shared" si="3"/>
        <v>0</v>
      </c>
      <c r="B794" s="8"/>
      <c r="C794" s="8"/>
      <c r="D794" t="s">
        <v>147</v>
      </c>
      <c r="G794">
        <v>1330402</v>
      </c>
    </row>
    <row r="795" spans="1:7" ht="15.75" customHeight="1">
      <c r="A795" s="8">
        <f t="shared" si="3"/>
        <v>0</v>
      </c>
      <c r="B795" s="8"/>
      <c r="C795" s="8"/>
      <c r="F795" t="s">
        <v>638</v>
      </c>
      <c r="G795">
        <v>6121000</v>
      </c>
    </row>
    <row r="796" spans="1:7" ht="15.75" customHeight="1">
      <c r="A796" s="8">
        <f t="shared" si="3"/>
        <v>17250</v>
      </c>
      <c r="B796" s="8"/>
      <c r="C796" s="8">
        <v>17250</v>
      </c>
      <c r="D796">
        <v>19</v>
      </c>
      <c r="E796" t="s">
        <v>587</v>
      </c>
      <c r="F796" t="s">
        <v>761</v>
      </c>
      <c r="G796" s="9">
        <v>44628</v>
      </c>
    </row>
    <row r="797" spans="1:7" ht="15.75" customHeight="1">
      <c r="A797" s="8">
        <f t="shared" si="3"/>
        <v>28750</v>
      </c>
      <c r="B797" s="8"/>
      <c r="C797" s="8">
        <v>28750</v>
      </c>
      <c r="D797">
        <v>244</v>
      </c>
      <c r="E797" t="s">
        <v>587</v>
      </c>
      <c r="F797" t="s">
        <v>752</v>
      </c>
      <c r="G797" s="9">
        <v>44742</v>
      </c>
    </row>
    <row r="798" spans="1:7" ht="15.75" customHeight="1">
      <c r="A798" s="8">
        <f t="shared" si="3"/>
        <v>51750</v>
      </c>
      <c r="B798" s="8"/>
      <c r="C798" s="8">
        <v>51750</v>
      </c>
      <c r="D798">
        <v>260</v>
      </c>
      <c r="E798" t="s">
        <v>587</v>
      </c>
      <c r="F798" t="s">
        <v>753</v>
      </c>
      <c r="G798" s="9">
        <v>44746</v>
      </c>
    </row>
    <row r="799" spans="1:7" ht="15.75" customHeight="1">
      <c r="A799" s="8">
        <f t="shared" si="3"/>
        <v>97750</v>
      </c>
      <c r="B799" s="8"/>
      <c r="C799" s="8">
        <v>97750</v>
      </c>
    </row>
    <row r="800" spans="1:7" ht="15.75" customHeight="1">
      <c r="A800" s="8">
        <f t="shared" si="3"/>
        <v>97750</v>
      </c>
      <c r="B800" s="8"/>
      <c r="C800" s="8">
        <v>97750</v>
      </c>
      <c r="E800">
        <v>1330402</v>
      </c>
      <c r="F800" t="s">
        <v>147</v>
      </c>
      <c r="G800" t="s">
        <v>581</v>
      </c>
    </row>
    <row r="801" spans="1:7" ht="15.75" customHeight="1">
      <c r="A801" s="8">
        <f t="shared" si="3"/>
        <v>0</v>
      </c>
      <c r="B801" s="8"/>
      <c r="C801" s="8"/>
      <c r="D801" t="s">
        <v>148</v>
      </c>
      <c r="G801">
        <v>1330502</v>
      </c>
    </row>
    <row r="802" spans="1:7" ht="15.75" customHeight="1">
      <c r="A802" s="8">
        <f t="shared" si="3"/>
        <v>0</v>
      </c>
      <c r="B802" s="8"/>
      <c r="C802" s="8"/>
      <c r="F802" t="s">
        <v>638</v>
      </c>
      <c r="G802">
        <v>6121000</v>
      </c>
    </row>
    <row r="803" spans="1:7" ht="15.75" customHeight="1">
      <c r="A803" s="8">
        <f t="shared" si="3"/>
        <v>43125</v>
      </c>
      <c r="B803" s="8"/>
      <c r="C803" s="8">
        <v>43125</v>
      </c>
      <c r="D803">
        <v>164</v>
      </c>
      <c r="E803" t="s">
        <v>587</v>
      </c>
      <c r="F803" t="s">
        <v>762</v>
      </c>
      <c r="G803" s="9">
        <v>44714</v>
      </c>
    </row>
    <row r="804" spans="1:7" ht="15.75" customHeight="1">
      <c r="A804" s="8">
        <f t="shared" si="3"/>
        <v>43125</v>
      </c>
      <c r="B804" s="8"/>
      <c r="C804" s="8">
        <v>43125</v>
      </c>
    </row>
    <row r="805" spans="1:7" ht="15.75" customHeight="1">
      <c r="A805" s="8">
        <f t="shared" si="3"/>
        <v>43125</v>
      </c>
      <c r="B805" s="8"/>
      <c r="C805" s="8">
        <v>43125</v>
      </c>
      <c r="E805">
        <v>1330502</v>
      </c>
      <c r="F805" t="s">
        <v>148</v>
      </c>
      <c r="G805" t="s">
        <v>581</v>
      </c>
    </row>
    <row r="806" spans="1:7" ht="15.75" customHeight="1">
      <c r="A806" s="8">
        <f t="shared" si="3"/>
        <v>0</v>
      </c>
      <c r="B806" s="8"/>
      <c r="C806" s="8"/>
      <c r="D806" t="s">
        <v>149</v>
      </c>
      <c r="G806">
        <v>1330601</v>
      </c>
    </row>
    <row r="807" spans="1:7" ht="15.75" customHeight="1">
      <c r="A807" s="8">
        <f t="shared" si="3"/>
        <v>0</v>
      </c>
      <c r="B807" s="8"/>
      <c r="C807" s="8"/>
      <c r="F807" t="s">
        <v>578</v>
      </c>
      <c r="G807">
        <v>63841000</v>
      </c>
    </row>
    <row r="808" spans="1:7" ht="15.75" customHeight="1">
      <c r="A808" s="8">
        <f t="shared" si="3"/>
        <v>139668</v>
      </c>
      <c r="B808" s="8"/>
      <c r="C808" s="8">
        <v>139668</v>
      </c>
      <c r="D808">
        <v>16</v>
      </c>
      <c r="E808" t="s">
        <v>587</v>
      </c>
      <c r="F808" t="s">
        <v>763</v>
      </c>
      <c r="G808" s="9">
        <v>44580</v>
      </c>
    </row>
    <row r="809" spans="1:7" ht="15.75" customHeight="1">
      <c r="A809" s="8">
        <f t="shared" si="3"/>
        <v>139668</v>
      </c>
      <c r="B809" s="8"/>
      <c r="C809" s="8">
        <v>139668</v>
      </c>
    </row>
    <row r="810" spans="1:7" ht="15.75" customHeight="1">
      <c r="A810" s="8">
        <f t="shared" si="3"/>
        <v>139668</v>
      </c>
      <c r="B810" s="8"/>
      <c r="C810" s="8">
        <v>139668</v>
      </c>
      <c r="E810">
        <v>1330601</v>
      </c>
      <c r="F810" t="s">
        <v>149</v>
      </c>
      <c r="G810" t="s">
        <v>581</v>
      </c>
    </row>
    <row r="811" spans="1:7" ht="15.75" customHeight="1">
      <c r="A811" s="8">
        <f t="shared" si="3"/>
        <v>0</v>
      </c>
      <c r="B811" s="8"/>
      <c r="C811" s="8"/>
      <c r="D811" t="s">
        <v>150</v>
      </c>
      <c r="G811">
        <v>1330602</v>
      </c>
    </row>
    <row r="812" spans="1:7" ht="15.75" customHeight="1">
      <c r="A812" s="8">
        <f t="shared" si="3"/>
        <v>0</v>
      </c>
      <c r="B812" s="8"/>
      <c r="C812" s="8"/>
      <c r="F812" t="s">
        <v>638</v>
      </c>
      <c r="G812">
        <v>6121000</v>
      </c>
    </row>
    <row r="813" spans="1:7" ht="15.75" customHeight="1">
      <c r="A813" s="8">
        <f t="shared" si="3"/>
        <v>5750</v>
      </c>
      <c r="B813" s="8"/>
      <c r="C813" s="8">
        <v>5750</v>
      </c>
      <c r="D813">
        <v>16</v>
      </c>
      <c r="E813" t="s">
        <v>587</v>
      </c>
      <c r="F813" t="s">
        <v>763</v>
      </c>
      <c r="G813" s="9">
        <v>44580</v>
      </c>
    </row>
    <row r="814" spans="1:7" ht="15.75" customHeight="1">
      <c r="A814" s="8">
        <f t="shared" si="3"/>
        <v>5750</v>
      </c>
      <c r="B814" s="8"/>
      <c r="C814" s="8">
        <v>5750</v>
      </c>
    </row>
    <row r="815" spans="1:7" ht="15.75" customHeight="1">
      <c r="A815" s="8">
        <f t="shared" si="3"/>
        <v>5750</v>
      </c>
      <c r="B815" s="8"/>
      <c r="C815" s="8">
        <v>5750</v>
      </c>
      <c r="E815">
        <v>1330602</v>
      </c>
      <c r="F815" t="s">
        <v>150</v>
      </c>
      <c r="G815" t="s">
        <v>581</v>
      </c>
    </row>
    <row r="816" spans="1:7" ht="15.75" customHeight="1">
      <c r="A816" s="8">
        <f t="shared" si="3"/>
        <v>0</v>
      </c>
      <c r="B816" s="8"/>
      <c r="C816" s="8"/>
      <c r="D816" t="s">
        <v>151</v>
      </c>
      <c r="G816">
        <v>1330621</v>
      </c>
    </row>
    <row r="817" spans="1:7" ht="15.75" customHeight="1">
      <c r="A817" s="8">
        <f t="shared" si="3"/>
        <v>0</v>
      </c>
      <c r="B817" s="8"/>
      <c r="C817" s="8"/>
      <c r="F817" t="s">
        <v>584</v>
      </c>
      <c r="G817">
        <v>70612000</v>
      </c>
    </row>
    <row r="818" spans="1:7" ht="15.75" customHeight="1">
      <c r="A818" s="8">
        <f t="shared" si="3"/>
        <v>-1126276</v>
      </c>
      <c r="B818" s="8">
        <v>1126276</v>
      </c>
      <c r="C818" s="8"/>
      <c r="D818">
        <v>4</v>
      </c>
      <c r="E818" t="s">
        <v>585</v>
      </c>
      <c r="F818" t="s">
        <v>764</v>
      </c>
      <c r="G818" s="9">
        <v>44578</v>
      </c>
    </row>
    <row r="819" spans="1:7" ht="15.75" customHeight="1">
      <c r="A819" s="8">
        <f t="shared" si="3"/>
        <v>-1126276</v>
      </c>
      <c r="B819" s="8">
        <v>1126276</v>
      </c>
      <c r="C819" s="8"/>
    </row>
    <row r="820" spans="1:7" ht="15.75" customHeight="1">
      <c r="A820" s="8">
        <f t="shared" si="3"/>
        <v>-1126276</v>
      </c>
      <c r="B820" s="8">
        <v>1126276</v>
      </c>
      <c r="C820" s="8"/>
      <c r="E820">
        <v>1330621</v>
      </c>
      <c r="F820" t="s">
        <v>151</v>
      </c>
      <c r="G820" t="s">
        <v>581</v>
      </c>
    </row>
    <row r="821" spans="1:7" ht="15.75" customHeight="1">
      <c r="A821" s="8">
        <f t="shared" si="3"/>
        <v>0</v>
      </c>
      <c r="B821" s="8"/>
      <c r="C821" s="8"/>
      <c r="D821" t="s">
        <v>152</v>
      </c>
      <c r="G821">
        <v>1330701</v>
      </c>
    </row>
    <row r="822" spans="1:7" ht="15.75" customHeight="1">
      <c r="A822" s="8">
        <f t="shared" si="3"/>
        <v>0</v>
      </c>
      <c r="B822" s="8"/>
      <c r="C822" s="8"/>
      <c r="F822" t="s">
        <v>578</v>
      </c>
      <c r="G822">
        <v>63841000</v>
      </c>
    </row>
    <row r="823" spans="1:7" ht="15.75" customHeight="1">
      <c r="A823" s="8">
        <f t="shared" si="3"/>
        <v>453215</v>
      </c>
      <c r="B823" s="8"/>
      <c r="C823" s="8">
        <v>453215</v>
      </c>
      <c r="D823">
        <v>84</v>
      </c>
      <c r="E823" t="s">
        <v>594</v>
      </c>
      <c r="F823" t="s">
        <v>765</v>
      </c>
      <c r="G823" s="9">
        <v>44784</v>
      </c>
    </row>
    <row r="824" spans="1:7" ht="15.75" customHeight="1">
      <c r="A824" s="8">
        <f t="shared" si="3"/>
        <v>453215</v>
      </c>
      <c r="B824" s="8"/>
      <c r="C824" s="8">
        <v>453215</v>
      </c>
    </row>
    <row r="825" spans="1:7" ht="15.75" customHeight="1">
      <c r="A825" s="8">
        <f t="shared" si="3"/>
        <v>453215</v>
      </c>
      <c r="B825" s="8"/>
      <c r="C825" s="8">
        <v>453215</v>
      </c>
      <c r="E825">
        <v>1330701</v>
      </c>
      <c r="F825" t="s">
        <v>152</v>
      </c>
      <c r="G825" t="s">
        <v>581</v>
      </c>
    </row>
    <row r="826" spans="1:7" ht="15.75" customHeight="1">
      <c r="A826" s="8">
        <f t="shared" si="3"/>
        <v>0</v>
      </c>
      <c r="B826" s="8"/>
      <c r="C826" s="8"/>
      <c r="D826" t="s">
        <v>153</v>
      </c>
      <c r="G826">
        <v>1330702</v>
      </c>
    </row>
    <row r="827" spans="1:7" ht="15.75" customHeight="1">
      <c r="A827" s="8">
        <f t="shared" si="3"/>
        <v>0</v>
      </c>
      <c r="B827" s="8"/>
      <c r="C827" s="8"/>
      <c r="F827" t="s">
        <v>638</v>
      </c>
      <c r="G827">
        <v>6121000</v>
      </c>
    </row>
    <row r="828" spans="1:7" ht="15.75" customHeight="1">
      <c r="A828" s="8">
        <f t="shared" si="3"/>
        <v>43125</v>
      </c>
      <c r="B828" s="8"/>
      <c r="C828" s="8">
        <v>43125</v>
      </c>
      <c r="D828">
        <v>164</v>
      </c>
      <c r="E828" t="s">
        <v>587</v>
      </c>
      <c r="F828" t="s">
        <v>762</v>
      </c>
      <c r="G828" s="9">
        <v>44714</v>
      </c>
    </row>
    <row r="829" spans="1:7" ht="15.75" customHeight="1">
      <c r="A829" s="8">
        <f t="shared" si="3"/>
        <v>25875</v>
      </c>
      <c r="B829" s="8"/>
      <c r="C829" s="8">
        <v>25875</v>
      </c>
      <c r="D829">
        <v>349</v>
      </c>
      <c r="E829" t="s">
        <v>587</v>
      </c>
      <c r="F829" t="s">
        <v>766</v>
      </c>
      <c r="G829" s="9">
        <v>44785</v>
      </c>
    </row>
    <row r="830" spans="1:7" ht="15.75" customHeight="1">
      <c r="A830" s="8">
        <f t="shared" si="3"/>
        <v>25875</v>
      </c>
      <c r="B830" s="8"/>
      <c r="C830" s="8">
        <v>25875</v>
      </c>
      <c r="D830">
        <v>348</v>
      </c>
      <c r="E830" t="s">
        <v>587</v>
      </c>
      <c r="F830" t="s">
        <v>767</v>
      </c>
      <c r="G830" s="9">
        <v>44785</v>
      </c>
    </row>
    <row r="831" spans="1:7" ht="15.75" customHeight="1">
      <c r="A831" s="8">
        <f t="shared" si="3"/>
        <v>94875</v>
      </c>
      <c r="B831" s="8"/>
      <c r="C831" s="8">
        <v>94875</v>
      </c>
    </row>
    <row r="832" spans="1:7" ht="15.75" customHeight="1">
      <c r="A832" s="8">
        <f t="shared" si="3"/>
        <v>94875</v>
      </c>
      <c r="B832" s="8"/>
      <c r="C832" s="8">
        <v>94875</v>
      </c>
      <c r="E832">
        <v>1330702</v>
      </c>
      <c r="F832" t="s">
        <v>153</v>
      </c>
      <c r="G832" t="s">
        <v>581</v>
      </c>
    </row>
    <row r="833" spans="1:7" ht="15.75" customHeight="1">
      <c r="A833" s="8">
        <f t="shared" si="3"/>
        <v>0</v>
      </c>
      <c r="B833" s="8"/>
      <c r="C833" s="8"/>
      <c r="D833" t="s">
        <v>154</v>
      </c>
      <c r="G833">
        <v>1330705</v>
      </c>
    </row>
    <row r="834" spans="1:7" ht="15.75" customHeight="1">
      <c r="A834" s="8">
        <f t="shared" si="3"/>
        <v>0</v>
      </c>
      <c r="B834" s="8"/>
      <c r="C834" s="8"/>
      <c r="F834" t="s">
        <v>582</v>
      </c>
      <c r="G834">
        <v>63240000</v>
      </c>
    </row>
    <row r="835" spans="1:7" ht="15.75" customHeight="1">
      <c r="A835" s="8">
        <f t="shared" si="3"/>
        <v>191187</v>
      </c>
      <c r="B835" s="8"/>
      <c r="C835" s="8">
        <v>191187</v>
      </c>
      <c r="D835">
        <v>68</v>
      </c>
      <c r="E835" t="s">
        <v>579</v>
      </c>
      <c r="F835" t="s">
        <v>768</v>
      </c>
      <c r="G835" s="9">
        <v>44650</v>
      </c>
    </row>
    <row r="836" spans="1:7" ht="15.75" customHeight="1">
      <c r="A836" s="8">
        <f t="shared" si="3"/>
        <v>271688</v>
      </c>
      <c r="B836" s="8"/>
      <c r="C836" s="8">
        <v>271688</v>
      </c>
      <c r="D836">
        <v>70</v>
      </c>
      <c r="E836" t="s">
        <v>579</v>
      </c>
      <c r="F836" t="s">
        <v>757</v>
      </c>
      <c r="G836" s="9">
        <v>44650</v>
      </c>
    </row>
    <row r="837" spans="1:7" ht="15.75" customHeight="1">
      <c r="A837" s="8">
        <f t="shared" si="3"/>
        <v>462875</v>
      </c>
      <c r="B837" s="8"/>
      <c r="C837" s="8">
        <v>462875</v>
      </c>
    </row>
    <row r="838" spans="1:7" ht="15.75" customHeight="1">
      <c r="A838" s="8">
        <f t="shared" si="3"/>
        <v>462875</v>
      </c>
      <c r="B838" s="8"/>
      <c r="C838" s="8">
        <v>462875</v>
      </c>
      <c r="E838">
        <v>1330705</v>
      </c>
      <c r="F838" t="s">
        <v>154</v>
      </c>
      <c r="G838" t="s">
        <v>581</v>
      </c>
    </row>
    <row r="839" spans="1:7" ht="15.75" customHeight="1">
      <c r="A839" s="8">
        <f t="shared" si="3"/>
        <v>0</v>
      </c>
      <c r="B839" s="8"/>
      <c r="C839" s="8"/>
      <c r="D839" t="s">
        <v>155</v>
      </c>
      <c r="G839">
        <v>1330721</v>
      </c>
    </row>
    <row r="840" spans="1:7" ht="15.75" customHeight="1">
      <c r="A840" s="8">
        <f t="shared" si="3"/>
        <v>0</v>
      </c>
      <c r="B840" s="8"/>
      <c r="C840" s="8"/>
      <c r="F840" t="s">
        <v>584</v>
      </c>
      <c r="G840">
        <v>70612000</v>
      </c>
    </row>
    <row r="841" spans="1:7" ht="15.75" customHeight="1">
      <c r="A841" s="8">
        <f t="shared" si="3"/>
        <v>-4286510</v>
      </c>
      <c r="B841" s="8">
        <v>4286510</v>
      </c>
      <c r="C841" s="8"/>
      <c r="D841">
        <v>142</v>
      </c>
      <c r="E841" t="s">
        <v>585</v>
      </c>
      <c r="F841" t="s">
        <v>769</v>
      </c>
      <c r="G841" s="9">
        <v>44782</v>
      </c>
    </row>
    <row r="842" spans="1:7" ht="15.75" customHeight="1">
      <c r="A842" s="8">
        <f t="shared" si="3"/>
        <v>-4286510</v>
      </c>
      <c r="B842" s="8">
        <v>4286510</v>
      </c>
      <c r="C842" s="8"/>
    </row>
    <row r="843" spans="1:7" ht="15.75" customHeight="1">
      <c r="A843" s="8">
        <f t="shared" si="3"/>
        <v>-4286510</v>
      </c>
      <c r="B843" s="8">
        <v>4286510</v>
      </c>
      <c r="C843" s="8"/>
      <c r="E843">
        <v>1330721</v>
      </c>
      <c r="F843" t="s">
        <v>155</v>
      </c>
      <c r="G843" t="s">
        <v>581</v>
      </c>
    </row>
    <row r="844" spans="1:7" ht="15.75" customHeight="1">
      <c r="A844" s="8">
        <f t="shared" si="3"/>
        <v>0</v>
      </c>
      <c r="B844" s="8"/>
      <c r="C844" s="8"/>
      <c r="D844" t="s">
        <v>156</v>
      </c>
      <c r="G844">
        <v>1330801</v>
      </c>
    </row>
    <row r="845" spans="1:7" ht="15.75" customHeight="1">
      <c r="A845" s="8">
        <f t="shared" si="3"/>
        <v>0</v>
      </c>
      <c r="B845" s="8"/>
      <c r="C845" s="8"/>
      <c r="F845" t="s">
        <v>578</v>
      </c>
      <c r="G845">
        <v>63841000</v>
      </c>
    </row>
    <row r="846" spans="1:7" ht="15.75" customHeight="1">
      <c r="A846" s="8">
        <f t="shared" si="3"/>
        <v>662285</v>
      </c>
      <c r="B846" s="8"/>
      <c r="C846" s="8">
        <v>662285</v>
      </c>
      <c r="D846">
        <v>83</v>
      </c>
      <c r="E846" t="s">
        <v>594</v>
      </c>
      <c r="F846" t="s">
        <v>770</v>
      </c>
      <c r="G846" s="9">
        <v>44784</v>
      </c>
    </row>
    <row r="847" spans="1:7" ht="15.75" customHeight="1">
      <c r="A847" s="8">
        <f t="shared" si="3"/>
        <v>152490</v>
      </c>
      <c r="B847" s="8"/>
      <c r="C847" s="8">
        <v>152490</v>
      </c>
      <c r="D847">
        <v>85</v>
      </c>
      <c r="E847" t="s">
        <v>594</v>
      </c>
      <c r="F847" t="s">
        <v>771</v>
      </c>
      <c r="G847" s="9">
        <v>44784</v>
      </c>
    </row>
    <row r="848" spans="1:7" ht="15.75" customHeight="1">
      <c r="A848" s="8">
        <f t="shared" si="3"/>
        <v>814775</v>
      </c>
      <c r="B848" s="8"/>
      <c r="C848" s="8">
        <v>814775</v>
      </c>
    </row>
    <row r="849" spans="1:7" ht="15.75" customHeight="1">
      <c r="A849" s="8">
        <f t="shared" si="3"/>
        <v>814775</v>
      </c>
      <c r="B849" s="8"/>
      <c r="C849" s="8">
        <v>814775</v>
      </c>
      <c r="E849">
        <v>1330801</v>
      </c>
      <c r="F849" t="s">
        <v>156</v>
      </c>
      <c r="G849" t="s">
        <v>581</v>
      </c>
    </row>
    <row r="850" spans="1:7" ht="15.75" customHeight="1">
      <c r="A850" s="8">
        <f t="shared" si="3"/>
        <v>0</v>
      </c>
      <c r="B850" s="8"/>
      <c r="C850" s="8"/>
      <c r="D850" t="s">
        <v>157</v>
      </c>
      <c r="G850">
        <v>1330802</v>
      </c>
    </row>
    <row r="851" spans="1:7" ht="15.75" customHeight="1">
      <c r="A851" s="8">
        <f t="shared" si="3"/>
        <v>0</v>
      </c>
      <c r="B851" s="8"/>
      <c r="C851" s="8"/>
      <c r="F851" t="s">
        <v>638</v>
      </c>
      <c r="G851">
        <v>6121000</v>
      </c>
    </row>
    <row r="852" spans="1:7" ht="15.75" customHeight="1">
      <c r="A852" s="8">
        <f t="shared" si="3"/>
        <v>69000</v>
      </c>
      <c r="B852" s="8"/>
      <c r="C852" s="8">
        <v>69000</v>
      </c>
      <c r="D852">
        <v>19</v>
      </c>
      <c r="E852" t="s">
        <v>587</v>
      </c>
      <c r="F852" t="s">
        <v>761</v>
      </c>
      <c r="G852" s="9">
        <v>44628</v>
      </c>
    </row>
    <row r="853" spans="1:7" ht="15.75" customHeight="1">
      <c r="A853" s="8">
        <f t="shared" si="3"/>
        <v>86250</v>
      </c>
      <c r="B853" s="8"/>
      <c r="C853" s="8">
        <v>86250</v>
      </c>
      <c r="D853">
        <v>350</v>
      </c>
      <c r="E853" t="s">
        <v>587</v>
      </c>
      <c r="F853" t="s">
        <v>772</v>
      </c>
      <c r="G853" s="9">
        <v>44785</v>
      </c>
    </row>
    <row r="854" spans="1:7" ht="15.75" customHeight="1">
      <c r="A854" s="8">
        <f t="shared" si="3"/>
        <v>86250</v>
      </c>
      <c r="B854" s="8"/>
      <c r="C854" s="8">
        <v>86250</v>
      </c>
      <c r="D854">
        <v>351</v>
      </c>
      <c r="E854" t="s">
        <v>587</v>
      </c>
      <c r="F854" t="s">
        <v>773</v>
      </c>
      <c r="G854" s="9">
        <v>44785</v>
      </c>
    </row>
    <row r="855" spans="1:7" ht="15.75" customHeight="1">
      <c r="A855" s="8">
        <f t="shared" si="3"/>
        <v>241500</v>
      </c>
      <c r="B855" s="8"/>
      <c r="C855" s="8">
        <v>241500</v>
      </c>
    </row>
    <row r="856" spans="1:7" ht="15.75" customHeight="1">
      <c r="A856" s="8">
        <f t="shared" si="3"/>
        <v>241500</v>
      </c>
      <c r="B856" s="8"/>
      <c r="C856" s="8">
        <v>241500</v>
      </c>
      <c r="E856">
        <v>1330802</v>
      </c>
      <c r="F856" t="s">
        <v>157</v>
      </c>
      <c r="G856" t="s">
        <v>581</v>
      </c>
    </row>
    <row r="857" spans="1:7" ht="15.75" customHeight="1">
      <c r="A857" s="8">
        <f t="shared" si="3"/>
        <v>0</v>
      </c>
      <c r="B857" s="8"/>
      <c r="C857" s="8"/>
      <c r="D857" t="s">
        <v>158</v>
      </c>
      <c r="G857">
        <v>1330805</v>
      </c>
    </row>
    <row r="858" spans="1:7" ht="15.75" customHeight="1">
      <c r="A858" s="8">
        <f t="shared" si="3"/>
        <v>0</v>
      </c>
      <c r="B858" s="8"/>
      <c r="C858" s="8"/>
      <c r="F858" t="s">
        <v>582</v>
      </c>
      <c r="G858">
        <v>63240000</v>
      </c>
    </row>
    <row r="859" spans="1:7" ht="15.75" customHeight="1">
      <c r="A859" s="8">
        <f t="shared" si="3"/>
        <v>241500</v>
      </c>
      <c r="B859" s="8"/>
      <c r="C859" s="8">
        <v>241500</v>
      </c>
      <c r="D859">
        <v>375</v>
      </c>
      <c r="E859" t="s">
        <v>579</v>
      </c>
      <c r="F859" t="s">
        <v>774</v>
      </c>
      <c r="G859" s="9">
        <v>44889</v>
      </c>
    </row>
    <row r="860" spans="1:7" ht="15.75" customHeight="1">
      <c r="A860" s="8">
        <f t="shared" si="3"/>
        <v>336375</v>
      </c>
      <c r="B860" s="8"/>
      <c r="C860" s="8">
        <v>336375</v>
      </c>
      <c r="D860">
        <v>378</v>
      </c>
      <c r="E860" t="s">
        <v>579</v>
      </c>
      <c r="F860" t="s">
        <v>775</v>
      </c>
      <c r="G860" s="9">
        <v>44889</v>
      </c>
    </row>
    <row r="861" spans="1:7" ht="15.75" customHeight="1">
      <c r="A861" s="8">
        <f t="shared" si="3"/>
        <v>577875</v>
      </c>
      <c r="B861" s="8"/>
      <c r="C861" s="8">
        <v>577875</v>
      </c>
    </row>
    <row r="862" spans="1:7" ht="15.75" customHeight="1">
      <c r="A862" s="8">
        <f t="shared" si="3"/>
        <v>577875</v>
      </c>
      <c r="B862" s="8"/>
      <c r="C862" s="8">
        <v>577875</v>
      </c>
      <c r="E862">
        <v>1330805</v>
      </c>
      <c r="F862" t="s">
        <v>158</v>
      </c>
      <c r="G862" t="s">
        <v>581</v>
      </c>
    </row>
    <row r="863" spans="1:7" ht="15.75" customHeight="1">
      <c r="A863" s="8">
        <f t="shared" si="3"/>
        <v>0</v>
      </c>
      <c r="B863" s="8"/>
      <c r="C863" s="8"/>
      <c r="D863" t="s">
        <v>159</v>
      </c>
      <c r="G863">
        <v>1330821</v>
      </c>
    </row>
    <row r="864" spans="1:7" ht="15.75" customHeight="1">
      <c r="A864" s="8">
        <f t="shared" si="3"/>
        <v>0</v>
      </c>
      <c r="B864" s="8"/>
      <c r="C864" s="8"/>
      <c r="F864" t="s">
        <v>584</v>
      </c>
      <c r="G864">
        <v>70612000</v>
      </c>
    </row>
    <row r="865" spans="1:7" ht="15.75" customHeight="1">
      <c r="A865" s="8">
        <f t="shared" si="3"/>
        <v>-5626473</v>
      </c>
      <c r="B865" s="8">
        <v>5626473</v>
      </c>
      <c r="C865" s="8"/>
      <c r="D865">
        <v>141</v>
      </c>
      <c r="E865" t="s">
        <v>585</v>
      </c>
      <c r="F865" t="s">
        <v>776</v>
      </c>
      <c r="G865" s="9">
        <v>44782</v>
      </c>
    </row>
    <row r="866" spans="1:7" ht="15.75" customHeight="1">
      <c r="A866" s="8">
        <f t="shared" si="3"/>
        <v>-5626473</v>
      </c>
      <c r="B866" s="8">
        <v>5626473</v>
      </c>
      <c r="C866" s="8"/>
    </row>
    <row r="867" spans="1:7" ht="15.75" customHeight="1">
      <c r="A867" s="8">
        <f t="shared" si="3"/>
        <v>-5626473</v>
      </c>
      <c r="B867" s="8">
        <v>5626473</v>
      </c>
      <c r="C867" s="8"/>
      <c r="E867">
        <v>1330821</v>
      </c>
      <c r="F867" t="s">
        <v>159</v>
      </c>
      <c r="G867" t="s">
        <v>581</v>
      </c>
    </row>
    <row r="868" spans="1:7" ht="15.75" customHeight="1">
      <c r="A868" s="8">
        <f t="shared" si="3"/>
        <v>0</v>
      </c>
      <c r="B868" s="8"/>
      <c r="C868" s="8"/>
      <c r="D868" t="s">
        <v>160</v>
      </c>
      <c r="G868">
        <v>1330901</v>
      </c>
    </row>
    <row r="869" spans="1:7" ht="15.75" customHeight="1">
      <c r="A869" s="8">
        <f t="shared" si="3"/>
        <v>0</v>
      </c>
      <c r="B869" s="8"/>
      <c r="C869" s="8"/>
      <c r="F869" t="s">
        <v>578</v>
      </c>
      <c r="G869">
        <v>63841000</v>
      </c>
    </row>
    <row r="870" spans="1:7" ht="15.75" customHeight="1">
      <c r="A870" s="8">
        <f t="shared" si="3"/>
        <v>244145</v>
      </c>
      <c r="B870" s="8"/>
      <c r="C870" s="8">
        <v>244145</v>
      </c>
      <c r="D870">
        <v>43</v>
      </c>
      <c r="E870" t="s">
        <v>579</v>
      </c>
      <c r="F870" t="s">
        <v>777</v>
      </c>
      <c r="G870" s="9">
        <v>44628</v>
      </c>
    </row>
    <row r="871" spans="1:7" ht="15.75" customHeight="1">
      <c r="A871" s="8">
        <f t="shared" si="3"/>
        <v>244145</v>
      </c>
      <c r="B871" s="8"/>
      <c r="C871" s="8">
        <v>244145</v>
      </c>
    </row>
    <row r="872" spans="1:7" ht="15.75" customHeight="1">
      <c r="A872" s="8">
        <f t="shared" si="3"/>
        <v>244145</v>
      </c>
      <c r="B872" s="8"/>
      <c r="C872" s="8">
        <v>244145</v>
      </c>
      <c r="E872">
        <v>1330901</v>
      </c>
      <c r="F872" t="s">
        <v>160</v>
      </c>
      <c r="G872" t="s">
        <v>581</v>
      </c>
    </row>
    <row r="873" spans="1:7" ht="15.75" customHeight="1">
      <c r="A873" s="8">
        <f t="shared" si="3"/>
        <v>0</v>
      </c>
      <c r="B873" s="8"/>
      <c r="C873" s="8"/>
      <c r="D873" t="s">
        <v>161</v>
      </c>
      <c r="G873">
        <v>1330902</v>
      </c>
    </row>
    <row r="874" spans="1:7" ht="15.75" customHeight="1">
      <c r="A874" s="8">
        <f t="shared" si="3"/>
        <v>0</v>
      </c>
      <c r="B874" s="8"/>
      <c r="C874" s="8"/>
      <c r="F874" t="s">
        <v>778</v>
      </c>
      <c r="G874">
        <v>60532000</v>
      </c>
    </row>
    <row r="875" spans="1:7" ht="15.75" customHeight="1">
      <c r="A875" s="8">
        <f t="shared" si="3"/>
        <v>173800</v>
      </c>
      <c r="B875" s="8"/>
      <c r="C875" s="8">
        <v>173800</v>
      </c>
      <c r="D875">
        <v>16</v>
      </c>
      <c r="E875" t="s">
        <v>587</v>
      </c>
      <c r="F875" t="s">
        <v>779</v>
      </c>
      <c r="G875" s="9">
        <v>44624</v>
      </c>
    </row>
    <row r="876" spans="1:7" ht="15.75" customHeight="1">
      <c r="A876" s="8">
        <f t="shared" si="3"/>
        <v>173800</v>
      </c>
      <c r="B876" s="8"/>
      <c r="C876" s="8">
        <v>173800</v>
      </c>
    </row>
    <row r="877" spans="1:7" ht="15.75" customHeight="1">
      <c r="A877" s="8">
        <f t="shared" si="3"/>
        <v>0</v>
      </c>
      <c r="B877" s="8"/>
      <c r="C877" s="8"/>
      <c r="F877" t="s">
        <v>638</v>
      </c>
      <c r="G877">
        <v>6121000</v>
      </c>
    </row>
    <row r="878" spans="1:7" ht="15.75" customHeight="1">
      <c r="A878" s="8">
        <f t="shared" si="3"/>
        <v>34500</v>
      </c>
      <c r="B878" s="8"/>
      <c r="C878" s="8">
        <v>34500</v>
      </c>
      <c r="D878">
        <v>20</v>
      </c>
      <c r="E878" t="s">
        <v>587</v>
      </c>
      <c r="F878" t="s">
        <v>780</v>
      </c>
      <c r="G878" s="9">
        <v>44629</v>
      </c>
    </row>
    <row r="879" spans="1:7" ht="15.75" customHeight="1">
      <c r="A879" s="8">
        <f t="shared" si="3"/>
        <v>34500</v>
      </c>
      <c r="B879" s="8"/>
      <c r="C879" s="8">
        <v>34500</v>
      </c>
      <c r="D879">
        <v>21</v>
      </c>
      <c r="E879" t="s">
        <v>587</v>
      </c>
      <c r="F879" t="s">
        <v>781</v>
      </c>
      <c r="G879" s="9">
        <v>44629</v>
      </c>
    </row>
    <row r="880" spans="1:7" ht="15.75" customHeight="1">
      <c r="A880" s="8">
        <f t="shared" si="3"/>
        <v>69000</v>
      </c>
      <c r="B880" s="8"/>
      <c r="C880" s="8">
        <v>69000</v>
      </c>
    </row>
    <row r="881" spans="1:7" ht="15.75" customHeight="1">
      <c r="A881" s="8">
        <f t="shared" si="3"/>
        <v>242799</v>
      </c>
      <c r="B881" s="8"/>
      <c r="C881" s="8">
        <v>242799</v>
      </c>
      <c r="E881">
        <v>1330902</v>
      </c>
      <c r="F881" t="s">
        <v>161</v>
      </c>
      <c r="G881" t="s">
        <v>581</v>
      </c>
    </row>
    <row r="882" spans="1:7" ht="15.75" customHeight="1">
      <c r="A882" s="8">
        <f t="shared" si="3"/>
        <v>0</v>
      </c>
      <c r="B882" s="8"/>
      <c r="C882" s="8"/>
      <c r="D882" t="s">
        <v>162</v>
      </c>
      <c r="G882">
        <v>1330905</v>
      </c>
    </row>
    <row r="883" spans="1:7" ht="15.75" customHeight="1">
      <c r="A883" s="8">
        <f t="shared" si="3"/>
        <v>0</v>
      </c>
      <c r="B883" s="8"/>
      <c r="C883" s="8"/>
      <c r="F883" t="s">
        <v>582</v>
      </c>
      <c r="G883">
        <v>63240000</v>
      </c>
    </row>
    <row r="884" spans="1:7" ht="15.75" customHeight="1">
      <c r="A884" s="8">
        <f t="shared" si="3"/>
        <v>120750</v>
      </c>
      <c r="B884" s="8"/>
      <c r="C884" s="8">
        <v>120750</v>
      </c>
      <c r="D884">
        <v>211</v>
      </c>
      <c r="E884" t="s">
        <v>579</v>
      </c>
      <c r="F884" t="s">
        <v>782</v>
      </c>
      <c r="G884" s="9">
        <v>44770</v>
      </c>
    </row>
    <row r="885" spans="1:7" ht="15.75" customHeight="1">
      <c r="A885" s="8">
        <f t="shared" si="3"/>
        <v>181125</v>
      </c>
      <c r="B885" s="8"/>
      <c r="C885" s="8">
        <v>181125</v>
      </c>
      <c r="D885">
        <v>212</v>
      </c>
      <c r="E885" t="s">
        <v>579</v>
      </c>
      <c r="F885" t="s">
        <v>783</v>
      </c>
      <c r="G885" s="9">
        <v>44770</v>
      </c>
    </row>
    <row r="886" spans="1:7" ht="15.75" customHeight="1">
      <c r="A886" s="8">
        <f t="shared" si="3"/>
        <v>301875</v>
      </c>
      <c r="B886" s="8"/>
      <c r="C886" s="8">
        <v>301875</v>
      </c>
    </row>
    <row r="887" spans="1:7" ht="15.75" customHeight="1">
      <c r="A887" s="8">
        <f t="shared" si="3"/>
        <v>301875</v>
      </c>
      <c r="B887" s="8"/>
      <c r="C887" s="8">
        <v>301875</v>
      </c>
      <c r="E887">
        <v>1330905</v>
      </c>
      <c r="F887" t="s">
        <v>162</v>
      </c>
      <c r="G887" t="s">
        <v>581</v>
      </c>
    </row>
    <row r="888" spans="1:7" ht="15.75" customHeight="1">
      <c r="A888" s="8">
        <f t="shared" si="3"/>
        <v>0</v>
      </c>
      <c r="B888" s="8"/>
      <c r="C888" s="8"/>
      <c r="D888" t="s">
        <v>163</v>
      </c>
      <c r="G888">
        <v>1330921</v>
      </c>
    </row>
    <row r="889" spans="1:7" ht="15.75" customHeight="1">
      <c r="A889" s="8">
        <f t="shared" si="3"/>
        <v>0</v>
      </c>
      <c r="B889" s="8"/>
      <c r="C889" s="8"/>
      <c r="F889" t="s">
        <v>584</v>
      </c>
      <c r="G889">
        <v>70612000</v>
      </c>
    </row>
    <row r="890" spans="1:7" ht="15.75" customHeight="1">
      <c r="A890" s="8">
        <f t="shared" si="3"/>
        <v>-1338175</v>
      </c>
      <c r="B890" s="8">
        <v>1338175</v>
      </c>
      <c r="C890" s="8"/>
      <c r="D890">
        <v>30</v>
      </c>
      <c r="E890" t="s">
        <v>585</v>
      </c>
      <c r="F890" t="s">
        <v>784</v>
      </c>
      <c r="G890" s="9">
        <v>44617</v>
      </c>
    </row>
    <row r="891" spans="1:7" ht="15.75" customHeight="1">
      <c r="A891" s="8">
        <f t="shared" si="3"/>
        <v>-1338175</v>
      </c>
      <c r="B891" s="8">
        <v>1338175</v>
      </c>
      <c r="C891" s="8"/>
    </row>
    <row r="892" spans="1:7" ht="15.75" customHeight="1">
      <c r="A892" s="8">
        <f t="shared" si="3"/>
        <v>-1338175</v>
      </c>
      <c r="B892" s="8">
        <v>1338175</v>
      </c>
      <c r="C892" s="8"/>
      <c r="E892">
        <v>1330921</v>
      </c>
      <c r="F892" t="s">
        <v>163</v>
      </c>
      <c r="G892" t="s">
        <v>581</v>
      </c>
    </row>
    <row r="893" spans="1:7" ht="15.75" customHeight="1">
      <c r="A893" s="8">
        <f t="shared" si="3"/>
        <v>0</v>
      </c>
      <c r="B893" s="8"/>
      <c r="C893" s="8"/>
      <c r="D893" t="s">
        <v>164</v>
      </c>
      <c r="G893">
        <v>1331002</v>
      </c>
    </row>
    <row r="894" spans="1:7" ht="15.75" customHeight="1">
      <c r="A894" s="8">
        <f t="shared" si="3"/>
        <v>0</v>
      </c>
      <c r="B894" s="8"/>
      <c r="C894" s="8"/>
      <c r="F894" t="s">
        <v>638</v>
      </c>
      <c r="G894">
        <v>6121000</v>
      </c>
    </row>
    <row r="895" spans="1:7" ht="15.75" customHeight="1">
      <c r="A895" s="8">
        <f t="shared" si="3"/>
        <v>69000</v>
      </c>
      <c r="B895" s="8"/>
      <c r="C895" s="8">
        <v>69000</v>
      </c>
      <c r="D895">
        <v>19</v>
      </c>
      <c r="E895" t="s">
        <v>587</v>
      </c>
      <c r="F895" t="s">
        <v>761</v>
      </c>
      <c r="G895" s="9">
        <v>44628</v>
      </c>
    </row>
    <row r="896" spans="1:7" ht="15.75" customHeight="1">
      <c r="A896" s="8">
        <f t="shared" si="3"/>
        <v>69000</v>
      </c>
      <c r="B896" s="8"/>
      <c r="C896" s="8">
        <v>69000</v>
      </c>
    </row>
    <row r="897" spans="1:7" ht="15.75" customHeight="1">
      <c r="A897" s="8">
        <f t="shared" si="3"/>
        <v>69000</v>
      </c>
      <c r="B897" s="8"/>
      <c r="C897" s="8">
        <v>69000</v>
      </c>
      <c r="E897">
        <v>1331002</v>
      </c>
      <c r="F897" t="s">
        <v>164</v>
      </c>
      <c r="G897" t="s">
        <v>581</v>
      </c>
    </row>
    <row r="898" spans="1:7" ht="15.75" customHeight="1">
      <c r="A898" s="8">
        <f t="shared" si="3"/>
        <v>0</v>
      </c>
      <c r="B898" s="8"/>
      <c r="C898" s="8"/>
      <c r="D898" t="s">
        <v>165</v>
      </c>
      <c r="G898">
        <v>1331202</v>
      </c>
    </row>
    <row r="899" spans="1:7" ht="15.75" customHeight="1">
      <c r="A899" s="8">
        <f t="shared" si="3"/>
        <v>0</v>
      </c>
      <c r="B899" s="8"/>
      <c r="C899" s="8"/>
      <c r="F899" t="s">
        <v>785</v>
      </c>
      <c r="G899">
        <v>62231000</v>
      </c>
    </row>
    <row r="900" spans="1:7" ht="15.75" customHeight="1">
      <c r="A900" s="8">
        <f t="shared" si="3"/>
        <v>517500</v>
      </c>
      <c r="B900" s="8"/>
      <c r="C900" s="8">
        <v>517500</v>
      </c>
      <c r="D900">
        <v>7</v>
      </c>
      <c r="E900" t="s">
        <v>579</v>
      </c>
      <c r="F900" t="s">
        <v>786</v>
      </c>
      <c r="G900" s="9">
        <v>44579</v>
      </c>
    </row>
    <row r="901" spans="1:7" ht="15.75" customHeight="1">
      <c r="A901" s="8">
        <f t="shared" si="3"/>
        <v>517500</v>
      </c>
      <c r="B901" s="8"/>
      <c r="C901" s="8">
        <v>517500</v>
      </c>
    </row>
    <row r="902" spans="1:7" ht="15.75" customHeight="1">
      <c r="A902" s="8">
        <f t="shared" si="3"/>
        <v>517500</v>
      </c>
      <c r="B902" s="8"/>
      <c r="C902" s="8">
        <v>517500</v>
      </c>
      <c r="E902">
        <v>1331202</v>
      </c>
      <c r="F902" t="s">
        <v>165</v>
      </c>
      <c r="G902" t="s">
        <v>581</v>
      </c>
    </row>
    <row r="903" spans="1:7" ht="15.75" customHeight="1">
      <c r="A903" s="8">
        <f t="shared" si="3"/>
        <v>0</v>
      </c>
      <c r="B903" s="8"/>
      <c r="C903" s="8"/>
      <c r="D903" t="s">
        <v>166</v>
      </c>
      <c r="G903">
        <v>1331301</v>
      </c>
    </row>
    <row r="904" spans="1:7" ht="15.75" customHeight="1">
      <c r="A904" s="8">
        <f t="shared" si="3"/>
        <v>0</v>
      </c>
      <c r="B904" s="8"/>
      <c r="C904" s="8"/>
      <c r="F904" t="s">
        <v>578</v>
      </c>
      <c r="G904">
        <v>63841000</v>
      </c>
    </row>
    <row r="905" spans="1:7" ht="15.75" customHeight="1">
      <c r="A905" s="8">
        <f t="shared" si="3"/>
        <v>453215</v>
      </c>
      <c r="B905" s="8"/>
      <c r="C905" s="8">
        <v>453215</v>
      </c>
      <c r="D905">
        <v>32</v>
      </c>
      <c r="E905" t="s">
        <v>587</v>
      </c>
      <c r="F905" t="s">
        <v>787</v>
      </c>
      <c r="G905" s="9">
        <v>44594</v>
      </c>
    </row>
    <row r="906" spans="1:7" ht="15.75" customHeight="1">
      <c r="A906" s="8">
        <f t="shared" si="3"/>
        <v>453215</v>
      </c>
      <c r="B906" s="8"/>
      <c r="C906" s="8">
        <v>453215</v>
      </c>
    </row>
    <row r="907" spans="1:7" ht="15.75" customHeight="1">
      <c r="A907" s="8">
        <f t="shared" si="3"/>
        <v>453215</v>
      </c>
      <c r="B907" s="8"/>
      <c r="C907" s="8">
        <v>453215</v>
      </c>
      <c r="E907">
        <v>1331301</v>
      </c>
      <c r="F907" t="s">
        <v>166</v>
      </c>
      <c r="G907" t="s">
        <v>581</v>
      </c>
    </row>
    <row r="908" spans="1:7" ht="15.75" customHeight="1">
      <c r="A908" s="8">
        <f t="shared" si="3"/>
        <v>0</v>
      </c>
      <c r="B908" s="8"/>
      <c r="C908" s="8"/>
      <c r="D908" t="s">
        <v>167</v>
      </c>
      <c r="G908">
        <v>1331302</v>
      </c>
    </row>
    <row r="909" spans="1:7" ht="15.75" customHeight="1">
      <c r="A909" s="8">
        <f t="shared" si="3"/>
        <v>0</v>
      </c>
      <c r="B909" s="8"/>
      <c r="C909" s="8"/>
      <c r="F909" t="s">
        <v>638</v>
      </c>
      <c r="G909">
        <v>6121000</v>
      </c>
    </row>
    <row r="910" spans="1:7" ht="15.75" customHeight="1">
      <c r="A910" s="8">
        <f t="shared" si="3"/>
        <v>69000</v>
      </c>
      <c r="B910" s="8"/>
      <c r="C910" s="8">
        <v>69000</v>
      </c>
      <c r="D910">
        <v>35</v>
      </c>
      <c r="E910" t="s">
        <v>587</v>
      </c>
      <c r="F910" t="s">
        <v>788</v>
      </c>
      <c r="G910" s="9">
        <v>44596</v>
      </c>
    </row>
    <row r="911" spans="1:7" ht="15.75" customHeight="1">
      <c r="A911" s="8">
        <f t="shared" si="3"/>
        <v>69000</v>
      </c>
      <c r="B911" s="8"/>
      <c r="C911" s="8">
        <v>69000</v>
      </c>
      <c r="D911">
        <v>59</v>
      </c>
      <c r="E911" t="s">
        <v>587</v>
      </c>
      <c r="F911" t="s">
        <v>789</v>
      </c>
      <c r="G911" s="9">
        <v>44596</v>
      </c>
    </row>
    <row r="912" spans="1:7" ht="15.75" customHeight="1">
      <c r="A912" s="8">
        <f t="shared" si="3"/>
        <v>138000</v>
      </c>
      <c r="B912" s="8"/>
      <c r="C912" s="8">
        <v>138000</v>
      </c>
    </row>
    <row r="913" spans="1:7" ht="15.75" customHeight="1">
      <c r="A913" s="8">
        <f t="shared" si="3"/>
        <v>0</v>
      </c>
      <c r="B913" s="8"/>
      <c r="C913" s="8"/>
      <c r="F913" t="s">
        <v>785</v>
      </c>
      <c r="G913">
        <v>62231000</v>
      </c>
    </row>
    <row r="914" spans="1:7" ht="15.75" customHeight="1">
      <c r="A914" s="8">
        <f t="shared" si="3"/>
        <v>57500</v>
      </c>
      <c r="B914" s="8"/>
      <c r="C914" s="8">
        <v>57500</v>
      </c>
      <c r="D914">
        <v>27</v>
      </c>
      <c r="E914" t="s">
        <v>579</v>
      </c>
      <c r="F914" t="s">
        <v>790</v>
      </c>
      <c r="G914" s="9">
        <v>44620</v>
      </c>
    </row>
    <row r="915" spans="1:7" ht="15.75" customHeight="1">
      <c r="A915" s="8">
        <f t="shared" si="3"/>
        <v>287500</v>
      </c>
      <c r="B915" s="8"/>
      <c r="C915" s="8">
        <v>287500</v>
      </c>
      <c r="D915">
        <v>28</v>
      </c>
      <c r="E915" t="s">
        <v>579</v>
      </c>
      <c r="F915" t="s">
        <v>791</v>
      </c>
      <c r="G915" s="9">
        <v>44620</v>
      </c>
    </row>
    <row r="916" spans="1:7" ht="15.75" customHeight="1">
      <c r="A916" s="8">
        <f t="shared" si="3"/>
        <v>345000</v>
      </c>
      <c r="B916" s="8"/>
      <c r="C916" s="8">
        <v>345000</v>
      </c>
    </row>
    <row r="917" spans="1:7" ht="15.75" customHeight="1">
      <c r="A917" s="8">
        <f t="shared" si="3"/>
        <v>483000</v>
      </c>
      <c r="B917" s="8"/>
      <c r="C917" s="8">
        <v>483000</v>
      </c>
      <c r="E917">
        <v>1331302</v>
      </c>
      <c r="F917" t="s">
        <v>167</v>
      </c>
      <c r="G917" t="s">
        <v>581</v>
      </c>
    </row>
    <row r="918" spans="1:7" ht="15.75" customHeight="1">
      <c r="A918" s="8">
        <f t="shared" si="3"/>
        <v>0</v>
      </c>
      <c r="B918" s="8"/>
      <c r="C918" s="8"/>
      <c r="D918" t="s">
        <v>168</v>
      </c>
      <c r="G918">
        <v>1331321</v>
      </c>
    </row>
    <row r="919" spans="1:7" ht="15.75" customHeight="1">
      <c r="A919" s="8">
        <f t="shared" si="3"/>
        <v>0</v>
      </c>
      <c r="B919" s="8"/>
      <c r="C919" s="8"/>
      <c r="F919" t="s">
        <v>584</v>
      </c>
      <c r="G919">
        <v>70612000</v>
      </c>
    </row>
    <row r="920" spans="1:7" ht="15.75" customHeight="1">
      <c r="A920" s="8">
        <f t="shared" si="3"/>
        <v>-4675144</v>
      </c>
      <c r="B920" s="8">
        <v>4675144</v>
      </c>
      <c r="C920" s="8"/>
      <c r="D920">
        <v>3</v>
      </c>
      <c r="E920" t="s">
        <v>585</v>
      </c>
      <c r="F920" t="s">
        <v>792</v>
      </c>
      <c r="G920" s="9">
        <v>44578</v>
      </c>
    </row>
    <row r="921" spans="1:7" ht="15.75" customHeight="1">
      <c r="A921" s="8">
        <f t="shared" si="3"/>
        <v>-4675144</v>
      </c>
      <c r="B921" s="8">
        <v>4675144</v>
      </c>
      <c r="C921" s="8"/>
    </row>
    <row r="922" spans="1:7" ht="15.75" customHeight="1">
      <c r="A922" s="8">
        <f t="shared" si="3"/>
        <v>-4675144</v>
      </c>
      <c r="B922" s="8">
        <v>4675144</v>
      </c>
      <c r="C922" s="8"/>
      <c r="E922">
        <v>1331321</v>
      </c>
      <c r="F922" t="s">
        <v>168</v>
      </c>
      <c r="G922" t="s">
        <v>581</v>
      </c>
    </row>
    <row r="923" spans="1:7" ht="15.75" customHeight="1">
      <c r="A923" s="8">
        <f t="shared" si="3"/>
        <v>0</v>
      </c>
      <c r="B923" s="8"/>
      <c r="C923" s="8"/>
      <c r="D923" t="s">
        <v>169</v>
      </c>
      <c r="G923">
        <v>1331401</v>
      </c>
    </row>
    <row r="924" spans="1:7" ht="15.75" customHeight="1">
      <c r="A924" s="8">
        <f t="shared" si="3"/>
        <v>0</v>
      </c>
      <c r="B924" s="8"/>
      <c r="C924" s="8"/>
      <c r="F924" t="s">
        <v>578</v>
      </c>
      <c r="G924">
        <v>63841000</v>
      </c>
    </row>
    <row r="925" spans="1:7" ht="15.75" customHeight="1">
      <c r="A925" s="8">
        <f t="shared" si="3"/>
        <v>522905</v>
      </c>
      <c r="B925" s="8"/>
      <c r="C925" s="8">
        <v>522905</v>
      </c>
      <c r="D925">
        <v>47</v>
      </c>
      <c r="E925" t="s">
        <v>579</v>
      </c>
      <c r="F925" t="s">
        <v>793</v>
      </c>
      <c r="G925" s="9">
        <v>44631</v>
      </c>
    </row>
    <row r="926" spans="1:7" ht="15.75" customHeight="1">
      <c r="A926" s="8">
        <f t="shared" si="3"/>
        <v>522905</v>
      </c>
      <c r="B926" s="8"/>
      <c r="C926" s="8">
        <v>522905</v>
      </c>
    </row>
    <row r="927" spans="1:7" ht="15.75" customHeight="1">
      <c r="A927" s="8">
        <f t="shared" si="3"/>
        <v>522905</v>
      </c>
      <c r="B927" s="8"/>
      <c r="C927" s="8">
        <v>522905</v>
      </c>
      <c r="E927">
        <v>1331401</v>
      </c>
      <c r="F927" t="s">
        <v>169</v>
      </c>
      <c r="G927" t="s">
        <v>581</v>
      </c>
    </row>
    <row r="928" spans="1:7" ht="15.75" customHeight="1">
      <c r="A928" s="8">
        <f t="shared" si="3"/>
        <v>0</v>
      </c>
      <c r="B928" s="8"/>
      <c r="C928" s="8"/>
      <c r="D928" t="s">
        <v>170</v>
      </c>
      <c r="G928">
        <v>1331402</v>
      </c>
    </row>
    <row r="929" spans="1:7" ht="15.75" customHeight="1">
      <c r="A929" s="8">
        <f t="shared" si="3"/>
        <v>0</v>
      </c>
      <c r="B929" s="8"/>
      <c r="C929" s="8"/>
      <c r="F929" t="s">
        <v>638</v>
      </c>
      <c r="G929">
        <v>6121000</v>
      </c>
    </row>
    <row r="930" spans="1:7" ht="15.75" customHeight="1">
      <c r="A930" s="8">
        <f t="shared" si="3"/>
        <v>69000</v>
      </c>
      <c r="B930" s="8"/>
      <c r="C930" s="8">
        <v>69000</v>
      </c>
      <c r="D930">
        <v>25</v>
      </c>
      <c r="E930" t="s">
        <v>587</v>
      </c>
      <c r="F930" t="s">
        <v>794</v>
      </c>
      <c r="G930" s="9">
        <v>44631</v>
      </c>
    </row>
    <row r="931" spans="1:7" ht="15.75" customHeight="1">
      <c r="A931" s="8">
        <f t="shared" si="3"/>
        <v>69000</v>
      </c>
      <c r="B931" s="8"/>
      <c r="C931" s="8">
        <v>69000</v>
      </c>
      <c r="D931">
        <v>135</v>
      </c>
      <c r="E931" t="s">
        <v>587</v>
      </c>
      <c r="F931" t="s">
        <v>795</v>
      </c>
      <c r="G931" s="9">
        <v>44694</v>
      </c>
    </row>
    <row r="932" spans="1:7" ht="15.75" customHeight="1">
      <c r="A932" s="8">
        <f t="shared" si="3"/>
        <v>138000</v>
      </c>
      <c r="B932" s="8"/>
      <c r="C932" s="8">
        <v>138000</v>
      </c>
    </row>
    <row r="933" spans="1:7" ht="15.75" customHeight="1">
      <c r="A933" s="8">
        <f t="shared" si="3"/>
        <v>0</v>
      </c>
      <c r="B933" s="8"/>
      <c r="C933" s="8"/>
      <c r="F933" t="s">
        <v>785</v>
      </c>
      <c r="G933">
        <v>62231000</v>
      </c>
    </row>
    <row r="934" spans="1:7" ht="15.75" customHeight="1">
      <c r="A934" s="8">
        <f t="shared" si="3"/>
        <v>460000</v>
      </c>
      <c r="B934" s="8"/>
      <c r="C934" s="8">
        <v>460000</v>
      </c>
      <c r="D934">
        <v>79</v>
      </c>
      <c r="E934" t="s">
        <v>579</v>
      </c>
      <c r="F934" t="s">
        <v>796</v>
      </c>
      <c r="G934" s="9">
        <v>44652</v>
      </c>
    </row>
    <row r="935" spans="1:7" ht="15.75" customHeight="1">
      <c r="A935" s="8">
        <f t="shared" si="3"/>
        <v>460000</v>
      </c>
      <c r="B935" s="8"/>
      <c r="C935" s="8">
        <v>460000</v>
      </c>
    </row>
    <row r="936" spans="1:7" ht="15.75" customHeight="1">
      <c r="A936" s="8">
        <f t="shared" si="3"/>
        <v>598000</v>
      </c>
      <c r="B936" s="8"/>
      <c r="C936" s="8">
        <v>598000</v>
      </c>
      <c r="E936">
        <v>1331402</v>
      </c>
      <c r="F936" t="s">
        <v>170</v>
      </c>
      <c r="G936" t="s">
        <v>581</v>
      </c>
    </row>
    <row r="937" spans="1:7" ht="15.75" customHeight="1">
      <c r="A937" s="8">
        <f t="shared" si="3"/>
        <v>0</v>
      </c>
      <c r="B937" s="8"/>
      <c r="C937" s="8"/>
      <c r="D937" t="s">
        <v>171</v>
      </c>
      <c r="G937">
        <v>1331405</v>
      </c>
    </row>
    <row r="938" spans="1:7" ht="15.75" customHeight="1">
      <c r="A938" s="8">
        <f t="shared" si="3"/>
        <v>0</v>
      </c>
      <c r="B938" s="8"/>
      <c r="C938" s="8"/>
      <c r="F938" t="s">
        <v>582</v>
      </c>
      <c r="G938">
        <v>63240000</v>
      </c>
    </row>
    <row r="939" spans="1:7" ht="15.75" customHeight="1">
      <c r="A939" s="8">
        <f t="shared" si="3"/>
        <v>336375</v>
      </c>
      <c r="B939" s="8"/>
      <c r="C939" s="8">
        <v>336375</v>
      </c>
      <c r="D939">
        <v>326</v>
      </c>
      <c r="E939" t="s">
        <v>579</v>
      </c>
      <c r="F939" t="s">
        <v>797</v>
      </c>
      <c r="G939" s="9">
        <v>44858</v>
      </c>
    </row>
    <row r="940" spans="1:7" ht="15.75" customHeight="1">
      <c r="A940" s="8">
        <f t="shared" si="3"/>
        <v>241500</v>
      </c>
      <c r="B940" s="8"/>
      <c r="C940" s="8">
        <v>241500</v>
      </c>
      <c r="D940">
        <v>329</v>
      </c>
      <c r="E940" t="s">
        <v>579</v>
      </c>
      <c r="F940" t="s">
        <v>798</v>
      </c>
      <c r="G940" s="9">
        <v>44858</v>
      </c>
    </row>
    <row r="941" spans="1:7" ht="15.75" customHeight="1">
      <c r="A941" s="8">
        <f t="shared" si="3"/>
        <v>577875</v>
      </c>
      <c r="B941" s="8"/>
      <c r="C941" s="8">
        <v>577875</v>
      </c>
    </row>
    <row r="942" spans="1:7" ht="15.75" customHeight="1">
      <c r="A942" s="8">
        <f t="shared" si="3"/>
        <v>577875</v>
      </c>
      <c r="B942" s="8"/>
      <c r="C942" s="8">
        <v>577875</v>
      </c>
      <c r="E942">
        <v>1331405</v>
      </c>
      <c r="F942" t="s">
        <v>171</v>
      </c>
      <c r="G942" t="s">
        <v>581</v>
      </c>
    </row>
    <row r="943" spans="1:7" ht="15.75" customHeight="1">
      <c r="A943" s="8">
        <f t="shared" si="3"/>
        <v>0</v>
      </c>
      <c r="B943" s="8"/>
      <c r="C943" s="8"/>
      <c r="D943" t="s">
        <v>172</v>
      </c>
      <c r="G943">
        <v>1331421</v>
      </c>
    </row>
    <row r="944" spans="1:7" ht="15.75" customHeight="1">
      <c r="A944" s="8">
        <f t="shared" si="3"/>
        <v>0</v>
      </c>
      <c r="B944" s="8"/>
      <c r="C944" s="8"/>
      <c r="F944" t="s">
        <v>584</v>
      </c>
      <c r="G944">
        <v>70612000</v>
      </c>
    </row>
    <row r="945" spans="1:7" ht="15.75" customHeight="1">
      <c r="A945" s="8">
        <f t="shared" si="3"/>
        <v>-5243488</v>
      </c>
      <c r="B945" s="8">
        <v>5243488</v>
      </c>
      <c r="C945" s="8"/>
      <c r="D945">
        <v>6</v>
      </c>
      <c r="E945" t="s">
        <v>585</v>
      </c>
      <c r="F945" t="s">
        <v>799</v>
      </c>
      <c r="G945" s="9">
        <v>44585</v>
      </c>
    </row>
    <row r="946" spans="1:7" ht="15.75" customHeight="1">
      <c r="A946" s="8">
        <f t="shared" si="3"/>
        <v>-5243488</v>
      </c>
      <c r="B946" s="8">
        <v>5243488</v>
      </c>
      <c r="C946" s="8"/>
    </row>
    <row r="947" spans="1:7" ht="15.75" customHeight="1">
      <c r="A947" s="8">
        <f t="shared" si="3"/>
        <v>-5243488</v>
      </c>
      <c r="B947" s="8">
        <v>5243488</v>
      </c>
      <c r="C947" s="8"/>
      <c r="E947">
        <v>1331421</v>
      </c>
      <c r="F947" t="s">
        <v>172</v>
      </c>
      <c r="G947" t="s">
        <v>581</v>
      </c>
    </row>
    <row r="948" spans="1:7" ht="15.75" customHeight="1">
      <c r="A948" s="8">
        <f t="shared" si="3"/>
        <v>0</v>
      </c>
      <c r="B948" s="8"/>
      <c r="C948" s="8"/>
      <c r="D948" t="s">
        <v>173</v>
      </c>
      <c r="G948">
        <v>1331501</v>
      </c>
    </row>
    <row r="949" spans="1:7" ht="15.75" customHeight="1">
      <c r="A949" s="8">
        <f t="shared" si="3"/>
        <v>0</v>
      </c>
      <c r="B949" s="8"/>
      <c r="C949" s="8"/>
      <c r="F949" t="s">
        <v>578</v>
      </c>
      <c r="G949">
        <v>63841000</v>
      </c>
    </row>
    <row r="950" spans="1:7" ht="15.75" customHeight="1">
      <c r="A950" s="8">
        <f t="shared" si="3"/>
        <v>522905</v>
      </c>
      <c r="B950" s="8"/>
      <c r="C950" s="8">
        <v>522905</v>
      </c>
      <c r="D950">
        <v>54</v>
      </c>
      <c r="E950" t="s">
        <v>579</v>
      </c>
      <c r="F950" t="s">
        <v>800</v>
      </c>
      <c r="G950" s="9">
        <v>44638</v>
      </c>
    </row>
    <row r="951" spans="1:7" ht="15.75" customHeight="1">
      <c r="A951" s="8">
        <f t="shared" si="3"/>
        <v>522905</v>
      </c>
      <c r="B951" s="8"/>
      <c r="C951" s="8">
        <v>522905</v>
      </c>
    </row>
    <row r="952" spans="1:7" ht="15.75" customHeight="1">
      <c r="A952" s="8">
        <f t="shared" si="3"/>
        <v>522905</v>
      </c>
      <c r="B952" s="8"/>
      <c r="C952" s="8">
        <v>522905</v>
      </c>
      <c r="E952">
        <v>1331501</v>
      </c>
      <c r="F952" t="s">
        <v>173</v>
      </c>
      <c r="G952" t="s">
        <v>581</v>
      </c>
    </row>
    <row r="953" spans="1:7" ht="15.75" customHeight="1">
      <c r="A953" s="8">
        <f t="shared" si="3"/>
        <v>0</v>
      </c>
      <c r="B953" s="8"/>
      <c r="C953" s="8"/>
      <c r="D953" t="s">
        <v>174</v>
      </c>
      <c r="G953">
        <v>1331502</v>
      </c>
    </row>
    <row r="954" spans="1:7" ht="15.75" customHeight="1">
      <c r="A954" s="8">
        <f t="shared" si="3"/>
        <v>0</v>
      </c>
      <c r="B954" s="8"/>
      <c r="C954" s="8"/>
      <c r="F954" t="s">
        <v>638</v>
      </c>
      <c r="G954">
        <v>6121000</v>
      </c>
    </row>
    <row r="955" spans="1:7" ht="15.75" customHeight="1">
      <c r="A955" s="8">
        <f t="shared" si="3"/>
        <v>69000</v>
      </c>
      <c r="B955" s="8"/>
      <c r="C955" s="8">
        <v>69000</v>
      </c>
      <c r="D955">
        <v>44</v>
      </c>
      <c r="E955" t="s">
        <v>587</v>
      </c>
      <c r="F955" t="s">
        <v>801</v>
      </c>
      <c r="G955" s="9">
        <v>44638</v>
      </c>
    </row>
    <row r="956" spans="1:7" ht="15.75" customHeight="1">
      <c r="A956" s="8">
        <f t="shared" si="3"/>
        <v>69000</v>
      </c>
      <c r="B956" s="8"/>
      <c r="C956" s="8">
        <v>69000</v>
      </c>
      <c r="D956">
        <v>45</v>
      </c>
      <c r="E956" t="s">
        <v>587</v>
      </c>
      <c r="F956" t="s">
        <v>802</v>
      </c>
      <c r="G956" s="9">
        <v>44638</v>
      </c>
    </row>
    <row r="957" spans="1:7" ht="15.75" customHeight="1">
      <c r="A957" s="8">
        <f t="shared" si="3"/>
        <v>2875</v>
      </c>
      <c r="B957" s="8"/>
      <c r="C957" s="8">
        <v>2875</v>
      </c>
      <c r="D957">
        <v>88</v>
      </c>
      <c r="E957" t="s">
        <v>579</v>
      </c>
      <c r="F957" t="s">
        <v>803</v>
      </c>
      <c r="G957" s="9">
        <v>44655</v>
      </c>
    </row>
    <row r="958" spans="1:7" ht="15.75" customHeight="1">
      <c r="A958" s="8">
        <f t="shared" si="3"/>
        <v>140875</v>
      </c>
      <c r="B958" s="8"/>
      <c r="C958" s="8">
        <v>140875</v>
      </c>
    </row>
    <row r="959" spans="1:7" ht="15.75" customHeight="1">
      <c r="A959" s="8">
        <f t="shared" si="3"/>
        <v>0</v>
      </c>
      <c r="B959" s="8"/>
      <c r="C959" s="8"/>
      <c r="F959" t="s">
        <v>785</v>
      </c>
      <c r="G959">
        <v>62231000</v>
      </c>
    </row>
    <row r="960" spans="1:7" ht="15.75" customHeight="1">
      <c r="A960" s="8">
        <f t="shared" si="3"/>
        <v>575000</v>
      </c>
      <c r="B960" s="8"/>
      <c r="C960" s="8">
        <v>575000</v>
      </c>
      <c r="D960">
        <v>88</v>
      </c>
      <c r="E960" t="s">
        <v>579</v>
      </c>
      <c r="F960" t="s">
        <v>804</v>
      </c>
      <c r="G960" s="9">
        <v>44655</v>
      </c>
    </row>
    <row r="961" spans="1:7" ht="15.75" customHeight="1">
      <c r="A961" s="8">
        <f t="shared" si="3"/>
        <v>575000</v>
      </c>
      <c r="B961" s="8"/>
      <c r="C961" s="8">
        <v>575000</v>
      </c>
    </row>
    <row r="962" spans="1:7" ht="15.75" customHeight="1">
      <c r="A962" s="8">
        <f t="shared" si="3"/>
        <v>715875</v>
      </c>
      <c r="B962" s="8"/>
      <c r="C962" s="8">
        <v>715875</v>
      </c>
      <c r="E962">
        <v>1331502</v>
      </c>
      <c r="F962" t="s">
        <v>174</v>
      </c>
      <c r="G962" t="s">
        <v>581</v>
      </c>
    </row>
    <row r="963" spans="1:7" ht="15.75" customHeight="1">
      <c r="A963" s="8">
        <f t="shared" si="3"/>
        <v>0</v>
      </c>
      <c r="B963" s="8"/>
      <c r="C963" s="8"/>
      <c r="D963" t="s">
        <v>175</v>
      </c>
      <c r="G963">
        <v>1331505</v>
      </c>
    </row>
    <row r="964" spans="1:7" ht="15.75" customHeight="1">
      <c r="A964" s="8">
        <f t="shared" si="3"/>
        <v>0</v>
      </c>
      <c r="B964" s="8"/>
      <c r="C964" s="8"/>
      <c r="F964" t="s">
        <v>582</v>
      </c>
      <c r="G964">
        <v>63240000</v>
      </c>
    </row>
    <row r="965" spans="1:7" ht="15.75" customHeight="1">
      <c r="A965" s="8">
        <f t="shared" si="3"/>
        <v>362250</v>
      </c>
      <c r="B965" s="8"/>
      <c r="C965" s="8">
        <v>362250</v>
      </c>
      <c r="D965">
        <v>326</v>
      </c>
      <c r="E965" t="s">
        <v>579</v>
      </c>
      <c r="F965" t="s">
        <v>797</v>
      </c>
      <c r="G965" s="9">
        <v>44858</v>
      </c>
    </row>
    <row r="966" spans="1:7" ht="15.75" customHeight="1">
      <c r="A966" s="8">
        <f t="shared" si="3"/>
        <v>261625</v>
      </c>
      <c r="B966" s="8"/>
      <c r="C966" s="8">
        <v>261625</v>
      </c>
      <c r="D966">
        <v>328</v>
      </c>
      <c r="E966" t="s">
        <v>579</v>
      </c>
      <c r="F966" t="s">
        <v>805</v>
      </c>
      <c r="G966" s="9">
        <v>44858</v>
      </c>
    </row>
    <row r="967" spans="1:7" ht="15.75" customHeight="1">
      <c r="A967" s="8">
        <f t="shared" si="3"/>
        <v>623875</v>
      </c>
      <c r="B967" s="8"/>
      <c r="C967" s="8">
        <v>623875</v>
      </c>
    </row>
    <row r="968" spans="1:7" ht="15.75" customHeight="1">
      <c r="A968" s="8">
        <f t="shared" si="3"/>
        <v>623875</v>
      </c>
      <c r="B968" s="8"/>
      <c r="C968" s="8">
        <v>623875</v>
      </c>
      <c r="E968">
        <v>1331505</v>
      </c>
      <c r="F968" t="s">
        <v>175</v>
      </c>
      <c r="G968" t="s">
        <v>581</v>
      </c>
    </row>
    <row r="969" spans="1:7" ht="15.75" customHeight="1">
      <c r="A969" s="8">
        <f t="shared" si="3"/>
        <v>0</v>
      </c>
      <c r="B969" s="8"/>
      <c r="C969" s="8"/>
      <c r="D969" t="s">
        <v>176</v>
      </c>
      <c r="G969">
        <v>1331521</v>
      </c>
    </row>
    <row r="970" spans="1:7" ht="15.75" customHeight="1">
      <c r="A970" s="8">
        <f t="shared" si="3"/>
        <v>0</v>
      </c>
      <c r="B970" s="8"/>
      <c r="C970" s="8"/>
      <c r="F970" t="s">
        <v>584</v>
      </c>
      <c r="G970">
        <v>70612000</v>
      </c>
    </row>
    <row r="971" spans="1:7" ht="15.75" customHeight="1">
      <c r="A971" s="8">
        <f t="shared" si="3"/>
        <v>-5265370</v>
      </c>
      <c r="B971" s="8">
        <v>5265370</v>
      </c>
      <c r="C971" s="8"/>
      <c r="D971">
        <v>7</v>
      </c>
      <c r="E971" t="s">
        <v>585</v>
      </c>
      <c r="F971" t="s">
        <v>806</v>
      </c>
      <c r="G971" s="9">
        <v>44588</v>
      </c>
    </row>
    <row r="972" spans="1:7" ht="15.75" customHeight="1">
      <c r="A972" s="8">
        <f t="shared" si="3"/>
        <v>-673900</v>
      </c>
      <c r="B972" s="8">
        <v>673900</v>
      </c>
      <c r="C972" s="8"/>
      <c r="D972">
        <v>34</v>
      </c>
      <c r="E972" t="s">
        <v>585</v>
      </c>
      <c r="F972" t="s">
        <v>807</v>
      </c>
      <c r="G972" s="9">
        <v>44630</v>
      </c>
    </row>
    <row r="973" spans="1:7" ht="15.75" customHeight="1">
      <c r="A973" s="8">
        <f t="shared" si="3"/>
        <v>-5939270</v>
      </c>
      <c r="B973" s="8">
        <v>5939270</v>
      </c>
      <c r="C973" s="8"/>
    </row>
    <row r="974" spans="1:7" ht="15.75" customHeight="1">
      <c r="A974" s="8">
        <f t="shared" si="3"/>
        <v>-5939270</v>
      </c>
      <c r="B974" s="8">
        <v>5939270</v>
      </c>
      <c r="C974" s="8"/>
      <c r="E974">
        <v>1331521</v>
      </c>
      <c r="F974" t="s">
        <v>176</v>
      </c>
      <c r="G974" t="s">
        <v>581</v>
      </c>
    </row>
    <row r="975" spans="1:7" ht="15.75" customHeight="1">
      <c r="A975" s="8">
        <f t="shared" si="3"/>
        <v>0</v>
      </c>
      <c r="B975" s="8"/>
      <c r="C975" s="8"/>
      <c r="D975" t="s">
        <v>177</v>
      </c>
      <c r="G975">
        <v>1331601</v>
      </c>
    </row>
    <row r="976" spans="1:7" ht="15.75" customHeight="1">
      <c r="A976" s="8">
        <f t="shared" si="3"/>
        <v>0</v>
      </c>
      <c r="B976" s="8"/>
      <c r="C976" s="8"/>
      <c r="F976" t="s">
        <v>578</v>
      </c>
      <c r="G976">
        <v>63841000</v>
      </c>
    </row>
    <row r="977" spans="1:7" ht="15.75" customHeight="1">
      <c r="A977" s="8">
        <f t="shared" si="3"/>
        <v>522905</v>
      </c>
      <c r="B977" s="8"/>
      <c r="C977" s="8">
        <v>522905</v>
      </c>
      <c r="D977">
        <v>32</v>
      </c>
      <c r="E977" t="s">
        <v>579</v>
      </c>
      <c r="F977" t="s">
        <v>808</v>
      </c>
      <c r="G977" s="9">
        <v>44615</v>
      </c>
    </row>
    <row r="978" spans="1:7" ht="15.75" customHeight="1">
      <c r="A978" s="8">
        <f t="shared" si="3"/>
        <v>522905</v>
      </c>
      <c r="B978" s="8"/>
      <c r="C978" s="8">
        <v>522905</v>
      </c>
    </row>
    <row r="979" spans="1:7" ht="15.75" customHeight="1">
      <c r="A979" s="8">
        <f t="shared" si="3"/>
        <v>522905</v>
      </c>
      <c r="B979" s="8"/>
      <c r="C979" s="8">
        <v>522905</v>
      </c>
      <c r="E979">
        <v>1331601</v>
      </c>
      <c r="F979" t="s">
        <v>177</v>
      </c>
      <c r="G979" t="s">
        <v>581</v>
      </c>
    </row>
    <row r="980" spans="1:7" ht="15.75" customHeight="1">
      <c r="A980" s="8">
        <f t="shared" si="3"/>
        <v>0</v>
      </c>
      <c r="B980" s="8"/>
      <c r="C980" s="8"/>
      <c r="D980" t="s">
        <v>178</v>
      </c>
      <c r="G980">
        <v>1331602</v>
      </c>
    </row>
    <row r="981" spans="1:7" ht="15.75" customHeight="1">
      <c r="A981" s="8">
        <f t="shared" si="3"/>
        <v>0</v>
      </c>
      <c r="B981" s="8"/>
      <c r="C981" s="8"/>
      <c r="F981" t="s">
        <v>638</v>
      </c>
      <c r="G981">
        <v>6121000</v>
      </c>
    </row>
    <row r="982" spans="1:7" ht="15.75" customHeight="1">
      <c r="A982" s="8">
        <f t="shared" si="3"/>
        <v>69000</v>
      </c>
      <c r="B982" s="8"/>
      <c r="C982" s="8">
        <v>69000</v>
      </c>
      <c r="D982">
        <v>63</v>
      </c>
      <c r="E982" t="s">
        <v>587</v>
      </c>
      <c r="F982" t="s">
        <v>809</v>
      </c>
      <c r="G982" s="9">
        <v>44615</v>
      </c>
    </row>
    <row r="983" spans="1:7" ht="15.75" customHeight="1">
      <c r="A983" s="8">
        <f t="shared" si="3"/>
        <v>69000</v>
      </c>
      <c r="B983" s="8"/>
      <c r="C983" s="8">
        <v>69000</v>
      </c>
      <c r="D983">
        <v>65</v>
      </c>
      <c r="E983" t="s">
        <v>587</v>
      </c>
      <c r="F983" t="s">
        <v>810</v>
      </c>
      <c r="G983" s="9">
        <v>44615</v>
      </c>
    </row>
    <row r="984" spans="1:7" ht="15.75" customHeight="1">
      <c r="A984" s="8">
        <f t="shared" si="3"/>
        <v>138000</v>
      </c>
      <c r="B984" s="8"/>
      <c r="C984" s="8">
        <v>138000</v>
      </c>
    </row>
    <row r="985" spans="1:7" ht="15.75" customHeight="1">
      <c r="A985" s="8">
        <f t="shared" si="3"/>
        <v>138000</v>
      </c>
      <c r="B985" s="8"/>
      <c r="C985" s="8">
        <v>138000</v>
      </c>
      <c r="E985">
        <v>1331602</v>
      </c>
      <c r="F985" t="s">
        <v>178</v>
      </c>
      <c r="G985" t="s">
        <v>581</v>
      </c>
    </row>
    <row r="986" spans="1:7" ht="15.75" customHeight="1">
      <c r="A986" s="8">
        <f t="shared" si="3"/>
        <v>0</v>
      </c>
      <c r="B986" s="8"/>
      <c r="C986" s="8"/>
      <c r="D986" t="s">
        <v>179</v>
      </c>
      <c r="G986">
        <v>1331605</v>
      </c>
    </row>
    <row r="987" spans="1:7" ht="15.75" customHeight="1">
      <c r="A987" s="8">
        <f t="shared" si="3"/>
        <v>0</v>
      </c>
      <c r="B987" s="8"/>
      <c r="C987" s="8"/>
      <c r="F987" t="s">
        <v>582</v>
      </c>
      <c r="G987">
        <v>63240000</v>
      </c>
    </row>
    <row r="988" spans="1:7" ht="15.75" customHeight="1">
      <c r="A988" s="8">
        <f t="shared" si="3"/>
        <v>221375</v>
      </c>
      <c r="B988" s="8"/>
      <c r="C988" s="8">
        <v>221375</v>
      </c>
      <c r="D988">
        <v>158</v>
      </c>
      <c r="E988" t="s">
        <v>579</v>
      </c>
      <c r="F988" t="s">
        <v>811</v>
      </c>
      <c r="G988" s="9">
        <v>44714</v>
      </c>
    </row>
    <row r="989" spans="1:7" ht="15.75" customHeight="1">
      <c r="A989" s="8">
        <f t="shared" si="3"/>
        <v>310501</v>
      </c>
      <c r="B989" s="8"/>
      <c r="C989" s="8">
        <v>310501</v>
      </c>
      <c r="D989">
        <v>161</v>
      </c>
      <c r="E989" t="s">
        <v>579</v>
      </c>
      <c r="F989" t="s">
        <v>812</v>
      </c>
      <c r="G989" s="9">
        <v>44714</v>
      </c>
    </row>
    <row r="990" spans="1:7" ht="15.75" customHeight="1">
      <c r="A990" s="8">
        <f t="shared" si="3"/>
        <v>531876</v>
      </c>
      <c r="B990" s="8"/>
      <c r="C990" s="8">
        <v>531876</v>
      </c>
    </row>
    <row r="991" spans="1:7" ht="15.75" customHeight="1">
      <c r="A991" s="8">
        <f t="shared" si="3"/>
        <v>531876</v>
      </c>
      <c r="B991" s="8"/>
      <c r="C991" s="8">
        <v>531876</v>
      </c>
      <c r="E991">
        <v>1331605</v>
      </c>
      <c r="F991" t="s">
        <v>179</v>
      </c>
      <c r="G991" t="s">
        <v>581</v>
      </c>
    </row>
    <row r="992" spans="1:7" ht="15.75" customHeight="1">
      <c r="A992" s="8">
        <f t="shared" si="3"/>
        <v>0</v>
      </c>
      <c r="B992" s="8"/>
      <c r="C992" s="8"/>
      <c r="D992" t="s">
        <v>180</v>
      </c>
      <c r="G992">
        <v>1331621</v>
      </c>
    </row>
    <row r="993" spans="1:7" ht="15.75" customHeight="1">
      <c r="A993" s="8">
        <f t="shared" si="3"/>
        <v>0</v>
      </c>
      <c r="B993" s="8"/>
      <c r="C993" s="8"/>
      <c r="F993" t="s">
        <v>584</v>
      </c>
      <c r="G993">
        <v>70612000</v>
      </c>
    </row>
    <row r="994" spans="1:7" ht="15.75" customHeight="1">
      <c r="A994" s="8">
        <f t="shared" si="3"/>
        <v>-4479250</v>
      </c>
      <c r="B994" s="8">
        <v>4479250</v>
      </c>
      <c r="C994" s="8"/>
      <c r="D994">
        <v>8</v>
      </c>
      <c r="E994" t="s">
        <v>585</v>
      </c>
      <c r="F994" t="s">
        <v>813</v>
      </c>
      <c r="G994" s="9">
        <v>44594</v>
      </c>
    </row>
    <row r="995" spans="1:7" ht="15.75" customHeight="1">
      <c r="A995" s="8">
        <f t="shared" si="3"/>
        <v>-4479250</v>
      </c>
      <c r="B995" s="8">
        <v>4479250</v>
      </c>
      <c r="C995" s="8"/>
    </row>
    <row r="996" spans="1:7" ht="15.75" customHeight="1">
      <c r="A996" s="8">
        <f t="shared" si="3"/>
        <v>-4479250</v>
      </c>
      <c r="B996" s="8">
        <v>4479250</v>
      </c>
      <c r="C996" s="8"/>
      <c r="E996">
        <v>1331621</v>
      </c>
      <c r="F996" t="s">
        <v>180</v>
      </c>
      <c r="G996" t="s">
        <v>581</v>
      </c>
    </row>
    <row r="997" spans="1:7" ht="15.75" customHeight="1">
      <c r="A997" s="8">
        <f t="shared" si="3"/>
        <v>0</v>
      </c>
      <c r="B997" s="8"/>
      <c r="C997" s="8"/>
      <c r="D997" t="s">
        <v>181</v>
      </c>
      <c r="G997">
        <v>1331701</v>
      </c>
    </row>
    <row r="998" spans="1:7" ht="15.75" customHeight="1">
      <c r="A998" s="8">
        <f t="shared" si="3"/>
        <v>0</v>
      </c>
      <c r="B998" s="8"/>
      <c r="C998" s="8"/>
      <c r="F998" t="s">
        <v>578</v>
      </c>
      <c r="G998">
        <v>63841000</v>
      </c>
    </row>
    <row r="999" spans="1:7" ht="15.75" customHeight="1">
      <c r="A999" s="8">
        <f t="shared" si="3"/>
        <v>453215</v>
      </c>
      <c r="B999" s="8"/>
      <c r="C999" s="8">
        <v>453215</v>
      </c>
      <c r="D999">
        <v>59</v>
      </c>
      <c r="E999" t="s">
        <v>579</v>
      </c>
      <c r="F999" t="s">
        <v>814</v>
      </c>
      <c r="G999" s="9">
        <v>44644</v>
      </c>
    </row>
    <row r="1000" spans="1:7" ht="15.75" customHeight="1">
      <c r="A1000" s="8">
        <f t="shared" si="3"/>
        <v>453215</v>
      </c>
      <c r="B1000" s="8"/>
      <c r="C1000" s="8">
        <v>453215</v>
      </c>
    </row>
    <row r="1001" spans="1:7" ht="14.25" customHeight="1">
      <c r="A1001" s="8">
        <f t="shared" si="3"/>
        <v>453215</v>
      </c>
      <c r="B1001" s="8"/>
      <c r="C1001" s="8">
        <v>453215</v>
      </c>
      <c r="E1001">
        <v>1331701</v>
      </c>
      <c r="F1001" t="s">
        <v>181</v>
      </c>
      <c r="G1001" t="s">
        <v>581</v>
      </c>
    </row>
    <row r="1002" spans="1:7" ht="14.25" customHeight="1">
      <c r="A1002" s="8">
        <f t="shared" si="3"/>
        <v>0</v>
      </c>
      <c r="B1002" s="8"/>
      <c r="C1002" s="8"/>
      <c r="D1002" t="s">
        <v>182</v>
      </c>
      <c r="G1002">
        <v>1331702</v>
      </c>
    </row>
    <row r="1003" spans="1:7" ht="14.25" customHeight="1">
      <c r="A1003" s="8">
        <f t="shared" si="3"/>
        <v>0</v>
      </c>
      <c r="B1003" s="8"/>
      <c r="C1003" s="8"/>
      <c r="F1003" t="s">
        <v>638</v>
      </c>
      <c r="G1003">
        <v>6121000</v>
      </c>
    </row>
    <row r="1004" spans="1:7" ht="14.25" customHeight="1">
      <c r="A1004" s="8">
        <f t="shared" si="3"/>
        <v>69000</v>
      </c>
      <c r="B1004" s="8"/>
      <c r="C1004" s="8">
        <v>69000</v>
      </c>
      <c r="D1004">
        <v>57</v>
      </c>
      <c r="E1004" t="s">
        <v>587</v>
      </c>
      <c r="F1004" t="s">
        <v>815</v>
      </c>
      <c r="G1004" s="9">
        <v>44644</v>
      </c>
    </row>
    <row r="1005" spans="1:7" ht="14.25" customHeight="1">
      <c r="A1005" s="8">
        <f t="shared" si="3"/>
        <v>69000</v>
      </c>
      <c r="B1005" s="8"/>
      <c r="C1005" s="8">
        <v>69000</v>
      </c>
      <c r="D1005">
        <v>178</v>
      </c>
      <c r="E1005" t="s">
        <v>587</v>
      </c>
      <c r="F1005" t="s">
        <v>816</v>
      </c>
      <c r="G1005" s="9">
        <v>44722</v>
      </c>
    </row>
    <row r="1006" spans="1:7" ht="14.25" customHeight="1">
      <c r="A1006" s="8">
        <f t="shared" si="3"/>
        <v>138000</v>
      </c>
      <c r="B1006" s="8"/>
      <c r="C1006" s="8">
        <v>138000</v>
      </c>
    </row>
    <row r="1007" spans="1:7" ht="14.25" customHeight="1">
      <c r="A1007" s="8">
        <f t="shared" si="3"/>
        <v>0</v>
      </c>
      <c r="B1007" s="8"/>
      <c r="C1007" s="8"/>
      <c r="F1007" t="s">
        <v>785</v>
      </c>
      <c r="G1007">
        <v>62231000</v>
      </c>
    </row>
    <row r="1008" spans="1:7" ht="14.25" customHeight="1">
      <c r="A1008" s="8">
        <f t="shared" si="3"/>
        <v>402500</v>
      </c>
      <c r="B1008" s="8"/>
      <c r="C1008" s="8">
        <v>402500</v>
      </c>
      <c r="D1008">
        <v>86</v>
      </c>
      <c r="E1008" t="s">
        <v>579</v>
      </c>
      <c r="F1008" t="s">
        <v>817</v>
      </c>
      <c r="G1008" s="9">
        <v>44655</v>
      </c>
    </row>
    <row r="1009" spans="1:7" ht="14.25" customHeight="1">
      <c r="A1009" s="8">
        <f t="shared" si="3"/>
        <v>402500</v>
      </c>
      <c r="B1009" s="8"/>
      <c r="C1009" s="8">
        <v>402500</v>
      </c>
    </row>
    <row r="1010" spans="1:7" ht="14.25" customHeight="1">
      <c r="A1010" s="8">
        <f t="shared" si="3"/>
        <v>540500</v>
      </c>
      <c r="B1010" s="8"/>
      <c r="C1010" s="8">
        <v>540500</v>
      </c>
      <c r="E1010">
        <v>1331702</v>
      </c>
      <c r="F1010" t="s">
        <v>182</v>
      </c>
      <c r="G1010" t="s">
        <v>581</v>
      </c>
    </row>
    <row r="1011" spans="1:7" ht="14.25" customHeight="1">
      <c r="A1011" s="8">
        <f t="shared" si="3"/>
        <v>0</v>
      </c>
      <c r="B1011" s="8"/>
      <c r="C1011" s="8"/>
      <c r="D1011" t="s">
        <v>183</v>
      </c>
      <c r="G1011">
        <v>1331705</v>
      </c>
    </row>
    <row r="1012" spans="1:7" ht="14.25" customHeight="1">
      <c r="A1012" s="8">
        <f t="shared" si="3"/>
        <v>0</v>
      </c>
      <c r="B1012" s="8"/>
      <c r="C1012" s="8"/>
      <c r="F1012" t="s">
        <v>582</v>
      </c>
      <c r="G1012">
        <v>63240000</v>
      </c>
    </row>
    <row r="1013" spans="1:7" ht="14.25" customHeight="1">
      <c r="A1013" s="8">
        <f t="shared" si="3"/>
        <v>258750</v>
      </c>
      <c r="B1013" s="8"/>
      <c r="C1013" s="8">
        <v>258750</v>
      </c>
      <c r="D1013">
        <v>197</v>
      </c>
      <c r="E1013" t="s">
        <v>579</v>
      </c>
      <c r="F1013" t="s">
        <v>818</v>
      </c>
      <c r="G1013" s="9">
        <v>44741</v>
      </c>
    </row>
    <row r="1014" spans="1:7" ht="14.25" customHeight="1">
      <c r="A1014" s="8">
        <f t="shared" si="3"/>
        <v>181125</v>
      </c>
      <c r="B1014" s="8"/>
      <c r="C1014" s="8">
        <v>181125</v>
      </c>
      <c r="D1014">
        <v>199</v>
      </c>
      <c r="E1014" t="s">
        <v>579</v>
      </c>
      <c r="F1014" t="s">
        <v>819</v>
      </c>
      <c r="G1014" s="9">
        <v>44741</v>
      </c>
    </row>
    <row r="1015" spans="1:7" ht="14.25" customHeight="1">
      <c r="A1015" s="8">
        <f t="shared" si="3"/>
        <v>439875</v>
      </c>
      <c r="B1015" s="8"/>
      <c r="C1015" s="8">
        <v>439875</v>
      </c>
    </row>
    <row r="1016" spans="1:7" ht="14.25" customHeight="1">
      <c r="A1016" s="8">
        <f t="shared" si="3"/>
        <v>439875</v>
      </c>
      <c r="B1016" s="8"/>
      <c r="C1016" s="8">
        <v>439875</v>
      </c>
      <c r="E1016">
        <v>1331705</v>
      </c>
      <c r="F1016" t="s">
        <v>183</v>
      </c>
      <c r="G1016" t="s">
        <v>581</v>
      </c>
    </row>
    <row r="1017" spans="1:7" ht="14.25" customHeight="1">
      <c r="A1017" s="8">
        <f t="shared" si="3"/>
        <v>0</v>
      </c>
      <c r="B1017" s="8"/>
      <c r="C1017" s="8"/>
      <c r="D1017" t="s">
        <v>184</v>
      </c>
      <c r="G1017">
        <v>1331721</v>
      </c>
    </row>
    <row r="1018" spans="1:7" ht="14.25" customHeight="1">
      <c r="A1018" s="8">
        <f t="shared" si="3"/>
        <v>0</v>
      </c>
      <c r="B1018" s="8"/>
      <c r="C1018" s="8"/>
      <c r="F1018" t="s">
        <v>584</v>
      </c>
      <c r="G1018">
        <v>70612000</v>
      </c>
    </row>
    <row r="1019" spans="1:7" ht="14.25" customHeight="1">
      <c r="A1019" s="8">
        <f t="shared" si="3"/>
        <v>-4892066</v>
      </c>
      <c r="B1019" s="8">
        <v>4892066</v>
      </c>
      <c r="C1019" s="8"/>
      <c r="D1019">
        <v>12</v>
      </c>
      <c r="E1019" t="s">
        <v>585</v>
      </c>
      <c r="F1019" t="s">
        <v>820</v>
      </c>
      <c r="G1019" s="9">
        <v>44599</v>
      </c>
    </row>
    <row r="1020" spans="1:7" ht="14.25" customHeight="1">
      <c r="A1020" s="8">
        <f t="shared" si="3"/>
        <v>-4892066</v>
      </c>
      <c r="B1020" s="8">
        <v>4892066</v>
      </c>
      <c r="C1020" s="8"/>
    </row>
    <row r="1021" spans="1:7" ht="14.25" customHeight="1">
      <c r="A1021" s="8">
        <f t="shared" si="3"/>
        <v>-4892066</v>
      </c>
      <c r="B1021" s="8">
        <v>4892066</v>
      </c>
      <c r="C1021" s="8"/>
      <c r="E1021">
        <v>1331721</v>
      </c>
      <c r="F1021" t="s">
        <v>184</v>
      </c>
      <c r="G1021" t="s">
        <v>581</v>
      </c>
    </row>
    <row r="1022" spans="1:7" ht="14.25" customHeight="1">
      <c r="A1022" s="8">
        <f t="shared" ref="A1022:A1276" si="4">C1022-B1022</f>
        <v>0</v>
      </c>
      <c r="B1022" s="8"/>
      <c r="C1022" s="8"/>
      <c r="D1022" t="s">
        <v>185</v>
      </c>
      <c r="G1022">
        <v>1331801</v>
      </c>
    </row>
    <row r="1023" spans="1:7" ht="14.25" customHeight="1">
      <c r="A1023" s="8">
        <f t="shared" si="4"/>
        <v>0</v>
      </c>
      <c r="B1023" s="8"/>
      <c r="C1023" s="8"/>
      <c r="F1023" t="s">
        <v>578</v>
      </c>
      <c r="G1023">
        <v>63841000</v>
      </c>
    </row>
    <row r="1024" spans="1:7" ht="14.25" customHeight="1">
      <c r="A1024" s="8">
        <f t="shared" si="4"/>
        <v>520202</v>
      </c>
      <c r="B1024" s="8"/>
      <c r="C1024" s="8">
        <v>520202</v>
      </c>
      <c r="D1024">
        <v>44</v>
      </c>
      <c r="E1024" t="s">
        <v>587</v>
      </c>
      <c r="F1024" t="s">
        <v>821</v>
      </c>
      <c r="G1024" s="9">
        <v>44609</v>
      </c>
    </row>
    <row r="1025" spans="1:7" ht="14.25" customHeight="1">
      <c r="A1025" s="8">
        <f t="shared" si="4"/>
        <v>520202</v>
      </c>
      <c r="B1025" s="8"/>
      <c r="C1025" s="8">
        <v>520202</v>
      </c>
    </row>
    <row r="1026" spans="1:7" ht="14.25" customHeight="1">
      <c r="A1026" s="8">
        <f t="shared" si="4"/>
        <v>520202</v>
      </c>
      <c r="B1026" s="8"/>
      <c r="C1026" s="8">
        <v>520202</v>
      </c>
      <c r="E1026">
        <v>1331801</v>
      </c>
      <c r="F1026" t="s">
        <v>185</v>
      </c>
      <c r="G1026" t="s">
        <v>581</v>
      </c>
    </row>
    <row r="1027" spans="1:7" ht="14.25" customHeight="1">
      <c r="A1027" s="8">
        <f t="shared" si="4"/>
        <v>0</v>
      </c>
      <c r="B1027" s="8"/>
      <c r="C1027" s="8"/>
      <c r="D1027" t="s">
        <v>186</v>
      </c>
      <c r="G1027">
        <v>1331802</v>
      </c>
    </row>
    <row r="1028" spans="1:7" ht="14.25" customHeight="1">
      <c r="A1028" s="8">
        <f t="shared" si="4"/>
        <v>0</v>
      </c>
      <c r="B1028" s="8"/>
      <c r="C1028" s="8"/>
      <c r="F1028" t="s">
        <v>638</v>
      </c>
      <c r="G1028">
        <v>6121000</v>
      </c>
    </row>
    <row r="1029" spans="1:7" ht="14.25" customHeight="1">
      <c r="A1029" s="8">
        <f t="shared" si="4"/>
        <v>34500</v>
      </c>
      <c r="B1029" s="8"/>
      <c r="C1029" s="8">
        <v>34500</v>
      </c>
      <c r="D1029">
        <v>134</v>
      </c>
      <c r="E1029" t="s">
        <v>587</v>
      </c>
      <c r="F1029" t="s">
        <v>822</v>
      </c>
      <c r="G1029" s="9">
        <v>44694</v>
      </c>
    </row>
    <row r="1030" spans="1:7" ht="14.25" customHeight="1">
      <c r="A1030" s="8">
        <f t="shared" si="4"/>
        <v>34500</v>
      </c>
      <c r="B1030" s="8"/>
      <c r="C1030" s="8">
        <v>34500</v>
      </c>
    </row>
    <row r="1031" spans="1:7" ht="14.25" customHeight="1">
      <c r="A1031" s="8">
        <f t="shared" si="4"/>
        <v>34500</v>
      </c>
      <c r="B1031" s="8"/>
      <c r="C1031" s="8">
        <v>34500</v>
      </c>
      <c r="E1031">
        <v>1331802</v>
      </c>
      <c r="F1031" t="s">
        <v>186</v>
      </c>
      <c r="G1031" t="s">
        <v>581</v>
      </c>
    </row>
    <row r="1032" spans="1:7" ht="14.25" customHeight="1">
      <c r="A1032" s="8">
        <f t="shared" si="4"/>
        <v>0</v>
      </c>
      <c r="B1032" s="8"/>
      <c r="C1032" s="8"/>
      <c r="D1032" t="s">
        <v>187</v>
      </c>
      <c r="G1032">
        <v>1331821</v>
      </c>
    </row>
    <row r="1033" spans="1:7" ht="14.25" customHeight="1">
      <c r="A1033" s="8">
        <f t="shared" si="4"/>
        <v>0</v>
      </c>
      <c r="B1033" s="8"/>
      <c r="C1033" s="8"/>
      <c r="F1033" t="s">
        <v>584</v>
      </c>
      <c r="G1033">
        <v>70612000</v>
      </c>
    </row>
    <row r="1034" spans="1:7" ht="14.25" customHeight="1">
      <c r="A1034" s="8">
        <f t="shared" si="4"/>
        <v>-4989695</v>
      </c>
      <c r="B1034" s="8">
        <v>4989695</v>
      </c>
      <c r="C1034" s="8"/>
      <c r="D1034">
        <v>16</v>
      </c>
      <c r="E1034" t="s">
        <v>585</v>
      </c>
      <c r="F1034" t="s">
        <v>823</v>
      </c>
      <c r="G1034" s="9">
        <v>44600</v>
      </c>
    </row>
    <row r="1035" spans="1:7" ht="14.25" customHeight="1">
      <c r="A1035" s="8">
        <f t="shared" si="4"/>
        <v>4989695</v>
      </c>
      <c r="B1035" s="8"/>
      <c r="C1035" s="8">
        <v>4989695</v>
      </c>
      <c r="D1035">
        <v>25</v>
      </c>
      <c r="E1035" t="s">
        <v>585</v>
      </c>
      <c r="F1035" t="s">
        <v>824</v>
      </c>
      <c r="G1035" s="9">
        <v>44600</v>
      </c>
    </row>
    <row r="1036" spans="1:7" ht="14.25" customHeight="1">
      <c r="A1036" s="8">
        <f t="shared" si="4"/>
        <v>-4312500</v>
      </c>
      <c r="B1036" s="8">
        <v>4312500</v>
      </c>
      <c r="C1036" s="8"/>
      <c r="D1036">
        <v>26</v>
      </c>
      <c r="E1036" t="s">
        <v>585</v>
      </c>
      <c r="F1036" t="s">
        <v>825</v>
      </c>
      <c r="G1036" s="9">
        <v>44613</v>
      </c>
    </row>
    <row r="1037" spans="1:7" ht="14.25" customHeight="1">
      <c r="A1037" s="8">
        <f t="shared" si="4"/>
        <v>-4312500</v>
      </c>
      <c r="B1037" s="8">
        <v>9302195</v>
      </c>
      <c r="C1037" s="8">
        <v>4989695</v>
      </c>
    </row>
    <row r="1038" spans="1:7" ht="14.25" customHeight="1">
      <c r="A1038" s="8">
        <f t="shared" si="4"/>
        <v>-4312500</v>
      </c>
      <c r="B1038" s="8">
        <v>9302195</v>
      </c>
      <c r="C1038" s="8">
        <v>4989695</v>
      </c>
      <c r="E1038">
        <v>1331821</v>
      </c>
      <c r="F1038" t="s">
        <v>187</v>
      </c>
      <c r="G1038" t="s">
        <v>581</v>
      </c>
    </row>
    <row r="1039" spans="1:7" ht="14.25" customHeight="1">
      <c r="A1039" s="8">
        <f t="shared" si="4"/>
        <v>0</v>
      </c>
      <c r="B1039" s="8"/>
      <c r="C1039" s="8"/>
      <c r="D1039" t="s">
        <v>188</v>
      </c>
      <c r="G1039">
        <v>1331901</v>
      </c>
    </row>
    <row r="1040" spans="1:7" ht="14.25" customHeight="1">
      <c r="A1040" s="8">
        <f t="shared" si="4"/>
        <v>0</v>
      </c>
      <c r="B1040" s="8"/>
      <c r="C1040" s="8"/>
      <c r="F1040" t="s">
        <v>578</v>
      </c>
      <c r="G1040">
        <v>63841000</v>
      </c>
    </row>
    <row r="1041" spans="1:7" ht="14.25" customHeight="1">
      <c r="A1041" s="8">
        <f t="shared" si="4"/>
        <v>453215</v>
      </c>
      <c r="B1041" s="8"/>
      <c r="C1041" s="8">
        <v>453215</v>
      </c>
      <c r="D1041">
        <v>53</v>
      </c>
      <c r="E1041" t="s">
        <v>579</v>
      </c>
      <c r="F1041" t="s">
        <v>826</v>
      </c>
      <c r="G1041" s="9">
        <v>44638</v>
      </c>
    </row>
    <row r="1042" spans="1:7" ht="14.25" customHeight="1">
      <c r="A1042" s="8">
        <f t="shared" si="4"/>
        <v>453215</v>
      </c>
      <c r="B1042" s="8"/>
      <c r="C1042" s="8">
        <v>453215</v>
      </c>
    </row>
    <row r="1043" spans="1:7" ht="14.25" customHeight="1">
      <c r="A1043" s="8">
        <f t="shared" si="4"/>
        <v>453215</v>
      </c>
      <c r="B1043" s="8"/>
      <c r="C1043" s="8">
        <v>453215</v>
      </c>
      <c r="E1043">
        <v>1331901</v>
      </c>
      <c r="F1043" t="s">
        <v>188</v>
      </c>
      <c r="G1043" t="s">
        <v>581</v>
      </c>
    </row>
    <row r="1044" spans="1:7" ht="14.25" customHeight="1">
      <c r="A1044" s="8">
        <f t="shared" si="4"/>
        <v>0</v>
      </c>
      <c r="B1044" s="8"/>
      <c r="C1044" s="8"/>
      <c r="D1044" t="s">
        <v>189</v>
      </c>
      <c r="G1044">
        <v>1331902</v>
      </c>
    </row>
    <row r="1045" spans="1:7" ht="14.25" customHeight="1">
      <c r="A1045" s="8">
        <f t="shared" si="4"/>
        <v>0</v>
      </c>
      <c r="B1045" s="8"/>
      <c r="C1045" s="8"/>
      <c r="F1045" t="s">
        <v>638</v>
      </c>
      <c r="G1045">
        <v>6121000</v>
      </c>
    </row>
    <row r="1046" spans="1:7" ht="14.25" customHeight="1">
      <c r="A1046" s="8">
        <f t="shared" si="4"/>
        <v>34500</v>
      </c>
      <c r="B1046" s="8"/>
      <c r="C1046" s="8">
        <v>34500</v>
      </c>
      <c r="D1046">
        <v>39</v>
      </c>
      <c r="E1046" t="s">
        <v>587</v>
      </c>
      <c r="F1046" t="s">
        <v>827</v>
      </c>
      <c r="G1046" s="9">
        <v>44638</v>
      </c>
    </row>
    <row r="1047" spans="1:7" ht="14.25" customHeight="1">
      <c r="A1047" s="8">
        <f t="shared" si="4"/>
        <v>34500</v>
      </c>
      <c r="B1047" s="8"/>
      <c r="C1047" s="8">
        <v>34500</v>
      </c>
      <c r="D1047">
        <v>137</v>
      </c>
      <c r="E1047" t="s">
        <v>587</v>
      </c>
      <c r="F1047" t="s">
        <v>828</v>
      </c>
      <c r="G1047" s="9">
        <v>44694</v>
      </c>
    </row>
    <row r="1048" spans="1:7" ht="14.25" customHeight="1">
      <c r="A1048" s="8">
        <f t="shared" si="4"/>
        <v>69000</v>
      </c>
      <c r="B1048" s="8"/>
      <c r="C1048" s="8">
        <v>69000</v>
      </c>
    </row>
    <row r="1049" spans="1:7" ht="14.25" customHeight="1">
      <c r="A1049" s="8">
        <f t="shared" si="4"/>
        <v>0</v>
      </c>
      <c r="B1049" s="8"/>
      <c r="C1049" s="8"/>
      <c r="F1049" t="s">
        <v>785</v>
      </c>
      <c r="G1049">
        <v>62231000</v>
      </c>
    </row>
    <row r="1050" spans="1:7" ht="14.25" customHeight="1">
      <c r="A1050" s="8">
        <f t="shared" si="4"/>
        <v>402500</v>
      </c>
      <c r="B1050" s="8"/>
      <c r="C1050" s="8">
        <v>402500</v>
      </c>
      <c r="D1050">
        <v>83</v>
      </c>
      <c r="E1050" t="s">
        <v>579</v>
      </c>
      <c r="F1050" t="s">
        <v>829</v>
      </c>
      <c r="G1050" s="9">
        <v>44655</v>
      </c>
    </row>
    <row r="1051" spans="1:7" ht="14.25" customHeight="1">
      <c r="A1051" s="8">
        <f t="shared" si="4"/>
        <v>402500</v>
      </c>
      <c r="B1051" s="8"/>
      <c r="C1051" s="8">
        <v>402500</v>
      </c>
    </row>
    <row r="1052" spans="1:7" ht="14.25" customHeight="1">
      <c r="A1052" s="8">
        <f t="shared" si="4"/>
        <v>471500</v>
      </c>
      <c r="B1052" s="8"/>
      <c r="C1052" s="8">
        <v>471500</v>
      </c>
      <c r="E1052">
        <v>1331902</v>
      </c>
      <c r="F1052" t="s">
        <v>189</v>
      </c>
      <c r="G1052" t="s">
        <v>581</v>
      </c>
    </row>
    <row r="1053" spans="1:7" ht="14.25" customHeight="1">
      <c r="A1053" s="8">
        <f t="shared" si="4"/>
        <v>0</v>
      </c>
      <c r="B1053" s="8"/>
      <c r="C1053" s="8"/>
      <c r="D1053" t="s">
        <v>190</v>
      </c>
      <c r="G1053">
        <v>1331905</v>
      </c>
    </row>
    <row r="1054" spans="1:7" ht="14.25" customHeight="1">
      <c r="A1054" s="8">
        <f t="shared" si="4"/>
        <v>0</v>
      </c>
      <c r="B1054" s="8"/>
      <c r="C1054" s="8"/>
      <c r="F1054" t="s">
        <v>582</v>
      </c>
      <c r="G1054">
        <v>63240000</v>
      </c>
    </row>
    <row r="1055" spans="1:7" ht="14.25" customHeight="1">
      <c r="A1055" s="8">
        <f t="shared" si="4"/>
        <v>258750</v>
      </c>
      <c r="B1055" s="8"/>
      <c r="C1055" s="8">
        <v>258750</v>
      </c>
      <c r="D1055">
        <v>161</v>
      </c>
      <c r="E1055" t="s">
        <v>579</v>
      </c>
      <c r="F1055" t="s">
        <v>812</v>
      </c>
      <c r="G1055" s="9">
        <v>44714</v>
      </c>
    </row>
    <row r="1056" spans="1:7" ht="14.25" customHeight="1">
      <c r="A1056" s="8">
        <f t="shared" si="4"/>
        <v>181125</v>
      </c>
      <c r="B1056" s="8"/>
      <c r="C1056" s="8">
        <v>181125</v>
      </c>
      <c r="D1056">
        <v>164</v>
      </c>
      <c r="E1056" t="s">
        <v>579</v>
      </c>
      <c r="F1056" t="s">
        <v>830</v>
      </c>
      <c r="G1056" s="9">
        <v>44719</v>
      </c>
    </row>
    <row r="1057" spans="1:7" ht="14.25" customHeight="1">
      <c r="A1057" s="8">
        <f t="shared" si="4"/>
        <v>439875</v>
      </c>
      <c r="B1057" s="8"/>
      <c r="C1057" s="8">
        <v>439875</v>
      </c>
    </row>
    <row r="1058" spans="1:7" ht="14.25" customHeight="1">
      <c r="A1058" s="8">
        <f t="shared" si="4"/>
        <v>439875</v>
      </c>
      <c r="B1058" s="8"/>
      <c r="C1058" s="8">
        <v>439875</v>
      </c>
      <c r="E1058">
        <v>1331905</v>
      </c>
      <c r="F1058" t="s">
        <v>190</v>
      </c>
      <c r="G1058" t="s">
        <v>581</v>
      </c>
    </row>
    <row r="1059" spans="1:7" ht="14.25" customHeight="1">
      <c r="A1059" s="8">
        <f t="shared" si="4"/>
        <v>0</v>
      </c>
      <c r="B1059" s="8"/>
      <c r="C1059" s="8"/>
      <c r="D1059" t="s">
        <v>191</v>
      </c>
      <c r="G1059">
        <v>1331921</v>
      </c>
    </row>
    <row r="1060" spans="1:7" ht="14.25" customHeight="1">
      <c r="A1060" s="8">
        <f t="shared" si="4"/>
        <v>0</v>
      </c>
      <c r="B1060" s="8"/>
      <c r="C1060" s="8"/>
      <c r="F1060" t="s">
        <v>584</v>
      </c>
      <c r="G1060">
        <v>70612000</v>
      </c>
    </row>
    <row r="1061" spans="1:7" ht="14.25" customHeight="1">
      <c r="A1061" s="8">
        <f t="shared" si="4"/>
        <v>-4463380</v>
      </c>
      <c r="B1061" s="8">
        <v>4463380</v>
      </c>
      <c r="C1061" s="8"/>
      <c r="D1061">
        <v>19</v>
      </c>
      <c r="E1061" t="s">
        <v>585</v>
      </c>
      <c r="F1061" t="s">
        <v>831</v>
      </c>
      <c r="G1061" s="9">
        <v>44601</v>
      </c>
    </row>
    <row r="1062" spans="1:7" ht="14.25" customHeight="1">
      <c r="A1062" s="8">
        <f t="shared" si="4"/>
        <v>3335</v>
      </c>
      <c r="B1062" s="8"/>
      <c r="C1062" s="8">
        <v>3335</v>
      </c>
      <c r="D1062">
        <v>219</v>
      </c>
      <c r="E1062" t="s">
        <v>594</v>
      </c>
      <c r="F1062" t="s">
        <v>832</v>
      </c>
      <c r="G1062" s="9">
        <v>44925</v>
      </c>
    </row>
    <row r="1063" spans="1:7" ht="14.25" customHeight="1">
      <c r="A1063" s="8">
        <f t="shared" si="4"/>
        <v>-3335</v>
      </c>
      <c r="B1063" s="8">
        <v>3335</v>
      </c>
      <c r="C1063" s="8"/>
      <c r="D1063">
        <v>325</v>
      </c>
      <c r="E1063" t="s">
        <v>594</v>
      </c>
      <c r="F1063" t="s">
        <v>833</v>
      </c>
      <c r="G1063" s="9">
        <v>44925</v>
      </c>
    </row>
    <row r="1064" spans="1:7" ht="14.25" customHeight="1">
      <c r="A1064" s="8">
        <f t="shared" si="4"/>
        <v>-4463380</v>
      </c>
      <c r="B1064" s="8">
        <v>4466715</v>
      </c>
      <c r="C1064" s="8">
        <v>3335</v>
      </c>
    </row>
    <row r="1065" spans="1:7" ht="14.25" customHeight="1">
      <c r="A1065" s="8">
        <f t="shared" si="4"/>
        <v>-4463380</v>
      </c>
      <c r="B1065" s="8">
        <v>4466715</v>
      </c>
      <c r="C1065" s="8">
        <v>3335</v>
      </c>
      <c r="E1065">
        <v>1331921</v>
      </c>
      <c r="F1065" t="s">
        <v>191</v>
      </c>
      <c r="G1065" t="s">
        <v>581</v>
      </c>
    </row>
    <row r="1066" spans="1:7" ht="14.25" customHeight="1">
      <c r="A1066" s="8">
        <f t="shared" si="4"/>
        <v>0</v>
      </c>
      <c r="B1066" s="8"/>
      <c r="C1066" s="8"/>
      <c r="D1066" t="s">
        <v>192</v>
      </c>
      <c r="G1066">
        <v>1332001</v>
      </c>
    </row>
    <row r="1067" spans="1:7" ht="14.25" customHeight="1">
      <c r="A1067" s="8">
        <f t="shared" si="4"/>
        <v>0</v>
      </c>
      <c r="B1067" s="8"/>
      <c r="C1067" s="8"/>
      <c r="F1067" t="s">
        <v>578</v>
      </c>
      <c r="G1067">
        <v>63841000</v>
      </c>
    </row>
    <row r="1068" spans="1:7" ht="14.25" customHeight="1">
      <c r="A1068" s="8">
        <f t="shared" si="4"/>
        <v>522905</v>
      </c>
      <c r="B1068" s="8"/>
      <c r="C1068" s="8">
        <v>522905</v>
      </c>
      <c r="D1068">
        <v>55</v>
      </c>
      <c r="E1068" t="s">
        <v>587</v>
      </c>
      <c r="F1068" t="s">
        <v>834</v>
      </c>
      <c r="G1068" s="9">
        <v>44616</v>
      </c>
    </row>
    <row r="1069" spans="1:7" ht="14.25" customHeight="1">
      <c r="A1069" s="8">
        <f t="shared" si="4"/>
        <v>522905</v>
      </c>
      <c r="B1069" s="8"/>
      <c r="C1069" s="8">
        <v>522905</v>
      </c>
    </row>
    <row r="1070" spans="1:7" ht="14.25" customHeight="1">
      <c r="A1070" s="8">
        <f t="shared" si="4"/>
        <v>522905</v>
      </c>
      <c r="B1070" s="8"/>
      <c r="C1070" s="8">
        <v>522905</v>
      </c>
      <c r="E1070">
        <v>1332001</v>
      </c>
      <c r="F1070" t="s">
        <v>192</v>
      </c>
      <c r="G1070" t="s">
        <v>581</v>
      </c>
    </row>
    <row r="1071" spans="1:7" ht="14.25" customHeight="1">
      <c r="A1071" s="8">
        <f t="shared" si="4"/>
        <v>0</v>
      </c>
      <c r="B1071" s="8"/>
      <c r="C1071" s="8"/>
      <c r="D1071" t="s">
        <v>193</v>
      </c>
      <c r="G1071">
        <v>1332002</v>
      </c>
    </row>
    <row r="1072" spans="1:7" ht="14.25" customHeight="1">
      <c r="A1072" s="8">
        <f t="shared" si="4"/>
        <v>0</v>
      </c>
      <c r="B1072" s="8"/>
      <c r="C1072" s="8"/>
      <c r="F1072" t="s">
        <v>638</v>
      </c>
      <c r="G1072">
        <v>6121000</v>
      </c>
    </row>
    <row r="1073" spans="1:7" ht="14.25" customHeight="1">
      <c r="A1073" s="8">
        <f t="shared" si="4"/>
        <v>17250</v>
      </c>
      <c r="B1073" s="8"/>
      <c r="C1073" s="8">
        <v>17250</v>
      </c>
      <c r="D1073">
        <v>50</v>
      </c>
      <c r="E1073" t="s">
        <v>587</v>
      </c>
      <c r="F1073" t="s">
        <v>835</v>
      </c>
      <c r="G1073" s="9">
        <v>44616</v>
      </c>
    </row>
    <row r="1074" spans="1:7" ht="14.25" customHeight="1">
      <c r="A1074" s="8">
        <f t="shared" si="4"/>
        <v>17250</v>
      </c>
      <c r="B1074" s="8"/>
      <c r="C1074" s="8">
        <v>17250</v>
      </c>
      <c r="D1074">
        <v>51</v>
      </c>
      <c r="E1074" t="s">
        <v>587</v>
      </c>
      <c r="F1074" t="s">
        <v>836</v>
      </c>
      <c r="G1074" s="9">
        <v>44616</v>
      </c>
    </row>
    <row r="1075" spans="1:7" ht="14.25" customHeight="1">
      <c r="A1075" s="8">
        <f t="shared" si="4"/>
        <v>34500</v>
      </c>
      <c r="B1075" s="8"/>
      <c r="C1075" s="8">
        <v>34500</v>
      </c>
    </row>
    <row r="1076" spans="1:7" ht="14.25" customHeight="1">
      <c r="A1076" s="8">
        <f t="shared" si="4"/>
        <v>34500</v>
      </c>
      <c r="B1076" s="8"/>
      <c r="C1076" s="8">
        <v>34500</v>
      </c>
      <c r="E1076">
        <v>1332002</v>
      </c>
      <c r="F1076" t="s">
        <v>193</v>
      </c>
      <c r="G1076" t="s">
        <v>581</v>
      </c>
    </row>
    <row r="1077" spans="1:7" ht="14.25" customHeight="1">
      <c r="A1077" s="8">
        <f t="shared" si="4"/>
        <v>0</v>
      </c>
      <c r="B1077" s="8"/>
      <c r="C1077" s="8"/>
      <c r="D1077" t="s">
        <v>194</v>
      </c>
      <c r="G1077">
        <v>1332005</v>
      </c>
    </row>
    <row r="1078" spans="1:7" ht="14.25" customHeight="1">
      <c r="A1078" s="8">
        <f t="shared" si="4"/>
        <v>0</v>
      </c>
      <c r="B1078" s="8"/>
      <c r="C1078" s="8"/>
      <c r="F1078" t="s">
        <v>582</v>
      </c>
      <c r="G1078">
        <v>63240000</v>
      </c>
    </row>
    <row r="1079" spans="1:7" ht="14.25" customHeight="1">
      <c r="A1079" s="8">
        <f t="shared" si="4"/>
        <v>284625</v>
      </c>
      <c r="B1079" s="8"/>
      <c r="C1079" s="8">
        <v>284625</v>
      </c>
      <c r="D1079">
        <v>210</v>
      </c>
      <c r="E1079" t="s">
        <v>579</v>
      </c>
      <c r="F1079" t="s">
        <v>837</v>
      </c>
      <c r="G1079" s="9">
        <v>44770</v>
      </c>
    </row>
    <row r="1080" spans="1:7" ht="14.25" customHeight="1">
      <c r="A1080" s="8">
        <f t="shared" si="4"/>
        <v>201250</v>
      </c>
      <c r="B1080" s="8"/>
      <c r="C1080" s="8">
        <v>201250</v>
      </c>
      <c r="D1080">
        <v>213</v>
      </c>
      <c r="E1080" t="s">
        <v>579</v>
      </c>
      <c r="F1080" t="s">
        <v>838</v>
      </c>
      <c r="G1080" s="9">
        <v>44770</v>
      </c>
    </row>
    <row r="1081" spans="1:7" ht="14.25" customHeight="1">
      <c r="A1081" s="8">
        <f t="shared" si="4"/>
        <v>485875</v>
      </c>
      <c r="B1081" s="8"/>
      <c r="C1081" s="8">
        <v>485875</v>
      </c>
    </row>
    <row r="1082" spans="1:7" ht="14.25" customHeight="1">
      <c r="A1082" s="8">
        <f t="shared" si="4"/>
        <v>485875</v>
      </c>
      <c r="B1082" s="8"/>
      <c r="C1082" s="8">
        <v>485875</v>
      </c>
      <c r="E1082">
        <v>1332005</v>
      </c>
      <c r="F1082" t="s">
        <v>194</v>
      </c>
      <c r="G1082" t="s">
        <v>581</v>
      </c>
    </row>
    <row r="1083" spans="1:7" ht="14.25" customHeight="1">
      <c r="A1083" s="8">
        <f t="shared" si="4"/>
        <v>0</v>
      </c>
      <c r="B1083" s="8"/>
      <c r="C1083" s="8"/>
      <c r="D1083" t="s">
        <v>195</v>
      </c>
      <c r="G1083">
        <v>1332021</v>
      </c>
    </row>
    <row r="1084" spans="1:7" ht="14.25" customHeight="1">
      <c r="A1084" s="8">
        <f t="shared" si="4"/>
        <v>0</v>
      </c>
      <c r="B1084" s="8"/>
      <c r="C1084" s="8"/>
      <c r="F1084" t="s">
        <v>584</v>
      </c>
      <c r="G1084">
        <v>70612000</v>
      </c>
    </row>
    <row r="1085" spans="1:7" ht="14.25" customHeight="1">
      <c r="A1085" s="8">
        <f t="shared" si="4"/>
        <v>-859625</v>
      </c>
      <c r="B1085" s="8">
        <v>859625</v>
      </c>
      <c r="C1085" s="8"/>
      <c r="D1085">
        <v>20</v>
      </c>
      <c r="E1085" t="s">
        <v>585</v>
      </c>
      <c r="F1085" t="s">
        <v>839</v>
      </c>
      <c r="G1085" s="9">
        <v>44603</v>
      </c>
    </row>
    <row r="1086" spans="1:7" ht="14.25" customHeight="1">
      <c r="A1086" s="8">
        <f t="shared" si="4"/>
        <v>-3202750</v>
      </c>
      <c r="B1086" s="8">
        <v>3202750</v>
      </c>
      <c r="C1086" s="8"/>
      <c r="D1086">
        <v>267</v>
      </c>
      <c r="E1086" t="s">
        <v>594</v>
      </c>
      <c r="F1086" t="s">
        <v>840</v>
      </c>
      <c r="G1086" s="9">
        <v>44925</v>
      </c>
    </row>
    <row r="1087" spans="1:7" ht="14.25" customHeight="1">
      <c r="A1087" s="8">
        <f t="shared" si="4"/>
        <v>-4062375</v>
      </c>
      <c r="B1087" s="8">
        <v>4062375</v>
      </c>
      <c r="C1087" s="8"/>
    </row>
    <row r="1088" spans="1:7" ht="14.25" customHeight="1">
      <c r="A1088" s="8">
        <f t="shared" si="4"/>
        <v>-4062375</v>
      </c>
      <c r="B1088" s="8">
        <v>4062375</v>
      </c>
      <c r="C1088" s="8"/>
      <c r="E1088">
        <v>1332021</v>
      </c>
      <c r="F1088" t="s">
        <v>195</v>
      </c>
      <c r="G1088" t="s">
        <v>581</v>
      </c>
    </row>
    <row r="1089" spans="1:7" ht="14.25" customHeight="1">
      <c r="A1089" s="8">
        <f t="shared" si="4"/>
        <v>0</v>
      </c>
      <c r="B1089" s="8"/>
      <c r="C1089" s="8"/>
      <c r="D1089" t="s">
        <v>196</v>
      </c>
      <c r="G1089">
        <v>1332101</v>
      </c>
    </row>
    <row r="1090" spans="1:7" ht="14.25" customHeight="1">
      <c r="A1090" s="8">
        <f t="shared" si="4"/>
        <v>0</v>
      </c>
      <c r="B1090" s="8"/>
      <c r="C1090" s="8"/>
      <c r="F1090" t="s">
        <v>578</v>
      </c>
      <c r="G1090">
        <v>63841000</v>
      </c>
    </row>
    <row r="1091" spans="1:7" ht="14.25" customHeight="1">
      <c r="A1091" s="8">
        <f t="shared" si="4"/>
        <v>453215</v>
      </c>
      <c r="B1091" s="8"/>
      <c r="C1091" s="8">
        <v>453215</v>
      </c>
      <c r="D1091">
        <v>50</v>
      </c>
      <c r="E1091" t="s">
        <v>579</v>
      </c>
      <c r="F1091" t="s">
        <v>841</v>
      </c>
      <c r="G1091" s="9">
        <v>44634</v>
      </c>
    </row>
    <row r="1092" spans="1:7" ht="14.25" customHeight="1">
      <c r="A1092" s="8">
        <f t="shared" si="4"/>
        <v>453215</v>
      </c>
      <c r="B1092" s="8"/>
      <c r="C1092" s="8">
        <v>453215</v>
      </c>
    </row>
    <row r="1093" spans="1:7" ht="14.25" customHeight="1">
      <c r="A1093" s="8">
        <f t="shared" si="4"/>
        <v>453215</v>
      </c>
      <c r="B1093" s="8"/>
      <c r="C1093" s="8">
        <v>453215</v>
      </c>
      <c r="E1093">
        <v>1332101</v>
      </c>
      <c r="F1093" t="s">
        <v>196</v>
      </c>
      <c r="G1093" t="s">
        <v>581</v>
      </c>
    </row>
    <row r="1094" spans="1:7" ht="14.25" customHeight="1">
      <c r="A1094" s="8">
        <f t="shared" si="4"/>
        <v>0</v>
      </c>
      <c r="B1094" s="8"/>
      <c r="C1094" s="8"/>
      <c r="D1094" t="s">
        <v>197</v>
      </c>
      <c r="G1094">
        <v>1332102</v>
      </c>
    </row>
    <row r="1095" spans="1:7" ht="14.25" customHeight="1">
      <c r="A1095" s="8">
        <f t="shared" si="4"/>
        <v>0</v>
      </c>
      <c r="B1095" s="8"/>
      <c r="C1095" s="8"/>
      <c r="F1095" t="s">
        <v>778</v>
      </c>
      <c r="G1095">
        <v>60532000</v>
      </c>
    </row>
    <row r="1096" spans="1:7" ht="14.25" customHeight="1">
      <c r="A1096" s="8">
        <f t="shared" si="4"/>
        <v>101236</v>
      </c>
      <c r="B1096" s="8"/>
      <c r="C1096" s="8">
        <v>101236</v>
      </c>
      <c r="D1096">
        <v>4</v>
      </c>
      <c r="E1096" t="s">
        <v>587</v>
      </c>
      <c r="F1096" t="s">
        <v>842</v>
      </c>
      <c r="G1096" s="9">
        <v>44621</v>
      </c>
    </row>
    <row r="1097" spans="1:7" ht="14.25" customHeight="1">
      <c r="A1097" s="8">
        <f t="shared" si="4"/>
        <v>101236</v>
      </c>
      <c r="B1097" s="8"/>
      <c r="C1097" s="8">
        <v>101236</v>
      </c>
    </row>
    <row r="1098" spans="1:7" ht="14.25" customHeight="1">
      <c r="A1098" s="8">
        <f t="shared" si="4"/>
        <v>0</v>
      </c>
      <c r="B1098" s="8"/>
      <c r="C1098" s="8"/>
      <c r="F1098" t="s">
        <v>638</v>
      </c>
      <c r="G1098">
        <v>6121000</v>
      </c>
    </row>
    <row r="1099" spans="1:7" ht="14.25" customHeight="1">
      <c r="A1099" s="8">
        <f t="shared" si="4"/>
        <v>34500</v>
      </c>
      <c r="B1099" s="8"/>
      <c r="C1099" s="8">
        <v>34500</v>
      </c>
      <c r="D1099">
        <v>26</v>
      </c>
      <c r="E1099" t="s">
        <v>587</v>
      </c>
      <c r="F1099" t="s">
        <v>843</v>
      </c>
      <c r="G1099" s="9">
        <v>44631</v>
      </c>
    </row>
    <row r="1100" spans="1:7" ht="14.25" customHeight="1">
      <c r="A1100" s="8">
        <f t="shared" si="4"/>
        <v>34500</v>
      </c>
      <c r="B1100" s="8"/>
      <c r="C1100" s="8">
        <v>34500</v>
      </c>
      <c r="D1100">
        <v>27</v>
      </c>
      <c r="E1100" t="s">
        <v>587</v>
      </c>
      <c r="F1100" t="s">
        <v>844</v>
      </c>
      <c r="G1100" s="9">
        <v>44631</v>
      </c>
    </row>
    <row r="1101" spans="1:7" ht="14.25" customHeight="1">
      <c r="A1101" s="8">
        <f t="shared" si="4"/>
        <v>69000</v>
      </c>
      <c r="B1101" s="8"/>
      <c r="C1101" s="8">
        <v>69000</v>
      </c>
    </row>
    <row r="1102" spans="1:7" ht="14.25" customHeight="1">
      <c r="A1102" s="8">
        <f t="shared" si="4"/>
        <v>0</v>
      </c>
      <c r="B1102" s="8"/>
      <c r="C1102" s="8"/>
      <c r="F1102" t="s">
        <v>785</v>
      </c>
      <c r="G1102">
        <v>62231000</v>
      </c>
    </row>
    <row r="1103" spans="1:7" ht="14.25" customHeight="1">
      <c r="A1103" s="8">
        <f t="shared" si="4"/>
        <v>460000</v>
      </c>
      <c r="B1103" s="8"/>
      <c r="C1103" s="8">
        <v>460000</v>
      </c>
      <c r="D1103">
        <v>56</v>
      </c>
      <c r="E1103" t="s">
        <v>579</v>
      </c>
      <c r="F1103" t="s">
        <v>845</v>
      </c>
      <c r="G1103" s="9">
        <v>44641</v>
      </c>
    </row>
    <row r="1104" spans="1:7" ht="14.25" customHeight="1">
      <c r="A1104" s="8">
        <f t="shared" si="4"/>
        <v>460000</v>
      </c>
      <c r="B1104" s="8"/>
      <c r="C1104" s="8">
        <v>460000</v>
      </c>
    </row>
    <row r="1105" spans="1:7" ht="14.25" customHeight="1">
      <c r="A1105" s="8">
        <f t="shared" si="4"/>
        <v>630236</v>
      </c>
      <c r="B1105" s="8"/>
      <c r="C1105" s="8">
        <v>630236</v>
      </c>
      <c r="E1105">
        <v>1332102</v>
      </c>
      <c r="F1105" t="s">
        <v>197</v>
      </c>
      <c r="G1105" t="s">
        <v>581</v>
      </c>
    </row>
    <row r="1106" spans="1:7" ht="14.25" customHeight="1">
      <c r="A1106" s="8">
        <f t="shared" si="4"/>
        <v>0</v>
      </c>
      <c r="B1106" s="8"/>
      <c r="C1106" s="8"/>
      <c r="D1106" t="s">
        <v>198</v>
      </c>
      <c r="G1106">
        <v>1332105</v>
      </c>
    </row>
    <row r="1107" spans="1:7" ht="14.25" customHeight="1">
      <c r="A1107" s="8">
        <f t="shared" si="4"/>
        <v>0</v>
      </c>
      <c r="B1107" s="8"/>
      <c r="C1107" s="8"/>
      <c r="F1107" t="s">
        <v>582</v>
      </c>
      <c r="G1107">
        <v>63240000</v>
      </c>
    </row>
    <row r="1108" spans="1:7" ht="14.25" customHeight="1">
      <c r="A1108" s="8">
        <f t="shared" si="4"/>
        <v>201250</v>
      </c>
      <c r="B1108" s="8"/>
      <c r="C1108" s="8">
        <v>201250</v>
      </c>
      <c r="D1108">
        <v>159</v>
      </c>
      <c r="E1108" t="s">
        <v>579</v>
      </c>
      <c r="F1108" t="s">
        <v>846</v>
      </c>
      <c r="G1108" s="9">
        <v>44714</v>
      </c>
    </row>
    <row r="1109" spans="1:7" ht="14.25" customHeight="1">
      <c r="A1109" s="8">
        <f t="shared" si="4"/>
        <v>284625</v>
      </c>
      <c r="B1109" s="8"/>
      <c r="C1109" s="8">
        <v>284625</v>
      </c>
      <c r="D1109">
        <v>161</v>
      </c>
      <c r="E1109" t="s">
        <v>579</v>
      </c>
      <c r="F1109" t="s">
        <v>812</v>
      </c>
      <c r="G1109" s="9">
        <v>44714</v>
      </c>
    </row>
    <row r="1110" spans="1:7" ht="14.25" customHeight="1">
      <c r="A1110" s="8">
        <f t="shared" si="4"/>
        <v>485875</v>
      </c>
      <c r="B1110" s="8"/>
      <c r="C1110" s="8">
        <v>485875</v>
      </c>
    </row>
    <row r="1111" spans="1:7" ht="14.25" customHeight="1">
      <c r="A1111" s="8">
        <f t="shared" si="4"/>
        <v>485875</v>
      </c>
      <c r="B1111" s="8"/>
      <c r="C1111" s="8">
        <v>485875</v>
      </c>
      <c r="E1111">
        <v>1332105</v>
      </c>
      <c r="F1111" t="s">
        <v>198</v>
      </c>
      <c r="G1111" t="s">
        <v>581</v>
      </c>
    </row>
    <row r="1112" spans="1:7" ht="14.25" customHeight="1">
      <c r="A1112" s="8">
        <f t="shared" si="4"/>
        <v>0</v>
      </c>
      <c r="B1112" s="8"/>
      <c r="C1112" s="8"/>
      <c r="D1112" t="s">
        <v>199</v>
      </c>
      <c r="G1112">
        <v>1332121</v>
      </c>
    </row>
    <row r="1113" spans="1:7" ht="14.25" customHeight="1">
      <c r="A1113" s="8">
        <f t="shared" si="4"/>
        <v>0</v>
      </c>
      <c r="B1113" s="8"/>
      <c r="C1113" s="8"/>
      <c r="F1113" t="s">
        <v>584</v>
      </c>
      <c r="G1113">
        <v>70612000</v>
      </c>
    </row>
    <row r="1114" spans="1:7" ht="14.25" customHeight="1">
      <c r="A1114" s="8">
        <f t="shared" si="4"/>
        <v>-4600845</v>
      </c>
      <c r="B1114" s="8">
        <v>4600845</v>
      </c>
      <c r="C1114" s="8"/>
      <c r="D1114">
        <v>22</v>
      </c>
      <c r="E1114" t="s">
        <v>585</v>
      </c>
      <c r="F1114" t="s">
        <v>847</v>
      </c>
      <c r="G1114" s="9">
        <v>44603</v>
      </c>
    </row>
    <row r="1115" spans="1:7" ht="14.25" customHeight="1">
      <c r="A1115" s="8">
        <f t="shared" si="4"/>
        <v>-4600845</v>
      </c>
      <c r="B1115" s="8">
        <v>4600845</v>
      </c>
      <c r="C1115" s="8"/>
    </row>
    <row r="1116" spans="1:7" ht="14.25" customHeight="1">
      <c r="A1116" s="8">
        <f t="shared" si="4"/>
        <v>-4600845</v>
      </c>
      <c r="B1116" s="8">
        <v>4600845</v>
      </c>
      <c r="C1116" s="8"/>
      <c r="E1116">
        <v>1332121</v>
      </c>
      <c r="F1116" t="s">
        <v>199</v>
      </c>
      <c r="G1116" t="s">
        <v>581</v>
      </c>
    </row>
    <row r="1117" spans="1:7" ht="14.25" customHeight="1">
      <c r="A1117" s="8">
        <f t="shared" si="4"/>
        <v>0</v>
      </c>
      <c r="B1117" s="8"/>
      <c r="C1117" s="8"/>
      <c r="D1117" t="s">
        <v>200</v>
      </c>
      <c r="G1117">
        <v>1332201</v>
      </c>
    </row>
    <row r="1118" spans="1:7" ht="14.25" customHeight="1">
      <c r="A1118" s="8">
        <f t="shared" si="4"/>
        <v>0</v>
      </c>
      <c r="B1118" s="8"/>
      <c r="C1118" s="8"/>
      <c r="F1118" t="s">
        <v>578</v>
      </c>
      <c r="G1118">
        <v>63841000</v>
      </c>
    </row>
    <row r="1119" spans="1:7" ht="14.25" customHeight="1">
      <c r="A1119" s="8">
        <f t="shared" si="4"/>
        <v>522905</v>
      </c>
      <c r="B1119" s="8"/>
      <c r="C1119" s="8">
        <v>522905</v>
      </c>
      <c r="D1119">
        <v>60</v>
      </c>
      <c r="E1119" t="s">
        <v>579</v>
      </c>
      <c r="F1119" t="s">
        <v>848</v>
      </c>
      <c r="G1119" s="9">
        <v>44644</v>
      </c>
    </row>
    <row r="1120" spans="1:7" ht="14.25" customHeight="1">
      <c r="A1120" s="8">
        <f t="shared" si="4"/>
        <v>522905</v>
      </c>
      <c r="B1120" s="8"/>
      <c r="C1120" s="8">
        <v>522905</v>
      </c>
    </row>
    <row r="1121" spans="1:7" ht="14.25" customHeight="1">
      <c r="A1121" s="8">
        <f t="shared" si="4"/>
        <v>522905</v>
      </c>
      <c r="B1121" s="8"/>
      <c r="C1121" s="8">
        <v>522905</v>
      </c>
      <c r="E1121">
        <v>1332201</v>
      </c>
      <c r="F1121" t="s">
        <v>200</v>
      </c>
      <c r="G1121" t="s">
        <v>581</v>
      </c>
    </row>
    <row r="1122" spans="1:7" ht="14.25" customHeight="1">
      <c r="A1122" s="8">
        <f t="shared" si="4"/>
        <v>0</v>
      </c>
      <c r="B1122" s="8"/>
      <c r="C1122" s="8"/>
      <c r="D1122" t="s">
        <v>201</v>
      </c>
      <c r="G1122">
        <v>1332202</v>
      </c>
    </row>
    <row r="1123" spans="1:7" ht="14.25" customHeight="1">
      <c r="A1123" s="8">
        <f t="shared" si="4"/>
        <v>0</v>
      </c>
      <c r="B1123" s="8"/>
      <c r="C1123" s="8"/>
      <c r="F1123" t="s">
        <v>638</v>
      </c>
      <c r="G1123">
        <v>6121000</v>
      </c>
    </row>
    <row r="1124" spans="1:7" ht="14.25" customHeight="1">
      <c r="A1124" s="8">
        <f t="shared" si="4"/>
        <v>34500</v>
      </c>
      <c r="B1124" s="8"/>
      <c r="C1124" s="8">
        <v>34500</v>
      </c>
      <c r="D1124">
        <v>162</v>
      </c>
      <c r="E1124" t="s">
        <v>587</v>
      </c>
      <c r="F1124" t="s">
        <v>849</v>
      </c>
      <c r="G1124" s="9">
        <v>44714</v>
      </c>
    </row>
    <row r="1125" spans="1:7" ht="14.25" customHeight="1">
      <c r="A1125" s="8">
        <f t="shared" si="4"/>
        <v>34500</v>
      </c>
      <c r="B1125" s="8"/>
      <c r="C1125" s="8">
        <v>34500</v>
      </c>
      <c r="D1125">
        <v>258</v>
      </c>
      <c r="E1125" t="s">
        <v>587</v>
      </c>
      <c r="F1125" t="s">
        <v>850</v>
      </c>
      <c r="G1125" s="9">
        <v>44746</v>
      </c>
    </row>
    <row r="1126" spans="1:7" ht="14.25" customHeight="1">
      <c r="A1126" s="8">
        <f t="shared" si="4"/>
        <v>69000</v>
      </c>
      <c r="B1126" s="8"/>
      <c r="C1126" s="8">
        <v>69000</v>
      </c>
    </row>
    <row r="1127" spans="1:7" ht="14.25" customHeight="1">
      <c r="A1127" s="8">
        <f t="shared" si="4"/>
        <v>0</v>
      </c>
      <c r="B1127" s="8"/>
      <c r="C1127" s="8"/>
      <c r="F1127" t="s">
        <v>785</v>
      </c>
      <c r="G1127">
        <v>62231000</v>
      </c>
    </row>
    <row r="1128" spans="1:7" ht="14.25" customHeight="1">
      <c r="A1128" s="8">
        <f t="shared" si="4"/>
        <v>460000</v>
      </c>
      <c r="B1128" s="8"/>
      <c r="C1128" s="8">
        <v>460000</v>
      </c>
      <c r="D1128">
        <v>84</v>
      </c>
      <c r="E1128" t="s">
        <v>579</v>
      </c>
      <c r="F1128" t="s">
        <v>851</v>
      </c>
      <c r="G1128" s="9">
        <v>44655</v>
      </c>
    </row>
    <row r="1129" spans="1:7" ht="14.25" customHeight="1">
      <c r="A1129" s="8">
        <f t="shared" si="4"/>
        <v>460000</v>
      </c>
      <c r="B1129" s="8"/>
      <c r="C1129" s="8">
        <v>460000</v>
      </c>
    </row>
    <row r="1130" spans="1:7" ht="14.25" customHeight="1">
      <c r="A1130" s="8">
        <f t="shared" si="4"/>
        <v>529000</v>
      </c>
      <c r="B1130" s="8"/>
      <c r="C1130" s="8">
        <v>529000</v>
      </c>
      <c r="E1130">
        <v>1332202</v>
      </c>
      <c r="F1130" t="s">
        <v>201</v>
      </c>
      <c r="G1130" t="s">
        <v>581</v>
      </c>
    </row>
    <row r="1131" spans="1:7" ht="14.25" customHeight="1">
      <c r="A1131" s="8">
        <f t="shared" si="4"/>
        <v>0</v>
      </c>
      <c r="B1131" s="8"/>
      <c r="C1131" s="8"/>
      <c r="D1131" t="s">
        <v>202</v>
      </c>
      <c r="G1131">
        <v>1332205</v>
      </c>
    </row>
    <row r="1132" spans="1:7" ht="14.25" customHeight="1">
      <c r="A1132" s="8">
        <f t="shared" si="4"/>
        <v>0</v>
      </c>
      <c r="B1132" s="8"/>
      <c r="C1132" s="8"/>
      <c r="F1132" t="s">
        <v>582</v>
      </c>
      <c r="G1132">
        <v>63240000</v>
      </c>
    </row>
    <row r="1133" spans="1:7" ht="14.25" customHeight="1">
      <c r="A1133" s="8">
        <f t="shared" si="4"/>
        <v>284625</v>
      </c>
      <c r="B1133" s="8"/>
      <c r="C1133" s="8">
        <v>284625</v>
      </c>
      <c r="D1133">
        <v>127</v>
      </c>
      <c r="E1133" t="s">
        <v>579</v>
      </c>
      <c r="F1133" t="s">
        <v>852</v>
      </c>
      <c r="G1133" s="9">
        <v>44691</v>
      </c>
    </row>
    <row r="1134" spans="1:7" ht="14.25" customHeight="1">
      <c r="A1134" s="8">
        <f t="shared" si="4"/>
        <v>201250</v>
      </c>
      <c r="B1134" s="8"/>
      <c r="C1134" s="8">
        <v>201250</v>
      </c>
      <c r="D1134">
        <v>163</v>
      </c>
      <c r="E1134" t="s">
        <v>579</v>
      </c>
      <c r="F1134" t="s">
        <v>853</v>
      </c>
      <c r="G1134" s="9">
        <v>44719</v>
      </c>
    </row>
    <row r="1135" spans="1:7" ht="14.25" customHeight="1">
      <c r="A1135" s="8">
        <f t="shared" si="4"/>
        <v>485875</v>
      </c>
      <c r="B1135" s="8"/>
      <c r="C1135" s="8">
        <v>485875</v>
      </c>
    </row>
    <row r="1136" spans="1:7" ht="14.25" customHeight="1">
      <c r="A1136" s="8">
        <f t="shared" si="4"/>
        <v>485875</v>
      </c>
      <c r="B1136" s="8"/>
      <c r="C1136" s="8">
        <v>485875</v>
      </c>
      <c r="E1136">
        <v>1332205</v>
      </c>
      <c r="F1136" t="s">
        <v>202</v>
      </c>
      <c r="G1136" t="s">
        <v>581</v>
      </c>
    </row>
    <row r="1137" spans="1:7" ht="14.25" customHeight="1">
      <c r="A1137" s="8">
        <f t="shared" si="4"/>
        <v>0</v>
      </c>
      <c r="B1137" s="8"/>
      <c r="C1137" s="8"/>
      <c r="D1137" t="s">
        <v>203</v>
      </c>
      <c r="G1137">
        <v>1332221</v>
      </c>
    </row>
    <row r="1138" spans="1:7" ht="14.25" customHeight="1">
      <c r="A1138" s="8">
        <f t="shared" si="4"/>
        <v>0</v>
      </c>
      <c r="B1138" s="8"/>
      <c r="C1138" s="8"/>
      <c r="F1138" t="s">
        <v>584</v>
      </c>
      <c r="G1138">
        <v>70612000</v>
      </c>
    </row>
    <row r="1139" spans="1:7" ht="14.25" customHeight="1">
      <c r="A1139" s="8">
        <f t="shared" si="4"/>
        <v>-4794914</v>
      </c>
      <c r="B1139" s="8">
        <v>4794914</v>
      </c>
      <c r="C1139" s="8"/>
      <c r="D1139">
        <v>23</v>
      </c>
      <c r="E1139" t="s">
        <v>585</v>
      </c>
      <c r="F1139" t="s">
        <v>854</v>
      </c>
      <c r="G1139" s="9">
        <v>44603</v>
      </c>
    </row>
    <row r="1140" spans="1:7" ht="14.25" customHeight="1">
      <c r="A1140" s="8">
        <f t="shared" si="4"/>
        <v>-4794914</v>
      </c>
      <c r="B1140" s="8">
        <v>4794914</v>
      </c>
      <c r="C1140" s="8"/>
    </row>
    <row r="1141" spans="1:7" ht="14.25" customHeight="1">
      <c r="A1141" s="8">
        <f t="shared" si="4"/>
        <v>-4794914</v>
      </c>
      <c r="B1141" s="8">
        <v>4794914</v>
      </c>
      <c r="C1141" s="8"/>
      <c r="E1141">
        <v>1332221</v>
      </c>
      <c r="F1141" t="s">
        <v>203</v>
      </c>
      <c r="G1141" t="s">
        <v>581</v>
      </c>
    </row>
    <row r="1142" spans="1:7" ht="14.25" customHeight="1">
      <c r="A1142" s="8">
        <f t="shared" si="4"/>
        <v>0</v>
      </c>
      <c r="B1142" s="8"/>
      <c r="C1142" s="8"/>
      <c r="D1142" t="s">
        <v>204</v>
      </c>
      <c r="G1142">
        <v>1332321</v>
      </c>
    </row>
    <row r="1143" spans="1:7" ht="14.25" customHeight="1">
      <c r="A1143" s="8">
        <f t="shared" si="4"/>
        <v>0</v>
      </c>
      <c r="B1143" s="8"/>
      <c r="C1143" s="8"/>
      <c r="F1143" t="s">
        <v>584</v>
      </c>
      <c r="G1143">
        <v>70612000</v>
      </c>
    </row>
    <row r="1144" spans="1:7" ht="14.25" customHeight="1">
      <c r="A1144" s="8">
        <f t="shared" si="4"/>
        <v>-4433975</v>
      </c>
      <c r="B1144" s="8">
        <v>4433975</v>
      </c>
      <c r="C1144" s="8"/>
      <c r="D1144">
        <v>14</v>
      </c>
      <c r="E1144" t="s">
        <v>585</v>
      </c>
      <c r="F1144" t="s">
        <v>855</v>
      </c>
      <c r="G1144" s="9">
        <v>44600</v>
      </c>
    </row>
    <row r="1145" spans="1:7" ht="14.25" customHeight="1">
      <c r="A1145" s="8">
        <f t="shared" si="4"/>
        <v>4433975</v>
      </c>
      <c r="B1145" s="8"/>
      <c r="C1145" s="8">
        <v>4433975</v>
      </c>
      <c r="D1145">
        <v>300</v>
      </c>
      <c r="E1145" t="s">
        <v>594</v>
      </c>
      <c r="F1145" t="s">
        <v>856</v>
      </c>
      <c r="G1145" s="9">
        <v>44925</v>
      </c>
    </row>
    <row r="1146" spans="1:7" ht="14.25" customHeight="1">
      <c r="A1146" s="8">
        <f t="shared" si="4"/>
        <v>0</v>
      </c>
      <c r="B1146" s="8">
        <v>4433975</v>
      </c>
      <c r="C1146" s="8">
        <v>4433975</v>
      </c>
    </row>
    <row r="1147" spans="1:7" ht="14.25" customHeight="1">
      <c r="A1147" s="8">
        <f t="shared" si="4"/>
        <v>0</v>
      </c>
      <c r="B1147" s="8">
        <v>4433975</v>
      </c>
      <c r="C1147" s="8">
        <v>4433975</v>
      </c>
      <c r="E1147">
        <v>1332321</v>
      </c>
      <c r="F1147" t="s">
        <v>204</v>
      </c>
      <c r="G1147" t="s">
        <v>581</v>
      </c>
    </row>
    <row r="1148" spans="1:7" ht="14.25" customHeight="1">
      <c r="A1148" s="8">
        <f t="shared" si="4"/>
        <v>0</v>
      </c>
      <c r="B1148" s="8"/>
      <c r="C1148" s="8"/>
      <c r="D1148" t="s">
        <v>205</v>
      </c>
      <c r="G1148">
        <v>1332401</v>
      </c>
    </row>
    <row r="1149" spans="1:7" ht="14.25" customHeight="1">
      <c r="A1149" s="8">
        <f t="shared" si="4"/>
        <v>0</v>
      </c>
      <c r="B1149" s="8"/>
      <c r="C1149" s="8"/>
      <c r="F1149" t="s">
        <v>578</v>
      </c>
      <c r="G1149">
        <v>63841000</v>
      </c>
    </row>
    <row r="1150" spans="1:7" ht="14.25" customHeight="1">
      <c r="A1150" s="8">
        <f t="shared" si="4"/>
        <v>662285</v>
      </c>
      <c r="B1150" s="8"/>
      <c r="C1150" s="8">
        <v>662285</v>
      </c>
      <c r="D1150">
        <v>90</v>
      </c>
      <c r="E1150" t="s">
        <v>579</v>
      </c>
      <c r="F1150" t="s">
        <v>857</v>
      </c>
      <c r="G1150" s="9">
        <v>44657</v>
      </c>
    </row>
    <row r="1151" spans="1:7" ht="14.25" customHeight="1">
      <c r="A1151" s="8">
        <f t="shared" si="4"/>
        <v>130669</v>
      </c>
      <c r="B1151" s="8"/>
      <c r="C1151" s="8">
        <v>130669</v>
      </c>
      <c r="D1151">
        <v>96</v>
      </c>
      <c r="E1151" t="s">
        <v>579</v>
      </c>
      <c r="F1151" t="s">
        <v>858</v>
      </c>
      <c r="G1151" s="9">
        <v>44663</v>
      </c>
    </row>
    <row r="1152" spans="1:7" ht="14.25" customHeight="1">
      <c r="A1152" s="8">
        <f t="shared" si="4"/>
        <v>792954</v>
      </c>
      <c r="B1152" s="8"/>
      <c r="C1152" s="8">
        <v>792954</v>
      </c>
    </row>
    <row r="1153" spans="1:7" ht="14.25" customHeight="1">
      <c r="A1153" s="8">
        <f t="shared" si="4"/>
        <v>792954</v>
      </c>
      <c r="B1153" s="8"/>
      <c r="C1153" s="8">
        <v>792954</v>
      </c>
      <c r="E1153">
        <v>1332401</v>
      </c>
      <c r="F1153" t="s">
        <v>205</v>
      </c>
      <c r="G1153" t="s">
        <v>581</v>
      </c>
    </row>
    <row r="1154" spans="1:7" ht="14.25" customHeight="1">
      <c r="A1154" s="8">
        <f t="shared" si="4"/>
        <v>0</v>
      </c>
      <c r="B1154" s="8"/>
      <c r="C1154" s="8"/>
      <c r="D1154" t="s">
        <v>206</v>
      </c>
      <c r="G1154">
        <v>1332402</v>
      </c>
    </row>
    <row r="1155" spans="1:7" ht="14.25" customHeight="1">
      <c r="A1155" s="8">
        <f t="shared" si="4"/>
        <v>0</v>
      </c>
      <c r="B1155" s="8"/>
      <c r="C1155" s="8"/>
      <c r="F1155" t="s">
        <v>638</v>
      </c>
      <c r="G1155">
        <v>6121000</v>
      </c>
    </row>
    <row r="1156" spans="1:7" ht="14.25" customHeight="1">
      <c r="A1156" s="8">
        <f t="shared" si="4"/>
        <v>5922</v>
      </c>
      <c r="B1156" s="8"/>
      <c r="C1156" s="8">
        <v>5922</v>
      </c>
      <c r="D1156">
        <v>96</v>
      </c>
      <c r="E1156" t="s">
        <v>579</v>
      </c>
      <c r="F1156" t="s">
        <v>859</v>
      </c>
      <c r="G1156" s="9">
        <v>44663</v>
      </c>
    </row>
    <row r="1157" spans="1:7" ht="14.25" customHeight="1">
      <c r="A1157" s="8">
        <f t="shared" si="4"/>
        <v>5922</v>
      </c>
      <c r="B1157" s="8"/>
      <c r="C1157" s="8">
        <v>5922</v>
      </c>
    </row>
    <row r="1158" spans="1:7" ht="14.25" customHeight="1">
      <c r="A1158" s="8">
        <f t="shared" si="4"/>
        <v>5922</v>
      </c>
      <c r="B1158" s="8"/>
      <c r="C1158" s="8">
        <v>5922</v>
      </c>
      <c r="E1158">
        <v>1332402</v>
      </c>
      <c r="F1158" t="s">
        <v>206</v>
      </c>
      <c r="G1158" t="s">
        <v>581</v>
      </c>
    </row>
    <row r="1159" spans="1:7" ht="14.25" customHeight="1">
      <c r="A1159" s="8">
        <f t="shared" si="4"/>
        <v>0</v>
      </c>
      <c r="B1159" s="8"/>
      <c r="C1159" s="8"/>
      <c r="D1159" t="s">
        <v>207</v>
      </c>
      <c r="G1159">
        <v>1332421</v>
      </c>
    </row>
    <row r="1160" spans="1:7" ht="14.25" customHeight="1">
      <c r="A1160" s="8">
        <f t="shared" si="4"/>
        <v>0</v>
      </c>
      <c r="B1160" s="8"/>
      <c r="C1160" s="8"/>
      <c r="F1160" t="s">
        <v>584</v>
      </c>
      <c r="G1160">
        <v>70612000</v>
      </c>
    </row>
    <row r="1161" spans="1:7" ht="14.25" customHeight="1">
      <c r="A1161" s="8">
        <f t="shared" si="4"/>
        <v>-5256673</v>
      </c>
      <c r="B1161" s="8">
        <v>5256673</v>
      </c>
      <c r="C1161" s="8"/>
      <c r="D1161">
        <v>27</v>
      </c>
      <c r="E1161" t="s">
        <v>585</v>
      </c>
      <c r="F1161" t="s">
        <v>860</v>
      </c>
      <c r="G1161" s="9">
        <v>44613</v>
      </c>
    </row>
    <row r="1162" spans="1:7" ht="14.25" customHeight="1">
      <c r="A1162" s="8">
        <f t="shared" si="4"/>
        <v>-5256673</v>
      </c>
      <c r="B1162" s="8">
        <v>5256673</v>
      </c>
      <c r="C1162" s="8"/>
    </row>
    <row r="1163" spans="1:7" ht="14.25" customHeight="1">
      <c r="A1163" s="8">
        <f t="shared" si="4"/>
        <v>-5256673</v>
      </c>
      <c r="B1163" s="8">
        <v>5256673</v>
      </c>
      <c r="C1163" s="8"/>
      <c r="E1163">
        <v>1332421</v>
      </c>
      <c r="F1163" t="s">
        <v>207</v>
      </c>
      <c r="G1163" t="s">
        <v>581</v>
      </c>
    </row>
    <row r="1164" spans="1:7" ht="14.25" customHeight="1">
      <c r="A1164" s="8">
        <f t="shared" si="4"/>
        <v>0</v>
      </c>
      <c r="B1164" s="8"/>
      <c r="C1164" s="8"/>
      <c r="D1164" t="s">
        <v>208</v>
      </c>
      <c r="G1164">
        <v>1332501</v>
      </c>
    </row>
    <row r="1165" spans="1:7" ht="14.25" customHeight="1">
      <c r="A1165" s="8">
        <f t="shared" si="4"/>
        <v>0</v>
      </c>
      <c r="B1165" s="8"/>
      <c r="C1165" s="8"/>
      <c r="F1165" t="s">
        <v>578</v>
      </c>
      <c r="G1165">
        <v>63841000</v>
      </c>
    </row>
    <row r="1166" spans="1:7" ht="14.25" customHeight="1">
      <c r="A1166" s="8">
        <f t="shared" si="4"/>
        <v>871355</v>
      </c>
      <c r="B1166" s="8"/>
      <c r="C1166" s="8">
        <v>871355</v>
      </c>
      <c r="D1166">
        <v>49</v>
      </c>
      <c r="E1166" t="s">
        <v>579</v>
      </c>
      <c r="F1166" t="s">
        <v>861</v>
      </c>
      <c r="G1166" s="9">
        <v>44634</v>
      </c>
    </row>
    <row r="1167" spans="1:7" ht="14.25" customHeight="1">
      <c r="A1167" s="8">
        <f t="shared" si="4"/>
        <v>871355</v>
      </c>
      <c r="B1167" s="8"/>
      <c r="C1167" s="8">
        <v>871355</v>
      </c>
    </row>
    <row r="1168" spans="1:7" ht="14.25" customHeight="1">
      <c r="A1168" s="8">
        <f t="shared" si="4"/>
        <v>871355</v>
      </c>
      <c r="B1168" s="8"/>
      <c r="C1168" s="8">
        <v>871355</v>
      </c>
      <c r="E1168">
        <v>1332501</v>
      </c>
      <c r="F1168" t="s">
        <v>208</v>
      </c>
      <c r="G1168" t="s">
        <v>581</v>
      </c>
    </row>
    <row r="1169" spans="1:7" ht="14.25" customHeight="1">
      <c r="A1169" s="8">
        <f t="shared" si="4"/>
        <v>0</v>
      </c>
      <c r="B1169" s="8"/>
      <c r="C1169" s="8"/>
      <c r="D1169" t="s">
        <v>209</v>
      </c>
      <c r="G1169">
        <v>1332502</v>
      </c>
    </row>
    <row r="1170" spans="1:7" ht="14.25" customHeight="1">
      <c r="A1170" s="8">
        <f t="shared" si="4"/>
        <v>0</v>
      </c>
      <c r="B1170" s="8"/>
      <c r="C1170" s="8"/>
      <c r="F1170" t="s">
        <v>638</v>
      </c>
      <c r="G1170">
        <v>6121000</v>
      </c>
    </row>
    <row r="1171" spans="1:7" ht="14.25" customHeight="1">
      <c r="A1171" s="8">
        <f t="shared" si="4"/>
        <v>34500</v>
      </c>
      <c r="B1171" s="8"/>
      <c r="C1171" s="8">
        <v>34500</v>
      </c>
      <c r="D1171">
        <v>177</v>
      </c>
      <c r="E1171" t="s">
        <v>587</v>
      </c>
      <c r="F1171" t="s">
        <v>862</v>
      </c>
      <c r="G1171" s="9">
        <v>44722</v>
      </c>
    </row>
    <row r="1172" spans="1:7" ht="14.25" customHeight="1">
      <c r="A1172" s="8">
        <f t="shared" si="4"/>
        <v>34500</v>
      </c>
      <c r="B1172" s="8"/>
      <c r="C1172" s="8">
        <v>34500</v>
      </c>
      <c r="D1172">
        <v>259</v>
      </c>
      <c r="E1172" t="s">
        <v>587</v>
      </c>
      <c r="F1172" t="s">
        <v>863</v>
      </c>
      <c r="G1172" s="9">
        <v>44746</v>
      </c>
    </row>
    <row r="1173" spans="1:7" ht="14.25" customHeight="1">
      <c r="A1173" s="8">
        <f t="shared" si="4"/>
        <v>69000</v>
      </c>
      <c r="B1173" s="8"/>
      <c r="C1173" s="8">
        <v>69000</v>
      </c>
    </row>
    <row r="1174" spans="1:7" ht="14.25" customHeight="1">
      <c r="A1174" s="8">
        <f t="shared" si="4"/>
        <v>0</v>
      </c>
      <c r="B1174" s="8"/>
      <c r="C1174" s="8"/>
      <c r="F1174" t="s">
        <v>785</v>
      </c>
      <c r="G1174">
        <v>62231000</v>
      </c>
    </row>
    <row r="1175" spans="1:7" ht="14.25" customHeight="1">
      <c r="A1175" s="8">
        <f t="shared" si="4"/>
        <v>747500</v>
      </c>
      <c r="B1175" s="8"/>
      <c r="C1175" s="8">
        <v>747500</v>
      </c>
      <c r="D1175">
        <v>65</v>
      </c>
      <c r="E1175" t="s">
        <v>579</v>
      </c>
      <c r="F1175" t="s">
        <v>864</v>
      </c>
      <c r="G1175" s="9">
        <v>44648</v>
      </c>
    </row>
    <row r="1176" spans="1:7" ht="14.25" customHeight="1">
      <c r="A1176" s="8">
        <f t="shared" si="4"/>
        <v>747500</v>
      </c>
      <c r="B1176" s="8"/>
      <c r="C1176" s="8">
        <v>747500</v>
      </c>
    </row>
    <row r="1177" spans="1:7" ht="14.25" customHeight="1">
      <c r="A1177" s="8">
        <f t="shared" si="4"/>
        <v>816500</v>
      </c>
      <c r="B1177" s="8"/>
      <c r="C1177" s="8">
        <v>816500</v>
      </c>
      <c r="E1177">
        <v>1332502</v>
      </c>
      <c r="F1177" t="s">
        <v>209</v>
      </c>
      <c r="G1177" t="s">
        <v>581</v>
      </c>
    </row>
    <row r="1178" spans="1:7" ht="14.25" customHeight="1">
      <c r="A1178" s="8">
        <f t="shared" si="4"/>
        <v>0</v>
      </c>
      <c r="B1178" s="8"/>
      <c r="C1178" s="8"/>
      <c r="D1178" t="s">
        <v>210</v>
      </c>
      <c r="G1178">
        <v>1332505</v>
      </c>
    </row>
    <row r="1179" spans="1:7" ht="14.25" customHeight="1">
      <c r="A1179" s="8">
        <f t="shared" si="4"/>
        <v>0</v>
      </c>
      <c r="B1179" s="8"/>
      <c r="C1179" s="8"/>
      <c r="F1179" t="s">
        <v>582</v>
      </c>
      <c r="G1179">
        <v>63240000</v>
      </c>
    </row>
    <row r="1180" spans="1:7" ht="14.25" customHeight="1">
      <c r="A1180" s="8">
        <f t="shared" si="4"/>
        <v>491625</v>
      </c>
      <c r="B1180" s="8"/>
      <c r="C1180" s="8">
        <v>491625</v>
      </c>
      <c r="D1180">
        <v>197</v>
      </c>
      <c r="E1180" t="s">
        <v>579</v>
      </c>
      <c r="F1180" t="s">
        <v>818</v>
      </c>
      <c r="G1180" s="9">
        <v>44741</v>
      </c>
    </row>
    <row r="1181" spans="1:7" ht="14.25" customHeight="1">
      <c r="A1181" s="8">
        <f t="shared" si="4"/>
        <v>362250</v>
      </c>
      <c r="B1181" s="8"/>
      <c r="C1181" s="8">
        <v>362250</v>
      </c>
      <c r="D1181">
        <v>198</v>
      </c>
      <c r="E1181" t="s">
        <v>579</v>
      </c>
      <c r="F1181" t="s">
        <v>865</v>
      </c>
      <c r="G1181" s="9">
        <v>44741</v>
      </c>
    </row>
    <row r="1182" spans="1:7" ht="14.25" customHeight="1">
      <c r="A1182" s="8">
        <f t="shared" si="4"/>
        <v>853875</v>
      </c>
      <c r="B1182" s="8"/>
      <c r="C1182" s="8">
        <v>853875</v>
      </c>
    </row>
    <row r="1183" spans="1:7" ht="14.25" customHeight="1">
      <c r="A1183" s="8">
        <f t="shared" si="4"/>
        <v>853875</v>
      </c>
      <c r="B1183" s="8"/>
      <c r="C1183" s="8">
        <v>853875</v>
      </c>
      <c r="E1183">
        <v>1332505</v>
      </c>
      <c r="F1183" t="s">
        <v>210</v>
      </c>
      <c r="G1183" t="s">
        <v>581</v>
      </c>
    </row>
    <row r="1184" spans="1:7" ht="14.25" customHeight="1">
      <c r="A1184" s="8">
        <f t="shared" si="4"/>
        <v>0</v>
      </c>
      <c r="B1184" s="8"/>
      <c r="C1184" s="8"/>
      <c r="D1184" t="s">
        <v>211</v>
      </c>
      <c r="G1184">
        <v>1332521</v>
      </c>
    </row>
    <row r="1185" spans="1:7" ht="14.25" customHeight="1">
      <c r="A1185" s="8">
        <f t="shared" si="4"/>
        <v>0</v>
      </c>
      <c r="B1185" s="8"/>
      <c r="C1185" s="8"/>
      <c r="F1185" t="s">
        <v>584</v>
      </c>
      <c r="G1185">
        <v>70612000</v>
      </c>
    </row>
    <row r="1186" spans="1:7" ht="14.25" customHeight="1">
      <c r="A1186" s="8">
        <f t="shared" si="4"/>
        <v>-5822922</v>
      </c>
      <c r="B1186" s="8">
        <v>5822922</v>
      </c>
      <c r="C1186" s="8"/>
      <c r="D1186">
        <v>29</v>
      </c>
      <c r="E1186" t="s">
        <v>585</v>
      </c>
      <c r="F1186" t="s">
        <v>866</v>
      </c>
      <c r="G1186" s="9">
        <v>44614</v>
      </c>
    </row>
    <row r="1187" spans="1:7" ht="14.25" customHeight="1">
      <c r="A1187" s="8">
        <f t="shared" si="4"/>
        <v>-1178931</v>
      </c>
      <c r="B1187" s="8">
        <v>1178931</v>
      </c>
      <c r="C1187" s="8"/>
      <c r="D1187">
        <v>33</v>
      </c>
      <c r="E1187" t="s">
        <v>585</v>
      </c>
      <c r="F1187" t="s">
        <v>867</v>
      </c>
      <c r="G1187" s="9">
        <v>44629</v>
      </c>
    </row>
    <row r="1188" spans="1:7" ht="14.25" customHeight="1">
      <c r="A1188" s="8">
        <f t="shared" si="4"/>
        <v>-7001852</v>
      </c>
      <c r="B1188" s="8">
        <v>7001852</v>
      </c>
      <c r="C1188" s="8"/>
    </row>
    <row r="1189" spans="1:7" ht="14.25" customHeight="1">
      <c r="A1189" s="8">
        <f t="shared" si="4"/>
        <v>-7001852</v>
      </c>
      <c r="B1189" s="8">
        <v>7001852</v>
      </c>
      <c r="C1189" s="8"/>
      <c r="E1189">
        <v>1332521</v>
      </c>
      <c r="F1189" t="s">
        <v>211</v>
      </c>
      <c r="G1189" t="s">
        <v>581</v>
      </c>
    </row>
    <row r="1190" spans="1:7" ht="14.25" customHeight="1">
      <c r="A1190" s="8">
        <f t="shared" si="4"/>
        <v>0</v>
      </c>
      <c r="B1190" s="8"/>
      <c r="C1190" s="8"/>
      <c r="D1190" t="s">
        <v>212</v>
      </c>
      <c r="G1190">
        <v>1332601</v>
      </c>
    </row>
    <row r="1191" spans="1:7" ht="14.25" customHeight="1">
      <c r="A1191" s="8">
        <f t="shared" si="4"/>
        <v>0</v>
      </c>
      <c r="B1191" s="8"/>
      <c r="C1191" s="8"/>
      <c r="F1191" t="s">
        <v>578</v>
      </c>
      <c r="G1191">
        <v>63841000</v>
      </c>
    </row>
    <row r="1192" spans="1:7" ht="14.25" customHeight="1">
      <c r="A1192" s="8">
        <f t="shared" si="4"/>
        <v>453215</v>
      </c>
      <c r="B1192" s="8"/>
      <c r="C1192" s="8">
        <v>453215</v>
      </c>
      <c r="D1192">
        <v>62</v>
      </c>
      <c r="E1192" t="s">
        <v>579</v>
      </c>
      <c r="F1192" t="s">
        <v>868</v>
      </c>
      <c r="G1192" s="9">
        <v>44644</v>
      </c>
    </row>
    <row r="1193" spans="1:7" ht="14.25" customHeight="1">
      <c r="A1193" s="8">
        <f t="shared" si="4"/>
        <v>453215</v>
      </c>
      <c r="B1193" s="8"/>
      <c r="C1193" s="8">
        <v>453215</v>
      </c>
    </row>
    <row r="1194" spans="1:7" ht="14.25" customHeight="1">
      <c r="A1194" s="8">
        <f t="shared" si="4"/>
        <v>453215</v>
      </c>
      <c r="B1194" s="8"/>
      <c r="C1194" s="8">
        <v>453215</v>
      </c>
      <c r="E1194">
        <v>1332601</v>
      </c>
      <c r="F1194" t="s">
        <v>212</v>
      </c>
      <c r="G1194" t="s">
        <v>581</v>
      </c>
    </row>
    <row r="1195" spans="1:7" ht="14.25" customHeight="1">
      <c r="A1195" s="8">
        <f t="shared" si="4"/>
        <v>0</v>
      </c>
      <c r="B1195" s="8"/>
      <c r="C1195" s="8"/>
      <c r="D1195" t="s">
        <v>213</v>
      </c>
      <c r="G1195">
        <v>1332602</v>
      </c>
    </row>
    <row r="1196" spans="1:7" ht="14.25" customHeight="1">
      <c r="A1196" s="8">
        <f t="shared" si="4"/>
        <v>0</v>
      </c>
      <c r="B1196" s="8"/>
      <c r="C1196" s="8"/>
      <c r="F1196" t="s">
        <v>638</v>
      </c>
      <c r="G1196">
        <v>6121000</v>
      </c>
    </row>
    <row r="1197" spans="1:7" ht="14.25" customHeight="1">
      <c r="A1197" s="8">
        <f t="shared" si="4"/>
        <v>69000</v>
      </c>
      <c r="B1197" s="8"/>
      <c r="C1197" s="8">
        <v>69000</v>
      </c>
      <c r="D1197">
        <v>56</v>
      </c>
      <c r="E1197" t="s">
        <v>587</v>
      </c>
      <c r="F1197" t="s">
        <v>869</v>
      </c>
      <c r="G1197" s="9">
        <v>44644</v>
      </c>
    </row>
    <row r="1198" spans="1:7" ht="14.25" customHeight="1">
      <c r="A1198" s="8">
        <f t="shared" si="4"/>
        <v>69000</v>
      </c>
      <c r="B1198" s="8"/>
      <c r="C1198" s="8">
        <v>69000</v>
      </c>
      <c r="D1198">
        <v>133</v>
      </c>
      <c r="E1198" t="s">
        <v>587</v>
      </c>
      <c r="F1198" t="s">
        <v>870</v>
      </c>
      <c r="G1198" s="9">
        <v>44692</v>
      </c>
    </row>
    <row r="1199" spans="1:7" ht="14.25" customHeight="1">
      <c r="A1199" s="8">
        <f t="shared" si="4"/>
        <v>138000</v>
      </c>
      <c r="B1199" s="8"/>
      <c r="C1199" s="8">
        <v>138000</v>
      </c>
    </row>
    <row r="1200" spans="1:7" ht="14.25" customHeight="1">
      <c r="A1200" s="8">
        <f t="shared" si="4"/>
        <v>0</v>
      </c>
      <c r="B1200" s="8"/>
      <c r="C1200" s="8"/>
      <c r="F1200" t="s">
        <v>785</v>
      </c>
      <c r="G1200">
        <v>62231000</v>
      </c>
    </row>
    <row r="1201" spans="1:7" ht="14.25" customHeight="1">
      <c r="A1201" s="8">
        <f t="shared" si="4"/>
        <v>402500</v>
      </c>
      <c r="B1201" s="8"/>
      <c r="C1201" s="8">
        <v>402500</v>
      </c>
      <c r="D1201">
        <v>85</v>
      </c>
      <c r="E1201" t="s">
        <v>579</v>
      </c>
      <c r="F1201" t="s">
        <v>871</v>
      </c>
      <c r="G1201" s="9">
        <v>44655</v>
      </c>
    </row>
    <row r="1202" spans="1:7" ht="14.25" customHeight="1">
      <c r="A1202" s="8">
        <f t="shared" si="4"/>
        <v>402500</v>
      </c>
      <c r="B1202" s="8"/>
      <c r="C1202" s="8">
        <v>402500</v>
      </c>
    </row>
    <row r="1203" spans="1:7" ht="14.25" customHeight="1">
      <c r="A1203" s="8">
        <f t="shared" si="4"/>
        <v>540500</v>
      </c>
      <c r="B1203" s="8"/>
      <c r="C1203" s="8">
        <v>540500</v>
      </c>
      <c r="E1203">
        <v>1332602</v>
      </c>
      <c r="F1203" t="s">
        <v>213</v>
      </c>
      <c r="G1203" t="s">
        <v>581</v>
      </c>
    </row>
    <row r="1204" spans="1:7" ht="14.25" customHeight="1">
      <c r="A1204" s="8">
        <f t="shared" si="4"/>
        <v>0</v>
      </c>
      <c r="B1204" s="8"/>
      <c r="C1204" s="8"/>
      <c r="D1204" t="s">
        <v>214</v>
      </c>
      <c r="G1204">
        <v>1332605</v>
      </c>
    </row>
    <row r="1205" spans="1:7" ht="14.25" customHeight="1">
      <c r="A1205" s="8">
        <f t="shared" si="4"/>
        <v>0</v>
      </c>
      <c r="B1205" s="8"/>
      <c r="C1205" s="8"/>
      <c r="F1205" t="s">
        <v>582</v>
      </c>
      <c r="G1205">
        <v>63240000</v>
      </c>
    </row>
    <row r="1206" spans="1:7" ht="14.25" customHeight="1">
      <c r="A1206" s="8">
        <f t="shared" si="4"/>
        <v>181125</v>
      </c>
      <c r="B1206" s="8"/>
      <c r="C1206" s="8">
        <v>181125</v>
      </c>
      <c r="D1206">
        <v>331</v>
      </c>
      <c r="E1206" t="s">
        <v>579</v>
      </c>
      <c r="F1206" t="s">
        <v>872</v>
      </c>
      <c r="G1206" s="9">
        <v>44858</v>
      </c>
    </row>
    <row r="1207" spans="1:7" ht="14.25" customHeight="1">
      <c r="A1207" s="8">
        <f t="shared" si="4"/>
        <v>258750</v>
      </c>
      <c r="B1207" s="8"/>
      <c r="C1207" s="8">
        <v>258750</v>
      </c>
      <c r="D1207">
        <v>332</v>
      </c>
      <c r="E1207" t="s">
        <v>579</v>
      </c>
      <c r="F1207" t="s">
        <v>873</v>
      </c>
      <c r="G1207" s="9">
        <v>44858</v>
      </c>
    </row>
    <row r="1208" spans="1:7" ht="14.25" customHeight="1">
      <c r="A1208" s="8">
        <f t="shared" si="4"/>
        <v>439875</v>
      </c>
      <c r="B1208" s="8"/>
      <c r="C1208" s="8">
        <v>439875</v>
      </c>
    </row>
    <row r="1209" spans="1:7" ht="14.25" customHeight="1">
      <c r="A1209" s="8">
        <f t="shared" si="4"/>
        <v>439875</v>
      </c>
      <c r="B1209" s="8"/>
      <c r="C1209" s="8">
        <v>439875</v>
      </c>
      <c r="E1209">
        <v>1332605</v>
      </c>
      <c r="F1209" t="s">
        <v>214</v>
      </c>
      <c r="G1209" t="s">
        <v>581</v>
      </c>
    </row>
    <row r="1210" spans="1:7" ht="14.25" customHeight="1">
      <c r="A1210" s="8">
        <f t="shared" si="4"/>
        <v>0</v>
      </c>
      <c r="B1210" s="8"/>
      <c r="C1210" s="8"/>
      <c r="D1210" t="s">
        <v>215</v>
      </c>
      <c r="G1210">
        <v>1332621</v>
      </c>
    </row>
    <row r="1211" spans="1:7" ht="14.25" customHeight="1">
      <c r="A1211" s="8">
        <f t="shared" si="4"/>
        <v>0</v>
      </c>
      <c r="B1211" s="8"/>
      <c r="C1211" s="8"/>
      <c r="F1211" t="s">
        <v>584</v>
      </c>
      <c r="G1211">
        <v>70612000</v>
      </c>
    </row>
    <row r="1212" spans="1:7" ht="14.25" customHeight="1">
      <c r="A1212" s="8">
        <f t="shared" si="4"/>
        <v>-4649414</v>
      </c>
      <c r="B1212" s="8">
        <v>4649414</v>
      </c>
      <c r="C1212" s="8"/>
      <c r="D1212">
        <v>35</v>
      </c>
      <c r="E1212" t="s">
        <v>585</v>
      </c>
      <c r="F1212" t="s">
        <v>874</v>
      </c>
      <c r="G1212" s="9">
        <v>44634</v>
      </c>
    </row>
    <row r="1213" spans="1:7" ht="14.25" customHeight="1">
      <c r="A1213" s="8">
        <f t="shared" si="4"/>
        <v>-4649414</v>
      </c>
      <c r="B1213" s="8">
        <v>4649414</v>
      </c>
      <c r="C1213" s="8"/>
    </row>
    <row r="1214" spans="1:7" ht="14.25" customHeight="1">
      <c r="A1214" s="8">
        <f t="shared" si="4"/>
        <v>-4649414</v>
      </c>
      <c r="B1214" s="8">
        <v>4649414</v>
      </c>
      <c r="C1214" s="8"/>
      <c r="E1214">
        <v>1332621</v>
      </c>
      <c r="F1214" t="s">
        <v>215</v>
      </c>
      <c r="G1214" t="s">
        <v>581</v>
      </c>
    </row>
    <row r="1215" spans="1:7" ht="14.25" customHeight="1">
      <c r="A1215" s="8">
        <f t="shared" si="4"/>
        <v>0</v>
      </c>
      <c r="B1215" s="8"/>
      <c r="C1215" s="8"/>
      <c r="D1215" t="s">
        <v>216</v>
      </c>
      <c r="G1215">
        <v>1332701</v>
      </c>
    </row>
    <row r="1216" spans="1:7" ht="14.25" customHeight="1">
      <c r="A1216" s="8">
        <f t="shared" si="4"/>
        <v>0</v>
      </c>
      <c r="B1216" s="8"/>
      <c r="C1216" s="8"/>
      <c r="F1216" t="s">
        <v>578</v>
      </c>
      <c r="G1216">
        <v>63841000</v>
      </c>
    </row>
    <row r="1217" spans="1:7" ht="14.25" customHeight="1">
      <c r="A1217" s="8">
        <f t="shared" si="4"/>
        <v>522905</v>
      </c>
      <c r="B1217" s="8"/>
      <c r="C1217" s="8">
        <v>522905</v>
      </c>
      <c r="D1217">
        <v>118</v>
      </c>
      <c r="E1217" t="s">
        <v>579</v>
      </c>
      <c r="F1217" t="s">
        <v>875</v>
      </c>
      <c r="G1217" s="9">
        <v>44686</v>
      </c>
    </row>
    <row r="1218" spans="1:7" ht="14.25" customHeight="1">
      <c r="A1218" s="8">
        <f t="shared" si="4"/>
        <v>95824</v>
      </c>
      <c r="B1218" s="8"/>
      <c r="C1218" s="8">
        <v>95824</v>
      </c>
      <c r="D1218">
        <v>152</v>
      </c>
      <c r="E1218" t="s">
        <v>579</v>
      </c>
      <c r="F1218" t="s">
        <v>876</v>
      </c>
      <c r="G1218" s="9">
        <v>44712</v>
      </c>
    </row>
    <row r="1219" spans="1:7" ht="14.25" customHeight="1">
      <c r="A1219" s="8">
        <f t="shared" si="4"/>
        <v>618729</v>
      </c>
      <c r="B1219" s="8"/>
      <c r="C1219" s="8">
        <v>618729</v>
      </c>
    </row>
    <row r="1220" spans="1:7" ht="14.25" customHeight="1">
      <c r="A1220" s="8">
        <f t="shared" si="4"/>
        <v>618729</v>
      </c>
      <c r="B1220" s="8"/>
      <c r="C1220" s="8">
        <v>618729</v>
      </c>
      <c r="E1220">
        <v>1332701</v>
      </c>
      <c r="F1220" t="s">
        <v>216</v>
      </c>
      <c r="G1220" t="s">
        <v>581</v>
      </c>
    </row>
    <row r="1221" spans="1:7" ht="14.25" customHeight="1">
      <c r="A1221" s="8">
        <f t="shared" si="4"/>
        <v>0</v>
      </c>
      <c r="B1221" s="8"/>
      <c r="C1221" s="8"/>
      <c r="D1221" t="s">
        <v>217</v>
      </c>
      <c r="G1221">
        <v>1332702</v>
      </c>
    </row>
    <row r="1222" spans="1:7" ht="14.25" customHeight="1">
      <c r="A1222" s="8">
        <f t="shared" si="4"/>
        <v>0</v>
      </c>
      <c r="B1222" s="8"/>
      <c r="C1222" s="8"/>
      <c r="F1222" t="s">
        <v>638</v>
      </c>
      <c r="G1222">
        <v>6121000</v>
      </c>
    </row>
    <row r="1223" spans="1:7" ht="14.25" customHeight="1">
      <c r="A1223" s="8">
        <f t="shared" si="4"/>
        <v>5922</v>
      </c>
      <c r="B1223" s="8"/>
      <c r="C1223" s="8">
        <v>5922</v>
      </c>
      <c r="D1223">
        <v>152</v>
      </c>
      <c r="E1223" t="s">
        <v>579</v>
      </c>
      <c r="F1223" t="s">
        <v>876</v>
      </c>
      <c r="G1223" s="9">
        <v>44712</v>
      </c>
    </row>
    <row r="1224" spans="1:7" ht="14.25" customHeight="1">
      <c r="A1224" s="8">
        <f t="shared" si="4"/>
        <v>5922</v>
      </c>
      <c r="B1224" s="8"/>
      <c r="C1224" s="8">
        <v>5922</v>
      </c>
    </row>
    <row r="1225" spans="1:7" ht="14.25" customHeight="1">
      <c r="A1225" s="8">
        <f t="shared" si="4"/>
        <v>5922</v>
      </c>
      <c r="B1225" s="8"/>
      <c r="C1225" s="8">
        <v>5922</v>
      </c>
      <c r="E1225">
        <v>1332702</v>
      </c>
      <c r="F1225" t="s">
        <v>217</v>
      </c>
      <c r="G1225" t="s">
        <v>581</v>
      </c>
    </row>
    <row r="1226" spans="1:7" ht="14.25" customHeight="1">
      <c r="A1226" s="8">
        <f t="shared" si="4"/>
        <v>0</v>
      </c>
      <c r="B1226" s="8"/>
      <c r="C1226" s="8"/>
      <c r="D1226" t="s">
        <v>218</v>
      </c>
      <c r="G1226">
        <v>1332721</v>
      </c>
    </row>
    <row r="1227" spans="1:7" ht="14.25" customHeight="1">
      <c r="A1227" s="8">
        <f t="shared" si="4"/>
        <v>0</v>
      </c>
      <c r="B1227" s="8"/>
      <c r="C1227" s="8"/>
      <c r="F1227" t="s">
        <v>584</v>
      </c>
      <c r="G1227">
        <v>70612000</v>
      </c>
    </row>
    <row r="1228" spans="1:7" ht="14.25" customHeight="1">
      <c r="A1228" s="8">
        <f t="shared" si="4"/>
        <v>-3887000</v>
      </c>
      <c r="B1228" s="8">
        <v>3887000</v>
      </c>
      <c r="C1228" s="8"/>
      <c r="D1228">
        <v>38</v>
      </c>
      <c r="E1228" t="s">
        <v>585</v>
      </c>
      <c r="F1228" t="s">
        <v>877</v>
      </c>
      <c r="G1228" s="9">
        <v>44636</v>
      </c>
    </row>
    <row r="1229" spans="1:7" ht="14.25" customHeight="1">
      <c r="A1229" s="8">
        <f t="shared" si="4"/>
        <v>-3887000</v>
      </c>
      <c r="B1229" s="8">
        <v>3887000</v>
      </c>
      <c r="C1229" s="8"/>
      <c r="D1229">
        <v>70</v>
      </c>
      <c r="E1229" t="s">
        <v>585</v>
      </c>
      <c r="F1229" t="s">
        <v>878</v>
      </c>
      <c r="G1229" s="9">
        <v>44680</v>
      </c>
    </row>
    <row r="1230" spans="1:7" ht="14.25" customHeight="1">
      <c r="A1230" s="8">
        <f t="shared" si="4"/>
        <v>-568819</v>
      </c>
      <c r="B1230" s="8">
        <v>568819</v>
      </c>
      <c r="C1230" s="8"/>
      <c r="D1230">
        <v>71</v>
      </c>
      <c r="E1230" t="s">
        <v>585</v>
      </c>
      <c r="F1230" t="s">
        <v>879</v>
      </c>
      <c r="G1230" s="9">
        <v>44680</v>
      </c>
    </row>
    <row r="1231" spans="1:7" ht="14.25" customHeight="1">
      <c r="A1231" s="8">
        <f t="shared" si="4"/>
        <v>3887000</v>
      </c>
      <c r="B1231" s="8"/>
      <c r="C1231" s="8">
        <v>3887000</v>
      </c>
      <c r="D1231">
        <v>226</v>
      </c>
      <c r="E1231" t="s">
        <v>585</v>
      </c>
      <c r="F1231" t="s">
        <v>880</v>
      </c>
      <c r="G1231" s="9">
        <v>44925</v>
      </c>
    </row>
    <row r="1232" spans="1:7" ht="14.25" customHeight="1">
      <c r="A1232" s="8">
        <f t="shared" si="4"/>
        <v>4455819</v>
      </c>
      <c r="B1232" s="8"/>
      <c r="C1232" s="8">
        <v>4455819</v>
      </c>
      <c r="D1232">
        <v>227</v>
      </c>
      <c r="E1232" t="s">
        <v>585</v>
      </c>
      <c r="F1232" t="s">
        <v>881</v>
      </c>
      <c r="G1232" s="9">
        <v>44925</v>
      </c>
    </row>
    <row r="1233" spans="1:7" ht="14.25" customHeight="1">
      <c r="A1233" s="8">
        <f t="shared" si="4"/>
        <v>-4455819</v>
      </c>
      <c r="B1233" s="8">
        <v>4455819</v>
      </c>
      <c r="C1233" s="8"/>
      <c r="D1233">
        <v>233</v>
      </c>
      <c r="E1233" t="s">
        <v>585</v>
      </c>
      <c r="F1233" t="s">
        <v>882</v>
      </c>
      <c r="G1233" s="9">
        <v>44925</v>
      </c>
    </row>
    <row r="1234" spans="1:7" ht="14.25" customHeight="1">
      <c r="A1234" s="8">
        <f t="shared" si="4"/>
        <v>-4455818</v>
      </c>
      <c r="B1234" s="8">
        <v>12798637</v>
      </c>
      <c r="C1234" s="8">
        <v>8342819</v>
      </c>
    </row>
    <row r="1235" spans="1:7" ht="14.25" customHeight="1">
      <c r="A1235" s="8">
        <f t="shared" si="4"/>
        <v>-4455818</v>
      </c>
      <c r="B1235" s="8">
        <v>12798637</v>
      </c>
      <c r="C1235" s="8">
        <v>8342819</v>
      </c>
      <c r="E1235">
        <v>1332721</v>
      </c>
      <c r="F1235" t="s">
        <v>218</v>
      </c>
      <c r="G1235" t="s">
        <v>581</v>
      </c>
    </row>
    <row r="1236" spans="1:7" ht="14.25" customHeight="1">
      <c r="A1236" s="8">
        <f t="shared" si="4"/>
        <v>0</v>
      </c>
      <c r="B1236" s="8"/>
      <c r="C1236" s="8"/>
      <c r="D1236" t="s">
        <v>219</v>
      </c>
      <c r="G1236">
        <v>1332801</v>
      </c>
    </row>
    <row r="1237" spans="1:7" ht="14.25" customHeight="1">
      <c r="A1237" s="8">
        <f t="shared" si="4"/>
        <v>0</v>
      </c>
      <c r="B1237" s="8"/>
      <c r="C1237" s="8"/>
      <c r="F1237" t="s">
        <v>578</v>
      </c>
      <c r="G1237">
        <v>63841000</v>
      </c>
    </row>
    <row r="1238" spans="1:7" ht="14.25" customHeight="1">
      <c r="A1238" s="8">
        <f t="shared" si="4"/>
        <v>1097963</v>
      </c>
      <c r="B1238" s="8"/>
      <c r="C1238" s="8">
        <v>1097963</v>
      </c>
      <c r="D1238">
        <v>48</v>
      </c>
      <c r="E1238" t="s">
        <v>579</v>
      </c>
      <c r="F1238" t="s">
        <v>883</v>
      </c>
      <c r="G1238" s="9">
        <v>44631</v>
      </c>
    </row>
    <row r="1239" spans="1:7" ht="14.25" customHeight="1">
      <c r="A1239" s="8">
        <f t="shared" si="4"/>
        <v>1097963</v>
      </c>
      <c r="B1239" s="8"/>
      <c r="C1239" s="8">
        <v>1097963</v>
      </c>
    </row>
    <row r="1240" spans="1:7" ht="14.25" customHeight="1">
      <c r="A1240" s="8">
        <f t="shared" si="4"/>
        <v>1097963</v>
      </c>
      <c r="B1240" s="8"/>
      <c r="C1240" s="8">
        <v>1097963</v>
      </c>
      <c r="E1240">
        <v>1332801</v>
      </c>
      <c r="F1240" t="s">
        <v>219</v>
      </c>
      <c r="G1240" t="s">
        <v>581</v>
      </c>
    </row>
    <row r="1241" spans="1:7" ht="14.25" customHeight="1">
      <c r="A1241" s="8">
        <f t="shared" si="4"/>
        <v>0</v>
      </c>
      <c r="B1241" s="8"/>
      <c r="C1241" s="8"/>
      <c r="D1241" t="s">
        <v>220</v>
      </c>
      <c r="G1241">
        <v>1332802</v>
      </c>
    </row>
    <row r="1242" spans="1:7" ht="14.25" customHeight="1">
      <c r="A1242" s="8">
        <f t="shared" si="4"/>
        <v>0</v>
      </c>
      <c r="B1242" s="8"/>
      <c r="C1242" s="8"/>
      <c r="F1242" t="s">
        <v>638</v>
      </c>
      <c r="G1242">
        <v>6121000</v>
      </c>
    </row>
    <row r="1243" spans="1:7" ht="14.25" customHeight="1">
      <c r="A1243" s="8">
        <f t="shared" si="4"/>
        <v>69000</v>
      </c>
      <c r="B1243" s="8"/>
      <c r="C1243" s="8">
        <v>69000</v>
      </c>
      <c r="D1243">
        <v>142</v>
      </c>
      <c r="E1243" t="s">
        <v>587</v>
      </c>
      <c r="F1243" t="s">
        <v>884</v>
      </c>
      <c r="G1243" s="9">
        <v>44699</v>
      </c>
    </row>
    <row r="1244" spans="1:7" ht="14.25" customHeight="1">
      <c r="A1244" s="8">
        <f t="shared" si="4"/>
        <v>69000</v>
      </c>
      <c r="B1244" s="8"/>
      <c r="C1244" s="8">
        <v>69000</v>
      </c>
      <c r="D1244">
        <v>246</v>
      </c>
      <c r="E1244" t="s">
        <v>587</v>
      </c>
      <c r="F1244" t="s">
        <v>885</v>
      </c>
      <c r="G1244" s="9">
        <v>44742</v>
      </c>
    </row>
    <row r="1245" spans="1:7" ht="14.25" customHeight="1">
      <c r="A1245" s="8">
        <f t="shared" si="4"/>
        <v>138000</v>
      </c>
      <c r="B1245" s="8"/>
      <c r="C1245" s="8">
        <v>138000</v>
      </c>
    </row>
    <row r="1246" spans="1:7" ht="14.25" customHeight="1">
      <c r="A1246" s="8">
        <f t="shared" si="4"/>
        <v>0</v>
      </c>
      <c r="B1246" s="8"/>
      <c r="C1246" s="8"/>
      <c r="F1246" t="s">
        <v>785</v>
      </c>
      <c r="G1246">
        <v>62231000</v>
      </c>
    </row>
    <row r="1247" spans="1:7" ht="14.25" customHeight="1">
      <c r="A1247" s="8">
        <f t="shared" si="4"/>
        <v>632500</v>
      </c>
      <c r="B1247" s="8"/>
      <c r="C1247" s="8">
        <v>632500</v>
      </c>
      <c r="D1247">
        <v>80</v>
      </c>
      <c r="E1247" t="s">
        <v>579</v>
      </c>
      <c r="F1247" t="s">
        <v>886</v>
      </c>
      <c r="G1247" s="9">
        <v>44652</v>
      </c>
    </row>
    <row r="1248" spans="1:7" ht="14.25" customHeight="1">
      <c r="A1248" s="8">
        <f t="shared" si="4"/>
        <v>632500</v>
      </c>
      <c r="B1248" s="8"/>
      <c r="C1248" s="8">
        <v>632500</v>
      </c>
    </row>
    <row r="1249" spans="1:7" ht="14.25" customHeight="1">
      <c r="A1249" s="8">
        <f t="shared" si="4"/>
        <v>770500</v>
      </c>
      <c r="B1249" s="8"/>
      <c r="C1249" s="8">
        <v>770500</v>
      </c>
      <c r="E1249">
        <v>1332802</v>
      </c>
      <c r="F1249" t="s">
        <v>220</v>
      </c>
      <c r="G1249" t="s">
        <v>581</v>
      </c>
    </row>
    <row r="1250" spans="1:7" ht="14.25" customHeight="1">
      <c r="A1250" s="8">
        <f t="shared" si="4"/>
        <v>0</v>
      </c>
      <c r="B1250" s="8"/>
      <c r="C1250" s="8"/>
      <c r="D1250" t="s">
        <v>221</v>
      </c>
      <c r="G1250">
        <v>1332821</v>
      </c>
    </row>
    <row r="1251" spans="1:7" ht="14.25" customHeight="1">
      <c r="A1251" s="8">
        <f t="shared" si="4"/>
        <v>0</v>
      </c>
      <c r="B1251" s="8"/>
      <c r="C1251" s="8"/>
      <c r="F1251" t="s">
        <v>584</v>
      </c>
      <c r="G1251">
        <v>70612000</v>
      </c>
    </row>
    <row r="1252" spans="1:7" ht="14.25" customHeight="1">
      <c r="A1252" s="8">
        <f t="shared" si="4"/>
        <v>-8123312</v>
      </c>
      <c r="B1252" s="8">
        <v>8123312</v>
      </c>
      <c r="C1252" s="8"/>
      <c r="D1252">
        <v>43</v>
      </c>
      <c r="E1252" t="s">
        <v>585</v>
      </c>
      <c r="F1252" t="s">
        <v>887</v>
      </c>
      <c r="G1252" s="9">
        <v>44645</v>
      </c>
    </row>
    <row r="1253" spans="1:7" ht="14.25" customHeight="1">
      <c r="A1253" s="8">
        <f t="shared" si="4"/>
        <v>-8123312</v>
      </c>
      <c r="B1253" s="8">
        <v>8123312</v>
      </c>
      <c r="C1253" s="8"/>
    </row>
    <row r="1254" spans="1:7" ht="14.25" customHeight="1">
      <c r="A1254" s="8">
        <f t="shared" si="4"/>
        <v>-8123312</v>
      </c>
      <c r="B1254" s="8">
        <v>8123312</v>
      </c>
      <c r="C1254" s="8"/>
      <c r="E1254">
        <v>1332821</v>
      </c>
      <c r="F1254" t="s">
        <v>221</v>
      </c>
      <c r="G1254" t="s">
        <v>581</v>
      </c>
    </row>
    <row r="1255" spans="1:7" ht="14.25" customHeight="1">
      <c r="A1255" s="8">
        <f t="shared" si="4"/>
        <v>0</v>
      </c>
      <c r="B1255" s="8"/>
      <c r="C1255" s="8"/>
      <c r="D1255" t="s">
        <v>222</v>
      </c>
      <c r="G1255">
        <v>1332901</v>
      </c>
    </row>
    <row r="1256" spans="1:7" ht="14.25" customHeight="1">
      <c r="A1256" s="8">
        <f t="shared" si="4"/>
        <v>0</v>
      </c>
      <c r="B1256" s="8"/>
      <c r="C1256" s="8"/>
      <c r="F1256" t="s">
        <v>578</v>
      </c>
      <c r="G1256">
        <v>63841000</v>
      </c>
    </row>
    <row r="1257" spans="1:7" ht="14.25" customHeight="1">
      <c r="A1257" s="8">
        <f t="shared" si="4"/>
        <v>662285</v>
      </c>
      <c r="B1257" s="8"/>
      <c r="C1257" s="8">
        <v>662285</v>
      </c>
      <c r="D1257">
        <v>81</v>
      </c>
      <c r="E1257" t="s">
        <v>579</v>
      </c>
      <c r="F1257" t="s">
        <v>888</v>
      </c>
      <c r="G1257" s="9">
        <v>44652</v>
      </c>
    </row>
    <row r="1258" spans="1:7" ht="14.25" customHeight="1">
      <c r="A1258" s="8">
        <f t="shared" si="4"/>
        <v>662285</v>
      </c>
      <c r="B1258" s="8"/>
      <c r="C1258" s="8">
        <v>662285</v>
      </c>
    </row>
    <row r="1259" spans="1:7" ht="14.25" customHeight="1">
      <c r="A1259" s="8">
        <f t="shared" si="4"/>
        <v>662285</v>
      </c>
      <c r="B1259" s="8"/>
      <c r="C1259" s="8">
        <v>662285</v>
      </c>
      <c r="E1259">
        <v>1332901</v>
      </c>
      <c r="F1259" t="s">
        <v>222</v>
      </c>
      <c r="G1259" t="s">
        <v>581</v>
      </c>
    </row>
    <row r="1260" spans="1:7" ht="14.25" customHeight="1">
      <c r="A1260" s="8">
        <f t="shared" si="4"/>
        <v>0</v>
      </c>
      <c r="B1260" s="8"/>
      <c r="C1260" s="8"/>
      <c r="D1260" t="s">
        <v>223</v>
      </c>
      <c r="G1260">
        <v>1332902</v>
      </c>
    </row>
    <row r="1261" spans="1:7" ht="14.25" customHeight="1">
      <c r="A1261" s="8">
        <f t="shared" si="4"/>
        <v>0</v>
      </c>
      <c r="B1261" s="8"/>
      <c r="C1261" s="8"/>
      <c r="F1261" t="s">
        <v>638</v>
      </c>
      <c r="G1261">
        <v>6121000</v>
      </c>
    </row>
    <row r="1262" spans="1:7" ht="14.25" customHeight="1">
      <c r="A1262" s="8">
        <f t="shared" si="4"/>
        <v>17250</v>
      </c>
      <c r="B1262" s="8"/>
      <c r="C1262" s="8">
        <v>17250</v>
      </c>
      <c r="D1262">
        <v>163</v>
      </c>
      <c r="E1262" t="s">
        <v>587</v>
      </c>
      <c r="F1262" t="s">
        <v>889</v>
      </c>
      <c r="G1262" s="9">
        <v>44714</v>
      </c>
    </row>
    <row r="1263" spans="1:7" ht="14.25" customHeight="1">
      <c r="A1263" s="8">
        <f t="shared" si="4"/>
        <v>17250</v>
      </c>
      <c r="B1263" s="8"/>
      <c r="C1263" s="8">
        <v>17250</v>
      </c>
      <c r="D1263">
        <v>245</v>
      </c>
      <c r="E1263" t="s">
        <v>587</v>
      </c>
      <c r="F1263" t="s">
        <v>890</v>
      </c>
      <c r="G1263" s="9">
        <v>44742</v>
      </c>
    </row>
    <row r="1264" spans="1:7" ht="14.25" customHeight="1">
      <c r="A1264" s="8">
        <f t="shared" si="4"/>
        <v>34500</v>
      </c>
      <c r="B1264" s="8"/>
      <c r="C1264" s="8">
        <v>34500</v>
      </c>
    </row>
    <row r="1265" spans="1:7" ht="14.25" customHeight="1">
      <c r="A1265" s="8">
        <f t="shared" si="4"/>
        <v>34500</v>
      </c>
      <c r="B1265" s="8"/>
      <c r="C1265" s="8">
        <v>34500</v>
      </c>
      <c r="E1265">
        <v>1332902</v>
      </c>
      <c r="F1265" t="s">
        <v>223</v>
      </c>
      <c r="G1265" t="s">
        <v>581</v>
      </c>
    </row>
    <row r="1266" spans="1:7" ht="14.25" customHeight="1">
      <c r="A1266" s="8">
        <f t="shared" si="4"/>
        <v>0</v>
      </c>
      <c r="B1266" s="8"/>
      <c r="C1266" s="8"/>
      <c r="D1266" t="s">
        <v>224</v>
      </c>
      <c r="G1266">
        <v>1332905</v>
      </c>
    </row>
    <row r="1267" spans="1:7" ht="14.25" customHeight="1">
      <c r="A1267" s="8">
        <f t="shared" si="4"/>
        <v>0</v>
      </c>
      <c r="B1267" s="8"/>
      <c r="C1267" s="8"/>
      <c r="F1267" t="s">
        <v>582</v>
      </c>
      <c r="G1267">
        <v>63240000</v>
      </c>
    </row>
    <row r="1268" spans="1:7" ht="14.25" customHeight="1">
      <c r="A1268" s="8">
        <f t="shared" si="4"/>
        <v>336375</v>
      </c>
      <c r="B1268" s="8"/>
      <c r="C1268" s="8">
        <v>336375</v>
      </c>
      <c r="D1268">
        <v>127</v>
      </c>
      <c r="E1268" t="s">
        <v>579</v>
      </c>
      <c r="F1268" t="s">
        <v>852</v>
      </c>
      <c r="G1268" s="9">
        <v>44691</v>
      </c>
    </row>
    <row r="1269" spans="1:7" ht="14.25" customHeight="1">
      <c r="A1269" s="8">
        <f t="shared" si="4"/>
        <v>241500</v>
      </c>
      <c r="B1269" s="8"/>
      <c r="C1269" s="8">
        <v>241500</v>
      </c>
      <c r="D1269">
        <v>165</v>
      </c>
      <c r="E1269" t="s">
        <v>579</v>
      </c>
      <c r="F1269" t="s">
        <v>891</v>
      </c>
      <c r="G1269" s="9">
        <v>44719</v>
      </c>
    </row>
    <row r="1270" spans="1:7" ht="14.25" customHeight="1">
      <c r="A1270" s="8">
        <f t="shared" si="4"/>
        <v>577875</v>
      </c>
      <c r="B1270" s="8"/>
      <c r="C1270" s="8">
        <v>577875</v>
      </c>
    </row>
    <row r="1271" spans="1:7" ht="14.25" customHeight="1">
      <c r="A1271" s="8">
        <f t="shared" si="4"/>
        <v>577875</v>
      </c>
      <c r="B1271" s="8"/>
      <c r="C1271" s="8">
        <v>577875</v>
      </c>
      <c r="E1271">
        <v>1332905</v>
      </c>
      <c r="F1271" t="s">
        <v>224</v>
      </c>
      <c r="G1271" t="s">
        <v>581</v>
      </c>
    </row>
    <row r="1272" spans="1:7" ht="14.25" customHeight="1">
      <c r="A1272" s="8">
        <f t="shared" si="4"/>
        <v>0</v>
      </c>
      <c r="B1272" s="8"/>
      <c r="C1272" s="8"/>
      <c r="D1272" t="s">
        <v>225</v>
      </c>
      <c r="G1272">
        <v>1332921</v>
      </c>
    </row>
    <row r="1273" spans="1:7" ht="14.25" customHeight="1">
      <c r="A1273" s="8">
        <f t="shared" si="4"/>
        <v>0</v>
      </c>
      <c r="B1273" s="8"/>
      <c r="C1273" s="8"/>
      <c r="F1273" t="s">
        <v>584</v>
      </c>
      <c r="G1273">
        <v>70612000</v>
      </c>
    </row>
    <row r="1274" spans="1:7" ht="14.25" customHeight="1">
      <c r="A1274" s="8">
        <f t="shared" si="4"/>
        <v>-4579875</v>
      </c>
      <c r="B1274" s="8">
        <v>4579875</v>
      </c>
      <c r="C1274" s="8"/>
      <c r="D1274">
        <v>44</v>
      </c>
      <c r="E1274" t="s">
        <v>585</v>
      </c>
      <c r="F1274" t="s">
        <v>892</v>
      </c>
      <c r="G1274" s="9">
        <v>44645</v>
      </c>
    </row>
    <row r="1275" spans="1:7" ht="14.25" customHeight="1">
      <c r="A1275" s="8">
        <f t="shared" si="4"/>
        <v>-4579875</v>
      </c>
      <c r="B1275" s="8">
        <v>4579875</v>
      </c>
      <c r="C1275" s="8"/>
    </row>
    <row r="1276" spans="1:7" ht="14.25" customHeight="1">
      <c r="A1276" s="8">
        <f t="shared" si="4"/>
        <v>-4579875</v>
      </c>
      <c r="B1276" s="8">
        <v>4579875</v>
      </c>
      <c r="C1276" s="8"/>
      <c r="E1276">
        <v>1332921</v>
      </c>
      <c r="F1276" t="s">
        <v>225</v>
      </c>
      <c r="G1276" t="s">
        <v>581</v>
      </c>
    </row>
    <row r="1277" spans="1:7" ht="14.25" customHeight="1">
      <c r="A1277" s="8">
        <f t="shared" ref="A1277:A1531" si="5">C1277-B1277</f>
        <v>0</v>
      </c>
      <c r="B1277" s="8"/>
      <c r="C1277" s="8"/>
      <c r="D1277" t="s">
        <v>226</v>
      </c>
      <c r="G1277">
        <v>1333001</v>
      </c>
    </row>
    <row r="1278" spans="1:7" ht="14.25" customHeight="1">
      <c r="A1278" s="8">
        <f t="shared" si="5"/>
        <v>0</v>
      </c>
      <c r="B1278" s="8"/>
      <c r="C1278" s="8"/>
      <c r="F1278" t="s">
        <v>578</v>
      </c>
      <c r="G1278">
        <v>63841000</v>
      </c>
    </row>
    <row r="1279" spans="1:7" ht="14.25" customHeight="1">
      <c r="A1279" s="8">
        <f t="shared" si="5"/>
        <v>662285</v>
      </c>
      <c r="B1279" s="8"/>
      <c r="C1279" s="8">
        <v>662285</v>
      </c>
      <c r="D1279">
        <v>140</v>
      </c>
      <c r="E1279" t="s">
        <v>579</v>
      </c>
      <c r="F1279" t="s">
        <v>893</v>
      </c>
      <c r="G1279" s="9">
        <v>44704</v>
      </c>
    </row>
    <row r="1280" spans="1:7" ht="14.25" customHeight="1">
      <c r="A1280" s="8">
        <f t="shared" si="5"/>
        <v>662285</v>
      </c>
      <c r="B1280" s="8"/>
      <c r="C1280" s="8">
        <v>662285</v>
      </c>
    </row>
    <row r="1281" spans="1:7" ht="14.25" customHeight="1">
      <c r="A1281" s="8">
        <f t="shared" si="5"/>
        <v>662285</v>
      </c>
      <c r="B1281" s="8"/>
      <c r="C1281" s="8">
        <v>662285</v>
      </c>
      <c r="E1281">
        <v>1333001</v>
      </c>
      <c r="F1281" t="s">
        <v>226</v>
      </c>
      <c r="G1281" t="s">
        <v>581</v>
      </c>
    </row>
    <row r="1282" spans="1:7" ht="14.25" customHeight="1">
      <c r="A1282" s="8">
        <f t="shared" si="5"/>
        <v>0</v>
      </c>
      <c r="B1282" s="8"/>
      <c r="C1282" s="8"/>
      <c r="D1282" t="s">
        <v>227</v>
      </c>
      <c r="G1282">
        <v>1333005</v>
      </c>
    </row>
    <row r="1283" spans="1:7" ht="14.25" customHeight="1">
      <c r="A1283" s="8">
        <f t="shared" si="5"/>
        <v>0</v>
      </c>
      <c r="B1283" s="8"/>
      <c r="C1283" s="8"/>
      <c r="F1283" t="s">
        <v>582</v>
      </c>
      <c r="G1283">
        <v>63240000</v>
      </c>
    </row>
    <row r="1284" spans="1:7" ht="14.25" customHeight="1">
      <c r="A1284" s="8">
        <f t="shared" si="5"/>
        <v>310500</v>
      </c>
      <c r="B1284" s="8"/>
      <c r="C1284" s="8">
        <v>310500</v>
      </c>
      <c r="D1284">
        <v>326</v>
      </c>
      <c r="E1284" t="s">
        <v>579</v>
      </c>
      <c r="F1284" t="s">
        <v>797</v>
      </c>
      <c r="G1284" s="9">
        <v>44858</v>
      </c>
    </row>
    <row r="1285" spans="1:7" ht="14.25" customHeight="1">
      <c r="A1285" s="8">
        <f t="shared" si="5"/>
        <v>221375</v>
      </c>
      <c r="B1285" s="8"/>
      <c r="C1285" s="8">
        <v>221375</v>
      </c>
      <c r="D1285">
        <v>327</v>
      </c>
      <c r="E1285" t="s">
        <v>579</v>
      </c>
      <c r="F1285" t="s">
        <v>894</v>
      </c>
      <c r="G1285" s="9">
        <v>44858</v>
      </c>
    </row>
    <row r="1286" spans="1:7" ht="14.25" customHeight="1">
      <c r="A1286" s="8">
        <f t="shared" si="5"/>
        <v>531875</v>
      </c>
      <c r="B1286" s="8"/>
      <c r="C1286" s="8">
        <v>531875</v>
      </c>
    </row>
    <row r="1287" spans="1:7" ht="14.25" customHeight="1">
      <c r="A1287" s="8">
        <f t="shared" si="5"/>
        <v>531875</v>
      </c>
      <c r="B1287" s="8"/>
      <c r="C1287" s="8">
        <v>531875</v>
      </c>
      <c r="E1287">
        <v>1333005</v>
      </c>
      <c r="F1287" t="s">
        <v>227</v>
      </c>
      <c r="G1287" t="s">
        <v>581</v>
      </c>
    </row>
    <row r="1288" spans="1:7" ht="14.25" customHeight="1">
      <c r="A1288" s="8">
        <f t="shared" si="5"/>
        <v>0</v>
      </c>
      <c r="B1288" s="8"/>
      <c r="C1288" s="8"/>
      <c r="D1288" t="s">
        <v>228</v>
      </c>
      <c r="G1288">
        <v>1333021</v>
      </c>
    </row>
    <row r="1289" spans="1:7" ht="14.25" customHeight="1">
      <c r="A1289" s="8">
        <f t="shared" si="5"/>
        <v>0</v>
      </c>
      <c r="B1289" s="8"/>
      <c r="C1289" s="8"/>
      <c r="F1289" t="s">
        <v>584</v>
      </c>
      <c r="G1289">
        <v>70612000</v>
      </c>
    </row>
    <row r="1290" spans="1:7" ht="14.25" customHeight="1">
      <c r="A1290" s="8">
        <f t="shared" si="5"/>
        <v>-4479250</v>
      </c>
      <c r="B1290" s="8">
        <v>4479250</v>
      </c>
      <c r="C1290" s="8"/>
      <c r="D1290">
        <v>45</v>
      </c>
      <c r="E1290" t="s">
        <v>585</v>
      </c>
      <c r="F1290" t="s">
        <v>895</v>
      </c>
      <c r="G1290" s="9">
        <v>44645</v>
      </c>
    </row>
    <row r="1291" spans="1:7" ht="14.25" customHeight="1">
      <c r="A1291" s="8">
        <f t="shared" si="5"/>
        <v>-4479250</v>
      </c>
      <c r="B1291" s="8">
        <v>4479250</v>
      </c>
      <c r="C1291" s="8"/>
    </row>
    <row r="1292" spans="1:7" ht="14.25" customHeight="1">
      <c r="A1292" s="8">
        <f t="shared" si="5"/>
        <v>-4479250</v>
      </c>
      <c r="B1292" s="8">
        <v>4479250</v>
      </c>
      <c r="C1292" s="8"/>
      <c r="E1292">
        <v>1333021</v>
      </c>
      <c r="F1292" t="s">
        <v>228</v>
      </c>
      <c r="G1292" t="s">
        <v>581</v>
      </c>
    </row>
    <row r="1293" spans="1:7" ht="14.25" customHeight="1">
      <c r="A1293" s="8">
        <f t="shared" si="5"/>
        <v>0</v>
      </c>
      <c r="B1293" s="8"/>
      <c r="C1293" s="8"/>
      <c r="D1293" t="s">
        <v>229</v>
      </c>
      <c r="G1293">
        <v>1333101</v>
      </c>
    </row>
    <row r="1294" spans="1:7" ht="14.25" customHeight="1">
      <c r="A1294" s="8">
        <f t="shared" si="5"/>
        <v>0</v>
      </c>
      <c r="B1294" s="8"/>
      <c r="C1294" s="8"/>
      <c r="F1294" t="s">
        <v>578</v>
      </c>
      <c r="G1294">
        <v>63841000</v>
      </c>
    </row>
    <row r="1295" spans="1:7" ht="14.25" customHeight="1">
      <c r="A1295" s="8">
        <f t="shared" si="5"/>
        <v>453215</v>
      </c>
      <c r="B1295" s="8"/>
      <c r="C1295" s="8">
        <v>453215</v>
      </c>
      <c r="D1295">
        <v>51</v>
      </c>
      <c r="E1295" t="s">
        <v>579</v>
      </c>
      <c r="F1295" t="s">
        <v>896</v>
      </c>
      <c r="G1295" s="9">
        <v>44634</v>
      </c>
    </row>
    <row r="1296" spans="1:7" ht="14.25" customHeight="1">
      <c r="A1296" s="8">
        <f t="shared" si="5"/>
        <v>453215</v>
      </c>
      <c r="B1296" s="8"/>
      <c r="C1296" s="8">
        <v>453215</v>
      </c>
    </row>
    <row r="1297" spans="1:7" ht="14.25" customHeight="1">
      <c r="A1297" s="8">
        <f t="shared" si="5"/>
        <v>453215</v>
      </c>
      <c r="B1297" s="8"/>
      <c r="C1297" s="8">
        <v>453215</v>
      </c>
      <c r="E1297">
        <v>1333101</v>
      </c>
      <c r="F1297" t="s">
        <v>229</v>
      </c>
      <c r="G1297" t="s">
        <v>581</v>
      </c>
    </row>
    <row r="1298" spans="1:7" ht="14.25" customHeight="1">
      <c r="A1298" s="8">
        <f t="shared" si="5"/>
        <v>0</v>
      </c>
      <c r="B1298" s="8"/>
      <c r="C1298" s="8"/>
      <c r="D1298" t="s">
        <v>230</v>
      </c>
      <c r="G1298">
        <v>1333102</v>
      </c>
    </row>
    <row r="1299" spans="1:7" ht="14.25" customHeight="1">
      <c r="A1299" s="8">
        <f t="shared" si="5"/>
        <v>0</v>
      </c>
      <c r="B1299" s="8"/>
      <c r="C1299" s="8"/>
      <c r="F1299" t="s">
        <v>778</v>
      </c>
      <c r="G1299">
        <v>60532000</v>
      </c>
    </row>
    <row r="1300" spans="1:7" ht="14.25" customHeight="1">
      <c r="A1300" s="8">
        <f t="shared" si="5"/>
        <v>240465</v>
      </c>
      <c r="B1300" s="8"/>
      <c r="C1300" s="8">
        <v>240465</v>
      </c>
      <c r="D1300">
        <v>5</v>
      </c>
      <c r="E1300" t="s">
        <v>587</v>
      </c>
      <c r="F1300" t="s">
        <v>897</v>
      </c>
      <c r="G1300" s="9">
        <v>44621</v>
      </c>
    </row>
    <row r="1301" spans="1:7" ht="14.25" customHeight="1">
      <c r="A1301" s="8">
        <f t="shared" si="5"/>
        <v>240465</v>
      </c>
      <c r="B1301" s="8"/>
      <c r="C1301" s="8">
        <v>240465</v>
      </c>
    </row>
    <row r="1302" spans="1:7" ht="14.25" customHeight="1">
      <c r="A1302" s="8">
        <f t="shared" si="5"/>
        <v>0</v>
      </c>
      <c r="B1302" s="8"/>
      <c r="C1302" s="8"/>
      <c r="F1302" t="s">
        <v>638</v>
      </c>
      <c r="G1302">
        <v>6121000</v>
      </c>
    </row>
    <row r="1303" spans="1:7" ht="14.25" customHeight="1">
      <c r="A1303" s="8">
        <f t="shared" si="5"/>
        <v>51750</v>
      </c>
      <c r="B1303" s="8"/>
      <c r="C1303" s="8">
        <v>51750</v>
      </c>
      <c r="D1303">
        <v>11</v>
      </c>
      <c r="E1303" t="s">
        <v>587</v>
      </c>
      <c r="F1303" t="s">
        <v>898</v>
      </c>
      <c r="G1303" s="9">
        <v>44623</v>
      </c>
    </row>
    <row r="1304" spans="1:7" ht="14.25" customHeight="1">
      <c r="A1304" s="8">
        <f t="shared" si="5"/>
        <v>51750</v>
      </c>
      <c r="B1304" s="8"/>
      <c r="C1304" s="8">
        <v>51750</v>
      </c>
      <c r="D1304">
        <v>12</v>
      </c>
      <c r="E1304" t="s">
        <v>587</v>
      </c>
      <c r="F1304" t="s">
        <v>899</v>
      </c>
      <c r="G1304" s="9">
        <v>44623</v>
      </c>
    </row>
    <row r="1305" spans="1:7" ht="14.25" customHeight="1">
      <c r="A1305" s="8">
        <f t="shared" si="5"/>
        <v>103500</v>
      </c>
      <c r="B1305" s="8"/>
      <c r="C1305" s="8">
        <v>103500</v>
      </c>
    </row>
    <row r="1306" spans="1:7" ht="14.25" customHeight="1">
      <c r="A1306" s="8">
        <f t="shared" si="5"/>
        <v>0</v>
      </c>
      <c r="B1306" s="8"/>
      <c r="C1306" s="8"/>
      <c r="F1306" t="s">
        <v>785</v>
      </c>
      <c r="G1306">
        <v>62231000</v>
      </c>
    </row>
    <row r="1307" spans="1:7" ht="14.25" customHeight="1">
      <c r="A1307" s="8">
        <f t="shared" si="5"/>
        <v>460000</v>
      </c>
      <c r="B1307" s="8"/>
      <c r="C1307" s="8">
        <v>460000</v>
      </c>
      <c r="D1307">
        <v>78</v>
      </c>
      <c r="E1307" t="s">
        <v>579</v>
      </c>
      <c r="F1307" t="s">
        <v>900</v>
      </c>
      <c r="G1307" s="9">
        <v>44652</v>
      </c>
    </row>
    <row r="1308" spans="1:7" ht="14.25" customHeight="1">
      <c r="A1308" s="8">
        <f t="shared" si="5"/>
        <v>460000</v>
      </c>
      <c r="B1308" s="8"/>
      <c r="C1308" s="8">
        <v>460000</v>
      </c>
    </row>
    <row r="1309" spans="1:7" ht="14.25" customHeight="1">
      <c r="A1309" s="8">
        <f t="shared" si="5"/>
        <v>803965</v>
      </c>
      <c r="B1309" s="8"/>
      <c r="C1309" s="8">
        <v>803965</v>
      </c>
      <c r="E1309">
        <v>1333102</v>
      </c>
      <c r="F1309" t="s">
        <v>230</v>
      </c>
      <c r="G1309" t="s">
        <v>581</v>
      </c>
    </row>
    <row r="1310" spans="1:7" ht="14.25" customHeight="1">
      <c r="A1310" s="8">
        <f t="shared" si="5"/>
        <v>0</v>
      </c>
      <c r="B1310" s="8"/>
      <c r="C1310" s="8"/>
      <c r="D1310" t="s">
        <v>231</v>
      </c>
      <c r="G1310">
        <v>1333121</v>
      </c>
    </row>
    <row r="1311" spans="1:7" ht="14.25" customHeight="1">
      <c r="A1311" s="8">
        <f t="shared" si="5"/>
        <v>0</v>
      </c>
      <c r="B1311" s="8"/>
      <c r="C1311" s="8"/>
      <c r="F1311" t="s">
        <v>584</v>
      </c>
      <c r="G1311">
        <v>70612000</v>
      </c>
    </row>
    <row r="1312" spans="1:7" ht="14.25" customHeight="1">
      <c r="A1312" s="8">
        <f t="shared" si="5"/>
        <v>-4909465</v>
      </c>
      <c r="B1312" s="8">
        <v>4909465</v>
      </c>
      <c r="C1312" s="8"/>
      <c r="D1312">
        <v>256</v>
      </c>
      <c r="E1312" t="s">
        <v>594</v>
      </c>
      <c r="F1312" t="s">
        <v>901</v>
      </c>
      <c r="G1312" s="9">
        <v>44925</v>
      </c>
    </row>
    <row r="1313" spans="1:7" ht="14.25" customHeight="1">
      <c r="A1313" s="8">
        <f t="shared" si="5"/>
        <v>-4312500</v>
      </c>
      <c r="B1313" s="8">
        <v>4312500</v>
      </c>
      <c r="C1313" s="8"/>
      <c r="D1313">
        <v>258</v>
      </c>
      <c r="E1313" t="s">
        <v>594</v>
      </c>
      <c r="F1313" t="s">
        <v>902</v>
      </c>
      <c r="G1313" s="9">
        <v>44925</v>
      </c>
    </row>
    <row r="1314" spans="1:7" ht="14.25" customHeight="1">
      <c r="A1314" s="8">
        <f t="shared" si="5"/>
        <v>-9221965</v>
      </c>
      <c r="B1314" s="8">
        <v>9221965</v>
      </c>
      <c r="C1314" s="8"/>
    </row>
    <row r="1315" spans="1:7" ht="14.25" customHeight="1">
      <c r="A1315" s="8">
        <f t="shared" si="5"/>
        <v>-9221965</v>
      </c>
      <c r="B1315" s="8">
        <v>9221965</v>
      </c>
      <c r="C1315" s="8"/>
      <c r="E1315">
        <v>1333121</v>
      </c>
      <c r="F1315" t="s">
        <v>231</v>
      </c>
      <c r="G1315" t="s">
        <v>581</v>
      </c>
    </row>
    <row r="1316" spans="1:7" ht="14.25" customHeight="1">
      <c r="A1316" s="8">
        <f t="shared" si="5"/>
        <v>0</v>
      </c>
      <c r="B1316" s="8"/>
      <c r="C1316" s="8"/>
      <c r="D1316" t="s">
        <v>232</v>
      </c>
      <c r="G1316">
        <v>1333201</v>
      </c>
    </row>
    <row r="1317" spans="1:7" ht="14.25" customHeight="1">
      <c r="A1317" s="8">
        <f t="shared" si="5"/>
        <v>0</v>
      </c>
      <c r="B1317" s="8"/>
      <c r="C1317" s="8"/>
      <c r="F1317" t="s">
        <v>578</v>
      </c>
      <c r="G1317">
        <v>63841000</v>
      </c>
    </row>
    <row r="1318" spans="1:7" ht="14.25" customHeight="1">
      <c r="A1318" s="8">
        <f t="shared" si="5"/>
        <v>697130</v>
      </c>
      <c r="B1318" s="8"/>
      <c r="C1318" s="8">
        <v>697130</v>
      </c>
      <c r="D1318">
        <v>82</v>
      </c>
      <c r="E1318" t="s">
        <v>594</v>
      </c>
      <c r="F1318" t="s">
        <v>903</v>
      </c>
      <c r="G1318" s="9">
        <v>44777</v>
      </c>
    </row>
    <row r="1319" spans="1:7" ht="14.25" customHeight="1">
      <c r="A1319" s="8">
        <f t="shared" si="5"/>
        <v>697130</v>
      </c>
      <c r="B1319" s="8"/>
      <c r="C1319" s="8">
        <v>697130</v>
      </c>
    </row>
    <row r="1320" spans="1:7" ht="14.25" customHeight="1">
      <c r="A1320" s="8">
        <f t="shared" si="5"/>
        <v>697130</v>
      </c>
      <c r="B1320" s="8"/>
      <c r="C1320" s="8">
        <v>697130</v>
      </c>
      <c r="E1320">
        <v>1333201</v>
      </c>
      <c r="F1320" t="s">
        <v>232</v>
      </c>
      <c r="G1320" t="s">
        <v>581</v>
      </c>
    </row>
    <row r="1321" spans="1:7" ht="14.25" customHeight="1">
      <c r="A1321" s="8">
        <f t="shared" si="5"/>
        <v>0</v>
      </c>
      <c r="B1321" s="8"/>
      <c r="C1321" s="8"/>
      <c r="D1321" t="s">
        <v>233</v>
      </c>
      <c r="G1321">
        <v>1333202</v>
      </c>
    </row>
    <row r="1322" spans="1:7" ht="14.25" customHeight="1">
      <c r="A1322" s="8">
        <f t="shared" si="5"/>
        <v>0</v>
      </c>
      <c r="B1322" s="8"/>
      <c r="C1322" s="8"/>
      <c r="F1322" t="s">
        <v>638</v>
      </c>
      <c r="G1322">
        <v>6121000</v>
      </c>
    </row>
    <row r="1323" spans="1:7" ht="14.25" customHeight="1">
      <c r="A1323" s="8">
        <f t="shared" si="5"/>
        <v>69000</v>
      </c>
      <c r="B1323" s="8"/>
      <c r="C1323" s="8">
        <v>69000</v>
      </c>
      <c r="D1323">
        <v>48</v>
      </c>
      <c r="E1323" t="s">
        <v>587</v>
      </c>
      <c r="F1323" t="s">
        <v>904</v>
      </c>
      <c r="G1323" s="9">
        <v>44641</v>
      </c>
    </row>
    <row r="1324" spans="1:7" ht="14.25" customHeight="1">
      <c r="A1324" s="8">
        <f t="shared" si="5"/>
        <v>69000</v>
      </c>
      <c r="B1324" s="8"/>
      <c r="C1324" s="8">
        <v>69000</v>
      </c>
      <c r="D1324">
        <v>49</v>
      </c>
      <c r="E1324" t="s">
        <v>587</v>
      </c>
      <c r="F1324" t="s">
        <v>905</v>
      </c>
      <c r="G1324" s="9">
        <v>44641</v>
      </c>
    </row>
    <row r="1325" spans="1:7" ht="14.25" customHeight="1">
      <c r="A1325" s="8">
        <f t="shared" si="5"/>
        <v>138000</v>
      </c>
      <c r="B1325" s="8"/>
      <c r="C1325" s="8">
        <v>138000</v>
      </c>
    </row>
    <row r="1326" spans="1:7" ht="14.25" customHeight="1">
      <c r="A1326" s="8">
        <f t="shared" si="5"/>
        <v>138000</v>
      </c>
      <c r="B1326" s="8"/>
      <c r="C1326" s="8">
        <v>138000</v>
      </c>
      <c r="E1326">
        <v>1333202</v>
      </c>
      <c r="F1326" t="s">
        <v>233</v>
      </c>
      <c r="G1326" t="s">
        <v>581</v>
      </c>
    </row>
    <row r="1327" spans="1:7" ht="14.25" customHeight="1">
      <c r="A1327" s="8">
        <f t="shared" si="5"/>
        <v>0</v>
      </c>
      <c r="B1327" s="8"/>
      <c r="C1327" s="8"/>
      <c r="D1327" t="s">
        <v>234</v>
      </c>
      <c r="G1327">
        <v>1333205</v>
      </c>
    </row>
    <row r="1328" spans="1:7" ht="14.25" customHeight="1">
      <c r="A1328" s="8">
        <f t="shared" si="5"/>
        <v>0</v>
      </c>
      <c r="B1328" s="8"/>
      <c r="C1328" s="8"/>
      <c r="F1328" t="s">
        <v>582</v>
      </c>
      <c r="G1328">
        <v>63240000</v>
      </c>
    </row>
    <row r="1329" spans="1:7" ht="14.25" customHeight="1">
      <c r="A1329" s="8">
        <f t="shared" si="5"/>
        <v>310500</v>
      </c>
      <c r="B1329" s="8"/>
      <c r="C1329" s="8">
        <v>310500</v>
      </c>
      <c r="D1329">
        <v>359</v>
      </c>
      <c r="E1329" t="s">
        <v>579</v>
      </c>
      <c r="F1329" t="s">
        <v>906</v>
      </c>
      <c r="G1329" s="9">
        <v>44874</v>
      </c>
    </row>
    <row r="1330" spans="1:7" ht="14.25" customHeight="1">
      <c r="A1330" s="8">
        <f t="shared" si="5"/>
        <v>221375</v>
      </c>
      <c r="B1330" s="8"/>
      <c r="C1330" s="8">
        <v>221375</v>
      </c>
      <c r="D1330">
        <v>356</v>
      </c>
      <c r="E1330" t="s">
        <v>579</v>
      </c>
      <c r="F1330" t="s">
        <v>907</v>
      </c>
      <c r="G1330" s="9">
        <v>44874</v>
      </c>
    </row>
    <row r="1331" spans="1:7" ht="14.25" customHeight="1">
      <c r="A1331" s="8">
        <f t="shared" si="5"/>
        <v>531875</v>
      </c>
      <c r="B1331" s="8"/>
      <c r="C1331" s="8">
        <v>531875</v>
      </c>
    </row>
    <row r="1332" spans="1:7" ht="14.25" customHeight="1">
      <c r="A1332" s="8">
        <f t="shared" si="5"/>
        <v>531875</v>
      </c>
      <c r="B1332" s="8"/>
      <c r="C1332" s="8">
        <v>531875</v>
      </c>
      <c r="E1332">
        <v>1333205</v>
      </c>
      <c r="F1332" t="s">
        <v>234</v>
      </c>
      <c r="G1332" t="s">
        <v>581</v>
      </c>
    </row>
    <row r="1333" spans="1:7" ht="14.25" customHeight="1">
      <c r="A1333" s="8">
        <f t="shared" si="5"/>
        <v>0</v>
      </c>
      <c r="B1333" s="8"/>
      <c r="C1333" s="8"/>
      <c r="D1333" t="s">
        <v>235</v>
      </c>
      <c r="G1333">
        <v>1333221</v>
      </c>
    </row>
    <row r="1334" spans="1:7" ht="14.25" customHeight="1">
      <c r="A1334" s="8">
        <f t="shared" si="5"/>
        <v>0</v>
      </c>
      <c r="B1334" s="8"/>
      <c r="C1334" s="8"/>
      <c r="F1334" t="s">
        <v>584</v>
      </c>
      <c r="G1334">
        <v>70612000</v>
      </c>
    </row>
    <row r="1335" spans="1:7" ht="14.25" customHeight="1">
      <c r="A1335" s="8">
        <f t="shared" si="5"/>
        <v>-822250</v>
      </c>
      <c r="B1335" s="8">
        <v>822250</v>
      </c>
      <c r="C1335" s="8"/>
      <c r="D1335">
        <v>108</v>
      </c>
      <c r="E1335" t="s">
        <v>585</v>
      </c>
      <c r="F1335" t="s">
        <v>908</v>
      </c>
      <c r="G1335" s="9">
        <v>44743</v>
      </c>
    </row>
    <row r="1336" spans="1:7" ht="14.25" customHeight="1">
      <c r="A1336" s="8">
        <f t="shared" si="5"/>
        <v>-4479250</v>
      </c>
      <c r="B1336" s="8">
        <v>4479250</v>
      </c>
      <c r="C1336" s="8"/>
      <c r="D1336">
        <v>127</v>
      </c>
      <c r="E1336" t="s">
        <v>585</v>
      </c>
      <c r="F1336" t="s">
        <v>909</v>
      </c>
      <c r="G1336" s="9">
        <v>44767</v>
      </c>
    </row>
    <row r="1337" spans="1:7" ht="14.25" customHeight="1">
      <c r="A1337" s="8">
        <f t="shared" si="5"/>
        <v>-92000</v>
      </c>
      <c r="B1337" s="8">
        <v>92000</v>
      </c>
      <c r="C1337" s="8"/>
      <c r="D1337">
        <v>135</v>
      </c>
      <c r="E1337" t="s">
        <v>585</v>
      </c>
      <c r="F1337" t="s">
        <v>910</v>
      </c>
      <c r="G1337" s="9">
        <v>44775</v>
      </c>
    </row>
    <row r="1338" spans="1:7" ht="14.25" customHeight="1">
      <c r="A1338" s="8">
        <f t="shared" si="5"/>
        <v>-4646000</v>
      </c>
      <c r="B1338" s="8">
        <v>4646000</v>
      </c>
      <c r="C1338" s="8"/>
      <c r="D1338">
        <v>261</v>
      </c>
      <c r="E1338" t="s">
        <v>594</v>
      </c>
      <c r="F1338" t="s">
        <v>911</v>
      </c>
      <c r="G1338" s="9">
        <v>44925</v>
      </c>
    </row>
    <row r="1339" spans="1:7" ht="14.25" customHeight="1">
      <c r="A1339" s="8">
        <f t="shared" si="5"/>
        <v>822250</v>
      </c>
      <c r="B1339" s="8"/>
      <c r="C1339" s="8">
        <v>822250</v>
      </c>
      <c r="D1339">
        <v>306</v>
      </c>
      <c r="E1339" t="s">
        <v>594</v>
      </c>
      <c r="F1339" t="s">
        <v>912</v>
      </c>
      <c r="G1339" s="9">
        <v>44925</v>
      </c>
    </row>
    <row r="1340" spans="1:7" ht="14.25" customHeight="1">
      <c r="A1340" s="8">
        <f t="shared" si="5"/>
        <v>-9217250</v>
      </c>
      <c r="B1340" s="8">
        <v>10039500</v>
      </c>
      <c r="C1340" s="8">
        <v>822250</v>
      </c>
    </row>
    <row r="1341" spans="1:7" ht="14.25" customHeight="1">
      <c r="A1341" s="8">
        <f t="shared" si="5"/>
        <v>-9217250</v>
      </c>
      <c r="B1341" s="8">
        <v>10039500</v>
      </c>
      <c r="C1341" s="8">
        <v>822250</v>
      </c>
      <c r="E1341">
        <v>1333221</v>
      </c>
      <c r="F1341" t="s">
        <v>235</v>
      </c>
      <c r="G1341" t="s">
        <v>581</v>
      </c>
    </row>
    <row r="1342" spans="1:7" ht="14.25" customHeight="1">
      <c r="A1342" s="8">
        <f t="shared" si="5"/>
        <v>0</v>
      </c>
      <c r="B1342" s="8"/>
      <c r="C1342" s="8"/>
      <c r="D1342" t="s">
        <v>236</v>
      </c>
      <c r="G1342">
        <v>1333301</v>
      </c>
    </row>
    <row r="1343" spans="1:7" ht="14.25" customHeight="1">
      <c r="A1343" s="8">
        <f t="shared" si="5"/>
        <v>0</v>
      </c>
      <c r="B1343" s="8"/>
      <c r="C1343" s="8"/>
      <c r="F1343" t="s">
        <v>578</v>
      </c>
      <c r="G1343">
        <v>63841000</v>
      </c>
    </row>
    <row r="1344" spans="1:7" ht="14.25" customHeight="1">
      <c r="A1344" s="8">
        <f t="shared" si="5"/>
        <v>592595</v>
      </c>
      <c r="B1344" s="8"/>
      <c r="C1344" s="8">
        <v>592595</v>
      </c>
      <c r="D1344">
        <v>101</v>
      </c>
      <c r="E1344" t="s">
        <v>579</v>
      </c>
      <c r="F1344" t="s">
        <v>913</v>
      </c>
      <c r="G1344" s="9">
        <v>44670</v>
      </c>
    </row>
    <row r="1345" spans="1:7" ht="14.25" customHeight="1">
      <c r="A1345" s="8">
        <f t="shared" si="5"/>
        <v>592595</v>
      </c>
      <c r="B1345" s="8"/>
      <c r="C1345" s="8">
        <v>592595</v>
      </c>
    </row>
    <row r="1346" spans="1:7" ht="14.25" customHeight="1">
      <c r="A1346" s="8">
        <f t="shared" si="5"/>
        <v>592595</v>
      </c>
      <c r="B1346" s="8"/>
      <c r="C1346" s="8">
        <v>592595</v>
      </c>
      <c r="E1346">
        <v>1333301</v>
      </c>
      <c r="F1346" t="s">
        <v>236</v>
      </c>
      <c r="G1346" t="s">
        <v>581</v>
      </c>
    </row>
    <row r="1347" spans="1:7" ht="14.25" customHeight="1">
      <c r="A1347" s="8">
        <f t="shared" si="5"/>
        <v>0</v>
      </c>
      <c r="B1347" s="8"/>
      <c r="C1347" s="8"/>
      <c r="D1347" t="s">
        <v>237</v>
      </c>
      <c r="G1347">
        <v>1333302</v>
      </c>
    </row>
    <row r="1348" spans="1:7" ht="14.25" customHeight="1">
      <c r="A1348" s="8">
        <f t="shared" si="5"/>
        <v>0</v>
      </c>
      <c r="B1348" s="8"/>
      <c r="C1348" s="8"/>
      <c r="F1348" t="s">
        <v>785</v>
      </c>
      <c r="G1348">
        <v>62231000</v>
      </c>
    </row>
    <row r="1349" spans="1:7" ht="14.25" customHeight="1">
      <c r="A1349" s="8">
        <f t="shared" si="5"/>
        <v>460000</v>
      </c>
      <c r="B1349" s="8"/>
      <c r="C1349" s="8">
        <v>460000</v>
      </c>
      <c r="D1349">
        <v>115</v>
      </c>
      <c r="E1349" t="s">
        <v>579</v>
      </c>
      <c r="F1349" t="s">
        <v>914</v>
      </c>
      <c r="G1349" s="9">
        <v>44684</v>
      </c>
    </row>
    <row r="1350" spans="1:7" ht="14.25" customHeight="1">
      <c r="A1350" s="8">
        <f t="shared" si="5"/>
        <v>460000</v>
      </c>
      <c r="B1350" s="8"/>
      <c r="C1350" s="8">
        <v>460000</v>
      </c>
    </row>
    <row r="1351" spans="1:7" ht="14.25" customHeight="1">
      <c r="A1351" s="8">
        <f t="shared" si="5"/>
        <v>460000</v>
      </c>
      <c r="B1351" s="8"/>
      <c r="C1351" s="8">
        <v>460000</v>
      </c>
      <c r="E1351">
        <v>1333302</v>
      </c>
      <c r="F1351" t="s">
        <v>237</v>
      </c>
      <c r="G1351" t="s">
        <v>581</v>
      </c>
    </row>
    <row r="1352" spans="1:7" ht="14.25" customHeight="1">
      <c r="A1352" s="8">
        <f t="shared" si="5"/>
        <v>0</v>
      </c>
      <c r="B1352" s="8"/>
      <c r="C1352" s="8"/>
      <c r="D1352" t="s">
        <v>238</v>
      </c>
      <c r="G1352">
        <v>1333305</v>
      </c>
    </row>
    <row r="1353" spans="1:7" ht="14.25" customHeight="1">
      <c r="A1353" s="8">
        <f t="shared" si="5"/>
        <v>0</v>
      </c>
      <c r="B1353" s="8"/>
      <c r="C1353" s="8"/>
      <c r="F1353" t="s">
        <v>582</v>
      </c>
      <c r="G1353">
        <v>63240000</v>
      </c>
    </row>
    <row r="1354" spans="1:7" ht="14.25" customHeight="1">
      <c r="A1354" s="8">
        <f t="shared" si="5"/>
        <v>221375</v>
      </c>
      <c r="B1354" s="8"/>
      <c r="C1354" s="8">
        <v>221375</v>
      </c>
      <c r="D1354">
        <v>209</v>
      </c>
      <c r="E1354" t="s">
        <v>579</v>
      </c>
      <c r="F1354" t="s">
        <v>915</v>
      </c>
      <c r="G1354" s="9">
        <v>44770</v>
      </c>
    </row>
    <row r="1355" spans="1:7" ht="14.25" customHeight="1">
      <c r="A1355" s="8">
        <f t="shared" si="5"/>
        <v>310500</v>
      </c>
      <c r="B1355" s="8"/>
      <c r="C1355" s="8">
        <v>310500</v>
      </c>
      <c r="D1355">
        <v>210</v>
      </c>
      <c r="E1355" t="s">
        <v>579</v>
      </c>
      <c r="F1355" t="s">
        <v>837</v>
      </c>
      <c r="G1355" s="9">
        <v>44770</v>
      </c>
    </row>
    <row r="1356" spans="1:7" ht="14.25" customHeight="1">
      <c r="A1356" s="8">
        <f t="shared" si="5"/>
        <v>531875</v>
      </c>
      <c r="B1356" s="8"/>
      <c r="C1356" s="8">
        <v>531875</v>
      </c>
    </row>
    <row r="1357" spans="1:7" ht="14.25" customHeight="1">
      <c r="A1357" s="8">
        <f t="shared" si="5"/>
        <v>531875</v>
      </c>
      <c r="B1357" s="8"/>
      <c r="C1357" s="8">
        <v>531875</v>
      </c>
      <c r="E1357">
        <v>1333305</v>
      </c>
      <c r="F1357" t="s">
        <v>238</v>
      </c>
      <c r="G1357" t="s">
        <v>581</v>
      </c>
    </row>
    <row r="1358" spans="1:7" ht="14.25" customHeight="1">
      <c r="A1358" s="8">
        <f t="shared" si="5"/>
        <v>0</v>
      </c>
      <c r="B1358" s="8"/>
      <c r="C1358" s="8"/>
      <c r="D1358" t="s">
        <v>239</v>
      </c>
      <c r="G1358">
        <v>1333321</v>
      </c>
    </row>
    <row r="1359" spans="1:7" ht="14.25" customHeight="1">
      <c r="A1359" s="8">
        <f t="shared" si="5"/>
        <v>0</v>
      </c>
      <c r="B1359" s="8"/>
      <c r="C1359" s="8"/>
      <c r="F1359" t="s">
        <v>584</v>
      </c>
      <c r="G1359">
        <v>70612000</v>
      </c>
    </row>
    <row r="1360" spans="1:7" ht="14.25" customHeight="1">
      <c r="A1360" s="8">
        <f t="shared" si="5"/>
        <v>-4957363</v>
      </c>
      <c r="B1360" s="8">
        <v>4957363</v>
      </c>
      <c r="C1360" s="8"/>
      <c r="D1360">
        <v>54</v>
      </c>
      <c r="E1360" t="s">
        <v>585</v>
      </c>
      <c r="F1360" t="s">
        <v>916</v>
      </c>
      <c r="G1360" s="9">
        <v>44656</v>
      </c>
    </row>
    <row r="1361" spans="1:7" ht="14.25" customHeight="1">
      <c r="A1361" s="8">
        <f t="shared" si="5"/>
        <v>-4957363</v>
      </c>
      <c r="B1361" s="8">
        <v>4957363</v>
      </c>
      <c r="C1361" s="8"/>
    </row>
    <row r="1362" spans="1:7" ht="14.25" customHeight="1">
      <c r="A1362" s="8">
        <f t="shared" si="5"/>
        <v>-4957363</v>
      </c>
      <c r="B1362" s="8">
        <v>4957363</v>
      </c>
      <c r="C1362" s="8"/>
      <c r="E1362">
        <v>1333321</v>
      </c>
      <c r="F1362" t="s">
        <v>239</v>
      </c>
      <c r="G1362" t="s">
        <v>581</v>
      </c>
    </row>
    <row r="1363" spans="1:7" ht="14.25" customHeight="1">
      <c r="A1363" s="8">
        <f t="shared" si="5"/>
        <v>0</v>
      </c>
      <c r="B1363" s="8"/>
      <c r="C1363" s="8"/>
      <c r="D1363" t="s">
        <v>240</v>
      </c>
      <c r="G1363">
        <v>1333401</v>
      </c>
    </row>
    <row r="1364" spans="1:7" ht="14.25" customHeight="1">
      <c r="A1364" s="8">
        <f t="shared" si="5"/>
        <v>0</v>
      </c>
      <c r="B1364" s="8"/>
      <c r="C1364" s="8"/>
      <c r="F1364" t="s">
        <v>578</v>
      </c>
      <c r="G1364">
        <v>63841000</v>
      </c>
    </row>
    <row r="1365" spans="1:7" ht="14.25" customHeight="1">
      <c r="A1365" s="8">
        <f t="shared" si="5"/>
        <v>592595</v>
      </c>
      <c r="B1365" s="8"/>
      <c r="C1365" s="8">
        <v>592595</v>
      </c>
      <c r="D1365">
        <v>89</v>
      </c>
      <c r="E1365" t="s">
        <v>579</v>
      </c>
      <c r="F1365" t="s">
        <v>917</v>
      </c>
      <c r="G1365" s="9">
        <v>44657</v>
      </c>
    </row>
    <row r="1366" spans="1:7" ht="14.25" customHeight="1">
      <c r="A1366" s="8">
        <f t="shared" si="5"/>
        <v>592595</v>
      </c>
      <c r="B1366" s="8"/>
      <c r="C1366" s="8">
        <v>592595</v>
      </c>
    </row>
    <row r="1367" spans="1:7" ht="14.25" customHeight="1">
      <c r="A1367" s="8">
        <f t="shared" si="5"/>
        <v>592595</v>
      </c>
      <c r="B1367" s="8"/>
      <c r="C1367" s="8">
        <v>592595</v>
      </c>
      <c r="E1367">
        <v>1333401</v>
      </c>
      <c r="F1367" t="s">
        <v>240</v>
      </c>
      <c r="G1367" t="s">
        <v>581</v>
      </c>
    </row>
    <row r="1368" spans="1:7" ht="14.25" customHeight="1">
      <c r="A1368" s="8">
        <f t="shared" si="5"/>
        <v>0</v>
      </c>
      <c r="B1368" s="8"/>
      <c r="C1368" s="8"/>
      <c r="D1368" t="s">
        <v>241</v>
      </c>
      <c r="G1368">
        <v>1333405</v>
      </c>
    </row>
    <row r="1369" spans="1:7" ht="14.25" customHeight="1">
      <c r="A1369" s="8">
        <f t="shared" si="5"/>
        <v>0</v>
      </c>
      <c r="B1369" s="8"/>
      <c r="C1369" s="8"/>
      <c r="F1369" t="s">
        <v>582</v>
      </c>
      <c r="G1369">
        <v>63240000</v>
      </c>
    </row>
    <row r="1370" spans="1:7" ht="14.25" customHeight="1">
      <c r="A1370" s="8">
        <f t="shared" si="5"/>
        <v>181125</v>
      </c>
      <c r="B1370" s="8"/>
      <c r="C1370" s="8">
        <v>181125</v>
      </c>
      <c r="D1370">
        <v>331</v>
      </c>
      <c r="E1370" t="s">
        <v>579</v>
      </c>
      <c r="F1370" t="s">
        <v>872</v>
      </c>
      <c r="G1370" s="9">
        <v>44858</v>
      </c>
    </row>
    <row r="1371" spans="1:7" ht="14.25" customHeight="1">
      <c r="A1371" s="8">
        <f t="shared" si="5"/>
        <v>258750</v>
      </c>
      <c r="B1371" s="8"/>
      <c r="C1371" s="8">
        <v>258750</v>
      </c>
      <c r="D1371">
        <v>332</v>
      </c>
      <c r="E1371" t="s">
        <v>579</v>
      </c>
      <c r="F1371" t="s">
        <v>873</v>
      </c>
      <c r="G1371" s="9">
        <v>44858</v>
      </c>
    </row>
    <row r="1372" spans="1:7" ht="14.25" customHeight="1">
      <c r="A1372" s="8">
        <f t="shared" si="5"/>
        <v>439875</v>
      </c>
      <c r="B1372" s="8"/>
      <c r="C1372" s="8">
        <v>439875</v>
      </c>
    </row>
    <row r="1373" spans="1:7" ht="14.25" customHeight="1">
      <c r="A1373" s="8">
        <f t="shared" si="5"/>
        <v>439875</v>
      </c>
      <c r="B1373" s="8"/>
      <c r="C1373" s="8">
        <v>439875</v>
      </c>
      <c r="E1373">
        <v>1333405</v>
      </c>
      <c r="F1373" t="s">
        <v>241</v>
      </c>
      <c r="G1373" t="s">
        <v>581</v>
      </c>
    </row>
    <row r="1374" spans="1:7" ht="14.25" customHeight="1">
      <c r="A1374" s="8">
        <f t="shared" si="5"/>
        <v>0</v>
      </c>
      <c r="B1374" s="8"/>
      <c r="C1374" s="8"/>
      <c r="D1374" t="s">
        <v>242</v>
      </c>
      <c r="G1374">
        <v>1333421</v>
      </c>
    </row>
    <row r="1375" spans="1:7" ht="14.25" customHeight="1">
      <c r="A1375" s="8">
        <f t="shared" si="5"/>
        <v>0</v>
      </c>
      <c r="B1375" s="8"/>
      <c r="C1375" s="8"/>
      <c r="F1375" t="s">
        <v>584</v>
      </c>
      <c r="G1375">
        <v>70612000</v>
      </c>
    </row>
    <row r="1376" spans="1:7" ht="14.25" customHeight="1">
      <c r="A1376" s="8">
        <f t="shared" si="5"/>
        <v>-4053750</v>
      </c>
      <c r="B1376" s="8">
        <v>4053750</v>
      </c>
      <c r="C1376" s="8"/>
      <c r="D1376">
        <v>64</v>
      </c>
      <c r="E1376" t="s">
        <v>585</v>
      </c>
      <c r="F1376" t="s">
        <v>918</v>
      </c>
      <c r="G1376" s="9">
        <v>44670</v>
      </c>
    </row>
    <row r="1377" spans="1:7" ht="14.25" customHeight="1">
      <c r="A1377" s="8">
        <f t="shared" si="5"/>
        <v>-4053750</v>
      </c>
      <c r="B1377" s="8">
        <v>4053750</v>
      </c>
      <c r="C1377" s="8"/>
      <c r="D1377">
        <v>93</v>
      </c>
      <c r="E1377" t="s">
        <v>585</v>
      </c>
      <c r="F1377" t="s">
        <v>919</v>
      </c>
      <c r="G1377" s="9">
        <v>44722</v>
      </c>
    </row>
    <row r="1378" spans="1:7" ht="14.25" customHeight="1">
      <c r="A1378" s="8">
        <f t="shared" si="5"/>
        <v>4053750</v>
      </c>
      <c r="B1378" s="8"/>
      <c r="C1378" s="8">
        <v>4053750</v>
      </c>
      <c r="D1378">
        <v>99</v>
      </c>
      <c r="E1378" t="s">
        <v>585</v>
      </c>
      <c r="F1378" t="s">
        <v>920</v>
      </c>
      <c r="G1378" s="9">
        <v>44728</v>
      </c>
    </row>
    <row r="1379" spans="1:7" ht="14.25" customHeight="1">
      <c r="A1379" s="8">
        <f t="shared" si="5"/>
        <v>-4053750</v>
      </c>
      <c r="B1379" s="8">
        <v>8107500</v>
      </c>
      <c r="C1379" s="8">
        <v>4053750</v>
      </c>
    </row>
    <row r="1380" spans="1:7" ht="14.25" customHeight="1">
      <c r="A1380" s="8">
        <f t="shared" si="5"/>
        <v>-4053750</v>
      </c>
      <c r="B1380" s="8">
        <v>8107500</v>
      </c>
      <c r="C1380" s="8">
        <v>4053750</v>
      </c>
      <c r="E1380">
        <v>1333421</v>
      </c>
      <c r="F1380" t="s">
        <v>242</v>
      </c>
      <c r="G1380" t="s">
        <v>581</v>
      </c>
    </row>
    <row r="1381" spans="1:7" ht="14.25" customHeight="1">
      <c r="A1381" s="8">
        <f t="shared" si="5"/>
        <v>0</v>
      </c>
      <c r="B1381" s="8"/>
      <c r="C1381" s="8"/>
      <c r="D1381" t="s">
        <v>243</v>
      </c>
      <c r="G1381">
        <v>1333501</v>
      </c>
    </row>
    <row r="1382" spans="1:7" ht="14.25" customHeight="1">
      <c r="A1382" s="8">
        <f t="shared" si="5"/>
        <v>0</v>
      </c>
      <c r="B1382" s="8"/>
      <c r="C1382" s="8"/>
      <c r="F1382" t="s">
        <v>578</v>
      </c>
      <c r="G1382">
        <v>63841000</v>
      </c>
    </row>
    <row r="1383" spans="1:7" ht="14.25" customHeight="1">
      <c r="A1383" s="8">
        <f t="shared" si="5"/>
        <v>126313</v>
      </c>
      <c r="B1383" s="8"/>
      <c r="C1383" s="8">
        <v>126313</v>
      </c>
      <c r="D1383">
        <v>104</v>
      </c>
      <c r="E1383" t="s">
        <v>579</v>
      </c>
      <c r="F1383" t="s">
        <v>921</v>
      </c>
      <c r="G1383" s="9">
        <v>44673</v>
      </c>
    </row>
    <row r="1384" spans="1:7" ht="14.25" customHeight="1">
      <c r="A1384" s="8">
        <f t="shared" si="5"/>
        <v>522905</v>
      </c>
      <c r="B1384" s="8"/>
      <c r="C1384" s="8">
        <v>522905</v>
      </c>
      <c r="D1384">
        <v>105</v>
      </c>
      <c r="E1384" t="s">
        <v>579</v>
      </c>
      <c r="F1384" t="s">
        <v>922</v>
      </c>
      <c r="G1384" s="9">
        <v>44677</v>
      </c>
    </row>
    <row r="1385" spans="1:7" ht="14.25" customHeight="1">
      <c r="A1385" s="8">
        <f t="shared" si="5"/>
        <v>649218</v>
      </c>
      <c r="B1385" s="8"/>
      <c r="C1385" s="8">
        <v>649218</v>
      </c>
    </row>
    <row r="1386" spans="1:7" ht="14.25" customHeight="1">
      <c r="A1386" s="8">
        <f t="shared" si="5"/>
        <v>649218</v>
      </c>
      <c r="B1386" s="8"/>
      <c r="C1386" s="8">
        <v>649218</v>
      </c>
      <c r="E1386">
        <v>1333501</v>
      </c>
      <c r="F1386" t="s">
        <v>243</v>
      </c>
      <c r="G1386" t="s">
        <v>581</v>
      </c>
    </row>
    <row r="1387" spans="1:7" ht="14.25" customHeight="1">
      <c r="A1387" s="8">
        <f t="shared" si="5"/>
        <v>0</v>
      </c>
      <c r="B1387" s="8"/>
      <c r="C1387" s="8"/>
      <c r="D1387" t="s">
        <v>244</v>
      </c>
      <c r="G1387">
        <v>1333502</v>
      </c>
    </row>
    <row r="1388" spans="1:7" ht="14.25" customHeight="1">
      <c r="A1388" s="8">
        <f t="shared" si="5"/>
        <v>0</v>
      </c>
      <c r="B1388" s="8"/>
      <c r="C1388" s="8"/>
      <c r="F1388" t="s">
        <v>638</v>
      </c>
      <c r="G1388">
        <v>6121000</v>
      </c>
    </row>
    <row r="1389" spans="1:7" ht="14.25" customHeight="1">
      <c r="A1389" s="8">
        <f t="shared" si="5"/>
        <v>2961</v>
      </c>
      <c r="B1389" s="8"/>
      <c r="C1389" s="8">
        <v>2961</v>
      </c>
      <c r="D1389">
        <v>104</v>
      </c>
      <c r="E1389" t="s">
        <v>579</v>
      </c>
      <c r="F1389" t="s">
        <v>921</v>
      </c>
      <c r="G1389" s="9">
        <v>44673</v>
      </c>
    </row>
    <row r="1390" spans="1:7" ht="14.25" customHeight="1">
      <c r="A1390" s="8">
        <f t="shared" si="5"/>
        <v>2961</v>
      </c>
      <c r="B1390" s="8"/>
      <c r="C1390" s="8">
        <v>2961</v>
      </c>
    </row>
    <row r="1391" spans="1:7" ht="14.25" customHeight="1">
      <c r="A1391" s="8">
        <f t="shared" si="5"/>
        <v>2961</v>
      </c>
      <c r="B1391" s="8"/>
      <c r="C1391" s="8">
        <v>2961</v>
      </c>
      <c r="E1391">
        <v>1333502</v>
      </c>
      <c r="F1391" t="s">
        <v>244</v>
      </c>
      <c r="G1391" t="s">
        <v>581</v>
      </c>
    </row>
    <row r="1392" spans="1:7" ht="14.25" customHeight="1">
      <c r="A1392" s="8">
        <f t="shared" si="5"/>
        <v>0</v>
      </c>
      <c r="B1392" s="8"/>
      <c r="C1392" s="8"/>
      <c r="D1392" t="s">
        <v>245</v>
      </c>
      <c r="G1392">
        <v>1333505</v>
      </c>
    </row>
    <row r="1393" spans="1:7" ht="14.25" customHeight="1">
      <c r="A1393" s="8">
        <f t="shared" si="5"/>
        <v>0</v>
      </c>
      <c r="B1393" s="8"/>
      <c r="C1393" s="8"/>
      <c r="F1393" t="s">
        <v>582</v>
      </c>
      <c r="G1393">
        <v>63240000</v>
      </c>
    </row>
    <row r="1394" spans="1:7" ht="14.25" customHeight="1">
      <c r="A1394" s="8">
        <f t="shared" si="5"/>
        <v>181125</v>
      </c>
      <c r="B1394" s="8"/>
      <c r="C1394" s="8">
        <v>181125</v>
      </c>
      <c r="D1394">
        <v>160</v>
      </c>
      <c r="E1394" t="s">
        <v>579</v>
      </c>
      <c r="F1394" t="s">
        <v>923</v>
      </c>
      <c r="G1394" s="9">
        <v>44714</v>
      </c>
    </row>
    <row r="1395" spans="1:7" ht="14.25" customHeight="1">
      <c r="A1395" s="8">
        <f t="shared" si="5"/>
        <v>258750</v>
      </c>
      <c r="B1395" s="8"/>
      <c r="C1395" s="8">
        <v>258750</v>
      </c>
      <c r="D1395">
        <v>161</v>
      </c>
      <c r="E1395" t="s">
        <v>579</v>
      </c>
      <c r="F1395" t="s">
        <v>812</v>
      </c>
      <c r="G1395" s="9">
        <v>44714</v>
      </c>
    </row>
    <row r="1396" spans="1:7" ht="14.25" customHeight="1">
      <c r="A1396" s="8">
        <f t="shared" si="5"/>
        <v>439875</v>
      </c>
      <c r="B1396" s="8"/>
      <c r="C1396" s="8">
        <v>439875</v>
      </c>
    </row>
    <row r="1397" spans="1:7" ht="14.25" customHeight="1">
      <c r="A1397" s="8">
        <f t="shared" si="5"/>
        <v>439875</v>
      </c>
      <c r="B1397" s="8"/>
      <c r="C1397" s="8">
        <v>439875</v>
      </c>
      <c r="E1397">
        <v>1333505</v>
      </c>
      <c r="F1397" t="s">
        <v>245</v>
      </c>
      <c r="G1397" t="s">
        <v>581</v>
      </c>
    </row>
    <row r="1398" spans="1:7" ht="14.25" customHeight="1">
      <c r="A1398" s="8">
        <f t="shared" si="5"/>
        <v>0</v>
      </c>
      <c r="B1398" s="8"/>
      <c r="C1398" s="8"/>
      <c r="D1398" t="s">
        <v>246</v>
      </c>
      <c r="G1398">
        <v>1333521</v>
      </c>
    </row>
    <row r="1399" spans="1:7" ht="14.25" customHeight="1">
      <c r="A1399" s="8">
        <f t="shared" si="5"/>
        <v>0</v>
      </c>
      <c r="B1399" s="8"/>
      <c r="C1399" s="8"/>
      <c r="F1399" t="s">
        <v>584</v>
      </c>
      <c r="G1399">
        <v>70612000</v>
      </c>
    </row>
    <row r="1400" spans="1:7" ht="14.25" customHeight="1">
      <c r="A1400" s="8">
        <f t="shared" si="5"/>
        <v>-4456768</v>
      </c>
      <c r="B1400" s="8">
        <v>4456768</v>
      </c>
      <c r="C1400" s="8"/>
      <c r="D1400">
        <v>59</v>
      </c>
      <c r="E1400" t="s">
        <v>585</v>
      </c>
      <c r="F1400" t="s">
        <v>924</v>
      </c>
      <c r="G1400" s="9">
        <v>44658</v>
      </c>
    </row>
    <row r="1401" spans="1:7" ht="14.25" customHeight="1">
      <c r="A1401" s="8">
        <f t="shared" si="5"/>
        <v>-4456768</v>
      </c>
      <c r="B1401" s="8">
        <v>4456768</v>
      </c>
      <c r="C1401" s="8"/>
    </row>
    <row r="1402" spans="1:7" ht="14.25" customHeight="1">
      <c r="A1402" s="8">
        <f t="shared" si="5"/>
        <v>-4456768</v>
      </c>
      <c r="B1402" s="8">
        <v>4456768</v>
      </c>
      <c r="C1402" s="8"/>
      <c r="E1402">
        <v>1333521</v>
      </c>
      <c r="F1402" t="s">
        <v>246</v>
      </c>
      <c r="G1402" t="s">
        <v>581</v>
      </c>
    </row>
    <row r="1403" spans="1:7" ht="14.25" customHeight="1">
      <c r="A1403" s="8">
        <f t="shared" si="5"/>
        <v>0</v>
      </c>
      <c r="B1403" s="8"/>
      <c r="C1403" s="8"/>
      <c r="D1403" t="s">
        <v>247</v>
      </c>
      <c r="G1403">
        <v>1333601</v>
      </c>
    </row>
    <row r="1404" spans="1:7" ht="14.25" customHeight="1">
      <c r="A1404" s="8">
        <f t="shared" si="5"/>
        <v>0</v>
      </c>
      <c r="B1404" s="8"/>
      <c r="C1404" s="8"/>
      <c r="F1404" t="s">
        <v>578</v>
      </c>
      <c r="G1404">
        <v>63841000</v>
      </c>
    </row>
    <row r="1405" spans="1:7" ht="14.25" customHeight="1">
      <c r="A1405" s="8">
        <f t="shared" si="5"/>
        <v>575173</v>
      </c>
      <c r="B1405" s="8"/>
      <c r="C1405" s="8">
        <v>575173</v>
      </c>
      <c r="D1405">
        <v>103</v>
      </c>
      <c r="E1405" t="s">
        <v>579</v>
      </c>
      <c r="F1405" t="s">
        <v>925</v>
      </c>
      <c r="G1405" s="9">
        <v>44673</v>
      </c>
    </row>
    <row r="1406" spans="1:7" ht="14.25" customHeight="1">
      <c r="A1406" s="8">
        <f t="shared" si="5"/>
        <v>126314</v>
      </c>
      <c r="B1406" s="8"/>
      <c r="C1406" s="8">
        <v>126314</v>
      </c>
      <c r="D1406">
        <v>104</v>
      </c>
      <c r="E1406" t="s">
        <v>579</v>
      </c>
      <c r="F1406" t="s">
        <v>921</v>
      </c>
      <c r="G1406" s="9">
        <v>44673</v>
      </c>
    </row>
    <row r="1407" spans="1:7" ht="14.25" customHeight="1">
      <c r="A1407" s="8">
        <f t="shared" si="5"/>
        <v>701486</v>
      </c>
      <c r="B1407" s="8"/>
      <c r="C1407" s="8">
        <v>701486</v>
      </c>
    </row>
    <row r="1408" spans="1:7" ht="14.25" customHeight="1">
      <c r="A1408" s="8">
        <f t="shared" si="5"/>
        <v>701486</v>
      </c>
      <c r="B1408" s="8"/>
      <c r="C1408" s="8">
        <v>701486</v>
      </c>
      <c r="E1408">
        <v>1333601</v>
      </c>
      <c r="F1408" t="s">
        <v>247</v>
      </c>
      <c r="G1408" t="s">
        <v>581</v>
      </c>
    </row>
    <row r="1409" spans="1:7" ht="14.25" customHeight="1">
      <c r="A1409" s="8">
        <f t="shared" si="5"/>
        <v>0</v>
      </c>
      <c r="B1409" s="8"/>
      <c r="C1409" s="8"/>
      <c r="D1409" t="s">
        <v>248</v>
      </c>
      <c r="G1409">
        <v>1333602</v>
      </c>
    </row>
    <row r="1410" spans="1:7" ht="14.25" customHeight="1">
      <c r="A1410" s="8">
        <f t="shared" si="5"/>
        <v>0</v>
      </c>
      <c r="B1410" s="8"/>
      <c r="C1410" s="8"/>
      <c r="F1410" t="s">
        <v>638</v>
      </c>
      <c r="G1410">
        <v>6121000</v>
      </c>
    </row>
    <row r="1411" spans="1:7" ht="14.25" customHeight="1">
      <c r="A1411" s="8">
        <f t="shared" si="5"/>
        <v>2961</v>
      </c>
      <c r="B1411" s="8"/>
      <c r="C1411" s="8">
        <v>2961</v>
      </c>
      <c r="D1411">
        <v>104</v>
      </c>
      <c r="E1411" t="s">
        <v>579</v>
      </c>
      <c r="F1411" t="s">
        <v>921</v>
      </c>
      <c r="G1411" s="9">
        <v>44673</v>
      </c>
    </row>
    <row r="1412" spans="1:7" ht="14.25" customHeight="1">
      <c r="A1412" s="8">
        <f t="shared" si="5"/>
        <v>2961</v>
      </c>
      <c r="B1412" s="8"/>
      <c r="C1412" s="8">
        <v>2961</v>
      </c>
    </row>
    <row r="1413" spans="1:7" ht="14.25" customHeight="1">
      <c r="A1413" s="8">
        <f t="shared" si="5"/>
        <v>2961</v>
      </c>
      <c r="B1413" s="8"/>
      <c r="C1413" s="8">
        <v>2961</v>
      </c>
      <c r="E1413">
        <v>1333602</v>
      </c>
      <c r="F1413" t="s">
        <v>248</v>
      </c>
      <c r="G1413" t="s">
        <v>581</v>
      </c>
    </row>
    <row r="1414" spans="1:7" ht="14.25" customHeight="1">
      <c r="A1414" s="8">
        <f t="shared" si="5"/>
        <v>0</v>
      </c>
      <c r="B1414" s="8"/>
      <c r="C1414" s="8"/>
      <c r="D1414" t="s">
        <v>249</v>
      </c>
      <c r="G1414">
        <v>1333605</v>
      </c>
    </row>
    <row r="1415" spans="1:7" ht="14.25" customHeight="1">
      <c r="A1415" s="8">
        <f t="shared" si="5"/>
        <v>0</v>
      </c>
      <c r="B1415" s="8"/>
      <c r="C1415" s="8"/>
      <c r="F1415" t="s">
        <v>582</v>
      </c>
      <c r="G1415">
        <v>63240000</v>
      </c>
    </row>
    <row r="1416" spans="1:7" ht="14.25" customHeight="1">
      <c r="A1416" s="8">
        <f t="shared" si="5"/>
        <v>221375</v>
      </c>
      <c r="B1416" s="8"/>
      <c r="C1416" s="8">
        <v>221375</v>
      </c>
      <c r="D1416">
        <v>160</v>
      </c>
      <c r="E1416" t="s">
        <v>579</v>
      </c>
      <c r="F1416" t="s">
        <v>923</v>
      </c>
      <c r="G1416" s="9">
        <v>44714</v>
      </c>
    </row>
    <row r="1417" spans="1:7" ht="14.25" customHeight="1">
      <c r="A1417" s="8">
        <f t="shared" si="5"/>
        <v>310500</v>
      </c>
      <c r="B1417" s="8"/>
      <c r="C1417" s="8">
        <v>310500</v>
      </c>
      <c r="D1417">
        <v>161</v>
      </c>
      <c r="E1417" t="s">
        <v>579</v>
      </c>
      <c r="F1417" t="s">
        <v>812</v>
      </c>
      <c r="G1417" s="9">
        <v>44714</v>
      </c>
    </row>
    <row r="1418" spans="1:7" ht="14.25" customHeight="1">
      <c r="A1418" s="8">
        <f t="shared" si="5"/>
        <v>531875</v>
      </c>
      <c r="B1418" s="8"/>
      <c r="C1418" s="8">
        <v>531875</v>
      </c>
    </row>
    <row r="1419" spans="1:7" ht="14.25" customHeight="1">
      <c r="A1419" s="8">
        <f t="shared" si="5"/>
        <v>531875</v>
      </c>
      <c r="B1419" s="8"/>
      <c r="C1419" s="8">
        <v>531875</v>
      </c>
      <c r="E1419">
        <v>1333605</v>
      </c>
      <c r="F1419" t="s">
        <v>249</v>
      </c>
      <c r="G1419" t="s">
        <v>581</v>
      </c>
    </row>
    <row r="1420" spans="1:7" ht="14.25" customHeight="1">
      <c r="A1420" s="8">
        <f t="shared" si="5"/>
        <v>0</v>
      </c>
      <c r="B1420" s="8"/>
      <c r="C1420" s="8"/>
      <c r="D1420" t="s">
        <v>250</v>
      </c>
      <c r="G1420">
        <v>1333621</v>
      </c>
    </row>
    <row r="1421" spans="1:7" ht="14.25" customHeight="1">
      <c r="A1421" s="8">
        <f t="shared" si="5"/>
        <v>0</v>
      </c>
      <c r="B1421" s="8"/>
      <c r="C1421" s="8"/>
      <c r="F1421" t="s">
        <v>584</v>
      </c>
      <c r="G1421">
        <v>70612000</v>
      </c>
    </row>
    <row r="1422" spans="1:7" ht="14.25" customHeight="1">
      <c r="A1422" s="8">
        <f t="shared" si="5"/>
        <v>-4748753</v>
      </c>
      <c r="B1422" s="8">
        <v>4748753</v>
      </c>
      <c r="C1422" s="8"/>
      <c r="D1422">
        <v>66</v>
      </c>
      <c r="E1422" t="s">
        <v>585</v>
      </c>
      <c r="F1422" t="s">
        <v>926</v>
      </c>
      <c r="G1422" s="9">
        <v>44677</v>
      </c>
    </row>
    <row r="1423" spans="1:7" ht="14.25" customHeight="1">
      <c r="A1423" s="8">
        <f t="shared" si="5"/>
        <v>-4748753</v>
      </c>
      <c r="B1423" s="8">
        <v>4748753</v>
      </c>
      <c r="C1423" s="8"/>
    </row>
    <row r="1424" spans="1:7" ht="14.25" customHeight="1">
      <c r="A1424" s="8">
        <f t="shared" si="5"/>
        <v>-4748753</v>
      </c>
      <c r="B1424" s="8">
        <v>4748753</v>
      </c>
      <c r="C1424" s="8"/>
      <c r="E1424">
        <v>1333621</v>
      </c>
      <c r="F1424" t="s">
        <v>250</v>
      </c>
      <c r="G1424" t="s">
        <v>581</v>
      </c>
    </row>
    <row r="1425" spans="1:7" ht="14.25" customHeight="1">
      <c r="A1425" s="8">
        <f t="shared" si="5"/>
        <v>0</v>
      </c>
      <c r="B1425" s="8"/>
      <c r="C1425" s="8"/>
      <c r="D1425" t="s">
        <v>251</v>
      </c>
      <c r="G1425">
        <v>1333701</v>
      </c>
    </row>
    <row r="1426" spans="1:7" ht="14.25" customHeight="1">
      <c r="A1426" s="8">
        <f t="shared" si="5"/>
        <v>0</v>
      </c>
      <c r="B1426" s="8"/>
      <c r="C1426" s="8"/>
      <c r="F1426" t="s">
        <v>578</v>
      </c>
      <c r="G1426">
        <v>63841000</v>
      </c>
    </row>
    <row r="1427" spans="1:7" ht="14.25" customHeight="1">
      <c r="A1427" s="8">
        <f t="shared" si="5"/>
        <v>592595</v>
      </c>
      <c r="B1427" s="8"/>
      <c r="C1427" s="8">
        <v>592595</v>
      </c>
      <c r="D1427">
        <v>113</v>
      </c>
      <c r="E1427" t="s">
        <v>579</v>
      </c>
      <c r="F1427" t="s">
        <v>927</v>
      </c>
      <c r="G1427" s="9">
        <v>44684</v>
      </c>
    </row>
    <row r="1428" spans="1:7" ht="14.25" customHeight="1">
      <c r="A1428" s="8">
        <f t="shared" si="5"/>
        <v>94702</v>
      </c>
      <c r="B1428" s="8"/>
      <c r="C1428" s="8">
        <v>94702</v>
      </c>
      <c r="D1428">
        <v>132</v>
      </c>
      <c r="E1428" t="s">
        <v>579</v>
      </c>
      <c r="F1428" t="s">
        <v>928</v>
      </c>
      <c r="G1428" s="9">
        <v>44694</v>
      </c>
    </row>
    <row r="1429" spans="1:7" ht="14.25" customHeight="1">
      <c r="A1429" s="8">
        <f t="shared" si="5"/>
        <v>383525</v>
      </c>
      <c r="B1429" s="8"/>
      <c r="C1429" s="8">
        <v>383525</v>
      </c>
      <c r="D1429">
        <v>151</v>
      </c>
      <c r="E1429" t="s">
        <v>594</v>
      </c>
      <c r="F1429" t="s">
        <v>929</v>
      </c>
      <c r="G1429" s="9">
        <v>44862</v>
      </c>
    </row>
    <row r="1430" spans="1:7" ht="14.25" customHeight="1">
      <c r="A1430" s="8">
        <f t="shared" si="5"/>
        <v>1070823</v>
      </c>
      <c r="B1430" s="8"/>
      <c r="C1430" s="8">
        <v>1070823</v>
      </c>
    </row>
    <row r="1431" spans="1:7" ht="14.25" customHeight="1">
      <c r="A1431" s="8">
        <f t="shared" si="5"/>
        <v>1070823</v>
      </c>
      <c r="B1431" s="8"/>
      <c r="C1431" s="8">
        <v>1070823</v>
      </c>
      <c r="E1431">
        <v>1333701</v>
      </c>
      <c r="F1431" t="s">
        <v>251</v>
      </c>
      <c r="G1431" t="s">
        <v>581</v>
      </c>
    </row>
    <row r="1432" spans="1:7" ht="14.25" customHeight="1">
      <c r="A1432" s="8">
        <f t="shared" si="5"/>
        <v>0</v>
      </c>
      <c r="B1432" s="8"/>
      <c r="C1432" s="8"/>
      <c r="D1432" t="s">
        <v>252</v>
      </c>
      <c r="G1432">
        <v>1333702</v>
      </c>
    </row>
    <row r="1433" spans="1:7" ht="14.25" customHeight="1">
      <c r="A1433" s="8">
        <f t="shared" si="5"/>
        <v>0</v>
      </c>
      <c r="B1433" s="8"/>
      <c r="C1433" s="8"/>
      <c r="F1433" t="s">
        <v>778</v>
      </c>
      <c r="G1433">
        <v>60532000</v>
      </c>
    </row>
    <row r="1434" spans="1:7" ht="14.25" customHeight="1">
      <c r="A1434" s="8">
        <f t="shared" si="5"/>
        <v>196891</v>
      </c>
      <c r="B1434" s="8"/>
      <c r="C1434" s="8">
        <v>196891</v>
      </c>
      <c r="D1434">
        <v>160</v>
      </c>
      <c r="E1434" t="s">
        <v>594</v>
      </c>
      <c r="F1434" t="s">
        <v>930</v>
      </c>
      <c r="G1434" s="9">
        <v>44869</v>
      </c>
    </row>
    <row r="1435" spans="1:7" ht="14.25" customHeight="1">
      <c r="A1435" s="8">
        <f t="shared" si="5"/>
        <v>196891</v>
      </c>
      <c r="B1435" s="8"/>
      <c r="C1435" s="8">
        <v>196891</v>
      </c>
    </row>
    <row r="1436" spans="1:7" ht="14.25" customHeight="1">
      <c r="A1436" s="8">
        <f t="shared" si="5"/>
        <v>0</v>
      </c>
      <c r="B1436" s="8"/>
      <c r="C1436" s="8"/>
      <c r="F1436" t="s">
        <v>638</v>
      </c>
      <c r="G1436">
        <v>6121000</v>
      </c>
    </row>
    <row r="1437" spans="1:7" ht="14.25" customHeight="1">
      <c r="A1437" s="8">
        <f t="shared" si="5"/>
        <v>5922</v>
      </c>
      <c r="B1437" s="8"/>
      <c r="C1437" s="8">
        <v>5922</v>
      </c>
      <c r="D1437">
        <v>132</v>
      </c>
      <c r="E1437" t="s">
        <v>579</v>
      </c>
      <c r="F1437" t="s">
        <v>928</v>
      </c>
      <c r="G1437" s="9">
        <v>44694</v>
      </c>
    </row>
    <row r="1438" spans="1:7" ht="14.25" customHeight="1">
      <c r="A1438" s="8">
        <f t="shared" si="5"/>
        <v>5922</v>
      </c>
      <c r="B1438" s="8"/>
      <c r="C1438" s="8">
        <v>5922</v>
      </c>
    </row>
    <row r="1439" spans="1:7" ht="14.25" customHeight="1">
      <c r="A1439" s="8">
        <f t="shared" si="5"/>
        <v>0</v>
      </c>
      <c r="B1439" s="8"/>
      <c r="C1439" s="8"/>
      <c r="F1439" t="s">
        <v>590</v>
      </c>
      <c r="G1439">
        <v>61811000</v>
      </c>
    </row>
    <row r="1440" spans="1:7" ht="14.25" customHeight="1">
      <c r="A1440" s="8">
        <f t="shared" si="5"/>
        <v>5750</v>
      </c>
      <c r="B1440" s="8"/>
      <c r="C1440" s="8">
        <v>5750</v>
      </c>
      <c r="D1440">
        <v>160</v>
      </c>
      <c r="E1440" t="s">
        <v>594</v>
      </c>
      <c r="F1440" t="s">
        <v>931</v>
      </c>
      <c r="G1440" s="9">
        <v>44869</v>
      </c>
    </row>
    <row r="1441" spans="1:7" ht="14.25" customHeight="1">
      <c r="A1441" s="8">
        <f t="shared" si="5"/>
        <v>5750</v>
      </c>
      <c r="B1441" s="8"/>
      <c r="C1441" s="8">
        <v>5750</v>
      </c>
    </row>
    <row r="1442" spans="1:7" ht="14.25" customHeight="1">
      <c r="A1442" s="8">
        <f t="shared" si="5"/>
        <v>0</v>
      </c>
      <c r="B1442" s="8"/>
      <c r="C1442" s="8"/>
      <c r="F1442" t="s">
        <v>785</v>
      </c>
      <c r="G1442">
        <v>62231000</v>
      </c>
    </row>
    <row r="1443" spans="1:7" ht="14.25" customHeight="1">
      <c r="A1443" s="8">
        <f t="shared" si="5"/>
        <v>287500</v>
      </c>
      <c r="B1443" s="8"/>
      <c r="C1443" s="8">
        <v>287500</v>
      </c>
      <c r="D1443">
        <v>351</v>
      </c>
      <c r="E1443" t="s">
        <v>579</v>
      </c>
      <c r="F1443" t="s">
        <v>932</v>
      </c>
      <c r="G1443" s="9">
        <v>44874</v>
      </c>
    </row>
    <row r="1444" spans="1:7" ht="14.25" customHeight="1">
      <c r="A1444" s="8">
        <f t="shared" si="5"/>
        <v>287500</v>
      </c>
      <c r="B1444" s="8"/>
      <c r="C1444" s="8">
        <v>287500</v>
      </c>
    </row>
    <row r="1445" spans="1:7" ht="14.25" customHeight="1">
      <c r="A1445" s="8">
        <f t="shared" si="5"/>
        <v>496064</v>
      </c>
      <c r="B1445" s="8"/>
      <c r="C1445" s="8">
        <v>496064</v>
      </c>
      <c r="E1445">
        <v>1333702</v>
      </c>
      <c r="F1445" t="s">
        <v>252</v>
      </c>
      <c r="G1445" t="s">
        <v>581</v>
      </c>
    </row>
    <row r="1446" spans="1:7" ht="14.25" customHeight="1">
      <c r="A1446" s="8">
        <f t="shared" si="5"/>
        <v>0</v>
      </c>
      <c r="B1446" s="8"/>
      <c r="C1446" s="8"/>
      <c r="D1446" t="s">
        <v>253</v>
      </c>
      <c r="G1446">
        <v>1333721</v>
      </c>
    </row>
    <row r="1447" spans="1:7" ht="14.25" customHeight="1">
      <c r="A1447" s="8">
        <f t="shared" si="5"/>
        <v>0</v>
      </c>
      <c r="B1447" s="8"/>
      <c r="C1447" s="8"/>
      <c r="F1447" t="s">
        <v>584</v>
      </c>
      <c r="G1447">
        <v>70612000</v>
      </c>
    </row>
    <row r="1448" spans="1:7" ht="14.25" customHeight="1">
      <c r="A1448" s="8">
        <f t="shared" si="5"/>
        <v>-4706898</v>
      </c>
      <c r="B1448" s="8">
        <v>4706898</v>
      </c>
      <c r="C1448" s="8"/>
      <c r="D1448">
        <v>73</v>
      </c>
      <c r="E1448" t="s">
        <v>585</v>
      </c>
      <c r="F1448" t="s">
        <v>933</v>
      </c>
      <c r="G1448" s="9">
        <v>44680</v>
      </c>
    </row>
    <row r="1449" spans="1:7" ht="14.25" customHeight="1">
      <c r="A1449" s="8">
        <f t="shared" si="5"/>
        <v>-1139806</v>
      </c>
      <c r="B1449" s="8">
        <v>1139806</v>
      </c>
      <c r="C1449" s="8"/>
      <c r="D1449">
        <v>304</v>
      </c>
      <c r="E1449" t="s">
        <v>594</v>
      </c>
      <c r="F1449" t="s">
        <v>934</v>
      </c>
      <c r="G1449" s="9">
        <v>44925</v>
      </c>
    </row>
    <row r="1450" spans="1:7" ht="14.25" customHeight="1">
      <c r="A1450" s="8">
        <f t="shared" si="5"/>
        <v>-5846705</v>
      </c>
      <c r="B1450" s="8">
        <v>5846705</v>
      </c>
      <c r="C1450" s="8"/>
    </row>
    <row r="1451" spans="1:7" ht="14.25" customHeight="1">
      <c r="A1451" s="8">
        <f t="shared" si="5"/>
        <v>-5846705</v>
      </c>
      <c r="B1451" s="8">
        <v>5846705</v>
      </c>
      <c r="C1451" s="8"/>
      <c r="E1451">
        <v>1333721</v>
      </c>
      <c r="F1451" t="s">
        <v>253</v>
      </c>
      <c r="G1451" t="s">
        <v>581</v>
      </c>
    </row>
    <row r="1452" spans="1:7" ht="14.25" customHeight="1">
      <c r="A1452" s="8">
        <f t="shared" si="5"/>
        <v>0</v>
      </c>
      <c r="B1452" s="8"/>
      <c r="C1452" s="8"/>
      <c r="D1452" t="s">
        <v>254</v>
      </c>
      <c r="G1452">
        <v>1333801</v>
      </c>
    </row>
    <row r="1453" spans="1:7" ht="14.25" customHeight="1">
      <c r="A1453" s="8">
        <f t="shared" si="5"/>
        <v>0</v>
      </c>
      <c r="B1453" s="8"/>
      <c r="C1453" s="8"/>
      <c r="F1453" t="s">
        <v>578</v>
      </c>
      <c r="G1453">
        <v>63841000</v>
      </c>
    </row>
    <row r="1454" spans="1:7" ht="14.25" customHeight="1">
      <c r="A1454" s="8">
        <f t="shared" si="5"/>
        <v>662285</v>
      </c>
      <c r="B1454" s="8"/>
      <c r="C1454" s="8">
        <v>662285</v>
      </c>
      <c r="D1454">
        <v>49</v>
      </c>
      <c r="E1454" t="s">
        <v>594</v>
      </c>
      <c r="F1454" t="s">
        <v>935</v>
      </c>
      <c r="G1454" s="9">
        <v>44762</v>
      </c>
    </row>
    <row r="1455" spans="1:7" ht="14.25" customHeight="1">
      <c r="A1455" s="8">
        <f t="shared" si="5"/>
        <v>140076</v>
      </c>
      <c r="B1455" s="8"/>
      <c r="C1455" s="8">
        <v>140076</v>
      </c>
      <c r="D1455">
        <v>77</v>
      </c>
      <c r="E1455" t="s">
        <v>594</v>
      </c>
      <c r="F1455" t="s">
        <v>936</v>
      </c>
      <c r="G1455" s="9">
        <v>44774</v>
      </c>
    </row>
    <row r="1456" spans="1:7" ht="14.25" customHeight="1">
      <c r="A1456" s="8">
        <f t="shared" si="5"/>
        <v>802361</v>
      </c>
      <c r="B1456" s="8"/>
      <c r="C1456" s="8">
        <v>802361</v>
      </c>
    </row>
    <row r="1457" spans="1:7" ht="14.25" customHeight="1">
      <c r="A1457" s="8">
        <f t="shared" si="5"/>
        <v>802361</v>
      </c>
      <c r="B1457" s="8"/>
      <c r="C1457" s="8">
        <v>802361</v>
      </c>
      <c r="E1457">
        <v>1333801</v>
      </c>
      <c r="F1457" t="s">
        <v>254</v>
      </c>
      <c r="G1457" t="s">
        <v>581</v>
      </c>
    </row>
    <row r="1458" spans="1:7" ht="14.25" customHeight="1">
      <c r="A1458" s="8">
        <f t="shared" si="5"/>
        <v>0</v>
      </c>
      <c r="B1458" s="8"/>
      <c r="C1458" s="8"/>
      <c r="D1458" t="s">
        <v>255</v>
      </c>
      <c r="G1458">
        <v>1333805</v>
      </c>
    </row>
    <row r="1459" spans="1:7" ht="14.25" customHeight="1">
      <c r="A1459" s="8">
        <f t="shared" si="5"/>
        <v>0</v>
      </c>
      <c r="B1459" s="8"/>
      <c r="C1459" s="8"/>
      <c r="F1459" t="s">
        <v>582</v>
      </c>
      <c r="G1459">
        <v>63240000</v>
      </c>
    </row>
    <row r="1460" spans="1:7" ht="14.25" customHeight="1">
      <c r="A1460" s="8">
        <f t="shared" si="5"/>
        <v>211312</v>
      </c>
      <c r="B1460" s="8"/>
      <c r="C1460" s="8">
        <v>211312</v>
      </c>
      <c r="D1460">
        <v>375</v>
      </c>
      <c r="E1460" t="s">
        <v>579</v>
      </c>
      <c r="F1460" t="s">
        <v>774</v>
      </c>
      <c r="G1460" s="9">
        <v>44889</v>
      </c>
    </row>
    <row r="1461" spans="1:7" ht="14.25" customHeight="1">
      <c r="A1461" s="8">
        <f t="shared" si="5"/>
        <v>297563</v>
      </c>
      <c r="B1461" s="8"/>
      <c r="C1461" s="8">
        <v>297563</v>
      </c>
      <c r="D1461">
        <v>378</v>
      </c>
      <c r="E1461" t="s">
        <v>579</v>
      </c>
      <c r="F1461" t="s">
        <v>775</v>
      </c>
      <c r="G1461" s="9">
        <v>44889</v>
      </c>
    </row>
    <row r="1462" spans="1:7" ht="14.25" customHeight="1">
      <c r="A1462" s="8">
        <f t="shared" si="5"/>
        <v>508875</v>
      </c>
      <c r="B1462" s="8"/>
      <c r="C1462" s="8">
        <v>508875</v>
      </c>
    </row>
    <row r="1463" spans="1:7" ht="14.25" customHeight="1">
      <c r="A1463" s="8">
        <f t="shared" si="5"/>
        <v>508875</v>
      </c>
      <c r="B1463" s="8"/>
      <c r="C1463" s="8">
        <v>508875</v>
      </c>
      <c r="E1463">
        <v>1333805</v>
      </c>
      <c r="F1463" t="s">
        <v>255</v>
      </c>
      <c r="G1463" t="s">
        <v>581</v>
      </c>
    </row>
    <row r="1464" spans="1:7" ht="14.25" customHeight="1">
      <c r="A1464" s="8">
        <f t="shared" si="5"/>
        <v>0</v>
      </c>
      <c r="B1464" s="8"/>
      <c r="C1464" s="8"/>
      <c r="D1464" t="s">
        <v>256</v>
      </c>
      <c r="G1464">
        <v>1333821</v>
      </c>
    </row>
    <row r="1465" spans="1:7" ht="14.25" customHeight="1">
      <c r="A1465" s="8">
        <f t="shared" si="5"/>
        <v>0</v>
      </c>
      <c r="B1465" s="8"/>
      <c r="C1465" s="8"/>
      <c r="F1465" t="s">
        <v>584</v>
      </c>
      <c r="G1465">
        <v>70612000</v>
      </c>
    </row>
    <row r="1466" spans="1:7" ht="14.25" customHeight="1">
      <c r="A1466" s="8">
        <f t="shared" si="5"/>
        <v>-4983209</v>
      </c>
      <c r="B1466" s="8">
        <v>4983209</v>
      </c>
      <c r="C1466" s="8"/>
      <c r="D1466">
        <v>65</v>
      </c>
      <c r="E1466" t="s">
        <v>585</v>
      </c>
      <c r="F1466" t="s">
        <v>937</v>
      </c>
      <c r="G1466" s="9">
        <v>44673</v>
      </c>
    </row>
    <row r="1467" spans="1:7" ht="14.25" customHeight="1">
      <c r="A1467" s="8">
        <f t="shared" si="5"/>
        <v>-168995</v>
      </c>
      <c r="B1467" s="8">
        <v>168995</v>
      </c>
      <c r="C1467" s="8"/>
      <c r="D1467">
        <v>118</v>
      </c>
      <c r="E1467" t="s">
        <v>585</v>
      </c>
      <c r="F1467" t="s">
        <v>938</v>
      </c>
      <c r="G1467" s="9">
        <v>44760</v>
      </c>
    </row>
    <row r="1468" spans="1:7" ht="14.25" customHeight="1">
      <c r="A1468" s="8">
        <f t="shared" si="5"/>
        <v>-5152204</v>
      </c>
      <c r="B1468" s="8">
        <v>5152204</v>
      </c>
      <c r="C1468" s="8"/>
    </row>
    <row r="1469" spans="1:7" ht="14.25" customHeight="1">
      <c r="A1469" s="8">
        <f t="shared" si="5"/>
        <v>-5152204</v>
      </c>
      <c r="B1469" s="8">
        <v>5152204</v>
      </c>
      <c r="C1469" s="8"/>
      <c r="E1469">
        <v>1333821</v>
      </c>
      <c r="F1469" t="s">
        <v>256</v>
      </c>
      <c r="G1469" t="s">
        <v>581</v>
      </c>
    </row>
    <row r="1470" spans="1:7" ht="14.25" customHeight="1">
      <c r="A1470" s="8">
        <f t="shared" si="5"/>
        <v>0</v>
      </c>
      <c r="B1470" s="8"/>
      <c r="C1470" s="8"/>
      <c r="D1470" t="s">
        <v>257</v>
      </c>
      <c r="G1470">
        <v>1333921</v>
      </c>
    </row>
    <row r="1471" spans="1:7" ht="14.25" customHeight="1">
      <c r="A1471" s="8">
        <f t="shared" si="5"/>
        <v>0</v>
      </c>
      <c r="B1471" s="8"/>
      <c r="C1471" s="8"/>
      <c r="F1471" t="s">
        <v>584</v>
      </c>
      <c r="G1471">
        <v>70612000</v>
      </c>
    </row>
    <row r="1472" spans="1:7" ht="14.25" customHeight="1">
      <c r="A1472" s="8">
        <f t="shared" si="5"/>
        <v>-3908913</v>
      </c>
      <c r="B1472" s="8">
        <v>3908913</v>
      </c>
      <c r="C1472" s="8"/>
      <c r="D1472">
        <v>63</v>
      </c>
      <c r="E1472" t="s">
        <v>585</v>
      </c>
      <c r="F1472" t="s">
        <v>939</v>
      </c>
      <c r="G1472" s="9">
        <v>44670</v>
      </c>
    </row>
    <row r="1473" spans="1:7" ht="14.25" customHeight="1">
      <c r="A1473" s="8">
        <f t="shared" si="5"/>
        <v>3908913</v>
      </c>
      <c r="B1473" s="8"/>
      <c r="C1473" s="8">
        <v>3908913</v>
      </c>
      <c r="D1473">
        <v>224</v>
      </c>
      <c r="E1473" t="s">
        <v>594</v>
      </c>
      <c r="F1473" t="s">
        <v>940</v>
      </c>
      <c r="G1473" s="9">
        <v>44925</v>
      </c>
    </row>
    <row r="1474" spans="1:7" ht="14.25" customHeight="1">
      <c r="A1474" s="8">
        <f t="shared" si="5"/>
        <v>0</v>
      </c>
      <c r="B1474" s="8">
        <v>3908913</v>
      </c>
      <c r="C1474" s="8">
        <v>3908913</v>
      </c>
    </row>
    <row r="1475" spans="1:7" ht="14.25" customHeight="1">
      <c r="A1475" s="8">
        <f t="shared" si="5"/>
        <v>0</v>
      </c>
      <c r="B1475" s="8">
        <v>3908913</v>
      </c>
      <c r="C1475" s="8">
        <v>3908913</v>
      </c>
      <c r="E1475">
        <v>1333921</v>
      </c>
      <c r="F1475" t="s">
        <v>257</v>
      </c>
      <c r="G1475" t="s">
        <v>581</v>
      </c>
    </row>
    <row r="1476" spans="1:7" ht="14.25" customHeight="1">
      <c r="A1476" s="8">
        <f t="shared" si="5"/>
        <v>0</v>
      </c>
      <c r="B1476" s="8"/>
      <c r="C1476" s="8"/>
      <c r="D1476" t="s">
        <v>258</v>
      </c>
      <c r="G1476">
        <v>1334021</v>
      </c>
    </row>
    <row r="1477" spans="1:7" ht="14.25" customHeight="1">
      <c r="A1477" s="8">
        <f t="shared" si="5"/>
        <v>0</v>
      </c>
      <c r="B1477" s="8"/>
      <c r="C1477" s="8"/>
      <c r="F1477" t="s">
        <v>584</v>
      </c>
      <c r="G1477">
        <v>70612000</v>
      </c>
    </row>
    <row r="1478" spans="1:7" ht="14.25" customHeight="1">
      <c r="A1478" s="8">
        <f t="shared" si="5"/>
        <v>-2196500</v>
      </c>
      <c r="B1478" s="8">
        <v>2196500</v>
      </c>
      <c r="C1478" s="8"/>
      <c r="D1478">
        <v>83</v>
      </c>
      <c r="E1478" t="s">
        <v>585</v>
      </c>
      <c r="F1478" t="s">
        <v>941</v>
      </c>
      <c r="G1478" s="9">
        <v>44692</v>
      </c>
    </row>
    <row r="1479" spans="1:7" ht="14.25" customHeight="1">
      <c r="A1479" s="8">
        <f t="shared" si="5"/>
        <v>-2196500</v>
      </c>
      <c r="B1479" s="8">
        <v>2196500</v>
      </c>
      <c r="C1479" s="8"/>
    </row>
    <row r="1480" spans="1:7" ht="14.25" customHeight="1">
      <c r="A1480" s="8">
        <f t="shared" si="5"/>
        <v>-2196500</v>
      </c>
      <c r="B1480" s="8">
        <v>2196500</v>
      </c>
      <c r="C1480" s="8"/>
      <c r="E1480">
        <v>1334021</v>
      </c>
      <c r="F1480" t="s">
        <v>258</v>
      </c>
      <c r="G1480" t="s">
        <v>581</v>
      </c>
    </row>
    <row r="1481" spans="1:7" ht="14.25" customHeight="1">
      <c r="A1481" s="8">
        <f t="shared" si="5"/>
        <v>0</v>
      </c>
      <c r="B1481" s="8"/>
      <c r="C1481" s="8"/>
      <c r="D1481" t="s">
        <v>259</v>
      </c>
      <c r="G1481">
        <v>1334101</v>
      </c>
    </row>
    <row r="1482" spans="1:7" ht="14.25" customHeight="1">
      <c r="A1482" s="8">
        <f t="shared" si="5"/>
        <v>0</v>
      </c>
      <c r="B1482" s="8"/>
      <c r="C1482" s="8"/>
      <c r="F1482" t="s">
        <v>578</v>
      </c>
      <c r="G1482">
        <v>63841000</v>
      </c>
    </row>
    <row r="1483" spans="1:7" ht="14.25" customHeight="1">
      <c r="A1483" s="8">
        <f t="shared" si="5"/>
        <v>261452</v>
      </c>
      <c r="B1483" s="8"/>
      <c r="C1483" s="8">
        <v>261452</v>
      </c>
      <c r="D1483">
        <v>181</v>
      </c>
      <c r="E1483" t="s">
        <v>587</v>
      </c>
      <c r="F1483" t="s">
        <v>942</v>
      </c>
      <c r="G1483" s="9">
        <v>44722</v>
      </c>
    </row>
    <row r="1484" spans="1:7" ht="14.25" customHeight="1">
      <c r="A1484" s="8">
        <f t="shared" si="5"/>
        <v>-261452</v>
      </c>
      <c r="B1484" s="8">
        <v>261452</v>
      </c>
      <c r="C1484" s="8"/>
      <c r="D1484">
        <v>120382</v>
      </c>
      <c r="E1484" t="s">
        <v>587</v>
      </c>
      <c r="F1484" t="s">
        <v>943</v>
      </c>
      <c r="G1484" s="9">
        <v>44925</v>
      </c>
    </row>
    <row r="1485" spans="1:7" ht="14.25" customHeight="1">
      <c r="A1485" s="8">
        <f t="shared" si="5"/>
        <v>261452</v>
      </c>
      <c r="B1485" s="8"/>
      <c r="C1485" s="8">
        <v>261452</v>
      </c>
      <c r="D1485">
        <v>249</v>
      </c>
      <c r="E1485" t="s">
        <v>594</v>
      </c>
      <c r="F1485" t="s">
        <v>944</v>
      </c>
      <c r="G1485" s="9">
        <v>44925</v>
      </c>
    </row>
    <row r="1486" spans="1:7" ht="14.25" customHeight="1">
      <c r="A1486" s="8">
        <f t="shared" si="5"/>
        <v>261453</v>
      </c>
      <c r="B1486" s="8">
        <v>261452</v>
      </c>
      <c r="C1486" s="8">
        <v>522905</v>
      </c>
    </row>
    <row r="1487" spans="1:7" ht="14.25" customHeight="1">
      <c r="A1487" s="8">
        <f t="shared" si="5"/>
        <v>261453</v>
      </c>
      <c r="B1487" s="8">
        <v>261452</v>
      </c>
      <c r="C1487" s="8">
        <v>522905</v>
      </c>
      <c r="E1487">
        <v>1334101</v>
      </c>
      <c r="F1487" t="s">
        <v>259</v>
      </c>
      <c r="G1487" t="s">
        <v>581</v>
      </c>
    </row>
    <row r="1488" spans="1:7" ht="14.25" customHeight="1">
      <c r="A1488" s="8">
        <f t="shared" si="5"/>
        <v>0</v>
      </c>
      <c r="B1488" s="8"/>
      <c r="C1488" s="8"/>
      <c r="D1488" t="s">
        <v>260</v>
      </c>
      <c r="G1488">
        <v>1334102</v>
      </c>
    </row>
    <row r="1489" spans="1:7" ht="14.25" customHeight="1">
      <c r="A1489" s="8">
        <f t="shared" si="5"/>
        <v>0</v>
      </c>
      <c r="B1489" s="8"/>
      <c r="C1489" s="8"/>
      <c r="F1489" t="s">
        <v>590</v>
      </c>
      <c r="G1489">
        <v>61811000</v>
      </c>
    </row>
    <row r="1490" spans="1:7" ht="14.25" customHeight="1">
      <c r="A1490" s="8">
        <f t="shared" si="5"/>
        <v>115000</v>
      </c>
      <c r="B1490" s="8"/>
      <c r="C1490" s="8">
        <v>115000</v>
      </c>
      <c r="D1490">
        <v>233</v>
      </c>
      <c r="E1490" t="s">
        <v>579</v>
      </c>
      <c r="F1490" t="s">
        <v>945</v>
      </c>
      <c r="G1490" s="9">
        <v>44753</v>
      </c>
    </row>
    <row r="1491" spans="1:7" ht="14.25" customHeight="1">
      <c r="A1491" s="8">
        <f t="shared" si="5"/>
        <v>115000</v>
      </c>
      <c r="B1491" s="8"/>
      <c r="C1491" s="8">
        <v>115000</v>
      </c>
    </row>
    <row r="1492" spans="1:7" ht="14.25" customHeight="1">
      <c r="A1492" s="8">
        <f t="shared" si="5"/>
        <v>115000</v>
      </c>
      <c r="B1492" s="8"/>
      <c r="C1492" s="8">
        <v>115000</v>
      </c>
      <c r="E1492">
        <v>1334102</v>
      </c>
      <c r="F1492" t="s">
        <v>260</v>
      </c>
      <c r="G1492" t="s">
        <v>581</v>
      </c>
    </row>
    <row r="1493" spans="1:7" ht="14.25" customHeight="1">
      <c r="A1493" s="8">
        <f t="shared" si="5"/>
        <v>0</v>
      </c>
      <c r="B1493" s="8"/>
      <c r="C1493" s="8"/>
      <c r="D1493" t="s">
        <v>261</v>
      </c>
      <c r="G1493">
        <v>1334121</v>
      </c>
    </row>
    <row r="1494" spans="1:7" ht="14.25" customHeight="1">
      <c r="A1494" s="8">
        <f t="shared" si="5"/>
        <v>0</v>
      </c>
      <c r="B1494" s="8"/>
      <c r="C1494" s="8"/>
      <c r="F1494" t="s">
        <v>584</v>
      </c>
      <c r="G1494">
        <v>70612000</v>
      </c>
    </row>
    <row r="1495" spans="1:7" ht="14.25" customHeight="1">
      <c r="A1495" s="8">
        <f t="shared" si="5"/>
        <v>-2965275</v>
      </c>
      <c r="B1495" s="8">
        <v>2965275</v>
      </c>
      <c r="C1495" s="8"/>
      <c r="D1495">
        <v>91</v>
      </c>
      <c r="E1495" t="s">
        <v>585</v>
      </c>
      <c r="F1495" t="s">
        <v>946</v>
      </c>
      <c r="G1495" s="9">
        <v>44719</v>
      </c>
    </row>
    <row r="1496" spans="1:7" ht="14.25" customHeight="1">
      <c r="A1496" s="8">
        <f t="shared" si="5"/>
        <v>-2965275</v>
      </c>
      <c r="B1496" s="8">
        <v>2965275</v>
      </c>
      <c r="C1496" s="8"/>
    </row>
    <row r="1497" spans="1:7" ht="14.25" customHeight="1">
      <c r="A1497" s="8">
        <f t="shared" si="5"/>
        <v>-2965275</v>
      </c>
      <c r="B1497" s="8">
        <v>2965275</v>
      </c>
      <c r="C1497" s="8"/>
      <c r="E1497">
        <v>1334121</v>
      </c>
      <c r="F1497" t="s">
        <v>261</v>
      </c>
      <c r="G1497" t="s">
        <v>581</v>
      </c>
    </row>
    <row r="1498" spans="1:7" ht="14.25" customHeight="1">
      <c r="A1498" s="8">
        <f t="shared" si="5"/>
        <v>0</v>
      </c>
      <c r="B1498" s="8"/>
      <c r="C1498" s="8"/>
      <c r="D1498" t="s">
        <v>262</v>
      </c>
      <c r="G1498">
        <v>1334201</v>
      </c>
    </row>
    <row r="1499" spans="1:7" ht="14.25" customHeight="1">
      <c r="A1499" s="8">
        <f t="shared" si="5"/>
        <v>0</v>
      </c>
      <c r="B1499" s="8"/>
      <c r="C1499" s="8"/>
      <c r="F1499" t="s">
        <v>578</v>
      </c>
      <c r="G1499">
        <v>63841000</v>
      </c>
    </row>
    <row r="1500" spans="1:7" ht="14.25" customHeight="1">
      <c r="A1500" s="8">
        <f t="shared" si="5"/>
        <v>627440</v>
      </c>
      <c r="B1500" s="8"/>
      <c r="C1500" s="8">
        <v>627440</v>
      </c>
      <c r="D1500">
        <v>202</v>
      </c>
      <c r="E1500" t="s">
        <v>587</v>
      </c>
      <c r="F1500" t="s">
        <v>947</v>
      </c>
      <c r="G1500" s="9">
        <v>44734</v>
      </c>
    </row>
    <row r="1501" spans="1:7" ht="14.25" customHeight="1">
      <c r="A1501" s="8">
        <f t="shared" si="5"/>
        <v>130669</v>
      </c>
      <c r="B1501" s="8"/>
      <c r="C1501" s="8">
        <v>130669</v>
      </c>
      <c r="D1501">
        <v>209</v>
      </c>
      <c r="E1501" t="s">
        <v>587</v>
      </c>
      <c r="F1501" t="s">
        <v>948</v>
      </c>
      <c r="G1501" s="9">
        <v>44736</v>
      </c>
    </row>
    <row r="1502" spans="1:7" ht="14.25" customHeight="1">
      <c r="A1502" s="8">
        <f t="shared" si="5"/>
        <v>-130669</v>
      </c>
      <c r="B1502" s="8">
        <v>130669</v>
      </c>
      <c r="C1502" s="8"/>
      <c r="D1502">
        <v>120386</v>
      </c>
      <c r="E1502" t="s">
        <v>587</v>
      </c>
      <c r="F1502" t="s">
        <v>949</v>
      </c>
      <c r="G1502" s="9">
        <v>44925</v>
      </c>
    </row>
    <row r="1503" spans="1:7" ht="14.25" customHeight="1">
      <c r="A1503" s="8">
        <f t="shared" si="5"/>
        <v>-627440</v>
      </c>
      <c r="B1503" s="8">
        <v>627440</v>
      </c>
      <c r="C1503" s="8"/>
      <c r="D1503">
        <v>120387</v>
      </c>
      <c r="E1503" t="s">
        <v>587</v>
      </c>
      <c r="F1503" t="s">
        <v>950</v>
      </c>
      <c r="G1503" s="9">
        <v>44925</v>
      </c>
    </row>
    <row r="1504" spans="1:7" ht="14.25" customHeight="1">
      <c r="A1504" s="8">
        <f t="shared" si="5"/>
        <v>130669</v>
      </c>
      <c r="B1504" s="8"/>
      <c r="C1504" s="8">
        <v>130669</v>
      </c>
      <c r="D1504">
        <v>252</v>
      </c>
      <c r="E1504" t="s">
        <v>594</v>
      </c>
      <c r="F1504" t="s">
        <v>951</v>
      </c>
      <c r="G1504" s="9">
        <v>44925</v>
      </c>
    </row>
    <row r="1505" spans="1:7" ht="14.25" customHeight="1">
      <c r="A1505" s="8">
        <f t="shared" si="5"/>
        <v>627440</v>
      </c>
      <c r="B1505" s="8"/>
      <c r="C1505" s="8">
        <v>627440</v>
      </c>
      <c r="D1505">
        <v>253</v>
      </c>
      <c r="E1505" t="s">
        <v>594</v>
      </c>
      <c r="F1505" t="s">
        <v>952</v>
      </c>
      <c r="G1505" s="9">
        <v>44925</v>
      </c>
    </row>
    <row r="1506" spans="1:7" ht="14.25" customHeight="1">
      <c r="A1506" s="8">
        <f t="shared" si="5"/>
        <v>758108</v>
      </c>
      <c r="B1506" s="8">
        <v>758109</v>
      </c>
      <c r="C1506" s="8">
        <v>1516217</v>
      </c>
    </row>
    <row r="1507" spans="1:7" ht="14.25" customHeight="1">
      <c r="A1507" s="8">
        <f t="shared" si="5"/>
        <v>758108</v>
      </c>
      <c r="B1507" s="8">
        <v>758109</v>
      </c>
      <c r="C1507" s="8">
        <v>1516217</v>
      </c>
      <c r="E1507">
        <v>1334201</v>
      </c>
      <c r="F1507" t="s">
        <v>262</v>
      </c>
      <c r="G1507" t="s">
        <v>581</v>
      </c>
    </row>
    <row r="1508" spans="1:7" ht="14.25" customHeight="1">
      <c r="A1508" s="8">
        <f t="shared" si="5"/>
        <v>0</v>
      </c>
      <c r="B1508" s="8"/>
      <c r="C1508" s="8"/>
      <c r="D1508" t="s">
        <v>263</v>
      </c>
      <c r="G1508">
        <v>1334202</v>
      </c>
    </row>
    <row r="1509" spans="1:7" ht="14.25" customHeight="1">
      <c r="A1509" s="8">
        <f t="shared" si="5"/>
        <v>0</v>
      </c>
      <c r="B1509" s="8"/>
      <c r="C1509" s="8"/>
      <c r="F1509" t="s">
        <v>590</v>
      </c>
      <c r="G1509">
        <v>61811000</v>
      </c>
    </row>
    <row r="1510" spans="1:7" ht="14.25" customHeight="1">
      <c r="A1510" s="8">
        <f t="shared" si="5"/>
        <v>-5922</v>
      </c>
      <c r="B1510" s="8">
        <v>5922</v>
      </c>
      <c r="C1510" s="8"/>
      <c r="D1510">
        <v>120386</v>
      </c>
      <c r="E1510" t="s">
        <v>587</v>
      </c>
      <c r="F1510" t="s">
        <v>949</v>
      </c>
      <c r="G1510" s="9">
        <v>44925</v>
      </c>
    </row>
    <row r="1511" spans="1:7" ht="14.25" customHeight="1">
      <c r="A1511" s="8">
        <f t="shared" si="5"/>
        <v>5922</v>
      </c>
      <c r="B1511" s="8"/>
      <c r="C1511" s="8">
        <v>5922</v>
      </c>
      <c r="D1511">
        <v>252</v>
      </c>
      <c r="E1511" t="s">
        <v>594</v>
      </c>
      <c r="F1511" t="s">
        <v>951</v>
      </c>
      <c r="G1511" s="9">
        <v>44925</v>
      </c>
    </row>
    <row r="1512" spans="1:7" ht="14.25" customHeight="1">
      <c r="A1512" s="8">
        <f t="shared" si="5"/>
        <v>0</v>
      </c>
      <c r="B1512" s="8">
        <v>5922</v>
      </c>
      <c r="C1512" s="8">
        <v>5922</v>
      </c>
    </row>
    <row r="1513" spans="1:7" ht="14.25" customHeight="1">
      <c r="A1513" s="8">
        <f t="shared" si="5"/>
        <v>0</v>
      </c>
      <c r="B1513" s="8"/>
      <c r="C1513" s="8"/>
      <c r="F1513" t="s">
        <v>953</v>
      </c>
      <c r="G1513">
        <v>61812000</v>
      </c>
    </row>
    <row r="1514" spans="1:7" ht="14.25" customHeight="1">
      <c r="A1514" s="8">
        <f t="shared" si="5"/>
        <v>5922</v>
      </c>
      <c r="B1514" s="8"/>
      <c r="C1514" s="8">
        <v>5922</v>
      </c>
      <c r="D1514">
        <v>209</v>
      </c>
      <c r="E1514" t="s">
        <v>587</v>
      </c>
      <c r="F1514" t="s">
        <v>948</v>
      </c>
      <c r="G1514" s="9">
        <v>44736</v>
      </c>
    </row>
    <row r="1515" spans="1:7" ht="14.25" customHeight="1">
      <c r="A1515" s="8">
        <f t="shared" si="5"/>
        <v>5922</v>
      </c>
      <c r="B1515" s="8"/>
      <c r="C1515" s="8">
        <v>5922</v>
      </c>
    </row>
    <row r="1516" spans="1:7" ht="14.25" customHeight="1">
      <c r="A1516" s="8">
        <f t="shared" si="5"/>
        <v>5923</v>
      </c>
      <c r="B1516" s="8">
        <v>5922</v>
      </c>
      <c r="C1516" s="8">
        <v>11845</v>
      </c>
      <c r="E1516">
        <v>1334202</v>
      </c>
      <c r="F1516" t="s">
        <v>263</v>
      </c>
      <c r="G1516" t="s">
        <v>581</v>
      </c>
    </row>
    <row r="1517" spans="1:7" ht="14.25" customHeight="1">
      <c r="A1517" s="8">
        <f t="shared" si="5"/>
        <v>0</v>
      </c>
      <c r="B1517" s="8"/>
      <c r="C1517" s="8"/>
      <c r="D1517" t="s">
        <v>264</v>
      </c>
      <c r="G1517">
        <v>1334205</v>
      </c>
    </row>
    <row r="1518" spans="1:7" ht="14.25" customHeight="1">
      <c r="A1518" s="8">
        <f t="shared" si="5"/>
        <v>0</v>
      </c>
      <c r="B1518" s="8"/>
      <c r="C1518" s="8"/>
      <c r="F1518" t="s">
        <v>582</v>
      </c>
      <c r="G1518">
        <v>63240000</v>
      </c>
    </row>
    <row r="1519" spans="1:7" ht="14.25" customHeight="1">
      <c r="A1519" s="8">
        <f t="shared" si="5"/>
        <v>284625</v>
      </c>
      <c r="B1519" s="8"/>
      <c r="C1519" s="8">
        <v>284625</v>
      </c>
      <c r="D1519">
        <v>400</v>
      </c>
      <c r="E1519" t="s">
        <v>579</v>
      </c>
      <c r="F1519" t="s">
        <v>954</v>
      </c>
      <c r="G1519" s="9">
        <v>44896</v>
      </c>
    </row>
    <row r="1520" spans="1:7" ht="14.25" customHeight="1">
      <c r="A1520" s="8">
        <f t="shared" si="5"/>
        <v>201250</v>
      </c>
      <c r="B1520" s="8"/>
      <c r="C1520" s="8">
        <v>201250</v>
      </c>
      <c r="D1520">
        <v>401</v>
      </c>
      <c r="E1520" t="s">
        <v>579</v>
      </c>
      <c r="F1520" t="s">
        <v>955</v>
      </c>
      <c r="G1520" s="9">
        <v>44896</v>
      </c>
    </row>
    <row r="1521" spans="1:7" ht="14.25" customHeight="1">
      <c r="A1521" s="8">
        <f t="shared" si="5"/>
        <v>485875</v>
      </c>
      <c r="B1521" s="8"/>
      <c r="C1521" s="8">
        <v>485875</v>
      </c>
    </row>
    <row r="1522" spans="1:7" ht="14.25" customHeight="1">
      <c r="A1522" s="8">
        <f t="shared" si="5"/>
        <v>485875</v>
      </c>
      <c r="B1522" s="8"/>
      <c r="C1522" s="8">
        <v>485875</v>
      </c>
      <c r="E1522">
        <v>1334205</v>
      </c>
      <c r="F1522" t="s">
        <v>264</v>
      </c>
      <c r="G1522" t="s">
        <v>581</v>
      </c>
    </row>
    <row r="1523" spans="1:7" ht="14.25" customHeight="1">
      <c r="A1523" s="8">
        <f t="shared" si="5"/>
        <v>0</v>
      </c>
      <c r="B1523" s="8"/>
      <c r="C1523" s="8"/>
      <c r="D1523" t="s">
        <v>265</v>
      </c>
      <c r="G1523">
        <v>1334221</v>
      </c>
    </row>
    <row r="1524" spans="1:7" ht="14.25" customHeight="1">
      <c r="A1524" s="8">
        <f t="shared" si="5"/>
        <v>0</v>
      </c>
      <c r="B1524" s="8"/>
      <c r="C1524" s="8"/>
      <c r="F1524" t="s">
        <v>584</v>
      </c>
      <c r="G1524">
        <v>70612000</v>
      </c>
    </row>
    <row r="1525" spans="1:7" ht="14.25" customHeight="1">
      <c r="A1525" s="8">
        <f t="shared" si="5"/>
        <v>-4901990</v>
      </c>
      <c r="B1525" s="8">
        <v>4901990</v>
      </c>
      <c r="C1525" s="8"/>
      <c r="D1525">
        <v>102</v>
      </c>
      <c r="E1525" t="s">
        <v>585</v>
      </c>
      <c r="F1525" t="s">
        <v>956</v>
      </c>
      <c r="G1525" s="9">
        <v>44729</v>
      </c>
    </row>
    <row r="1526" spans="1:7" ht="14.25" customHeight="1">
      <c r="A1526" s="8">
        <f t="shared" si="5"/>
        <v>-4901990</v>
      </c>
      <c r="B1526" s="8">
        <v>4901990</v>
      </c>
      <c r="C1526" s="8"/>
    </row>
    <row r="1527" spans="1:7" ht="14.25" customHeight="1">
      <c r="A1527" s="8">
        <f t="shared" si="5"/>
        <v>-4901990</v>
      </c>
      <c r="B1527" s="8">
        <v>4901990</v>
      </c>
      <c r="C1527" s="8"/>
      <c r="E1527">
        <v>1334221</v>
      </c>
      <c r="F1527" t="s">
        <v>265</v>
      </c>
      <c r="G1527" t="s">
        <v>581</v>
      </c>
    </row>
    <row r="1528" spans="1:7" ht="14.25" customHeight="1">
      <c r="A1528" s="8">
        <f t="shared" si="5"/>
        <v>0</v>
      </c>
      <c r="B1528" s="8"/>
      <c r="C1528" s="8"/>
      <c r="D1528" t="s">
        <v>266</v>
      </c>
      <c r="G1528">
        <v>1334301</v>
      </c>
    </row>
    <row r="1529" spans="1:7" ht="14.25" customHeight="1">
      <c r="A1529" s="8">
        <f t="shared" si="5"/>
        <v>0</v>
      </c>
      <c r="B1529" s="8"/>
      <c r="C1529" s="8"/>
      <c r="F1529" t="s">
        <v>578</v>
      </c>
      <c r="G1529">
        <v>63841000</v>
      </c>
    </row>
    <row r="1530" spans="1:7" ht="14.25" customHeight="1">
      <c r="A1530" s="8">
        <f t="shared" si="5"/>
        <v>592595</v>
      </c>
      <c r="B1530" s="8"/>
      <c r="C1530" s="8">
        <v>592595</v>
      </c>
      <c r="D1530">
        <v>42</v>
      </c>
      <c r="E1530" t="s">
        <v>594</v>
      </c>
      <c r="F1530" t="s">
        <v>957</v>
      </c>
      <c r="G1530" s="9">
        <v>44743</v>
      </c>
    </row>
    <row r="1531" spans="1:7" ht="14.25" customHeight="1">
      <c r="A1531" s="8">
        <f t="shared" si="5"/>
        <v>134153</v>
      </c>
      <c r="B1531" s="8"/>
      <c r="C1531" s="8">
        <v>134153</v>
      </c>
      <c r="D1531">
        <v>45</v>
      </c>
      <c r="E1531" t="s">
        <v>594</v>
      </c>
      <c r="F1531" t="s">
        <v>958</v>
      </c>
      <c r="G1531" s="9">
        <v>44743</v>
      </c>
    </row>
    <row r="1532" spans="1:7" ht="14.25" customHeight="1">
      <c r="A1532" s="8">
        <f t="shared" ref="A1532:A1786" si="6">C1532-B1532</f>
        <v>726748</v>
      </c>
      <c r="B1532" s="8"/>
      <c r="C1532" s="8">
        <v>726748</v>
      </c>
    </row>
    <row r="1533" spans="1:7" ht="14.25" customHeight="1">
      <c r="A1533" s="8">
        <f t="shared" si="6"/>
        <v>726748</v>
      </c>
      <c r="B1533" s="8"/>
      <c r="C1533" s="8">
        <v>726748</v>
      </c>
      <c r="E1533">
        <v>1334301</v>
      </c>
      <c r="F1533" t="s">
        <v>266</v>
      </c>
      <c r="G1533" t="s">
        <v>581</v>
      </c>
    </row>
    <row r="1534" spans="1:7" ht="14.25" customHeight="1">
      <c r="A1534" s="8">
        <f t="shared" si="6"/>
        <v>0</v>
      </c>
      <c r="B1534" s="8"/>
      <c r="C1534" s="8"/>
      <c r="D1534" t="s">
        <v>267</v>
      </c>
      <c r="G1534">
        <v>1334302</v>
      </c>
    </row>
    <row r="1535" spans="1:7" ht="14.25" customHeight="1">
      <c r="A1535" s="8">
        <f t="shared" si="6"/>
        <v>0</v>
      </c>
      <c r="B1535" s="8"/>
      <c r="C1535" s="8"/>
      <c r="F1535" t="s">
        <v>590</v>
      </c>
      <c r="G1535">
        <v>61811000</v>
      </c>
    </row>
    <row r="1536" spans="1:7" ht="14.25" customHeight="1">
      <c r="A1536" s="8">
        <f t="shared" si="6"/>
        <v>5922</v>
      </c>
      <c r="B1536" s="8"/>
      <c r="C1536" s="8">
        <v>5922</v>
      </c>
      <c r="D1536">
        <v>45</v>
      </c>
      <c r="E1536" t="s">
        <v>594</v>
      </c>
      <c r="F1536" t="s">
        <v>958</v>
      </c>
      <c r="G1536" s="9">
        <v>44743</v>
      </c>
    </row>
    <row r="1537" spans="1:7" ht="14.25" customHeight="1">
      <c r="A1537" s="8">
        <f t="shared" si="6"/>
        <v>5922</v>
      </c>
      <c r="B1537" s="8"/>
      <c r="C1537" s="8">
        <v>5922</v>
      </c>
    </row>
    <row r="1538" spans="1:7" ht="14.25" customHeight="1">
      <c r="A1538" s="8">
        <f t="shared" si="6"/>
        <v>5922</v>
      </c>
      <c r="B1538" s="8"/>
      <c r="C1538" s="8">
        <v>5922</v>
      </c>
      <c r="E1538">
        <v>1334302</v>
      </c>
      <c r="F1538" t="s">
        <v>267</v>
      </c>
      <c r="G1538" t="s">
        <v>581</v>
      </c>
    </row>
    <row r="1539" spans="1:7" ht="14.25" customHeight="1">
      <c r="A1539" s="8">
        <f t="shared" si="6"/>
        <v>0</v>
      </c>
      <c r="B1539" s="8"/>
      <c r="C1539" s="8"/>
      <c r="D1539" t="s">
        <v>268</v>
      </c>
      <c r="G1539">
        <v>1334305</v>
      </c>
    </row>
    <row r="1540" spans="1:7" ht="14.25" customHeight="1">
      <c r="A1540" s="8">
        <f t="shared" si="6"/>
        <v>0</v>
      </c>
      <c r="B1540" s="8"/>
      <c r="C1540" s="8"/>
      <c r="F1540" t="s">
        <v>582</v>
      </c>
      <c r="G1540">
        <v>63240000</v>
      </c>
    </row>
    <row r="1541" spans="1:7" ht="14.25" customHeight="1">
      <c r="A1541" s="8">
        <f t="shared" si="6"/>
        <v>191187</v>
      </c>
      <c r="B1541" s="8"/>
      <c r="C1541" s="8">
        <v>191187</v>
      </c>
      <c r="D1541">
        <v>353</v>
      </c>
      <c r="E1541" t="s">
        <v>579</v>
      </c>
      <c r="F1541" t="s">
        <v>959</v>
      </c>
      <c r="G1541" s="9">
        <v>44874</v>
      </c>
    </row>
    <row r="1542" spans="1:7" ht="14.25" customHeight="1">
      <c r="A1542" s="8">
        <f t="shared" si="6"/>
        <v>271688</v>
      </c>
      <c r="B1542" s="8"/>
      <c r="C1542" s="8">
        <v>271688</v>
      </c>
      <c r="D1542">
        <v>359</v>
      </c>
      <c r="E1542" t="s">
        <v>579</v>
      </c>
      <c r="F1542" t="s">
        <v>906</v>
      </c>
      <c r="G1542" s="9">
        <v>44874</v>
      </c>
    </row>
    <row r="1543" spans="1:7" ht="14.25" customHeight="1">
      <c r="A1543" s="8">
        <f t="shared" si="6"/>
        <v>462875</v>
      </c>
      <c r="B1543" s="8"/>
      <c r="C1543" s="8">
        <v>462875</v>
      </c>
    </row>
    <row r="1544" spans="1:7" ht="14.25" customHeight="1">
      <c r="A1544" s="8">
        <f t="shared" si="6"/>
        <v>462875</v>
      </c>
      <c r="B1544" s="8"/>
      <c r="C1544" s="8">
        <v>462875</v>
      </c>
      <c r="E1544">
        <v>1334305</v>
      </c>
      <c r="F1544" t="s">
        <v>268</v>
      </c>
      <c r="G1544" t="s">
        <v>581</v>
      </c>
    </row>
    <row r="1545" spans="1:7" ht="14.25" customHeight="1">
      <c r="A1545" s="8">
        <f t="shared" si="6"/>
        <v>0</v>
      </c>
      <c r="B1545" s="8"/>
      <c r="C1545" s="8"/>
      <c r="D1545" t="s">
        <v>269</v>
      </c>
      <c r="G1545">
        <v>1334321</v>
      </c>
    </row>
    <row r="1546" spans="1:7" ht="14.25" customHeight="1">
      <c r="A1546" s="8">
        <f t="shared" si="6"/>
        <v>0</v>
      </c>
      <c r="B1546" s="8"/>
      <c r="C1546" s="8"/>
      <c r="F1546" t="s">
        <v>584</v>
      </c>
      <c r="G1546">
        <v>70612000</v>
      </c>
    </row>
    <row r="1547" spans="1:7" ht="14.25" customHeight="1">
      <c r="A1547" s="8">
        <f t="shared" si="6"/>
        <v>-4721774</v>
      </c>
      <c r="B1547" s="8">
        <v>4721774</v>
      </c>
      <c r="C1547" s="8"/>
      <c r="D1547">
        <v>103</v>
      </c>
      <c r="E1547" t="s">
        <v>585</v>
      </c>
      <c r="F1547" t="s">
        <v>960</v>
      </c>
      <c r="G1547" s="9">
        <v>44734</v>
      </c>
    </row>
    <row r="1548" spans="1:7" ht="14.25" customHeight="1">
      <c r="A1548" s="8">
        <f t="shared" si="6"/>
        <v>4721774</v>
      </c>
      <c r="B1548" s="8"/>
      <c r="C1548" s="8">
        <v>4721774</v>
      </c>
      <c r="D1548">
        <v>115</v>
      </c>
      <c r="E1548" t="s">
        <v>585</v>
      </c>
      <c r="F1548" t="s">
        <v>961</v>
      </c>
      <c r="G1548" s="9">
        <v>44754</v>
      </c>
    </row>
    <row r="1549" spans="1:7" ht="14.25" customHeight="1">
      <c r="A1549" s="8">
        <f t="shared" si="6"/>
        <v>-4721774</v>
      </c>
      <c r="B1549" s="8">
        <v>4721774</v>
      </c>
      <c r="C1549" s="8"/>
      <c r="D1549">
        <v>116</v>
      </c>
      <c r="E1549" t="s">
        <v>585</v>
      </c>
      <c r="F1549" t="s">
        <v>962</v>
      </c>
      <c r="G1549" s="9">
        <v>44754</v>
      </c>
    </row>
    <row r="1550" spans="1:7" ht="14.25" customHeight="1">
      <c r="A1550" s="8">
        <f t="shared" si="6"/>
        <v>-4721773</v>
      </c>
      <c r="B1550" s="8">
        <v>9443547</v>
      </c>
      <c r="C1550" s="8">
        <v>4721774</v>
      </c>
    </row>
    <row r="1551" spans="1:7" ht="14.25" customHeight="1">
      <c r="A1551" s="8">
        <f t="shared" si="6"/>
        <v>-4721773</v>
      </c>
      <c r="B1551" s="8">
        <v>9443547</v>
      </c>
      <c r="C1551" s="8">
        <v>4721774</v>
      </c>
      <c r="E1551">
        <v>1334321</v>
      </c>
      <c r="F1551" t="s">
        <v>269</v>
      </c>
      <c r="G1551" t="s">
        <v>581</v>
      </c>
    </row>
    <row r="1552" spans="1:7" ht="14.25" customHeight="1">
      <c r="A1552" s="8">
        <f t="shared" si="6"/>
        <v>0</v>
      </c>
      <c r="B1552" s="8"/>
      <c r="C1552" s="8"/>
      <c r="D1552" t="s">
        <v>270</v>
      </c>
      <c r="G1552">
        <v>1334401</v>
      </c>
    </row>
    <row r="1553" spans="1:7" ht="14.25" customHeight="1">
      <c r="A1553" s="8">
        <f t="shared" si="6"/>
        <v>0</v>
      </c>
      <c r="B1553" s="8"/>
      <c r="C1553" s="8"/>
      <c r="F1553" t="s">
        <v>578</v>
      </c>
      <c r="G1553">
        <v>63841000</v>
      </c>
    </row>
    <row r="1554" spans="1:7" ht="14.25" customHeight="1">
      <c r="A1554" s="8">
        <f t="shared" si="6"/>
        <v>182994</v>
      </c>
      <c r="B1554" s="8"/>
      <c r="C1554" s="8">
        <v>182994</v>
      </c>
      <c r="D1554">
        <v>106</v>
      </c>
      <c r="E1554" t="s">
        <v>594</v>
      </c>
      <c r="F1554" t="s">
        <v>963</v>
      </c>
      <c r="G1554" s="9">
        <v>44812</v>
      </c>
    </row>
    <row r="1555" spans="1:7" ht="14.25" customHeight="1">
      <c r="A1555" s="8">
        <f t="shared" si="6"/>
        <v>182994</v>
      </c>
      <c r="B1555" s="8"/>
      <c r="C1555" s="8">
        <v>182994</v>
      </c>
    </row>
    <row r="1556" spans="1:7" ht="14.25" customHeight="1">
      <c r="A1556" s="8">
        <f t="shared" si="6"/>
        <v>182994</v>
      </c>
      <c r="B1556" s="8"/>
      <c r="C1556" s="8">
        <v>182994</v>
      </c>
      <c r="E1556">
        <v>1334401</v>
      </c>
      <c r="F1556" t="s">
        <v>270</v>
      </c>
      <c r="G1556" t="s">
        <v>581</v>
      </c>
    </row>
    <row r="1557" spans="1:7" ht="14.25" customHeight="1">
      <c r="A1557" s="8">
        <f t="shared" si="6"/>
        <v>0</v>
      </c>
      <c r="B1557" s="8"/>
      <c r="C1557" s="8"/>
      <c r="D1557" t="s">
        <v>271</v>
      </c>
      <c r="G1557">
        <v>1334402</v>
      </c>
    </row>
    <row r="1558" spans="1:7" ht="14.25" customHeight="1">
      <c r="A1558" s="8">
        <f t="shared" si="6"/>
        <v>0</v>
      </c>
      <c r="B1558" s="8"/>
      <c r="C1558" s="8"/>
      <c r="F1558" t="s">
        <v>590</v>
      </c>
      <c r="G1558">
        <v>61811000</v>
      </c>
    </row>
    <row r="1559" spans="1:7" ht="14.25" customHeight="1">
      <c r="A1559" s="8">
        <f t="shared" si="6"/>
        <v>194695</v>
      </c>
      <c r="B1559" s="8"/>
      <c r="C1559" s="8">
        <v>194695</v>
      </c>
      <c r="D1559">
        <v>300</v>
      </c>
      <c r="E1559" t="s">
        <v>579</v>
      </c>
      <c r="F1559" t="s">
        <v>964</v>
      </c>
      <c r="G1559" s="9">
        <v>44819</v>
      </c>
    </row>
    <row r="1560" spans="1:7" ht="14.25" customHeight="1">
      <c r="A1560" s="8">
        <f t="shared" si="6"/>
        <v>194695</v>
      </c>
      <c r="B1560" s="8"/>
      <c r="C1560" s="8">
        <v>194695</v>
      </c>
    </row>
    <row r="1561" spans="1:7" ht="14.25" customHeight="1">
      <c r="A1561" s="8">
        <f t="shared" si="6"/>
        <v>194695</v>
      </c>
      <c r="B1561" s="8"/>
      <c r="C1561" s="8">
        <v>194695</v>
      </c>
      <c r="E1561">
        <v>1334402</v>
      </c>
      <c r="F1561" t="s">
        <v>271</v>
      </c>
      <c r="G1561" t="s">
        <v>581</v>
      </c>
    </row>
    <row r="1562" spans="1:7" ht="14.25" customHeight="1">
      <c r="A1562" s="8">
        <f t="shared" si="6"/>
        <v>0</v>
      </c>
      <c r="B1562" s="8"/>
      <c r="C1562" s="8"/>
      <c r="D1562" t="s">
        <v>272</v>
      </c>
      <c r="G1562">
        <v>1334405</v>
      </c>
    </row>
    <row r="1563" spans="1:7" ht="14.25" customHeight="1">
      <c r="A1563" s="8">
        <f t="shared" si="6"/>
        <v>0</v>
      </c>
      <c r="B1563" s="8"/>
      <c r="C1563" s="8"/>
      <c r="F1563" t="s">
        <v>582</v>
      </c>
      <c r="G1563">
        <v>63240000</v>
      </c>
    </row>
    <row r="1564" spans="1:7" ht="14.25" customHeight="1">
      <c r="A1564" s="8">
        <f t="shared" si="6"/>
        <v>155250</v>
      </c>
      <c r="B1564" s="8"/>
      <c r="C1564" s="8">
        <v>155250</v>
      </c>
      <c r="D1564">
        <v>354</v>
      </c>
      <c r="E1564" t="s">
        <v>579</v>
      </c>
      <c r="F1564" t="s">
        <v>965</v>
      </c>
      <c r="G1564" s="9">
        <v>44874</v>
      </c>
    </row>
    <row r="1565" spans="1:7" ht="14.25" customHeight="1">
      <c r="A1565" s="8">
        <f t="shared" si="6"/>
        <v>155250</v>
      </c>
      <c r="B1565" s="8"/>
      <c r="C1565" s="8">
        <v>155250</v>
      </c>
    </row>
    <row r="1566" spans="1:7" ht="14.25" customHeight="1">
      <c r="A1566" s="8">
        <f t="shared" si="6"/>
        <v>155250</v>
      </c>
      <c r="B1566" s="8"/>
      <c r="C1566" s="8">
        <v>155250</v>
      </c>
      <c r="E1566">
        <v>1334405</v>
      </c>
      <c r="F1566" t="s">
        <v>272</v>
      </c>
      <c r="G1566" t="s">
        <v>581</v>
      </c>
    </row>
    <row r="1567" spans="1:7" ht="14.25" customHeight="1">
      <c r="A1567" s="8">
        <f t="shared" si="6"/>
        <v>0</v>
      </c>
      <c r="B1567" s="8"/>
      <c r="C1567" s="8"/>
      <c r="D1567" t="s">
        <v>273</v>
      </c>
      <c r="G1567">
        <v>1334421</v>
      </c>
    </row>
    <row r="1568" spans="1:7" ht="14.25" customHeight="1">
      <c r="A1568" s="8">
        <f t="shared" si="6"/>
        <v>0</v>
      </c>
      <c r="B1568" s="8"/>
      <c r="C1568" s="8"/>
      <c r="F1568" t="s">
        <v>584</v>
      </c>
      <c r="G1568">
        <v>70612000</v>
      </c>
    </row>
    <row r="1569" spans="1:7" ht="14.25" customHeight="1">
      <c r="A1569" s="8">
        <f t="shared" si="6"/>
        <v>-2748500</v>
      </c>
      <c r="B1569" s="8">
        <v>2748500</v>
      </c>
      <c r="C1569" s="8"/>
      <c r="D1569">
        <v>125</v>
      </c>
      <c r="E1569" t="s">
        <v>585</v>
      </c>
      <c r="F1569" t="s">
        <v>966</v>
      </c>
      <c r="G1569" s="9">
        <v>44762</v>
      </c>
    </row>
    <row r="1570" spans="1:7" ht="14.25" customHeight="1">
      <c r="A1570" s="8">
        <f t="shared" si="6"/>
        <v>-2748500</v>
      </c>
      <c r="B1570" s="8">
        <v>2748500</v>
      </c>
      <c r="C1570" s="8"/>
    </row>
    <row r="1571" spans="1:7" ht="14.25" customHeight="1">
      <c r="A1571" s="8">
        <f t="shared" si="6"/>
        <v>-2748500</v>
      </c>
      <c r="B1571" s="8">
        <v>2748500</v>
      </c>
      <c r="C1571" s="8"/>
      <c r="E1571">
        <v>1334421</v>
      </c>
      <c r="F1571" t="s">
        <v>273</v>
      </c>
      <c r="G1571" t="s">
        <v>581</v>
      </c>
    </row>
    <row r="1572" spans="1:7" ht="14.25" customHeight="1">
      <c r="A1572" s="8">
        <f t="shared" si="6"/>
        <v>0</v>
      </c>
      <c r="B1572" s="8"/>
      <c r="C1572" s="8"/>
      <c r="D1572" t="s">
        <v>274</v>
      </c>
      <c r="G1572">
        <v>1334501</v>
      </c>
    </row>
    <row r="1573" spans="1:7" ht="14.25" customHeight="1">
      <c r="A1573" s="8">
        <f t="shared" si="6"/>
        <v>0</v>
      </c>
      <c r="B1573" s="8"/>
      <c r="C1573" s="8"/>
      <c r="F1573" t="s">
        <v>578</v>
      </c>
      <c r="G1573">
        <v>63841000</v>
      </c>
    </row>
    <row r="1574" spans="1:7" ht="14.25" customHeight="1">
      <c r="A1574" s="8">
        <f t="shared" si="6"/>
        <v>182994</v>
      </c>
      <c r="B1574" s="8"/>
      <c r="C1574" s="8">
        <v>182994</v>
      </c>
      <c r="D1574">
        <v>106</v>
      </c>
      <c r="E1574" t="s">
        <v>594</v>
      </c>
      <c r="F1574" t="s">
        <v>963</v>
      </c>
      <c r="G1574" s="9">
        <v>44812</v>
      </c>
    </row>
    <row r="1575" spans="1:7" ht="14.25" customHeight="1">
      <c r="A1575" s="8">
        <f t="shared" si="6"/>
        <v>182994</v>
      </c>
      <c r="B1575" s="8"/>
      <c r="C1575" s="8">
        <v>182994</v>
      </c>
    </row>
    <row r="1576" spans="1:7" ht="14.25" customHeight="1">
      <c r="A1576" s="8">
        <f t="shared" si="6"/>
        <v>182994</v>
      </c>
      <c r="B1576" s="8"/>
      <c r="C1576" s="8">
        <v>182994</v>
      </c>
      <c r="E1576">
        <v>1334501</v>
      </c>
      <c r="F1576" t="s">
        <v>274</v>
      </c>
      <c r="G1576" t="s">
        <v>581</v>
      </c>
    </row>
    <row r="1577" spans="1:7" ht="14.25" customHeight="1">
      <c r="A1577" s="8">
        <f t="shared" si="6"/>
        <v>0</v>
      </c>
      <c r="B1577" s="8"/>
      <c r="C1577" s="8"/>
      <c r="D1577" t="s">
        <v>275</v>
      </c>
      <c r="G1577">
        <v>1334505</v>
      </c>
    </row>
    <row r="1578" spans="1:7" ht="14.25" customHeight="1">
      <c r="A1578" s="8">
        <f t="shared" si="6"/>
        <v>0</v>
      </c>
      <c r="B1578" s="8"/>
      <c r="C1578" s="8"/>
      <c r="F1578" t="s">
        <v>582</v>
      </c>
      <c r="G1578">
        <v>63240000</v>
      </c>
    </row>
    <row r="1579" spans="1:7" ht="14.25" customHeight="1">
      <c r="A1579" s="8">
        <f t="shared" si="6"/>
        <v>155250</v>
      </c>
      <c r="B1579" s="8"/>
      <c r="C1579" s="8">
        <v>155250</v>
      </c>
      <c r="D1579">
        <v>354</v>
      </c>
      <c r="E1579" t="s">
        <v>579</v>
      </c>
      <c r="F1579" t="s">
        <v>965</v>
      </c>
      <c r="G1579" s="9">
        <v>44874</v>
      </c>
    </row>
    <row r="1580" spans="1:7" ht="14.25" customHeight="1">
      <c r="A1580" s="8">
        <f t="shared" si="6"/>
        <v>155250</v>
      </c>
      <c r="B1580" s="8"/>
      <c r="C1580" s="8">
        <v>155250</v>
      </c>
    </row>
    <row r="1581" spans="1:7" ht="14.25" customHeight="1">
      <c r="A1581" s="8">
        <f t="shared" si="6"/>
        <v>155250</v>
      </c>
      <c r="B1581" s="8"/>
      <c r="C1581" s="8">
        <v>155250</v>
      </c>
      <c r="E1581">
        <v>1334505</v>
      </c>
      <c r="F1581" t="s">
        <v>275</v>
      </c>
      <c r="G1581" t="s">
        <v>581</v>
      </c>
    </row>
    <row r="1582" spans="1:7" ht="14.25" customHeight="1">
      <c r="A1582" s="8">
        <f t="shared" si="6"/>
        <v>0</v>
      </c>
      <c r="B1582" s="8"/>
      <c r="C1582" s="8"/>
      <c r="D1582" t="s">
        <v>276</v>
      </c>
      <c r="G1582">
        <v>1334521</v>
      </c>
    </row>
    <row r="1583" spans="1:7" ht="14.25" customHeight="1">
      <c r="A1583" s="8">
        <f t="shared" si="6"/>
        <v>0</v>
      </c>
      <c r="B1583" s="8"/>
      <c r="C1583" s="8"/>
      <c r="F1583" t="s">
        <v>584</v>
      </c>
      <c r="G1583">
        <v>70612000</v>
      </c>
    </row>
    <row r="1584" spans="1:7" ht="14.25" customHeight="1">
      <c r="A1584" s="8">
        <f t="shared" si="6"/>
        <v>-2518500</v>
      </c>
      <c r="B1584" s="8">
        <v>2518500</v>
      </c>
      <c r="C1584" s="8"/>
      <c r="D1584">
        <v>126</v>
      </c>
      <c r="E1584" t="s">
        <v>585</v>
      </c>
      <c r="F1584" t="s">
        <v>967</v>
      </c>
      <c r="G1584" s="9">
        <v>44767</v>
      </c>
    </row>
    <row r="1585" spans="1:7" ht="14.25" customHeight="1">
      <c r="A1585" s="8">
        <f t="shared" si="6"/>
        <v>-2518500</v>
      </c>
      <c r="B1585" s="8">
        <v>2518500</v>
      </c>
      <c r="C1585" s="8"/>
      <c r="D1585">
        <v>143</v>
      </c>
      <c r="E1585" t="s">
        <v>585</v>
      </c>
      <c r="F1585" t="s">
        <v>968</v>
      </c>
      <c r="G1585" s="9">
        <v>44782</v>
      </c>
    </row>
    <row r="1586" spans="1:7" ht="14.25" customHeight="1">
      <c r="A1586" s="8">
        <f t="shared" si="6"/>
        <v>2518500</v>
      </c>
      <c r="B1586" s="8"/>
      <c r="C1586" s="8">
        <v>2518500</v>
      </c>
      <c r="D1586">
        <v>144</v>
      </c>
      <c r="E1586" t="s">
        <v>585</v>
      </c>
      <c r="F1586" t="s">
        <v>969</v>
      </c>
      <c r="G1586" s="9">
        <v>44782</v>
      </c>
    </row>
    <row r="1587" spans="1:7" ht="14.25" customHeight="1">
      <c r="A1587" s="8">
        <f t="shared" si="6"/>
        <v>4646000</v>
      </c>
      <c r="B1587" s="8"/>
      <c r="C1587" s="8">
        <v>4646000</v>
      </c>
      <c r="D1587">
        <v>223</v>
      </c>
      <c r="E1587" t="s">
        <v>594</v>
      </c>
      <c r="F1587" t="s">
        <v>970</v>
      </c>
      <c r="G1587" s="9">
        <v>44925</v>
      </c>
    </row>
    <row r="1588" spans="1:7" ht="14.25" customHeight="1">
      <c r="A1588" s="8">
        <f t="shared" si="6"/>
        <v>2127500</v>
      </c>
      <c r="B1588" s="8">
        <v>5037000</v>
      </c>
      <c r="C1588" s="8">
        <v>7164500</v>
      </c>
    </row>
    <row r="1589" spans="1:7" ht="14.25" customHeight="1">
      <c r="A1589" s="8">
        <f t="shared" si="6"/>
        <v>2127500</v>
      </c>
      <c r="B1589" s="8">
        <v>5037000</v>
      </c>
      <c r="C1589" s="8">
        <v>7164500</v>
      </c>
      <c r="E1589">
        <v>1334521</v>
      </c>
      <c r="F1589" t="s">
        <v>276</v>
      </c>
      <c r="G1589" t="s">
        <v>581</v>
      </c>
    </row>
    <row r="1590" spans="1:7" ht="14.25" customHeight="1">
      <c r="A1590" s="8">
        <f t="shared" si="6"/>
        <v>0</v>
      </c>
      <c r="B1590" s="8"/>
      <c r="C1590" s="8"/>
      <c r="D1590" t="s">
        <v>277</v>
      </c>
      <c r="G1590">
        <v>1334601</v>
      </c>
    </row>
    <row r="1591" spans="1:7" ht="14.25" customHeight="1">
      <c r="A1591" s="8">
        <f t="shared" si="6"/>
        <v>0</v>
      </c>
      <c r="B1591" s="8"/>
      <c r="C1591" s="8"/>
      <c r="F1591" t="s">
        <v>578</v>
      </c>
      <c r="G1591">
        <v>63841000</v>
      </c>
    </row>
    <row r="1592" spans="1:7" ht="14.25" customHeight="1">
      <c r="A1592" s="8">
        <f t="shared" si="6"/>
        <v>405129</v>
      </c>
      <c r="B1592" s="8"/>
      <c r="C1592" s="8">
        <v>405129</v>
      </c>
      <c r="D1592">
        <v>105</v>
      </c>
      <c r="E1592" t="s">
        <v>594</v>
      </c>
      <c r="F1592" t="s">
        <v>971</v>
      </c>
      <c r="G1592" s="9">
        <v>44812</v>
      </c>
    </row>
    <row r="1593" spans="1:7" ht="14.25" customHeight="1">
      <c r="A1593" s="8">
        <f t="shared" si="6"/>
        <v>209185</v>
      </c>
      <c r="B1593" s="8"/>
      <c r="C1593" s="8">
        <v>209185</v>
      </c>
      <c r="D1593">
        <v>167</v>
      </c>
      <c r="E1593" t="s">
        <v>594</v>
      </c>
      <c r="F1593" t="s">
        <v>972</v>
      </c>
      <c r="G1593" s="9">
        <v>44886</v>
      </c>
    </row>
    <row r="1594" spans="1:7" ht="14.25" customHeight="1">
      <c r="A1594" s="8">
        <f t="shared" si="6"/>
        <v>614314</v>
      </c>
      <c r="B1594" s="8"/>
      <c r="C1594" s="8">
        <v>614314</v>
      </c>
    </row>
    <row r="1595" spans="1:7" ht="14.25" customHeight="1">
      <c r="A1595" s="8">
        <f t="shared" si="6"/>
        <v>614314</v>
      </c>
      <c r="B1595" s="8"/>
      <c r="C1595" s="8">
        <v>614314</v>
      </c>
      <c r="E1595">
        <v>1334601</v>
      </c>
      <c r="F1595" t="s">
        <v>277</v>
      </c>
      <c r="G1595" t="s">
        <v>581</v>
      </c>
    </row>
    <row r="1596" spans="1:7" ht="14.25" customHeight="1">
      <c r="A1596" s="8">
        <f t="shared" si="6"/>
        <v>0</v>
      </c>
      <c r="B1596" s="8"/>
      <c r="C1596" s="8"/>
      <c r="D1596" t="s">
        <v>278</v>
      </c>
      <c r="G1596">
        <v>1334602</v>
      </c>
    </row>
    <row r="1597" spans="1:7" ht="14.25" customHeight="1">
      <c r="A1597" s="8">
        <f t="shared" si="6"/>
        <v>0</v>
      </c>
      <c r="B1597" s="8"/>
      <c r="C1597" s="8"/>
      <c r="F1597" t="s">
        <v>590</v>
      </c>
      <c r="G1597">
        <v>61811000</v>
      </c>
    </row>
    <row r="1598" spans="1:7" ht="14.25" customHeight="1">
      <c r="A1598" s="8">
        <f t="shared" si="6"/>
        <v>179170</v>
      </c>
      <c r="B1598" s="8"/>
      <c r="C1598" s="8">
        <v>179170</v>
      </c>
      <c r="D1598">
        <v>311</v>
      </c>
      <c r="E1598" t="s">
        <v>579</v>
      </c>
      <c r="F1598" t="s">
        <v>973</v>
      </c>
      <c r="G1598" s="9">
        <v>44838</v>
      </c>
    </row>
    <row r="1599" spans="1:7" ht="14.25" customHeight="1">
      <c r="A1599" s="8">
        <f t="shared" si="6"/>
        <v>179170</v>
      </c>
      <c r="B1599" s="8"/>
      <c r="C1599" s="8">
        <v>179170</v>
      </c>
    </row>
    <row r="1600" spans="1:7" ht="14.25" customHeight="1">
      <c r="A1600" s="8">
        <f t="shared" si="6"/>
        <v>179170</v>
      </c>
      <c r="B1600" s="8"/>
      <c r="C1600" s="8">
        <v>179170</v>
      </c>
      <c r="E1600">
        <v>1334602</v>
      </c>
      <c r="F1600" t="s">
        <v>278</v>
      </c>
      <c r="G1600" t="s">
        <v>581</v>
      </c>
    </row>
    <row r="1601" spans="1:7" ht="14.25" customHeight="1">
      <c r="A1601" s="8">
        <f t="shared" si="6"/>
        <v>0</v>
      </c>
      <c r="B1601" s="8"/>
      <c r="C1601" s="8"/>
      <c r="D1601" t="s">
        <v>279</v>
      </c>
      <c r="G1601">
        <v>1334621</v>
      </c>
    </row>
    <row r="1602" spans="1:7" ht="14.25" customHeight="1">
      <c r="A1602" s="8">
        <f t="shared" si="6"/>
        <v>0</v>
      </c>
      <c r="B1602" s="8"/>
      <c r="C1602" s="8"/>
      <c r="F1602" t="s">
        <v>584</v>
      </c>
      <c r="G1602">
        <v>70612000</v>
      </c>
    </row>
    <row r="1603" spans="1:7" ht="14.25" customHeight="1">
      <c r="A1603" s="8">
        <f t="shared" si="6"/>
        <v>-3450575</v>
      </c>
      <c r="B1603" s="8">
        <v>3450575</v>
      </c>
      <c r="C1603" s="8"/>
      <c r="D1603">
        <v>119</v>
      </c>
      <c r="E1603" t="s">
        <v>585</v>
      </c>
      <c r="F1603" t="s">
        <v>974</v>
      </c>
      <c r="G1603" s="9">
        <v>44756</v>
      </c>
    </row>
    <row r="1604" spans="1:7" ht="14.25" customHeight="1">
      <c r="A1604" s="8">
        <f t="shared" si="6"/>
        <v>-2633500</v>
      </c>
      <c r="B1604" s="8">
        <v>2633500</v>
      </c>
      <c r="C1604" s="8"/>
      <c r="D1604">
        <v>170</v>
      </c>
      <c r="E1604" t="s">
        <v>585</v>
      </c>
      <c r="F1604" t="s">
        <v>975</v>
      </c>
      <c r="G1604" s="9">
        <v>44824</v>
      </c>
    </row>
    <row r="1605" spans="1:7" ht="14.25" customHeight="1">
      <c r="A1605" s="8">
        <f t="shared" si="6"/>
        <v>2633500</v>
      </c>
      <c r="B1605" s="8"/>
      <c r="C1605" s="8">
        <v>2633500</v>
      </c>
      <c r="D1605">
        <v>176</v>
      </c>
      <c r="E1605" t="s">
        <v>585</v>
      </c>
      <c r="F1605" t="s">
        <v>976</v>
      </c>
      <c r="G1605" s="9">
        <v>44827</v>
      </c>
    </row>
    <row r="1606" spans="1:7" ht="14.25" customHeight="1">
      <c r="A1606" s="8">
        <f t="shared" si="6"/>
        <v>-2339675</v>
      </c>
      <c r="B1606" s="8">
        <v>2339675</v>
      </c>
      <c r="C1606" s="8"/>
      <c r="D1606">
        <v>177</v>
      </c>
      <c r="E1606" t="s">
        <v>585</v>
      </c>
      <c r="F1606" t="s">
        <v>977</v>
      </c>
      <c r="G1606" s="9">
        <v>44827</v>
      </c>
    </row>
    <row r="1607" spans="1:7" ht="14.25" customHeight="1">
      <c r="A1607" s="8">
        <f t="shared" si="6"/>
        <v>-5790250</v>
      </c>
      <c r="B1607" s="8">
        <v>8423750</v>
      </c>
      <c r="C1607" s="8">
        <v>2633500</v>
      </c>
    </row>
    <row r="1608" spans="1:7" ht="14.25" customHeight="1">
      <c r="A1608" s="8">
        <f t="shared" si="6"/>
        <v>-5790250</v>
      </c>
      <c r="B1608" s="8">
        <v>8423750</v>
      </c>
      <c r="C1608" s="8">
        <v>2633500</v>
      </c>
      <c r="E1608">
        <v>1334621</v>
      </c>
      <c r="F1608" t="s">
        <v>279</v>
      </c>
      <c r="G1608" t="s">
        <v>581</v>
      </c>
    </row>
    <row r="1609" spans="1:7" ht="14.25" customHeight="1">
      <c r="A1609" s="8">
        <f t="shared" si="6"/>
        <v>0</v>
      </c>
      <c r="B1609" s="8"/>
      <c r="C1609" s="8"/>
      <c r="D1609" t="s">
        <v>280</v>
      </c>
      <c r="G1609">
        <v>1334701</v>
      </c>
    </row>
    <row r="1610" spans="1:7" ht="14.25" customHeight="1">
      <c r="A1610" s="8">
        <f t="shared" si="6"/>
        <v>0</v>
      </c>
      <c r="B1610" s="8"/>
      <c r="C1610" s="8"/>
      <c r="F1610" t="s">
        <v>578</v>
      </c>
      <c r="G1610">
        <v>63841000</v>
      </c>
    </row>
    <row r="1611" spans="1:7" ht="14.25" customHeight="1">
      <c r="A1611" s="8">
        <f t="shared" si="6"/>
        <v>453215</v>
      </c>
      <c r="B1611" s="8"/>
      <c r="C1611" s="8">
        <v>453215</v>
      </c>
      <c r="D1611">
        <v>79</v>
      </c>
      <c r="E1611" t="s">
        <v>594</v>
      </c>
      <c r="F1611" t="s">
        <v>978</v>
      </c>
      <c r="G1611" s="9">
        <v>44775</v>
      </c>
    </row>
    <row r="1612" spans="1:7" ht="14.25" customHeight="1">
      <c r="A1612" s="8">
        <f t="shared" si="6"/>
        <v>453215</v>
      </c>
      <c r="B1612" s="8"/>
      <c r="C1612" s="8">
        <v>453215</v>
      </c>
    </row>
    <row r="1613" spans="1:7" ht="14.25" customHeight="1">
      <c r="A1613" s="8">
        <f t="shared" si="6"/>
        <v>453215</v>
      </c>
      <c r="B1613" s="8"/>
      <c r="C1613" s="8">
        <v>453215</v>
      </c>
      <c r="E1613">
        <v>1334701</v>
      </c>
      <c r="F1613" t="s">
        <v>280</v>
      </c>
      <c r="G1613" t="s">
        <v>581</v>
      </c>
    </row>
    <row r="1614" spans="1:7" ht="14.25" customHeight="1">
      <c r="A1614" s="8">
        <f t="shared" si="6"/>
        <v>0</v>
      </c>
      <c r="B1614" s="8"/>
      <c r="C1614" s="8"/>
      <c r="D1614" t="s">
        <v>281</v>
      </c>
      <c r="G1614">
        <v>1334702</v>
      </c>
    </row>
    <row r="1615" spans="1:7" ht="14.25" customHeight="1">
      <c r="A1615" s="8">
        <f t="shared" si="6"/>
        <v>0</v>
      </c>
      <c r="B1615" s="8"/>
      <c r="C1615" s="8"/>
      <c r="F1615" t="s">
        <v>785</v>
      </c>
      <c r="G1615">
        <v>62231000</v>
      </c>
    </row>
    <row r="1616" spans="1:7" ht="14.25" customHeight="1">
      <c r="A1616" s="8">
        <f t="shared" si="6"/>
        <v>345000</v>
      </c>
      <c r="B1616" s="8"/>
      <c r="C1616" s="8">
        <v>345000</v>
      </c>
      <c r="D1616">
        <v>264</v>
      </c>
      <c r="E1616" t="s">
        <v>579</v>
      </c>
      <c r="F1616" t="s">
        <v>979</v>
      </c>
      <c r="G1616" s="9">
        <v>44791</v>
      </c>
    </row>
    <row r="1617" spans="1:7" ht="14.25" customHeight="1">
      <c r="A1617" s="8">
        <f t="shared" si="6"/>
        <v>345000</v>
      </c>
      <c r="B1617" s="8"/>
      <c r="C1617" s="8">
        <v>345000</v>
      </c>
    </row>
    <row r="1618" spans="1:7" ht="14.25" customHeight="1">
      <c r="A1618" s="8">
        <f t="shared" si="6"/>
        <v>345000</v>
      </c>
      <c r="B1618" s="8"/>
      <c r="C1618" s="8">
        <v>345000</v>
      </c>
      <c r="E1618">
        <v>1334702</v>
      </c>
      <c r="F1618" t="s">
        <v>281</v>
      </c>
      <c r="G1618" t="s">
        <v>581</v>
      </c>
    </row>
    <row r="1619" spans="1:7" ht="14.25" customHeight="1">
      <c r="A1619" s="8">
        <f t="shared" si="6"/>
        <v>0</v>
      </c>
      <c r="B1619" s="8"/>
      <c r="C1619" s="8"/>
      <c r="D1619" t="s">
        <v>282</v>
      </c>
      <c r="G1619">
        <v>1334705</v>
      </c>
    </row>
    <row r="1620" spans="1:7" ht="14.25" customHeight="1">
      <c r="A1620" s="8">
        <f t="shared" si="6"/>
        <v>0</v>
      </c>
      <c r="B1620" s="8"/>
      <c r="C1620" s="8"/>
      <c r="F1620" t="s">
        <v>582</v>
      </c>
      <c r="G1620">
        <v>63240000</v>
      </c>
    </row>
    <row r="1621" spans="1:7" ht="14.25" customHeight="1">
      <c r="A1621" s="8">
        <f t="shared" si="6"/>
        <v>207000</v>
      </c>
      <c r="B1621" s="8"/>
      <c r="C1621" s="8">
        <v>207000</v>
      </c>
      <c r="D1621">
        <v>326</v>
      </c>
      <c r="E1621" t="s">
        <v>579</v>
      </c>
      <c r="F1621" t="s">
        <v>797</v>
      </c>
      <c r="G1621" s="9">
        <v>44858</v>
      </c>
    </row>
    <row r="1622" spans="1:7" ht="14.25" customHeight="1">
      <c r="A1622" s="8">
        <f t="shared" si="6"/>
        <v>140875</v>
      </c>
      <c r="B1622" s="8"/>
      <c r="C1622" s="8">
        <v>140875</v>
      </c>
      <c r="D1622">
        <v>330</v>
      </c>
      <c r="E1622" t="s">
        <v>579</v>
      </c>
      <c r="F1622" t="s">
        <v>980</v>
      </c>
      <c r="G1622" s="9">
        <v>44858</v>
      </c>
    </row>
    <row r="1623" spans="1:7" ht="14.25" customHeight="1">
      <c r="A1623" s="8">
        <f t="shared" si="6"/>
        <v>347875</v>
      </c>
      <c r="B1623" s="8"/>
      <c r="C1623" s="8">
        <v>347875</v>
      </c>
    </row>
    <row r="1624" spans="1:7" ht="14.25" customHeight="1">
      <c r="A1624" s="8">
        <f t="shared" si="6"/>
        <v>347875</v>
      </c>
      <c r="B1624" s="8"/>
      <c r="C1624" s="8">
        <v>347875</v>
      </c>
      <c r="E1624">
        <v>1334705</v>
      </c>
      <c r="F1624" t="s">
        <v>282</v>
      </c>
      <c r="G1624" t="s">
        <v>581</v>
      </c>
    </row>
    <row r="1625" spans="1:7" ht="14.25" customHeight="1">
      <c r="A1625" s="8">
        <f t="shared" si="6"/>
        <v>0</v>
      </c>
      <c r="B1625" s="8"/>
      <c r="C1625" s="8"/>
      <c r="D1625" t="s">
        <v>283</v>
      </c>
      <c r="G1625">
        <v>1334721</v>
      </c>
    </row>
    <row r="1626" spans="1:7" ht="14.25" customHeight="1">
      <c r="A1626" s="8">
        <f t="shared" si="6"/>
        <v>0</v>
      </c>
      <c r="B1626" s="8"/>
      <c r="C1626" s="8"/>
      <c r="F1626" t="s">
        <v>584</v>
      </c>
      <c r="G1626">
        <v>70612000</v>
      </c>
    </row>
    <row r="1627" spans="1:7" ht="14.25" customHeight="1">
      <c r="A1627" s="8">
        <f t="shared" si="6"/>
        <v>-3923702</v>
      </c>
      <c r="B1627" s="8">
        <v>3923702</v>
      </c>
      <c r="C1627" s="8"/>
      <c r="D1627">
        <v>123</v>
      </c>
      <c r="E1627" t="s">
        <v>585</v>
      </c>
      <c r="F1627" t="s">
        <v>981</v>
      </c>
      <c r="G1627" s="9">
        <v>44761</v>
      </c>
    </row>
    <row r="1628" spans="1:7" ht="14.25" customHeight="1">
      <c r="A1628" s="8">
        <f t="shared" si="6"/>
        <v>-3923702</v>
      </c>
      <c r="B1628" s="8">
        <v>3923702</v>
      </c>
      <c r="C1628" s="8"/>
    </row>
    <row r="1629" spans="1:7" ht="14.25" customHeight="1">
      <c r="A1629" s="8">
        <f t="shared" si="6"/>
        <v>-3923702</v>
      </c>
      <c r="B1629" s="8">
        <v>3923702</v>
      </c>
      <c r="C1629" s="8"/>
      <c r="E1629">
        <v>1334721</v>
      </c>
      <c r="F1629" t="s">
        <v>283</v>
      </c>
      <c r="G1629" t="s">
        <v>581</v>
      </c>
    </row>
    <row r="1630" spans="1:7" ht="14.25" customHeight="1">
      <c r="A1630" s="8">
        <f t="shared" si="6"/>
        <v>0</v>
      </c>
      <c r="B1630" s="8"/>
      <c r="C1630" s="8"/>
      <c r="D1630" t="s">
        <v>284</v>
      </c>
      <c r="G1630">
        <v>1334801</v>
      </c>
    </row>
    <row r="1631" spans="1:7" ht="14.25" customHeight="1">
      <c r="A1631" s="8">
        <f t="shared" si="6"/>
        <v>0</v>
      </c>
      <c r="B1631" s="8"/>
      <c r="C1631" s="8"/>
      <c r="F1631" t="s">
        <v>578</v>
      </c>
      <c r="G1631">
        <v>63841000</v>
      </c>
    </row>
    <row r="1632" spans="1:7" ht="14.25" customHeight="1">
      <c r="A1632" s="8">
        <f t="shared" si="6"/>
        <v>662285</v>
      </c>
      <c r="B1632" s="8"/>
      <c r="C1632" s="8">
        <v>662285</v>
      </c>
      <c r="D1632">
        <v>54</v>
      </c>
      <c r="E1632" t="s">
        <v>594</v>
      </c>
      <c r="F1632" t="s">
        <v>982</v>
      </c>
      <c r="G1632" s="9">
        <v>44768</v>
      </c>
    </row>
    <row r="1633" spans="1:7" ht="14.25" customHeight="1">
      <c r="A1633" s="8">
        <f t="shared" si="6"/>
        <v>662285</v>
      </c>
      <c r="B1633" s="8"/>
      <c r="C1633" s="8">
        <v>662285</v>
      </c>
    </row>
    <row r="1634" spans="1:7" ht="14.25" customHeight="1">
      <c r="A1634" s="8">
        <f t="shared" si="6"/>
        <v>662285</v>
      </c>
      <c r="B1634" s="8"/>
      <c r="C1634" s="8">
        <v>662285</v>
      </c>
      <c r="E1634">
        <v>1334801</v>
      </c>
      <c r="F1634" t="s">
        <v>284</v>
      </c>
      <c r="G1634" t="s">
        <v>581</v>
      </c>
    </row>
    <row r="1635" spans="1:7" ht="14.25" customHeight="1">
      <c r="A1635" s="8">
        <f t="shared" si="6"/>
        <v>0</v>
      </c>
      <c r="B1635" s="8"/>
      <c r="C1635" s="8"/>
      <c r="D1635" t="s">
        <v>285</v>
      </c>
      <c r="G1635">
        <v>1334802</v>
      </c>
    </row>
    <row r="1636" spans="1:7" ht="14.25" customHeight="1">
      <c r="A1636" s="8">
        <f t="shared" si="6"/>
        <v>0</v>
      </c>
      <c r="B1636" s="8"/>
      <c r="C1636" s="8"/>
      <c r="F1636" t="s">
        <v>785</v>
      </c>
      <c r="G1636">
        <v>62231000</v>
      </c>
    </row>
    <row r="1637" spans="1:7" ht="14.25" customHeight="1">
      <c r="A1637" s="8">
        <f t="shared" si="6"/>
        <v>460000</v>
      </c>
      <c r="B1637" s="8"/>
      <c r="C1637" s="8">
        <v>460000</v>
      </c>
      <c r="D1637">
        <v>254</v>
      </c>
      <c r="E1637" t="s">
        <v>579</v>
      </c>
      <c r="F1637" t="s">
        <v>983</v>
      </c>
      <c r="G1637" s="9">
        <v>44784</v>
      </c>
    </row>
    <row r="1638" spans="1:7" ht="14.25" customHeight="1">
      <c r="A1638" s="8">
        <f t="shared" si="6"/>
        <v>460000</v>
      </c>
      <c r="B1638" s="8"/>
      <c r="C1638" s="8">
        <v>460000</v>
      </c>
    </row>
    <row r="1639" spans="1:7" ht="14.25" customHeight="1">
      <c r="A1639" s="8">
        <f t="shared" si="6"/>
        <v>460000</v>
      </c>
      <c r="B1639" s="8"/>
      <c r="C1639" s="8">
        <v>460000</v>
      </c>
      <c r="E1639">
        <v>1334802</v>
      </c>
      <c r="F1639" t="s">
        <v>285</v>
      </c>
      <c r="G1639" t="s">
        <v>581</v>
      </c>
    </row>
    <row r="1640" spans="1:7" ht="14.25" customHeight="1">
      <c r="A1640" s="8">
        <f t="shared" si="6"/>
        <v>0</v>
      </c>
      <c r="B1640" s="8"/>
      <c r="C1640" s="8"/>
      <c r="D1640" t="s">
        <v>286</v>
      </c>
      <c r="G1640">
        <v>1334805</v>
      </c>
    </row>
    <row r="1641" spans="1:7" ht="14.25" customHeight="1">
      <c r="A1641" s="8">
        <f t="shared" si="6"/>
        <v>0</v>
      </c>
      <c r="B1641" s="8"/>
      <c r="C1641" s="8"/>
      <c r="F1641" t="s">
        <v>582</v>
      </c>
      <c r="G1641">
        <v>63240000</v>
      </c>
    </row>
    <row r="1642" spans="1:7" ht="14.25" customHeight="1">
      <c r="A1642" s="8">
        <f t="shared" si="6"/>
        <v>284625</v>
      </c>
      <c r="B1642" s="8"/>
      <c r="C1642" s="8">
        <v>284625</v>
      </c>
      <c r="D1642">
        <v>333</v>
      </c>
      <c r="E1642" t="s">
        <v>579</v>
      </c>
      <c r="F1642" t="s">
        <v>984</v>
      </c>
      <c r="G1642" s="9">
        <v>44858</v>
      </c>
    </row>
    <row r="1643" spans="1:7" ht="14.25" customHeight="1">
      <c r="A1643" s="8">
        <f t="shared" si="6"/>
        <v>221375</v>
      </c>
      <c r="B1643" s="8"/>
      <c r="C1643" s="8">
        <v>221375</v>
      </c>
      <c r="D1643">
        <v>335</v>
      </c>
      <c r="E1643" t="s">
        <v>579</v>
      </c>
      <c r="F1643" t="s">
        <v>985</v>
      </c>
      <c r="G1643" s="9">
        <v>44858</v>
      </c>
    </row>
    <row r="1644" spans="1:7" ht="14.25" customHeight="1">
      <c r="A1644" s="8">
        <f t="shared" si="6"/>
        <v>506000</v>
      </c>
      <c r="B1644" s="8"/>
      <c r="C1644" s="8">
        <v>506000</v>
      </c>
    </row>
    <row r="1645" spans="1:7" ht="14.25" customHeight="1">
      <c r="A1645" s="8">
        <f t="shared" si="6"/>
        <v>506000</v>
      </c>
      <c r="B1645" s="8"/>
      <c r="C1645" s="8">
        <v>506000</v>
      </c>
      <c r="E1645">
        <v>1334805</v>
      </c>
      <c r="F1645" t="s">
        <v>286</v>
      </c>
      <c r="G1645" t="s">
        <v>581</v>
      </c>
    </row>
    <row r="1646" spans="1:7" ht="14.25" customHeight="1">
      <c r="A1646" s="8">
        <f t="shared" si="6"/>
        <v>0</v>
      </c>
      <c r="B1646" s="8"/>
      <c r="C1646" s="8"/>
      <c r="D1646" t="s">
        <v>287</v>
      </c>
      <c r="G1646">
        <v>1334821</v>
      </c>
    </row>
    <row r="1647" spans="1:7" ht="14.25" customHeight="1">
      <c r="A1647" s="8">
        <f t="shared" si="6"/>
        <v>0</v>
      </c>
      <c r="B1647" s="8"/>
      <c r="C1647" s="8"/>
      <c r="F1647" t="s">
        <v>584</v>
      </c>
      <c r="G1647">
        <v>70612000</v>
      </c>
    </row>
    <row r="1648" spans="1:7" ht="14.25" customHeight="1">
      <c r="A1648" s="8">
        <f t="shared" si="6"/>
        <v>-149500</v>
      </c>
      <c r="B1648" s="8">
        <v>149500</v>
      </c>
      <c r="C1648" s="8"/>
      <c r="D1648">
        <v>124</v>
      </c>
      <c r="E1648" t="s">
        <v>585</v>
      </c>
      <c r="F1648" t="s">
        <v>986</v>
      </c>
      <c r="G1648" s="9">
        <v>44761</v>
      </c>
    </row>
    <row r="1649" spans="1:7" ht="14.25" customHeight="1">
      <c r="A1649" s="8">
        <f t="shared" si="6"/>
        <v>-621012</v>
      </c>
      <c r="B1649" s="8">
        <v>621012</v>
      </c>
      <c r="C1649" s="8"/>
      <c r="D1649">
        <v>130</v>
      </c>
      <c r="E1649" t="s">
        <v>585</v>
      </c>
      <c r="F1649" t="s">
        <v>987</v>
      </c>
      <c r="G1649" s="9">
        <v>44770</v>
      </c>
    </row>
    <row r="1650" spans="1:7" ht="14.25" customHeight="1">
      <c r="A1650" s="8">
        <f t="shared" si="6"/>
        <v>-770511</v>
      </c>
      <c r="B1650" s="8">
        <v>770511</v>
      </c>
      <c r="C1650" s="8"/>
    </row>
    <row r="1651" spans="1:7" ht="14.25" customHeight="1">
      <c r="A1651" s="8">
        <f t="shared" si="6"/>
        <v>-770511</v>
      </c>
      <c r="B1651" s="8">
        <v>770511</v>
      </c>
      <c r="C1651" s="8"/>
      <c r="E1651">
        <v>1334821</v>
      </c>
      <c r="F1651" t="s">
        <v>287</v>
      </c>
      <c r="G1651" t="s">
        <v>581</v>
      </c>
    </row>
    <row r="1652" spans="1:7" ht="14.25" customHeight="1">
      <c r="A1652" s="8">
        <f t="shared" si="6"/>
        <v>0</v>
      </c>
      <c r="B1652" s="8"/>
      <c r="C1652" s="8"/>
      <c r="D1652" t="s">
        <v>288</v>
      </c>
      <c r="G1652">
        <v>1334901</v>
      </c>
    </row>
    <row r="1653" spans="1:7" ht="14.25" customHeight="1">
      <c r="A1653" s="8">
        <f t="shared" si="6"/>
        <v>0</v>
      </c>
      <c r="B1653" s="8"/>
      <c r="C1653" s="8"/>
      <c r="F1653" t="s">
        <v>578</v>
      </c>
      <c r="G1653">
        <v>63841000</v>
      </c>
    </row>
    <row r="1654" spans="1:7" ht="14.25" customHeight="1">
      <c r="A1654" s="8">
        <f t="shared" si="6"/>
        <v>522905</v>
      </c>
      <c r="B1654" s="8"/>
      <c r="C1654" s="8">
        <v>522905</v>
      </c>
      <c r="D1654">
        <v>87</v>
      </c>
      <c r="E1654" t="s">
        <v>594</v>
      </c>
      <c r="F1654" t="s">
        <v>988</v>
      </c>
      <c r="G1654" s="9">
        <v>44789</v>
      </c>
    </row>
    <row r="1655" spans="1:7" ht="14.25" customHeight="1">
      <c r="A1655" s="8">
        <f t="shared" si="6"/>
        <v>95939</v>
      </c>
      <c r="B1655" s="8"/>
      <c r="C1655" s="8">
        <v>95939</v>
      </c>
      <c r="D1655">
        <v>187</v>
      </c>
      <c r="E1655" t="s">
        <v>594</v>
      </c>
      <c r="F1655" t="s">
        <v>989</v>
      </c>
      <c r="G1655" s="9">
        <v>44907</v>
      </c>
    </row>
    <row r="1656" spans="1:7" ht="14.25" customHeight="1">
      <c r="A1656" s="8">
        <f t="shared" si="6"/>
        <v>453215</v>
      </c>
      <c r="B1656" s="8"/>
      <c r="C1656" s="8">
        <v>453215</v>
      </c>
      <c r="D1656">
        <v>188</v>
      </c>
      <c r="E1656" t="s">
        <v>594</v>
      </c>
      <c r="F1656" t="s">
        <v>989</v>
      </c>
      <c r="G1656" s="9">
        <v>44907</v>
      </c>
    </row>
    <row r="1657" spans="1:7" ht="14.25" customHeight="1">
      <c r="A1657" s="8">
        <f t="shared" si="6"/>
        <v>1072059</v>
      </c>
      <c r="B1657" s="8"/>
      <c r="C1657" s="8">
        <v>1072059</v>
      </c>
    </row>
    <row r="1658" spans="1:7" ht="14.25" customHeight="1">
      <c r="A1658" s="8">
        <f t="shared" si="6"/>
        <v>1072059</v>
      </c>
      <c r="B1658" s="8"/>
      <c r="C1658" s="8">
        <v>1072059</v>
      </c>
      <c r="E1658">
        <v>1334901</v>
      </c>
      <c r="F1658" t="s">
        <v>288</v>
      </c>
      <c r="G1658" t="s">
        <v>581</v>
      </c>
    </row>
    <row r="1659" spans="1:7" ht="14.25" customHeight="1">
      <c r="A1659" s="8">
        <f t="shared" si="6"/>
        <v>0</v>
      </c>
      <c r="B1659" s="8"/>
      <c r="C1659" s="8"/>
      <c r="D1659" t="s">
        <v>289</v>
      </c>
      <c r="G1659">
        <v>1334902</v>
      </c>
    </row>
    <row r="1660" spans="1:7" ht="14.25" customHeight="1">
      <c r="A1660" s="8">
        <f t="shared" si="6"/>
        <v>0</v>
      </c>
      <c r="B1660" s="8"/>
      <c r="C1660" s="8"/>
      <c r="F1660" t="s">
        <v>785</v>
      </c>
      <c r="G1660">
        <v>62231000</v>
      </c>
    </row>
    <row r="1661" spans="1:7" ht="14.25" customHeight="1">
      <c r="A1661" s="8">
        <f t="shared" si="6"/>
        <v>345000</v>
      </c>
      <c r="B1661" s="8"/>
      <c r="C1661" s="8">
        <v>345000</v>
      </c>
      <c r="D1661">
        <v>274</v>
      </c>
      <c r="E1661" t="s">
        <v>579</v>
      </c>
      <c r="F1661" t="s">
        <v>990</v>
      </c>
      <c r="G1661" s="9">
        <v>44805</v>
      </c>
    </row>
    <row r="1662" spans="1:7" ht="14.25" customHeight="1">
      <c r="A1662" s="8">
        <f t="shared" si="6"/>
        <v>345000</v>
      </c>
      <c r="B1662" s="8"/>
      <c r="C1662" s="8">
        <v>345000</v>
      </c>
    </row>
    <row r="1663" spans="1:7" ht="14.25" customHeight="1">
      <c r="A1663" s="8">
        <f t="shared" si="6"/>
        <v>345000</v>
      </c>
      <c r="B1663" s="8"/>
      <c r="C1663" s="8">
        <v>345000</v>
      </c>
      <c r="E1663">
        <v>1334902</v>
      </c>
      <c r="F1663" t="s">
        <v>289</v>
      </c>
      <c r="G1663" t="s">
        <v>581</v>
      </c>
    </row>
    <row r="1664" spans="1:7" ht="14.25" customHeight="1">
      <c r="A1664" s="8">
        <f t="shared" si="6"/>
        <v>0</v>
      </c>
      <c r="B1664" s="8"/>
      <c r="C1664" s="8"/>
      <c r="D1664" t="s">
        <v>290</v>
      </c>
      <c r="G1664">
        <v>1334905</v>
      </c>
    </row>
    <row r="1665" spans="1:7" ht="14.25" customHeight="1">
      <c r="A1665" s="8">
        <f t="shared" si="6"/>
        <v>0</v>
      </c>
      <c r="B1665" s="8"/>
      <c r="C1665" s="8"/>
      <c r="F1665" t="s">
        <v>582</v>
      </c>
      <c r="G1665">
        <v>63240000</v>
      </c>
    </row>
    <row r="1666" spans="1:7" ht="14.25" customHeight="1">
      <c r="A1666" s="8">
        <f t="shared" si="6"/>
        <v>232875</v>
      </c>
      <c r="B1666" s="8"/>
      <c r="C1666" s="8">
        <v>232875</v>
      </c>
      <c r="D1666">
        <v>400</v>
      </c>
      <c r="E1666" t="s">
        <v>579</v>
      </c>
      <c r="F1666" t="s">
        <v>954</v>
      </c>
      <c r="G1666" s="9">
        <v>44896</v>
      </c>
    </row>
    <row r="1667" spans="1:7" ht="14.25" customHeight="1">
      <c r="A1667" s="8">
        <f t="shared" si="6"/>
        <v>161000</v>
      </c>
      <c r="B1667" s="8"/>
      <c r="C1667" s="8">
        <v>161000</v>
      </c>
      <c r="D1667">
        <v>402</v>
      </c>
      <c r="E1667" t="s">
        <v>579</v>
      </c>
      <c r="F1667" t="s">
        <v>991</v>
      </c>
      <c r="G1667" s="9">
        <v>44896</v>
      </c>
    </row>
    <row r="1668" spans="1:7" ht="14.25" customHeight="1">
      <c r="A1668" s="8">
        <f t="shared" si="6"/>
        <v>393875</v>
      </c>
      <c r="B1668" s="8"/>
      <c r="C1668" s="8">
        <v>393875</v>
      </c>
    </row>
    <row r="1669" spans="1:7" ht="14.25" customHeight="1">
      <c r="A1669" s="8">
        <f t="shared" si="6"/>
        <v>393875</v>
      </c>
      <c r="B1669" s="8"/>
      <c r="C1669" s="8">
        <v>393875</v>
      </c>
      <c r="E1669">
        <v>1334905</v>
      </c>
      <c r="F1669" t="s">
        <v>290</v>
      </c>
      <c r="G1669" t="s">
        <v>581</v>
      </c>
    </row>
    <row r="1670" spans="1:7" ht="14.25" customHeight="1">
      <c r="A1670" s="8">
        <f t="shared" si="6"/>
        <v>0</v>
      </c>
      <c r="B1670" s="8"/>
      <c r="C1670" s="8"/>
      <c r="D1670" t="s">
        <v>291</v>
      </c>
      <c r="G1670">
        <v>1334921</v>
      </c>
    </row>
    <row r="1671" spans="1:7" ht="14.25" customHeight="1">
      <c r="A1671" s="8">
        <f t="shared" si="6"/>
        <v>0</v>
      </c>
      <c r="B1671" s="8"/>
      <c r="C1671" s="8"/>
      <c r="F1671" t="s">
        <v>584</v>
      </c>
      <c r="G1671">
        <v>70612000</v>
      </c>
    </row>
    <row r="1672" spans="1:7" ht="14.25" customHeight="1">
      <c r="A1672" s="8">
        <f t="shared" si="6"/>
        <v>-4281048</v>
      </c>
      <c r="B1672" s="8">
        <v>4281048</v>
      </c>
      <c r="C1672" s="8"/>
      <c r="D1672">
        <v>131</v>
      </c>
      <c r="E1672" t="s">
        <v>585</v>
      </c>
      <c r="F1672" t="s">
        <v>992</v>
      </c>
      <c r="G1672" s="9">
        <v>44770</v>
      </c>
    </row>
    <row r="1673" spans="1:7" ht="14.25" customHeight="1">
      <c r="A1673" s="8">
        <f t="shared" si="6"/>
        <v>-2967477</v>
      </c>
      <c r="B1673" s="8">
        <v>2967477</v>
      </c>
      <c r="C1673" s="8"/>
      <c r="D1673">
        <v>206</v>
      </c>
      <c r="E1673" t="s">
        <v>585</v>
      </c>
      <c r="F1673" t="s">
        <v>993</v>
      </c>
      <c r="G1673" s="9">
        <v>44875</v>
      </c>
    </row>
    <row r="1674" spans="1:7" ht="14.25" customHeight="1">
      <c r="A1674" s="8">
        <f t="shared" si="6"/>
        <v>-7248525</v>
      </c>
      <c r="B1674" s="8">
        <v>7248525</v>
      </c>
      <c r="C1674" s="8"/>
    </row>
    <row r="1675" spans="1:7" ht="14.25" customHeight="1">
      <c r="A1675" s="8">
        <f t="shared" si="6"/>
        <v>-7248525</v>
      </c>
      <c r="B1675" s="8">
        <v>7248525</v>
      </c>
      <c r="C1675" s="8"/>
      <c r="E1675">
        <v>1334921</v>
      </c>
      <c r="F1675" t="s">
        <v>291</v>
      </c>
      <c r="G1675" t="s">
        <v>581</v>
      </c>
    </row>
    <row r="1676" spans="1:7" ht="14.25" customHeight="1">
      <c r="A1676" s="8">
        <f t="shared" si="6"/>
        <v>0</v>
      </c>
      <c r="B1676" s="8"/>
      <c r="C1676" s="8"/>
      <c r="D1676" t="s">
        <v>292</v>
      </c>
      <c r="G1676">
        <v>1335001</v>
      </c>
    </row>
    <row r="1677" spans="1:7" ht="14.25" customHeight="1">
      <c r="A1677" s="8">
        <f t="shared" si="6"/>
        <v>0</v>
      </c>
      <c r="B1677" s="8"/>
      <c r="C1677" s="8"/>
      <c r="F1677" t="s">
        <v>578</v>
      </c>
      <c r="G1677">
        <v>63841000</v>
      </c>
    </row>
    <row r="1678" spans="1:7" ht="14.25" customHeight="1">
      <c r="A1678" s="8">
        <f t="shared" si="6"/>
        <v>522905</v>
      </c>
      <c r="B1678" s="8"/>
      <c r="C1678" s="8">
        <v>522905</v>
      </c>
      <c r="D1678">
        <v>108</v>
      </c>
      <c r="E1678" t="s">
        <v>594</v>
      </c>
      <c r="F1678" t="s">
        <v>994</v>
      </c>
      <c r="G1678" s="9">
        <v>44813</v>
      </c>
    </row>
    <row r="1679" spans="1:7" ht="14.25" customHeight="1">
      <c r="A1679" s="8">
        <f t="shared" si="6"/>
        <v>-258750</v>
      </c>
      <c r="B1679" s="8">
        <v>258750</v>
      </c>
      <c r="C1679" s="8"/>
      <c r="D1679">
        <v>407</v>
      </c>
      <c r="E1679" t="s">
        <v>587</v>
      </c>
      <c r="F1679" t="s">
        <v>995</v>
      </c>
      <c r="G1679" s="9">
        <v>44827</v>
      </c>
    </row>
    <row r="1680" spans="1:7" ht="14.25" customHeight="1">
      <c r="A1680" s="8">
        <f t="shared" si="6"/>
        <v>-258750</v>
      </c>
      <c r="B1680" s="8">
        <v>258750</v>
      </c>
      <c r="C1680" s="8"/>
      <c r="D1680">
        <v>406</v>
      </c>
      <c r="E1680" t="s">
        <v>587</v>
      </c>
      <c r="F1680" t="s">
        <v>996</v>
      </c>
      <c r="G1680" s="9">
        <v>44827</v>
      </c>
    </row>
    <row r="1681" spans="1:7" ht="14.25" customHeight="1">
      <c r="A1681" s="8">
        <f t="shared" si="6"/>
        <v>522905</v>
      </c>
      <c r="B1681" s="8"/>
      <c r="C1681" s="8">
        <v>522905</v>
      </c>
      <c r="D1681">
        <v>122</v>
      </c>
      <c r="E1681" t="s">
        <v>594</v>
      </c>
      <c r="F1681" t="s">
        <v>994</v>
      </c>
      <c r="G1681" s="9">
        <v>44827</v>
      </c>
    </row>
    <row r="1682" spans="1:7" ht="14.25" customHeight="1">
      <c r="A1682" s="8">
        <f t="shared" si="6"/>
        <v>113275</v>
      </c>
      <c r="B1682" s="8"/>
      <c r="C1682" s="8">
        <v>113275</v>
      </c>
      <c r="D1682">
        <v>121</v>
      </c>
      <c r="E1682" t="s">
        <v>594</v>
      </c>
      <c r="F1682" t="s">
        <v>997</v>
      </c>
      <c r="G1682" s="9">
        <v>44827</v>
      </c>
    </row>
    <row r="1683" spans="1:7" ht="14.25" customHeight="1">
      <c r="A1683" s="8">
        <f t="shared" si="6"/>
        <v>641585</v>
      </c>
      <c r="B1683" s="8">
        <v>517500</v>
      </c>
      <c r="C1683" s="8">
        <v>1159085</v>
      </c>
    </row>
    <row r="1684" spans="1:7" ht="14.25" customHeight="1">
      <c r="A1684" s="8">
        <f t="shared" si="6"/>
        <v>641585</v>
      </c>
      <c r="B1684" s="8">
        <v>517500</v>
      </c>
      <c r="C1684" s="8">
        <v>1159085</v>
      </c>
      <c r="E1684">
        <v>1335001</v>
      </c>
      <c r="F1684" t="s">
        <v>292</v>
      </c>
      <c r="G1684" t="s">
        <v>581</v>
      </c>
    </row>
    <row r="1685" spans="1:7" ht="14.25" customHeight="1">
      <c r="A1685" s="8">
        <f t="shared" si="6"/>
        <v>0</v>
      </c>
      <c r="B1685" s="8"/>
      <c r="C1685" s="8"/>
      <c r="D1685" t="s">
        <v>293</v>
      </c>
      <c r="G1685">
        <v>1335002</v>
      </c>
    </row>
    <row r="1686" spans="1:7" ht="14.25" customHeight="1">
      <c r="A1686" s="8">
        <f t="shared" si="6"/>
        <v>0</v>
      </c>
      <c r="B1686" s="8"/>
      <c r="C1686" s="8"/>
      <c r="F1686" t="s">
        <v>638</v>
      </c>
      <c r="G1686">
        <v>6121000</v>
      </c>
    </row>
    <row r="1687" spans="1:7" ht="14.25" customHeight="1">
      <c r="A1687" s="8">
        <f t="shared" si="6"/>
        <v>2875</v>
      </c>
      <c r="B1687" s="8"/>
      <c r="C1687" s="8">
        <v>2875</v>
      </c>
      <c r="D1687">
        <v>238</v>
      </c>
      <c r="E1687" t="s">
        <v>667</v>
      </c>
      <c r="F1687" t="s">
        <v>998</v>
      </c>
      <c r="G1687" s="9">
        <v>44855</v>
      </c>
    </row>
    <row r="1688" spans="1:7" ht="14.25" customHeight="1">
      <c r="A1688" s="8">
        <f t="shared" si="6"/>
        <v>2875</v>
      </c>
      <c r="B1688" s="8"/>
      <c r="C1688" s="8">
        <v>2875</v>
      </c>
    </row>
    <row r="1689" spans="1:7" ht="14.25" customHeight="1">
      <c r="A1689" s="8">
        <f t="shared" si="6"/>
        <v>2875</v>
      </c>
      <c r="B1689" s="8"/>
      <c r="C1689" s="8">
        <v>2875</v>
      </c>
      <c r="E1689">
        <v>1335002</v>
      </c>
      <c r="F1689" t="s">
        <v>293</v>
      </c>
      <c r="G1689" t="s">
        <v>581</v>
      </c>
    </row>
    <row r="1690" spans="1:7" ht="14.25" customHeight="1">
      <c r="A1690" s="8">
        <f t="shared" si="6"/>
        <v>0</v>
      </c>
      <c r="B1690" s="8"/>
      <c r="C1690" s="8"/>
      <c r="D1690" t="s">
        <v>294</v>
      </c>
      <c r="G1690">
        <v>1335005</v>
      </c>
    </row>
    <row r="1691" spans="1:7" ht="14.25" customHeight="1">
      <c r="A1691" s="8">
        <f t="shared" si="6"/>
        <v>0</v>
      </c>
      <c r="B1691" s="8"/>
      <c r="C1691" s="8"/>
      <c r="F1691" t="s">
        <v>582</v>
      </c>
      <c r="G1691">
        <v>63240000</v>
      </c>
    </row>
    <row r="1692" spans="1:7" ht="14.25" customHeight="1">
      <c r="A1692" s="8">
        <f t="shared" si="6"/>
        <v>171063</v>
      </c>
      <c r="B1692" s="8"/>
      <c r="C1692" s="8">
        <v>171063</v>
      </c>
      <c r="D1692">
        <v>396</v>
      </c>
      <c r="E1692" t="s">
        <v>579</v>
      </c>
      <c r="F1692" t="s">
        <v>999</v>
      </c>
      <c r="G1692" s="9">
        <v>44896</v>
      </c>
    </row>
    <row r="1693" spans="1:7" ht="14.25" customHeight="1">
      <c r="A1693" s="8">
        <f t="shared" si="6"/>
        <v>245812</v>
      </c>
      <c r="B1693" s="8"/>
      <c r="C1693" s="8">
        <v>245812</v>
      </c>
      <c r="D1693">
        <v>397</v>
      </c>
      <c r="E1693" t="s">
        <v>579</v>
      </c>
      <c r="F1693" t="s">
        <v>1000</v>
      </c>
      <c r="G1693" s="9">
        <v>44896</v>
      </c>
    </row>
    <row r="1694" spans="1:7" ht="14.25" customHeight="1">
      <c r="A1694" s="8">
        <f t="shared" si="6"/>
        <v>416875</v>
      </c>
      <c r="B1694" s="8"/>
      <c r="C1694" s="8">
        <v>416875</v>
      </c>
    </row>
    <row r="1695" spans="1:7" ht="14.25" customHeight="1">
      <c r="A1695" s="8">
        <f t="shared" si="6"/>
        <v>416875</v>
      </c>
      <c r="B1695" s="8"/>
      <c r="C1695" s="8">
        <v>416875</v>
      </c>
      <c r="E1695">
        <v>1335005</v>
      </c>
      <c r="F1695" t="s">
        <v>294</v>
      </c>
      <c r="G1695" t="s">
        <v>581</v>
      </c>
    </row>
    <row r="1696" spans="1:7" ht="14.25" customHeight="1">
      <c r="A1696" s="8">
        <f t="shared" si="6"/>
        <v>0</v>
      </c>
      <c r="B1696" s="8"/>
      <c r="C1696" s="8"/>
      <c r="D1696" t="s">
        <v>295</v>
      </c>
      <c r="G1696">
        <v>1335021</v>
      </c>
    </row>
    <row r="1697" spans="1:7" ht="14.25" customHeight="1">
      <c r="A1697" s="8">
        <f t="shared" si="6"/>
        <v>0</v>
      </c>
      <c r="B1697" s="8"/>
      <c r="C1697" s="8"/>
      <c r="F1697" t="s">
        <v>584</v>
      </c>
      <c r="G1697">
        <v>70612000</v>
      </c>
    </row>
    <row r="1698" spans="1:7" ht="14.25" customHeight="1">
      <c r="A1698" s="8">
        <f t="shared" si="6"/>
        <v>-4360829</v>
      </c>
      <c r="B1698" s="8">
        <v>4360829</v>
      </c>
      <c r="C1698" s="8"/>
      <c r="D1698">
        <v>132</v>
      </c>
      <c r="E1698" t="s">
        <v>585</v>
      </c>
      <c r="F1698" t="s">
        <v>1001</v>
      </c>
      <c r="G1698" s="9">
        <v>44771</v>
      </c>
    </row>
    <row r="1699" spans="1:7" ht="14.25" customHeight="1">
      <c r="A1699" s="8">
        <f t="shared" si="6"/>
        <v>-4360829</v>
      </c>
      <c r="B1699" s="8">
        <v>4360829</v>
      </c>
      <c r="C1699" s="8"/>
    </row>
    <row r="1700" spans="1:7" ht="14.25" customHeight="1">
      <c r="A1700" s="8">
        <f t="shared" si="6"/>
        <v>-4360829</v>
      </c>
      <c r="B1700" s="8">
        <v>4360829</v>
      </c>
      <c r="C1700" s="8"/>
      <c r="E1700">
        <v>1335021</v>
      </c>
      <c r="F1700" t="s">
        <v>295</v>
      </c>
      <c r="G1700" t="s">
        <v>581</v>
      </c>
    </row>
    <row r="1701" spans="1:7" ht="14.25" customHeight="1">
      <c r="A1701" s="8">
        <f t="shared" si="6"/>
        <v>0</v>
      </c>
      <c r="B1701" s="8"/>
      <c r="C1701" s="8"/>
      <c r="D1701" t="s">
        <v>296</v>
      </c>
      <c r="G1701">
        <v>1335101</v>
      </c>
    </row>
    <row r="1702" spans="1:7" ht="14.25" customHeight="1">
      <c r="A1702" s="8">
        <f t="shared" si="6"/>
        <v>0</v>
      </c>
      <c r="B1702" s="8"/>
      <c r="C1702" s="8"/>
      <c r="F1702" t="s">
        <v>578</v>
      </c>
      <c r="G1702">
        <v>63841000</v>
      </c>
    </row>
    <row r="1703" spans="1:7" ht="14.25" customHeight="1">
      <c r="A1703" s="8">
        <f t="shared" si="6"/>
        <v>697130</v>
      </c>
      <c r="B1703" s="8"/>
      <c r="C1703" s="8">
        <v>697130</v>
      </c>
      <c r="D1703">
        <v>90</v>
      </c>
      <c r="E1703" t="s">
        <v>594</v>
      </c>
      <c r="F1703" t="s">
        <v>1002</v>
      </c>
      <c r="G1703" s="9">
        <v>44791</v>
      </c>
    </row>
    <row r="1704" spans="1:7" ht="14.25" customHeight="1">
      <c r="A1704" s="8">
        <f t="shared" si="6"/>
        <v>697130</v>
      </c>
      <c r="B1704" s="8"/>
      <c r="C1704" s="8">
        <v>697130</v>
      </c>
    </row>
    <row r="1705" spans="1:7" ht="14.25" customHeight="1">
      <c r="A1705" s="8">
        <f t="shared" si="6"/>
        <v>697130</v>
      </c>
      <c r="B1705" s="8"/>
      <c r="C1705" s="8">
        <v>697130</v>
      </c>
      <c r="E1705">
        <v>1335101</v>
      </c>
      <c r="F1705" t="s">
        <v>296</v>
      </c>
      <c r="G1705" t="s">
        <v>581</v>
      </c>
    </row>
    <row r="1706" spans="1:7" ht="14.25" customHeight="1">
      <c r="A1706" s="8">
        <f t="shared" si="6"/>
        <v>0</v>
      </c>
      <c r="B1706" s="8"/>
      <c r="C1706" s="8"/>
      <c r="D1706" t="s">
        <v>297</v>
      </c>
      <c r="G1706">
        <v>1335102</v>
      </c>
    </row>
    <row r="1707" spans="1:7" ht="14.25" customHeight="1">
      <c r="A1707" s="8">
        <f t="shared" si="6"/>
        <v>0</v>
      </c>
      <c r="B1707" s="8"/>
      <c r="C1707" s="8"/>
      <c r="F1707" t="s">
        <v>785</v>
      </c>
      <c r="G1707">
        <v>62231000</v>
      </c>
    </row>
    <row r="1708" spans="1:7" ht="14.25" customHeight="1">
      <c r="A1708" s="8">
        <f t="shared" si="6"/>
        <v>402500</v>
      </c>
      <c r="B1708" s="8"/>
      <c r="C1708" s="8">
        <v>402500</v>
      </c>
      <c r="D1708">
        <v>273</v>
      </c>
      <c r="E1708" t="s">
        <v>579</v>
      </c>
      <c r="F1708" t="s">
        <v>1003</v>
      </c>
      <c r="G1708" s="9">
        <v>44805</v>
      </c>
    </row>
    <row r="1709" spans="1:7" ht="14.25" customHeight="1">
      <c r="A1709" s="8">
        <f t="shared" si="6"/>
        <v>402500</v>
      </c>
      <c r="B1709" s="8"/>
      <c r="C1709" s="8">
        <v>402500</v>
      </c>
    </row>
    <row r="1710" spans="1:7" ht="14.25" customHeight="1">
      <c r="A1710" s="8">
        <f t="shared" si="6"/>
        <v>402500</v>
      </c>
      <c r="B1710" s="8"/>
      <c r="C1710" s="8">
        <v>402500</v>
      </c>
      <c r="E1710">
        <v>1335102</v>
      </c>
      <c r="F1710" t="s">
        <v>297</v>
      </c>
      <c r="G1710" t="s">
        <v>581</v>
      </c>
    </row>
    <row r="1711" spans="1:7" ht="14.25" customHeight="1">
      <c r="A1711" s="8">
        <f t="shared" si="6"/>
        <v>0</v>
      </c>
      <c r="B1711" s="8"/>
      <c r="C1711" s="8"/>
      <c r="D1711" t="s">
        <v>298</v>
      </c>
      <c r="G1711">
        <v>1335105</v>
      </c>
    </row>
    <row r="1712" spans="1:7" ht="14.25" customHeight="1">
      <c r="A1712" s="8">
        <f t="shared" si="6"/>
        <v>0</v>
      </c>
      <c r="B1712" s="8"/>
      <c r="C1712" s="8"/>
      <c r="F1712" t="s">
        <v>582</v>
      </c>
      <c r="G1712">
        <v>63240000</v>
      </c>
    </row>
    <row r="1713" spans="1:7" ht="14.25" customHeight="1">
      <c r="A1713" s="8">
        <f t="shared" si="6"/>
        <v>297563</v>
      </c>
      <c r="B1713" s="8"/>
      <c r="C1713" s="8">
        <v>297563</v>
      </c>
      <c r="D1713">
        <v>333</v>
      </c>
      <c r="E1713" t="s">
        <v>579</v>
      </c>
      <c r="F1713" t="s">
        <v>984</v>
      </c>
      <c r="G1713" s="9">
        <v>44858</v>
      </c>
    </row>
    <row r="1714" spans="1:7" ht="14.25" customHeight="1">
      <c r="A1714" s="8">
        <f t="shared" si="6"/>
        <v>211312</v>
      </c>
      <c r="B1714" s="8"/>
      <c r="C1714" s="8">
        <v>211312</v>
      </c>
      <c r="D1714">
        <v>334</v>
      </c>
      <c r="E1714" t="s">
        <v>579</v>
      </c>
      <c r="F1714" t="s">
        <v>1004</v>
      </c>
      <c r="G1714" s="9">
        <v>44858</v>
      </c>
    </row>
    <row r="1715" spans="1:7" ht="14.25" customHeight="1">
      <c r="A1715" s="8">
        <f t="shared" si="6"/>
        <v>508875</v>
      </c>
      <c r="B1715" s="8"/>
      <c r="C1715" s="8">
        <v>508875</v>
      </c>
    </row>
    <row r="1716" spans="1:7" ht="14.25" customHeight="1">
      <c r="A1716" s="8">
        <f t="shared" si="6"/>
        <v>508875</v>
      </c>
      <c r="B1716" s="8"/>
      <c r="C1716" s="8">
        <v>508875</v>
      </c>
      <c r="E1716">
        <v>1335105</v>
      </c>
      <c r="F1716" t="s">
        <v>298</v>
      </c>
      <c r="G1716" t="s">
        <v>581</v>
      </c>
    </row>
    <row r="1717" spans="1:7" ht="14.25" customHeight="1">
      <c r="A1717" s="8">
        <f t="shared" si="6"/>
        <v>0</v>
      </c>
      <c r="B1717" s="8"/>
      <c r="C1717" s="8"/>
      <c r="D1717" t="s">
        <v>299</v>
      </c>
      <c r="G1717">
        <v>1335121</v>
      </c>
    </row>
    <row r="1718" spans="1:7" ht="14.25" customHeight="1">
      <c r="A1718" s="8">
        <f t="shared" si="6"/>
        <v>0</v>
      </c>
      <c r="B1718" s="8"/>
      <c r="C1718" s="8"/>
      <c r="F1718" t="s">
        <v>584</v>
      </c>
      <c r="G1718">
        <v>70612000</v>
      </c>
    </row>
    <row r="1719" spans="1:7" ht="14.25" customHeight="1">
      <c r="A1719" s="8">
        <f t="shared" si="6"/>
        <v>-5230143</v>
      </c>
      <c r="B1719" s="8">
        <v>5230143</v>
      </c>
      <c r="C1719" s="8"/>
      <c r="D1719">
        <v>146</v>
      </c>
      <c r="E1719" t="s">
        <v>585</v>
      </c>
      <c r="F1719" t="s">
        <v>1005</v>
      </c>
      <c r="G1719" s="9">
        <v>44789</v>
      </c>
    </row>
    <row r="1720" spans="1:7" ht="14.25" customHeight="1">
      <c r="A1720" s="8">
        <f t="shared" si="6"/>
        <v>-5230143</v>
      </c>
      <c r="B1720" s="8">
        <v>5230143</v>
      </c>
      <c r="C1720" s="8"/>
    </row>
    <row r="1721" spans="1:7" ht="14.25" customHeight="1">
      <c r="A1721" s="8">
        <f t="shared" si="6"/>
        <v>-5230143</v>
      </c>
      <c r="B1721" s="8">
        <v>5230143</v>
      </c>
      <c r="C1721" s="8"/>
      <c r="E1721">
        <v>1335121</v>
      </c>
      <c r="F1721" t="s">
        <v>299</v>
      </c>
      <c r="G1721" t="s">
        <v>581</v>
      </c>
    </row>
    <row r="1722" spans="1:7" ht="14.25" customHeight="1">
      <c r="A1722" s="8">
        <f t="shared" si="6"/>
        <v>0</v>
      </c>
      <c r="B1722" s="8"/>
      <c r="C1722" s="8"/>
      <c r="D1722" t="s">
        <v>300</v>
      </c>
      <c r="G1722">
        <v>1335201</v>
      </c>
    </row>
    <row r="1723" spans="1:7" ht="14.25" customHeight="1">
      <c r="A1723" s="8">
        <f t="shared" si="6"/>
        <v>0</v>
      </c>
      <c r="B1723" s="8"/>
      <c r="C1723" s="8"/>
      <c r="F1723" t="s">
        <v>578</v>
      </c>
      <c r="G1723">
        <v>63841000</v>
      </c>
    </row>
    <row r="1724" spans="1:7" ht="14.25" customHeight="1">
      <c r="A1724" s="8">
        <f t="shared" si="6"/>
        <v>610018</v>
      </c>
      <c r="B1724" s="8"/>
      <c r="C1724" s="8">
        <v>610018</v>
      </c>
      <c r="D1724">
        <v>93</v>
      </c>
      <c r="E1724" t="s">
        <v>594</v>
      </c>
      <c r="F1724" t="s">
        <v>1006</v>
      </c>
      <c r="G1724" s="9">
        <v>44797</v>
      </c>
    </row>
    <row r="1725" spans="1:7" ht="14.25" customHeight="1">
      <c r="A1725" s="8">
        <f t="shared" si="6"/>
        <v>610018</v>
      </c>
      <c r="B1725" s="8"/>
      <c r="C1725" s="8">
        <v>610018</v>
      </c>
    </row>
    <row r="1726" spans="1:7" ht="14.25" customHeight="1">
      <c r="A1726" s="8">
        <f t="shared" si="6"/>
        <v>610018</v>
      </c>
      <c r="B1726" s="8"/>
      <c r="C1726" s="8">
        <v>610018</v>
      </c>
      <c r="E1726">
        <v>1335201</v>
      </c>
      <c r="F1726" t="s">
        <v>300</v>
      </c>
      <c r="G1726" t="s">
        <v>581</v>
      </c>
    </row>
    <row r="1727" spans="1:7" ht="14.25" customHeight="1">
      <c r="A1727" s="8">
        <f t="shared" si="6"/>
        <v>0</v>
      </c>
      <c r="B1727" s="8"/>
      <c r="C1727" s="8"/>
      <c r="D1727" t="s">
        <v>301</v>
      </c>
      <c r="G1727">
        <v>1335202</v>
      </c>
    </row>
    <row r="1728" spans="1:7" ht="14.25" customHeight="1">
      <c r="A1728" s="8">
        <f t="shared" si="6"/>
        <v>0</v>
      </c>
      <c r="B1728" s="8"/>
      <c r="C1728" s="8"/>
      <c r="F1728" t="s">
        <v>785</v>
      </c>
      <c r="G1728">
        <v>62231000</v>
      </c>
    </row>
    <row r="1729" spans="1:7" ht="14.25" customHeight="1">
      <c r="A1729" s="8">
        <f t="shared" si="6"/>
        <v>287500</v>
      </c>
      <c r="B1729" s="8"/>
      <c r="C1729" s="8">
        <v>287500</v>
      </c>
      <c r="D1729">
        <v>287</v>
      </c>
      <c r="E1729" t="s">
        <v>579</v>
      </c>
      <c r="F1729" t="s">
        <v>1007</v>
      </c>
      <c r="G1729" s="9">
        <v>44817</v>
      </c>
    </row>
    <row r="1730" spans="1:7" ht="14.25" customHeight="1">
      <c r="A1730" s="8">
        <f t="shared" si="6"/>
        <v>287500</v>
      </c>
      <c r="B1730" s="8"/>
      <c r="C1730" s="8">
        <v>287500</v>
      </c>
    </row>
    <row r="1731" spans="1:7" ht="14.25" customHeight="1">
      <c r="A1731" s="8">
        <f t="shared" si="6"/>
        <v>287500</v>
      </c>
      <c r="B1731" s="8"/>
      <c r="C1731" s="8">
        <v>287500</v>
      </c>
      <c r="E1731">
        <v>1335202</v>
      </c>
      <c r="F1731" t="s">
        <v>301</v>
      </c>
      <c r="G1731" t="s">
        <v>581</v>
      </c>
    </row>
    <row r="1732" spans="1:7" ht="14.25" customHeight="1">
      <c r="A1732" s="8">
        <f t="shared" si="6"/>
        <v>0</v>
      </c>
      <c r="B1732" s="8"/>
      <c r="C1732" s="8"/>
      <c r="D1732" t="s">
        <v>302</v>
      </c>
      <c r="G1732">
        <v>1335205</v>
      </c>
    </row>
    <row r="1733" spans="1:7" ht="14.25" customHeight="1">
      <c r="A1733" s="8">
        <f t="shared" si="6"/>
        <v>0</v>
      </c>
      <c r="B1733" s="8"/>
      <c r="C1733" s="8"/>
      <c r="F1733" t="s">
        <v>582</v>
      </c>
      <c r="G1733">
        <v>63240000</v>
      </c>
    </row>
    <row r="1734" spans="1:7" ht="14.25" customHeight="1">
      <c r="A1734" s="8">
        <f t="shared" si="6"/>
        <v>201250</v>
      </c>
      <c r="B1734" s="8"/>
      <c r="C1734" s="8">
        <v>201250</v>
      </c>
      <c r="D1734">
        <v>353</v>
      </c>
      <c r="E1734" t="s">
        <v>579</v>
      </c>
      <c r="F1734" t="s">
        <v>959</v>
      </c>
      <c r="G1734" s="9">
        <v>44874</v>
      </c>
    </row>
    <row r="1735" spans="1:7" ht="14.25" customHeight="1">
      <c r="A1735" s="8">
        <f t="shared" si="6"/>
        <v>284625</v>
      </c>
      <c r="B1735" s="8"/>
      <c r="C1735" s="8">
        <v>284625</v>
      </c>
      <c r="D1735">
        <v>358</v>
      </c>
      <c r="E1735" t="s">
        <v>579</v>
      </c>
      <c r="F1735" t="s">
        <v>1008</v>
      </c>
      <c r="G1735" s="9">
        <v>44874</v>
      </c>
    </row>
    <row r="1736" spans="1:7" ht="14.25" customHeight="1">
      <c r="A1736" s="8">
        <f t="shared" si="6"/>
        <v>485875</v>
      </c>
      <c r="B1736" s="8"/>
      <c r="C1736" s="8">
        <v>485875</v>
      </c>
    </row>
    <row r="1737" spans="1:7" ht="14.25" customHeight="1">
      <c r="A1737" s="8">
        <f t="shared" si="6"/>
        <v>485875</v>
      </c>
      <c r="B1737" s="8"/>
      <c r="C1737" s="8">
        <v>485875</v>
      </c>
      <c r="E1737">
        <v>1335205</v>
      </c>
      <c r="F1737" t="s">
        <v>302</v>
      </c>
      <c r="G1737" t="s">
        <v>581</v>
      </c>
    </row>
    <row r="1738" spans="1:7" ht="14.25" customHeight="1">
      <c r="A1738" s="8">
        <f t="shared" si="6"/>
        <v>0</v>
      </c>
      <c r="B1738" s="8"/>
      <c r="C1738" s="8"/>
      <c r="D1738" t="s">
        <v>303</v>
      </c>
      <c r="G1738">
        <v>1335221</v>
      </c>
    </row>
    <row r="1739" spans="1:7" ht="14.25" customHeight="1">
      <c r="A1739" s="8">
        <f t="shared" si="6"/>
        <v>0</v>
      </c>
      <c r="B1739" s="8"/>
      <c r="C1739" s="8"/>
      <c r="F1739" t="s">
        <v>584</v>
      </c>
      <c r="G1739">
        <v>70612000</v>
      </c>
    </row>
    <row r="1740" spans="1:7" ht="14.25" customHeight="1">
      <c r="A1740" s="8">
        <f t="shared" si="6"/>
        <v>-4854087</v>
      </c>
      <c r="B1740" s="8">
        <v>4854087</v>
      </c>
      <c r="C1740" s="8"/>
      <c r="D1740">
        <v>139</v>
      </c>
      <c r="E1740" t="s">
        <v>585</v>
      </c>
      <c r="F1740" t="s">
        <v>1009</v>
      </c>
      <c r="G1740" s="9">
        <v>44782</v>
      </c>
    </row>
    <row r="1741" spans="1:7" ht="14.25" customHeight="1">
      <c r="A1741" s="8">
        <f t="shared" si="6"/>
        <v>-4854087</v>
      </c>
      <c r="B1741" s="8">
        <v>4854087</v>
      </c>
      <c r="C1741" s="8"/>
    </row>
    <row r="1742" spans="1:7" ht="14.25" customHeight="1">
      <c r="A1742" s="8">
        <f t="shared" si="6"/>
        <v>-4854087</v>
      </c>
      <c r="B1742" s="8">
        <v>4854087</v>
      </c>
      <c r="C1742" s="8"/>
      <c r="E1742">
        <v>1335221</v>
      </c>
      <c r="F1742" t="s">
        <v>303</v>
      </c>
      <c r="G1742" t="s">
        <v>581</v>
      </c>
    </row>
    <row r="1743" spans="1:7" ht="14.25" customHeight="1">
      <c r="A1743" s="8">
        <f t="shared" si="6"/>
        <v>0</v>
      </c>
      <c r="B1743" s="8"/>
      <c r="C1743" s="8"/>
      <c r="D1743" t="s">
        <v>304</v>
      </c>
      <c r="G1743">
        <v>1335301</v>
      </c>
    </row>
    <row r="1744" spans="1:7" ht="14.25" customHeight="1">
      <c r="A1744" s="8">
        <f t="shared" si="6"/>
        <v>0</v>
      </c>
      <c r="B1744" s="8"/>
      <c r="C1744" s="8"/>
      <c r="F1744" t="s">
        <v>578</v>
      </c>
      <c r="G1744">
        <v>63841000</v>
      </c>
    </row>
    <row r="1745" spans="1:7" ht="14.25" customHeight="1">
      <c r="A1745" s="8">
        <f t="shared" si="6"/>
        <v>662285</v>
      </c>
      <c r="B1745" s="8"/>
      <c r="C1745" s="8">
        <v>662285</v>
      </c>
      <c r="D1745">
        <v>96</v>
      </c>
      <c r="E1745" t="s">
        <v>594</v>
      </c>
      <c r="F1745" t="s">
        <v>1010</v>
      </c>
      <c r="G1745" s="9">
        <v>44803</v>
      </c>
    </row>
    <row r="1746" spans="1:7" ht="14.25" customHeight="1">
      <c r="A1746" s="8">
        <f t="shared" si="6"/>
        <v>662285</v>
      </c>
      <c r="B1746" s="8"/>
      <c r="C1746" s="8">
        <v>662285</v>
      </c>
    </row>
    <row r="1747" spans="1:7" ht="14.25" customHeight="1">
      <c r="A1747" s="8">
        <f t="shared" si="6"/>
        <v>662285</v>
      </c>
      <c r="B1747" s="8"/>
      <c r="C1747" s="8">
        <v>662285</v>
      </c>
      <c r="E1747">
        <v>1335301</v>
      </c>
      <c r="F1747" t="s">
        <v>304</v>
      </c>
      <c r="G1747" t="s">
        <v>581</v>
      </c>
    </row>
    <row r="1748" spans="1:7" ht="14.25" customHeight="1">
      <c r="A1748" s="8">
        <f t="shared" si="6"/>
        <v>0</v>
      </c>
      <c r="B1748" s="8"/>
      <c r="C1748" s="8"/>
      <c r="D1748" t="s">
        <v>305</v>
      </c>
      <c r="G1748">
        <v>1335302</v>
      </c>
    </row>
    <row r="1749" spans="1:7" ht="14.25" customHeight="1">
      <c r="A1749" s="8">
        <f t="shared" si="6"/>
        <v>0</v>
      </c>
      <c r="B1749" s="8"/>
      <c r="C1749" s="8"/>
      <c r="F1749" t="s">
        <v>785</v>
      </c>
      <c r="G1749">
        <v>62231000</v>
      </c>
    </row>
    <row r="1750" spans="1:7" ht="14.25" customHeight="1">
      <c r="A1750" s="8">
        <f t="shared" si="6"/>
        <v>460000</v>
      </c>
      <c r="B1750" s="8"/>
      <c r="C1750" s="8">
        <v>460000</v>
      </c>
      <c r="D1750">
        <v>288</v>
      </c>
      <c r="E1750" t="s">
        <v>579</v>
      </c>
      <c r="F1750" t="s">
        <v>1011</v>
      </c>
      <c r="G1750" s="9">
        <v>44817</v>
      </c>
    </row>
    <row r="1751" spans="1:7" ht="14.25" customHeight="1">
      <c r="A1751" s="8">
        <f t="shared" si="6"/>
        <v>460000</v>
      </c>
      <c r="B1751" s="8"/>
      <c r="C1751" s="8">
        <v>460000</v>
      </c>
    </row>
    <row r="1752" spans="1:7" ht="14.25" customHeight="1">
      <c r="A1752" s="8">
        <f t="shared" si="6"/>
        <v>460000</v>
      </c>
      <c r="B1752" s="8"/>
      <c r="C1752" s="8">
        <v>460000</v>
      </c>
      <c r="E1752">
        <v>1335302</v>
      </c>
      <c r="F1752" t="s">
        <v>305</v>
      </c>
      <c r="G1752" t="s">
        <v>581</v>
      </c>
    </row>
    <row r="1753" spans="1:7" ht="14.25" customHeight="1">
      <c r="A1753" s="8">
        <f t="shared" si="6"/>
        <v>0</v>
      </c>
      <c r="B1753" s="8"/>
      <c r="C1753" s="8"/>
      <c r="D1753" t="s">
        <v>306</v>
      </c>
      <c r="G1753">
        <v>1335305</v>
      </c>
    </row>
    <row r="1754" spans="1:7" ht="14.25" customHeight="1">
      <c r="A1754" s="8">
        <f t="shared" si="6"/>
        <v>0</v>
      </c>
      <c r="B1754" s="8"/>
      <c r="C1754" s="8"/>
      <c r="F1754" t="s">
        <v>582</v>
      </c>
      <c r="G1754">
        <v>63240000</v>
      </c>
    </row>
    <row r="1755" spans="1:7" ht="14.25" customHeight="1">
      <c r="A1755" s="8">
        <f t="shared" si="6"/>
        <v>271688</v>
      </c>
      <c r="B1755" s="8"/>
      <c r="C1755" s="8">
        <v>271688</v>
      </c>
      <c r="D1755">
        <v>326</v>
      </c>
      <c r="E1755" t="s">
        <v>579</v>
      </c>
      <c r="F1755" t="s">
        <v>797</v>
      </c>
      <c r="G1755" s="9">
        <v>44858</v>
      </c>
    </row>
    <row r="1756" spans="1:7" ht="14.25" customHeight="1">
      <c r="A1756" s="8">
        <f t="shared" si="6"/>
        <v>191187</v>
      </c>
      <c r="B1756" s="8"/>
      <c r="C1756" s="8">
        <v>191187</v>
      </c>
      <c r="D1756">
        <v>329</v>
      </c>
      <c r="E1756" t="s">
        <v>579</v>
      </c>
      <c r="F1756" t="s">
        <v>798</v>
      </c>
      <c r="G1756" s="9">
        <v>44858</v>
      </c>
    </row>
    <row r="1757" spans="1:7" ht="14.25" customHeight="1">
      <c r="A1757" s="8">
        <f t="shared" si="6"/>
        <v>462875</v>
      </c>
      <c r="B1757" s="8"/>
      <c r="C1757" s="8">
        <v>462875</v>
      </c>
    </row>
    <row r="1758" spans="1:7" ht="14.25" customHeight="1">
      <c r="A1758" s="8">
        <f t="shared" si="6"/>
        <v>462875</v>
      </c>
      <c r="B1758" s="8"/>
      <c r="C1758" s="8">
        <v>462875</v>
      </c>
      <c r="E1758">
        <v>1335305</v>
      </c>
      <c r="F1758" t="s">
        <v>306</v>
      </c>
      <c r="G1758" t="s">
        <v>581</v>
      </c>
    </row>
    <row r="1759" spans="1:7" ht="14.25" customHeight="1">
      <c r="A1759" s="8">
        <f t="shared" si="6"/>
        <v>0</v>
      </c>
      <c r="B1759" s="8"/>
      <c r="C1759" s="8"/>
      <c r="D1759" t="s">
        <v>307</v>
      </c>
      <c r="G1759">
        <v>1335321</v>
      </c>
    </row>
    <row r="1760" spans="1:7" ht="14.25" customHeight="1">
      <c r="A1760" s="8">
        <f t="shared" si="6"/>
        <v>0</v>
      </c>
      <c r="B1760" s="8"/>
      <c r="C1760" s="8"/>
      <c r="F1760" t="s">
        <v>584</v>
      </c>
      <c r="G1760">
        <v>70612000</v>
      </c>
    </row>
    <row r="1761" spans="1:7" ht="14.25" customHeight="1">
      <c r="A1761" s="8">
        <f t="shared" si="6"/>
        <v>-5023493</v>
      </c>
      <c r="B1761" s="8">
        <v>5023493</v>
      </c>
      <c r="C1761" s="8"/>
      <c r="D1761">
        <v>136</v>
      </c>
      <c r="E1761" t="s">
        <v>585</v>
      </c>
      <c r="F1761" t="s">
        <v>1012</v>
      </c>
      <c r="G1761" s="9">
        <v>44777</v>
      </c>
    </row>
    <row r="1762" spans="1:7" ht="14.25" customHeight="1">
      <c r="A1762" s="8">
        <f t="shared" si="6"/>
        <v>-5023493</v>
      </c>
      <c r="B1762" s="8">
        <v>5023493</v>
      </c>
      <c r="C1762" s="8"/>
    </row>
    <row r="1763" spans="1:7" ht="14.25" customHeight="1">
      <c r="A1763" s="8">
        <f t="shared" si="6"/>
        <v>-5023493</v>
      </c>
      <c r="B1763" s="8">
        <v>5023493</v>
      </c>
      <c r="C1763" s="8"/>
      <c r="E1763">
        <v>1335321</v>
      </c>
      <c r="F1763" t="s">
        <v>307</v>
      </c>
      <c r="G1763" t="s">
        <v>581</v>
      </c>
    </row>
    <row r="1764" spans="1:7" ht="14.25" customHeight="1">
      <c r="A1764" s="8">
        <f t="shared" si="6"/>
        <v>0</v>
      </c>
      <c r="B1764" s="8"/>
      <c r="C1764" s="8"/>
      <c r="D1764" t="s">
        <v>308</v>
      </c>
      <c r="G1764">
        <v>1335401</v>
      </c>
    </row>
    <row r="1765" spans="1:7" ht="14.25" customHeight="1">
      <c r="A1765" s="8">
        <f t="shared" si="6"/>
        <v>0</v>
      </c>
      <c r="B1765" s="8"/>
      <c r="C1765" s="8"/>
      <c r="F1765" t="s">
        <v>578</v>
      </c>
      <c r="G1765">
        <v>63841000</v>
      </c>
    </row>
    <row r="1766" spans="1:7" ht="14.25" customHeight="1">
      <c r="A1766" s="8">
        <f t="shared" si="6"/>
        <v>522905</v>
      </c>
      <c r="B1766" s="8"/>
      <c r="C1766" s="8">
        <v>522905</v>
      </c>
      <c r="D1766">
        <v>94</v>
      </c>
      <c r="E1766" t="s">
        <v>594</v>
      </c>
      <c r="F1766" t="s">
        <v>1013</v>
      </c>
      <c r="G1766" s="9">
        <v>44798</v>
      </c>
    </row>
    <row r="1767" spans="1:7" ht="14.25" customHeight="1">
      <c r="A1767" s="8">
        <f t="shared" si="6"/>
        <v>522905</v>
      </c>
      <c r="B1767" s="8"/>
      <c r="C1767" s="8">
        <v>522905</v>
      </c>
    </row>
    <row r="1768" spans="1:7" ht="14.25" customHeight="1">
      <c r="A1768" s="8">
        <f t="shared" si="6"/>
        <v>522905</v>
      </c>
      <c r="B1768" s="8"/>
      <c r="C1768" s="8">
        <v>522905</v>
      </c>
      <c r="E1768">
        <v>1335401</v>
      </c>
      <c r="F1768" t="s">
        <v>308</v>
      </c>
      <c r="G1768" t="s">
        <v>581</v>
      </c>
    </row>
    <row r="1769" spans="1:7" ht="14.25" customHeight="1">
      <c r="A1769" s="8">
        <f t="shared" si="6"/>
        <v>0</v>
      </c>
      <c r="B1769" s="8"/>
      <c r="C1769" s="8"/>
      <c r="D1769" t="s">
        <v>309</v>
      </c>
      <c r="G1769">
        <v>1335421</v>
      </c>
    </row>
    <row r="1770" spans="1:7" ht="14.25" customHeight="1">
      <c r="A1770" s="8">
        <f t="shared" si="6"/>
        <v>0</v>
      </c>
      <c r="B1770" s="8"/>
      <c r="C1770" s="8"/>
      <c r="F1770" t="s">
        <v>584</v>
      </c>
      <c r="G1770">
        <v>70612000</v>
      </c>
    </row>
    <row r="1771" spans="1:7" ht="14.25" customHeight="1">
      <c r="A1771" s="8">
        <f t="shared" si="6"/>
        <v>-3887000</v>
      </c>
      <c r="B1771" s="8">
        <v>3887000</v>
      </c>
      <c r="C1771" s="8"/>
      <c r="D1771">
        <v>134</v>
      </c>
      <c r="E1771" t="s">
        <v>585</v>
      </c>
      <c r="F1771" t="s">
        <v>1014</v>
      </c>
      <c r="G1771" s="9">
        <v>44775</v>
      </c>
    </row>
    <row r="1772" spans="1:7" ht="14.25" customHeight="1">
      <c r="A1772" s="8">
        <f t="shared" si="6"/>
        <v>-3887000</v>
      </c>
      <c r="B1772" s="8">
        <v>3887000</v>
      </c>
      <c r="C1772" s="8"/>
    </row>
    <row r="1773" spans="1:7" ht="14.25" customHeight="1">
      <c r="A1773" s="8">
        <f t="shared" si="6"/>
        <v>-3887000</v>
      </c>
      <c r="B1773" s="8">
        <v>3887000</v>
      </c>
      <c r="C1773" s="8"/>
      <c r="E1773">
        <v>1335421</v>
      </c>
      <c r="F1773" t="s">
        <v>309</v>
      </c>
      <c r="G1773" t="s">
        <v>581</v>
      </c>
    </row>
    <row r="1774" spans="1:7" ht="14.25" customHeight="1">
      <c r="A1774" s="8">
        <f t="shared" si="6"/>
        <v>0</v>
      </c>
      <c r="B1774" s="8"/>
      <c r="C1774" s="8"/>
      <c r="D1774" t="s">
        <v>310</v>
      </c>
      <c r="G1774">
        <v>1335501</v>
      </c>
    </row>
    <row r="1775" spans="1:7" ht="14.25" customHeight="1">
      <c r="A1775" s="8">
        <f t="shared" si="6"/>
        <v>0</v>
      </c>
      <c r="B1775" s="8"/>
      <c r="C1775" s="8"/>
      <c r="F1775" t="s">
        <v>578</v>
      </c>
      <c r="G1775">
        <v>63841000</v>
      </c>
    </row>
    <row r="1776" spans="1:7" ht="14.25" customHeight="1">
      <c r="A1776" s="8">
        <f t="shared" si="6"/>
        <v>152519</v>
      </c>
      <c r="B1776" s="8"/>
      <c r="C1776" s="8">
        <v>152519</v>
      </c>
      <c r="D1776">
        <v>85</v>
      </c>
      <c r="E1776" t="s">
        <v>594</v>
      </c>
      <c r="F1776" t="s">
        <v>771</v>
      </c>
      <c r="G1776" s="9">
        <v>44784</v>
      </c>
    </row>
    <row r="1777" spans="1:7" ht="14.25" customHeight="1">
      <c r="A1777" s="8">
        <f t="shared" si="6"/>
        <v>871355</v>
      </c>
      <c r="B1777" s="8"/>
      <c r="C1777" s="8">
        <v>871355</v>
      </c>
      <c r="D1777">
        <v>86</v>
      </c>
      <c r="E1777" t="s">
        <v>594</v>
      </c>
      <c r="F1777" t="s">
        <v>1015</v>
      </c>
      <c r="G1777" s="9">
        <v>44784</v>
      </c>
    </row>
    <row r="1778" spans="1:7" ht="14.25" customHeight="1">
      <c r="A1778" s="8">
        <f t="shared" si="6"/>
        <v>1023874</v>
      </c>
      <c r="B1778" s="8"/>
      <c r="C1778" s="8">
        <v>1023874</v>
      </c>
    </row>
    <row r="1779" spans="1:7" ht="14.25" customHeight="1">
      <c r="A1779" s="8">
        <f t="shared" si="6"/>
        <v>1023874</v>
      </c>
      <c r="B1779" s="8"/>
      <c r="C1779" s="8">
        <v>1023874</v>
      </c>
      <c r="E1779">
        <v>1335501</v>
      </c>
      <c r="F1779" t="s">
        <v>310</v>
      </c>
      <c r="G1779" t="s">
        <v>581</v>
      </c>
    </row>
    <row r="1780" spans="1:7" ht="14.25" customHeight="1">
      <c r="A1780" s="8">
        <f t="shared" si="6"/>
        <v>0</v>
      </c>
      <c r="B1780" s="8"/>
      <c r="C1780" s="8"/>
      <c r="D1780" t="s">
        <v>311</v>
      </c>
      <c r="G1780">
        <v>1335505</v>
      </c>
    </row>
    <row r="1781" spans="1:7" ht="14.25" customHeight="1">
      <c r="A1781" s="8">
        <f t="shared" si="6"/>
        <v>0</v>
      </c>
      <c r="B1781" s="8"/>
      <c r="C1781" s="8"/>
      <c r="F1781" t="s">
        <v>582</v>
      </c>
      <c r="G1781">
        <v>63240000</v>
      </c>
    </row>
    <row r="1782" spans="1:7" ht="14.25" customHeight="1">
      <c r="A1782" s="8">
        <f t="shared" si="6"/>
        <v>291813</v>
      </c>
      <c r="B1782" s="8"/>
      <c r="C1782" s="8">
        <v>291813</v>
      </c>
      <c r="D1782">
        <v>375</v>
      </c>
      <c r="E1782" t="s">
        <v>579</v>
      </c>
      <c r="F1782" t="s">
        <v>774</v>
      </c>
      <c r="G1782" s="9">
        <v>44889</v>
      </c>
    </row>
    <row r="1783" spans="1:7" ht="14.25" customHeight="1">
      <c r="A1783" s="8">
        <f t="shared" si="6"/>
        <v>401062</v>
      </c>
      <c r="B1783" s="8"/>
      <c r="C1783" s="8">
        <v>401062</v>
      </c>
      <c r="D1783">
        <v>378</v>
      </c>
      <c r="E1783" t="s">
        <v>579</v>
      </c>
      <c r="F1783" t="s">
        <v>775</v>
      </c>
      <c r="G1783" s="9">
        <v>44889</v>
      </c>
    </row>
    <row r="1784" spans="1:7" ht="14.25" customHeight="1">
      <c r="A1784" s="8">
        <f t="shared" si="6"/>
        <v>692875</v>
      </c>
      <c r="B1784" s="8"/>
      <c r="C1784" s="8">
        <v>692875</v>
      </c>
    </row>
    <row r="1785" spans="1:7" ht="14.25" customHeight="1">
      <c r="A1785" s="8">
        <f t="shared" si="6"/>
        <v>692875</v>
      </c>
      <c r="B1785" s="8"/>
      <c r="C1785" s="8">
        <v>692875</v>
      </c>
      <c r="E1785">
        <v>1335505</v>
      </c>
      <c r="F1785" t="s">
        <v>311</v>
      </c>
      <c r="G1785" t="s">
        <v>581</v>
      </c>
    </row>
    <row r="1786" spans="1:7" ht="14.25" customHeight="1">
      <c r="A1786" s="8">
        <f t="shared" si="6"/>
        <v>0</v>
      </c>
      <c r="B1786" s="8"/>
      <c r="C1786" s="8"/>
      <c r="D1786" t="s">
        <v>312</v>
      </c>
      <c r="G1786">
        <v>1335521</v>
      </c>
    </row>
    <row r="1787" spans="1:7" ht="14.25" customHeight="1">
      <c r="A1787" s="8">
        <f t="shared" ref="A1787:A2041" si="7">C1787-B1787</f>
        <v>0</v>
      </c>
      <c r="B1787" s="8"/>
      <c r="C1787" s="8"/>
      <c r="F1787" t="s">
        <v>584</v>
      </c>
      <c r="G1787">
        <v>70612000</v>
      </c>
    </row>
    <row r="1788" spans="1:7" ht="14.25" customHeight="1">
      <c r="A1788" s="8">
        <f t="shared" si="7"/>
        <v>-6118834</v>
      </c>
      <c r="B1788" s="8">
        <v>6118834</v>
      </c>
      <c r="C1788" s="8"/>
      <c r="D1788">
        <v>140</v>
      </c>
      <c r="E1788" t="s">
        <v>585</v>
      </c>
      <c r="F1788" t="s">
        <v>1016</v>
      </c>
      <c r="G1788" s="9">
        <v>44782</v>
      </c>
    </row>
    <row r="1789" spans="1:7" ht="14.25" customHeight="1">
      <c r="A1789" s="8">
        <f t="shared" si="7"/>
        <v>-6118834</v>
      </c>
      <c r="B1789" s="8">
        <v>6118834</v>
      </c>
      <c r="C1789" s="8"/>
    </row>
    <row r="1790" spans="1:7" ht="14.25" customHeight="1">
      <c r="A1790" s="8">
        <f t="shared" si="7"/>
        <v>-6118834</v>
      </c>
      <c r="B1790" s="8">
        <v>6118834</v>
      </c>
      <c r="C1790" s="8"/>
      <c r="E1790">
        <v>1335521</v>
      </c>
      <c r="F1790" t="s">
        <v>312</v>
      </c>
      <c r="G1790" t="s">
        <v>581</v>
      </c>
    </row>
    <row r="1791" spans="1:7" ht="14.25" customHeight="1">
      <c r="A1791" s="8">
        <f t="shared" si="7"/>
        <v>0</v>
      </c>
      <c r="B1791" s="8"/>
      <c r="C1791" s="8"/>
      <c r="D1791" t="s">
        <v>313</v>
      </c>
      <c r="G1791">
        <v>1335601</v>
      </c>
    </row>
    <row r="1792" spans="1:7" ht="14.25" customHeight="1">
      <c r="A1792" s="8">
        <f t="shared" si="7"/>
        <v>0</v>
      </c>
      <c r="B1792" s="8"/>
      <c r="C1792" s="8"/>
      <c r="F1792" t="s">
        <v>578</v>
      </c>
      <c r="G1792">
        <v>63841000</v>
      </c>
    </row>
    <row r="1793" spans="1:7" ht="14.25" customHeight="1">
      <c r="A1793" s="8">
        <f t="shared" si="7"/>
        <v>697130</v>
      </c>
      <c r="B1793" s="8"/>
      <c r="C1793" s="8">
        <v>697130</v>
      </c>
      <c r="D1793">
        <v>91</v>
      </c>
      <c r="E1793" t="s">
        <v>594</v>
      </c>
      <c r="F1793" t="s">
        <v>1017</v>
      </c>
      <c r="G1793" s="9">
        <v>44796</v>
      </c>
    </row>
    <row r="1794" spans="1:7" ht="14.25" customHeight="1">
      <c r="A1794" s="8">
        <f t="shared" si="7"/>
        <v>130784</v>
      </c>
      <c r="B1794" s="8"/>
      <c r="C1794" s="8">
        <v>130784</v>
      </c>
      <c r="D1794">
        <v>92</v>
      </c>
      <c r="E1794" t="s">
        <v>594</v>
      </c>
      <c r="F1794" t="s">
        <v>1018</v>
      </c>
      <c r="G1794" s="9">
        <v>44797</v>
      </c>
    </row>
    <row r="1795" spans="1:7" ht="14.25" customHeight="1">
      <c r="A1795" s="8">
        <f t="shared" si="7"/>
        <v>827914</v>
      </c>
      <c r="B1795" s="8"/>
      <c r="C1795" s="8">
        <v>827914</v>
      </c>
    </row>
    <row r="1796" spans="1:7" ht="14.25" customHeight="1">
      <c r="A1796" s="8">
        <f t="shared" si="7"/>
        <v>827914</v>
      </c>
      <c r="B1796" s="8"/>
      <c r="C1796" s="8">
        <v>827914</v>
      </c>
      <c r="E1796">
        <v>1335601</v>
      </c>
      <c r="F1796" t="s">
        <v>313</v>
      </c>
      <c r="G1796" t="s">
        <v>581</v>
      </c>
    </row>
    <row r="1797" spans="1:7" ht="14.25" customHeight="1">
      <c r="A1797" s="8">
        <f t="shared" si="7"/>
        <v>0</v>
      </c>
      <c r="B1797" s="8"/>
      <c r="C1797" s="8"/>
      <c r="D1797" t="s">
        <v>314</v>
      </c>
      <c r="G1797">
        <v>1335605</v>
      </c>
    </row>
    <row r="1798" spans="1:7" ht="14.25" customHeight="1">
      <c r="A1798" s="8">
        <f t="shared" si="7"/>
        <v>0</v>
      </c>
      <c r="B1798" s="8"/>
      <c r="C1798" s="8"/>
      <c r="F1798" t="s">
        <v>582</v>
      </c>
      <c r="G1798">
        <v>63240000</v>
      </c>
    </row>
    <row r="1799" spans="1:7" ht="14.25" customHeight="1">
      <c r="A1799" s="8">
        <f t="shared" si="7"/>
        <v>211312</v>
      </c>
      <c r="B1799" s="8"/>
      <c r="C1799" s="8">
        <v>211312</v>
      </c>
      <c r="D1799">
        <v>375</v>
      </c>
      <c r="E1799" t="s">
        <v>579</v>
      </c>
      <c r="F1799" t="s">
        <v>774</v>
      </c>
      <c r="G1799" s="9">
        <v>44889</v>
      </c>
    </row>
    <row r="1800" spans="1:7" ht="14.25" customHeight="1">
      <c r="A1800" s="8">
        <f t="shared" si="7"/>
        <v>297563</v>
      </c>
      <c r="B1800" s="8"/>
      <c r="C1800" s="8">
        <v>297563</v>
      </c>
      <c r="D1800">
        <v>378</v>
      </c>
      <c r="E1800" t="s">
        <v>579</v>
      </c>
      <c r="F1800" t="s">
        <v>775</v>
      </c>
      <c r="G1800" s="9">
        <v>44889</v>
      </c>
    </row>
    <row r="1801" spans="1:7" ht="14.25" customHeight="1">
      <c r="A1801" s="8">
        <f t="shared" si="7"/>
        <v>508875</v>
      </c>
      <c r="B1801" s="8"/>
      <c r="C1801" s="8">
        <v>508875</v>
      </c>
    </row>
    <row r="1802" spans="1:7" ht="14.25" customHeight="1">
      <c r="A1802" s="8">
        <f t="shared" si="7"/>
        <v>508875</v>
      </c>
      <c r="B1802" s="8"/>
      <c r="C1802" s="8">
        <v>508875</v>
      </c>
      <c r="E1802">
        <v>1335605</v>
      </c>
      <c r="F1802" t="s">
        <v>314</v>
      </c>
      <c r="G1802" t="s">
        <v>581</v>
      </c>
    </row>
    <row r="1803" spans="1:7" ht="14.25" customHeight="1">
      <c r="A1803" s="8">
        <f t="shared" si="7"/>
        <v>0</v>
      </c>
      <c r="B1803" s="8"/>
      <c r="C1803" s="8"/>
      <c r="D1803" t="s">
        <v>315</v>
      </c>
      <c r="G1803">
        <v>1335621</v>
      </c>
    </row>
    <row r="1804" spans="1:7" ht="14.25" customHeight="1">
      <c r="A1804" s="8">
        <f t="shared" si="7"/>
        <v>0</v>
      </c>
      <c r="B1804" s="8"/>
      <c r="C1804" s="8"/>
      <c r="F1804" t="s">
        <v>584</v>
      </c>
      <c r="G1804">
        <v>70612000</v>
      </c>
    </row>
    <row r="1805" spans="1:7" ht="14.25" customHeight="1">
      <c r="A1805" s="8">
        <f t="shared" si="7"/>
        <v>-5219275</v>
      </c>
      <c r="B1805" s="8">
        <v>5219275</v>
      </c>
      <c r="C1805" s="8"/>
      <c r="D1805">
        <v>147</v>
      </c>
      <c r="E1805" t="s">
        <v>585</v>
      </c>
      <c r="F1805" t="s">
        <v>1019</v>
      </c>
      <c r="G1805" s="9">
        <v>44789</v>
      </c>
    </row>
    <row r="1806" spans="1:7" ht="14.25" customHeight="1">
      <c r="A1806" s="8">
        <f t="shared" si="7"/>
        <v>-5219275</v>
      </c>
      <c r="B1806" s="8">
        <v>5219275</v>
      </c>
      <c r="C1806" s="8"/>
    </row>
    <row r="1807" spans="1:7" ht="14.25" customHeight="1">
      <c r="A1807" s="8">
        <f t="shared" si="7"/>
        <v>-5219275</v>
      </c>
      <c r="B1807" s="8">
        <v>5219275</v>
      </c>
      <c r="C1807" s="8"/>
      <c r="E1807">
        <v>1335621</v>
      </c>
      <c r="F1807" t="s">
        <v>315</v>
      </c>
      <c r="G1807" t="s">
        <v>581</v>
      </c>
    </row>
    <row r="1808" spans="1:7" ht="14.25" customHeight="1">
      <c r="A1808" s="8">
        <f t="shared" si="7"/>
        <v>0</v>
      </c>
      <c r="B1808" s="8"/>
      <c r="C1808" s="8"/>
      <c r="D1808" t="s">
        <v>316</v>
      </c>
      <c r="G1808">
        <v>1335701</v>
      </c>
    </row>
    <row r="1809" spans="1:7" ht="14.25" customHeight="1">
      <c r="A1809" s="8">
        <f t="shared" si="7"/>
        <v>0</v>
      </c>
      <c r="B1809" s="8"/>
      <c r="C1809" s="8"/>
      <c r="F1809" t="s">
        <v>578</v>
      </c>
      <c r="G1809">
        <v>63841000</v>
      </c>
    </row>
    <row r="1810" spans="1:7" ht="14.25" customHeight="1">
      <c r="A1810" s="8">
        <f t="shared" si="7"/>
        <v>592595</v>
      </c>
      <c r="B1810" s="8"/>
      <c r="C1810" s="8">
        <v>592595</v>
      </c>
      <c r="D1810">
        <v>116</v>
      </c>
      <c r="E1810" t="s">
        <v>594</v>
      </c>
      <c r="F1810" t="s">
        <v>1020</v>
      </c>
      <c r="G1810" s="9">
        <v>44826</v>
      </c>
    </row>
    <row r="1811" spans="1:7" ht="14.25" customHeight="1">
      <c r="A1811" s="8">
        <f t="shared" si="7"/>
        <v>113275</v>
      </c>
      <c r="B1811" s="8"/>
      <c r="C1811" s="8">
        <v>113275</v>
      </c>
      <c r="D1811">
        <v>121</v>
      </c>
      <c r="E1811" t="s">
        <v>594</v>
      </c>
      <c r="F1811" t="s">
        <v>997</v>
      </c>
      <c r="G1811" s="9">
        <v>44827</v>
      </c>
    </row>
    <row r="1812" spans="1:7" ht="14.25" customHeight="1">
      <c r="A1812" s="8">
        <f t="shared" si="7"/>
        <v>705870</v>
      </c>
      <c r="B1812" s="8"/>
      <c r="C1812" s="8">
        <v>705870</v>
      </c>
    </row>
    <row r="1813" spans="1:7" ht="14.25" customHeight="1">
      <c r="A1813" s="8">
        <f t="shared" si="7"/>
        <v>705870</v>
      </c>
      <c r="B1813" s="8"/>
      <c r="C1813" s="8">
        <v>705870</v>
      </c>
      <c r="E1813">
        <v>1335701</v>
      </c>
      <c r="F1813" t="s">
        <v>316</v>
      </c>
      <c r="G1813" t="s">
        <v>581</v>
      </c>
    </row>
    <row r="1814" spans="1:7" ht="14.25" customHeight="1">
      <c r="A1814" s="8">
        <f t="shared" si="7"/>
        <v>0</v>
      </c>
      <c r="B1814" s="8"/>
      <c r="C1814" s="8"/>
      <c r="D1814" t="s">
        <v>317</v>
      </c>
      <c r="G1814">
        <v>1335705</v>
      </c>
    </row>
    <row r="1815" spans="1:7" ht="14.25" customHeight="1">
      <c r="A1815" s="8">
        <f t="shared" si="7"/>
        <v>0</v>
      </c>
      <c r="B1815" s="8"/>
      <c r="C1815" s="8"/>
      <c r="F1815" t="s">
        <v>582</v>
      </c>
      <c r="G1815">
        <v>63240000</v>
      </c>
    </row>
    <row r="1816" spans="1:7" ht="14.25" customHeight="1">
      <c r="A1816" s="8">
        <f t="shared" si="7"/>
        <v>171063</v>
      </c>
      <c r="B1816" s="8"/>
      <c r="C1816" s="8">
        <v>171063</v>
      </c>
      <c r="D1816">
        <v>396</v>
      </c>
      <c r="E1816" t="s">
        <v>579</v>
      </c>
      <c r="F1816" t="s">
        <v>999</v>
      </c>
      <c r="G1816" s="9">
        <v>44896</v>
      </c>
    </row>
    <row r="1817" spans="1:7" ht="14.25" customHeight="1">
      <c r="A1817" s="8">
        <f t="shared" si="7"/>
        <v>245812</v>
      </c>
      <c r="B1817" s="8"/>
      <c r="C1817" s="8">
        <v>245812</v>
      </c>
      <c r="D1817">
        <v>397</v>
      </c>
      <c r="E1817" t="s">
        <v>579</v>
      </c>
      <c r="F1817" t="s">
        <v>1000</v>
      </c>
      <c r="G1817" s="9">
        <v>44896</v>
      </c>
    </row>
    <row r="1818" spans="1:7" ht="14.25" customHeight="1">
      <c r="A1818" s="8">
        <f t="shared" si="7"/>
        <v>416875</v>
      </c>
      <c r="B1818" s="8"/>
      <c r="C1818" s="8">
        <v>416875</v>
      </c>
    </row>
    <row r="1819" spans="1:7" ht="14.25" customHeight="1">
      <c r="A1819" s="8">
        <f t="shared" si="7"/>
        <v>416875</v>
      </c>
      <c r="B1819" s="8"/>
      <c r="C1819" s="8">
        <v>416875</v>
      </c>
      <c r="E1819">
        <v>1335705</v>
      </c>
      <c r="F1819" t="s">
        <v>317</v>
      </c>
      <c r="G1819" t="s">
        <v>581</v>
      </c>
    </row>
    <row r="1820" spans="1:7" ht="14.25" customHeight="1">
      <c r="A1820" s="8">
        <f t="shared" si="7"/>
        <v>0</v>
      </c>
      <c r="B1820" s="8"/>
      <c r="C1820" s="8"/>
      <c r="D1820" t="s">
        <v>318</v>
      </c>
      <c r="G1820">
        <v>1335721</v>
      </c>
    </row>
    <row r="1821" spans="1:7" ht="14.25" customHeight="1">
      <c r="A1821" s="8">
        <f t="shared" si="7"/>
        <v>0</v>
      </c>
      <c r="B1821" s="8"/>
      <c r="C1821" s="8"/>
      <c r="F1821" t="s">
        <v>584</v>
      </c>
      <c r="G1821">
        <v>70612000</v>
      </c>
    </row>
    <row r="1822" spans="1:7" ht="14.25" customHeight="1">
      <c r="A1822" s="8">
        <f t="shared" si="7"/>
        <v>-4589610</v>
      </c>
      <c r="B1822" s="8">
        <v>4589610</v>
      </c>
      <c r="C1822" s="8"/>
      <c r="D1822">
        <v>148</v>
      </c>
      <c r="E1822" t="s">
        <v>585</v>
      </c>
      <c r="F1822" t="s">
        <v>1021</v>
      </c>
      <c r="G1822" s="9">
        <v>44789</v>
      </c>
    </row>
    <row r="1823" spans="1:7" ht="14.25" customHeight="1">
      <c r="A1823" s="8">
        <f t="shared" si="7"/>
        <v>-4589610</v>
      </c>
      <c r="B1823" s="8">
        <v>4589610</v>
      </c>
      <c r="C1823" s="8"/>
    </row>
    <row r="1824" spans="1:7" ht="14.25" customHeight="1">
      <c r="A1824" s="8">
        <f t="shared" si="7"/>
        <v>-4589610</v>
      </c>
      <c r="B1824" s="8">
        <v>4589610</v>
      </c>
      <c r="C1824" s="8"/>
      <c r="E1824">
        <v>1335721</v>
      </c>
      <c r="F1824" t="s">
        <v>318</v>
      </c>
      <c r="G1824" t="s">
        <v>581</v>
      </c>
    </row>
    <row r="1825" spans="1:7" ht="14.25" customHeight="1">
      <c r="A1825" s="8">
        <f t="shared" si="7"/>
        <v>0</v>
      </c>
      <c r="B1825" s="8"/>
      <c r="C1825" s="8"/>
      <c r="D1825" t="s">
        <v>319</v>
      </c>
      <c r="G1825">
        <v>1335801</v>
      </c>
    </row>
    <row r="1826" spans="1:7" ht="14.25" customHeight="1">
      <c r="A1826" s="8">
        <f t="shared" si="7"/>
        <v>0</v>
      </c>
      <c r="B1826" s="8"/>
      <c r="C1826" s="8"/>
      <c r="F1826" t="s">
        <v>578</v>
      </c>
      <c r="G1826">
        <v>63841000</v>
      </c>
    </row>
    <row r="1827" spans="1:7" ht="14.25" customHeight="1">
      <c r="A1827" s="8">
        <f t="shared" si="7"/>
        <v>592595</v>
      </c>
      <c r="B1827" s="8"/>
      <c r="C1827" s="8">
        <v>592595</v>
      </c>
      <c r="D1827">
        <v>109</v>
      </c>
      <c r="E1827" t="s">
        <v>594</v>
      </c>
      <c r="F1827" t="s">
        <v>1022</v>
      </c>
      <c r="G1827" s="9">
        <v>44819</v>
      </c>
    </row>
    <row r="1828" spans="1:7" ht="14.25" customHeight="1">
      <c r="A1828" s="8">
        <f t="shared" si="7"/>
        <v>113361</v>
      </c>
      <c r="B1828" s="8"/>
      <c r="C1828" s="8">
        <v>113361</v>
      </c>
      <c r="D1828">
        <v>111</v>
      </c>
      <c r="E1828" t="s">
        <v>594</v>
      </c>
      <c r="F1828" t="s">
        <v>1023</v>
      </c>
      <c r="G1828" s="9">
        <v>44824</v>
      </c>
    </row>
    <row r="1829" spans="1:7" ht="14.25" customHeight="1">
      <c r="A1829" s="8">
        <f t="shared" si="7"/>
        <v>705956</v>
      </c>
      <c r="B1829" s="8"/>
      <c r="C1829" s="8">
        <v>705956</v>
      </c>
    </row>
    <row r="1830" spans="1:7" ht="14.25" customHeight="1">
      <c r="A1830" s="8">
        <f t="shared" si="7"/>
        <v>705956</v>
      </c>
      <c r="B1830" s="8"/>
      <c r="C1830" s="8">
        <v>705956</v>
      </c>
      <c r="E1830">
        <v>1335801</v>
      </c>
      <c r="F1830" t="s">
        <v>319</v>
      </c>
      <c r="G1830" t="s">
        <v>581</v>
      </c>
    </row>
    <row r="1831" spans="1:7" ht="14.25" customHeight="1">
      <c r="A1831" s="8">
        <f t="shared" si="7"/>
        <v>0</v>
      </c>
      <c r="B1831" s="8"/>
      <c r="C1831" s="8"/>
      <c r="D1831" t="s">
        <v>320</v>
      </c>
      <c r="G1831">
        <v>1335802</v>
      </c>
    </row>
    <row r="1832" spans="1:7" ht="14.25" customHeight="1">
      <c r="A1832" s="8">
        <f t="shared" si="7"/>
        <v>0</v>
      </c>
      <c r="B1832" s="8"/>
      <c r="C1832" s="8"/>
      <c r="F1832" t="s">
        <v>638</v>
      </c>
      <c r="G1832">
        <v>6121000</v>
      </c>
    </row>
    <row r="1833" spans="1:7" ht="14.25" customHeight="1">
      <c r="A1833" s="8">
        <f t="shared" si="7"/>
        <v>2875</v>
      </c>
      <c r="B1833" s="8"/>
      <c r="C1833" s="8">
        <v>2875</v>
      </c>
      <c r="D1833">
        <v>238</v>
      </c>
      <c r="E1833" t="s">
        <v>667</v>
      </c>
      <c r="F1833" t="s">
        <v>998</v>
      </c>
      <c r="G1833" s="9">
        <v>44855</v>
      </c>
    </row>
    <row r="1834" spans="1:7" ht="14.25" customHeight="1">
      <c r="A1834" s="8">
        <f t="shared" si="7"/>
        <v>2875</v>
      </c>
      <c r="B1834" s="8"/>
      <c r="C1834" s="8">
        <v>2875</v>
      </c>
    </row>
    <row r="1835" spans="1:7" ht="14.25" customHeight="1">
      <c r="A1835" s="8">
        <f t="shared" si="7"/>
        <v>2875</v>
      </c>
      <c r="B1835" s="8"/>
      <c r="C1835" s="8">
        <v>2875</v>
      </c>
      <c r="E1835">
        <v>1335802</v>
      </c>
      <c r="F1835" t="s">
        <v>320</v>
      </c>
      <c r="G1835" t="s">
        <v>581</v>
      </c>
    </row>
    <row r="1836" spans="1:7" ht="14.25" customHeight="1">
      <c r="A1836" s="8">
        <f t="shared" si="7"/>
        <v>0</v>
      </c>
      <c r="B1836" s="8"/>
      <c r="C1836" s="8"/>
      <c r="D1836" t="s">
        <v>321</v>
      </c>
      <c r="G1836">
        <v>1335805</v>
      </c>
    </row>
    <row r="1837" spans="1:7" ht="14.25" customHeight="1">
      <c r="A1837" s="8">
        <f t="shared" si="7"/>
        <v>0</v>
      </c>
      <c r="B1837" s="8"/>
      <c r="C1837" s="8"/>
      <c r="F1837" t="s">
        <v>582</v>
      </c>
      <c r="G1837">
        <v>63240000</v>
      </c>
    </row>
    <row r="1838" spans="1:7" ht="14.25" customHeight="1">
      <c r="A1838" s="8">
        <f t="shared" si="7"/>
        <v>245812</v>
      </c>
      <c r="B1838" s="8"/>
      <c r="C1838" s="8">
        <v>245812</v>
      </c>
      <c r="D1838">
        <v>333</v>
      </c>
      <c r="E1838" t="s">
        <v>579</v>
      </c>
      <c r="F1838" t="s">
        <v>984</v>
      </c>
      <c r="G1838" s="9">
        <v>44858</v>
      </c>
    </row>
    <row r="1839" spans="1:7" ht="14.25" customHeight="1">
      <c r="A1839" s="8">
        <f t="shared" si="7"/>
        <v>171063</v>
      </c>
      <c r="B1839" s="8"/>
      <c r="C1839" s="8">
        <v>171063</v>
      </c>
      <c r="D1839">
        <v>336</v>
      </c>
      <c r="E1839" t="s">
        <v>579</v>
      </c>
      <c r="F1839" t="s">
        <v>1024</v>
      </c>
      <c r="G1839" s="9">
        <v>44858</v>
      </c>
    </row>
    <row r="1840" spans="1:7" ht="14.25" customHeight="1">
      <c r="A1840" s="8">
        <f t="shared" si="7"/>
        <v>416875</v>
      </c>
      <c r="B1840" s="8"/>
      <c r="C1840" s="8">
        <v>416875</v>
      </c>
    </row>
    <row r="1841" spans="1:7" ht="14.25" customHeight="1">
      <c r="A1841" s="8">
        <f t="shared" si="7"/>
        <v>416875</v>
      </c>
      <c r="B1841" s="8"/>
      <c r="C1841" s="8">
        <v>416875</v>
      </c>
      <c r="E1841">
        <v>1335805</v>
      </c>
      <c r="F1841" t="s">
        <v>321</v>
      </c>
      <c r="G1841" t="s">
        <v>581</v>
      </c>
    </row>
    <row r="1842" spans="1:7" ht="14.25" customHeight="1">
      <c r="A1842" s="8">
        <f t="shared" si="7"/>
        <v>0</v>
      </c>
      <c r="B1842" s="8"/>
      <c r="C1842" s="8"/>
      <c r="D1842" t="s">
        <v>322</v>
      </c>
      <c r="G1842">
        <v>1335821</v>
      </c>
    </row>
    <row r="1843" spans="1:7" ht="14.25" customHeight="1">
      <c r="A1843" s="8">
        <f t="shared" si="7"/>
        <v>0</v>
      </c>
      <c r="B1843" s="8"/>
      <c r="C1843" s="8"/>
      <c r="F1843" t="s">
        <v>584</v>
      </c>
      <c r="G1843">
        <v>70612000</v>
      </c>
    </row>
    <row r="1844" spans="1:7" ht="14.25" customHeight="1">
      <c r="A1844" s="8">
        <f t="shared" si="7"/>
        <v>-4592117</v>
      </c>
      <c r="B1844" s="8">
        <v>4592117</v>
      </c>
      <c r="C1844" s="8"/>
      <c r="D1844">
        <v>149</v>
      </c>
      <c r="E1844" t="s">
        <v>585</v>
      </c>
      <c r="F1844" t="s">
        <v>1025</v>
      </c>
      <c r="G1844" s="9">
        <v>44790</v>
      </c>
    </row>
    <row r="1845" spans="1:7" ht="14.25" customHeight="1">
      <c r="A1845" s="8">
        <f t="shared" si="7"/>
        <v>-4592117</v>
      </c>
      <c r="B1845" s="8">
        <v>4592117</v>
      </c>
      <c r="C1845" s="8"/>
    </row>
    <row r="1846" spans="1:7" ht="14.25" customHeight="1">
      <c r="A1846" s="8">
        <f t="shared" si="7"/>
        <v>-4592117</v>
      </c>
      <c r="B1846" s="8">
        <v>4592117</v>
      </c>
      <c r="C1846" s="8"/>
      <c r="E1846">
        <v>1335821</v>
      </c>
      <c r="F1846" t="s">
        <v>322</v>
      </c>
      <c r="G1846" t="s">
        <v>581</v>
      </c>
    </row>
    <row r="1847" spans="1:7" ht="14.25" customHeight="1">
      <c r="A1847" s="8">
        <f t="shared" si="7"/>
        <v>0</v>
      </c>
      <c r="B1847" s="8"/>
      <c r="C1847" s="8"/>
      <c r="D1847" t="s">
        <v>323</v>
      </c>
      <c r="G1847">
        <v>1335901</v>
      </c>
    </row>
    <row r="1848" spans="1:7" ht="14.25" customHeight="1">
      <c r="A1848" s="8">
        <f t="shared" si="7"/>
        <v>0</v>
      </c>
      <c r="B1848" s="8"/>
      <c r="C1848" s="8"/>
      <c r="F1848" t="s">
        <v>578</v>
      </c>
      <c r="G1848">
        <v>63841000</v>
      </c>
    </row>
    <row r="1849" spans="1:7" ht="14.25" customHeight="1">
      <c r="A1849" s="8">
        <f t="shared" si="7"/>
        <v>592595</v>
      </c>
      <c r="B1849" s="8"/>
      <c r="C1849" s="8">
        <v>592595</v>
      </c>
      <c r="D1849">
        <v>117</v>
      </c>
      <c r="E1849" t="s">
        <v>594</v>
      </c>
      <c r="F1849" t="s">
        <v>1026</v>
      </c>
      <c r="G1849" s="9">
        <v>44826</v>
      </c>
    </row>
    <row r="1850" spans="1:7" ht="14.25" customHeight="1">
      <c r="A1850" s="8">
        <f t="shared" si="7"/>
        <v>592595</v>
      </c>
      <c r="B1850" s="8"/>
      <c r="C1850" s="8">
        <v>592595</v>
      </c>
    </row>
    <row r="1851" spans="1:7" ht="14.25" customHeight="1">
      <c r="A1851" s="8">
        <f t="shared" si="7"/>
        <v>592595</v>
      </c>
      <c r="B1851" s="8"/>
      <c r="C1851" s="8">
        <v>592595</v>
      </c>
      <c r="E1851">
        <v>1335901</v>
      </c>
      <c r="F1851" t="s">
        <v>323</v>
      </c>
      <c r="G1851" t="s">
        <v>581</v>
      </c>
    </row>
    <row r="1852" spans="1:7" ht="14.25" customHeight="1">
      <c r="A1852" s="8">
        <f t="shared" si="7"/>
        <v>0</v>
      </c>
      <c r="B1852" s="8"/>
      <c r="C1852" s="8"/>
      <c r="D1852" t="s">
        <v>324</v>
      </c>
      <c r="G1852">
        <v>1335902</v>
      </c>
    </row>
    <row r="1853" spans="1:7" ht="14.25" customHeight="1">
      <c r="A1853" s="8">
        <f t="shared" si="7"/>
        <v>0</v>
      </c>
      <c r="B1853" s="8"/>
      <c r="C1853" s="8"/>
      <c r="F1853" t="s">
        <v>590</v>
      </c>
      <c r="G1853">
        <v>61811000</v>
      </c>
    </row>
    <row r="1854" spans="1:7" ht="14.25" customHeight="1">
      <c r="A1854" s="8">
        <f t="shared" si="7"/>
        <v>2156</v>
      </c>
      <c r="B1854" s="8"/>
      <c r="C1854" s="8">
        <v>2156</v>
      </c>
      <c r="D1854">
        <v>132</v>
      </c>
      <c r="E1854" t="s">
        <v>594</v>
      </c>
      <c r="F1854" t="s">
        <v>1027</v>
      </c>
      <c r="G1854" s="9">
        <v>44852</v>
      </c>
    </row>
    <row r="1855" spans="1:7" ht="14.25" customHeight="1">
      <c r="A1855" s="8">
        <f t="shared" si="7"/>
        <v>2156</v>
      </c>
      <c r="B1855" s="8"/>
      <c r="C1855" s="8">
        <v>2156</v>
      </c>
    </row>
    <row r="1856" spans="1:7" ht="14.25" customHeight="1">
      <c r="A1856" s="8">
        <f t="shared" si="7"/>
        <v>0</v>
      </c>
      <c r="B1856" s="8"/>
      <c r="C1856" s="8"/>
      <c r="F1856" t="s">
        <v>785</v>
      </c>
      <c r="G1856">
        <v>62231000</v>
      </c>
    </row>
    <row r="1857" spans="1:7" ht="14.25" customHeight="1">
      <c r="A1857" s="8">
        <f t="shared" si="7"/>
        <v>431250</v>
      </c>
      <c r="B1857" s="8"/>
      <c r="C1857" s="8">
        <v>431250</v>
      </c>
      <c r="D1857">
        <v>316</v>
      </c>
      <c r="E1857" t="s">
        <v>579</v>
      </c>
      <c r="F1857" t="s">
        <v>1028</v>
      </c>
      <c r="G1857" s="9">
        <v>44852</v>
      </c>
    </row>
    <row r="1858" spans="1:7" ht="14.25" customHeight="1">
      <c r="A1858" s="8">
        <f t="shared" si="7"/>
        <v>431250</v>
      </c>
      <c r="B1858" s="8"/>
      <c r="C1858" s="8">
        <v>431250</v>
      </c>
    </row>
    <row r="1859" spans="1:7" ht="14.25" customHeight="1">
      <c r="A1859" s="8">
        <f t="shared" si="7"/>
        <v>433406</v>
      </c>
      <c r="B1859" s="8"/>
      <c r="C1859" s="8">
        <v>433406</v>
      </c>
      <c r="E1859">
        <v>1335902</v>
      </c>
      <c r="F1859" t="s">
        <v>324</v>
      </c>
      <c r="G1859" t="s">
        <v>581</v>
      </c>
    </row>
    <row r="1860" spans="1:7" ht="14.25" customHeight="1">
      <c r="A1860" s="8">
        <f t="shared" si="7"/>
        <v>0</v>
      </c>
      <c r="B1860" s="8"/>
      <c r="C1860" s="8"/>
      <c r="D1860" t="s">
        <v>325</v>
      </c>
      <c r="G1860">
        <v>1335905</v>
      </c>
    </row>
    <row r="1861" spans="1:7" ht="14.25" customHeight="1">
      <c r="A1861" s="8">
        <f t="shared" si="7"/>
        <v>0</v>
      </c>
      <c r="B1861" s="8"/>
      <c r="C1861" s="8"/>
      <c r="F1861" t="s">
        <v>582</v>
      </c>
      <c r="G1861">
        <v>63240000</v>
      </c>
    </row>
    <row r="1862" spans="1:7" ht="14.25" customHeight="1">
      <c r="A1862" s="8">
        <f t="shared" si="7"/>
        <v>271688</v>
      </c>
      <c r="B1862" s="8"/>
      <c r="C1862" s="8">
        <v>271688</v>
      </c>
      <c r="D1862">
        <v>357</v>
      </c>
      <c r="E1862" t="s">
        <v>579</v>
      </c>
      <c r="F1862" t="s">
        <v>1029</v>
      </c>
      <c r="G1862" s="9">
        <v>44874</v>
      </c>
    </row>
    <row r="1863" spans="1:7" ht="14.25" customHeight="1">
      <c r="A1863" s="8">
        <f t="shared" si="7"/>
        <v>301875</v>
      </c>
      <c r="B1863" s="8"/>
      <c r="C1863" s="8">
        <v>301875</v>
      </c>
      <c r="D1863">
        <v>355</v>
      </c>
      <c r="E1863" t="s">
        <v>579</v>
      </c>
      <c r="F1863" t="s">
        <v>1030</v>
      </c>
      <c r="G1863" s="9">
        <v>44874</v>
      </c>
    </row>
    <row r="1864" spans="1:7" ht="14.25" customHeight="1">
      <c r="A1864" s="8">
        <f t="shared" si="7"/>
        <v>573563</v>
      </c>
      <c r="B1864" s="8"/>
      <c r="C1864" s="8">
        <v>573563</v>
      </c>
    </row>
    <row r="1865" spans="1:7" ht="14.25" customHeight="1">
      <c r="A1865" s="8">
        <f t="shared" si="7"/>
        <v>573563</v>
      </c>
      <c r="B1865" s="8"/>
      <c r="C1865" s="8">
        <v>573563</v>
      </c>
      <c r="E1865">
        <v>1335905</v>
      </c>
      <c r="F1865" t="s">
        <v>325</v>
      </c>
      <c r="G1865" t="s">
        <v>581</v>
      </c>
    </row>
    <row r="1866" spans="1:7" ht="14.25" customHeight="1">
      <c r="A1866" s="8">
        <f t="shared" si="7"/>
        <v>0</v>
      </c>
      <c r="B1866" s="8"/>
      <c r="C1866" s="8"/>
      <c r="D1866" t="s">
        <v>326</v>
      </c>
      <c r="G1866">
        <v>1335921</v>
      </c>
    </row>
    <row r="1867" spans="1:7" ht="14.25" customHeight="1">
      <c r="A1867" s="8">
        <f t="shared" si="7"/>
        <v>0</v>
      </c>
      <c r="B1867" s="8"/>
      <c r="C1867" s="8"/>
      <c r="F1867" t="s">
        <v>584</v>
      </c>
      <c r="G1867">
        <v>70612000</v>
      </c>
    </row>
    <row r="1868" spans="1:7" ht="14.25" customHeight="1">
      <c r="A1868" s="8">
        <f t="shared" si="7"/>
        <v>-4704564</v>
      </c>
      <c r="B1868" s="8">
        <v>4704564</v>
      </c>
      <c r="C1868" s="8"/>
      <c r="D1868">
        <v>150</v>
      </c>
      <c r="E1868" t="s">
        <v>585</v>
      </c>
      <c r="F1868" t="s">
        <v>1031</v>
      </c>
      <c r="G1868" s="9">
        <v>44795</v>
      </c>
    </row>
    <row r="1869" spans="1:7" ht="14.25" customHeight="1">
      <c r="A1869" s="8">
        <f t="shared" si="7"/>
        <v>4704564</v>
      </c>
      <c r="B1869" s="8"/>
      <c r="C1869" s="8">
        <v>4704564</v>
      </c>
      <c r="D1869">
        <v>186</v>
      </c>
      <c r="E1869" t="s">
        <v>585</v>
      </c>
      <c r="F1869" t="s">
        <v>1032</v>
      </c>
      <c r="G1869" s="9">
        <v>44833</v>
      </c>
    </row>
    <row r="1870" spans="1:7" ht="14.25" customHeight="1">
      <c r="A1870" s="8">
        <f t="shared" si="7"/>
        <v>0</v>
      </c>
      <c r="B1870" s="8">
        <v>4704564</v>
      </c>
      <c r="C1870" s="8">
        <v>4704564</v>
      </c>
    </row>
    <row r="1871" spans="1:7" ht="14.25" customHeight="1">
      <c r="A1871" s="8">
        <f t="shared" si="7"/>
        <v>0</v>
      </c>
      <c r="B1871" s="8">
        <v>4704564</v>
      </c>
      <c r="C1871" s="8">
        <v>4704564</v>
      </c>
      <c r="E1871">
        <v>1335921</v>
      </c>
      <c r="F1871" t="s">
        <v>326</v>
      </c>
      <c r="G1871" t="s">
        <v>581</v>
      </c>
    </row>
    <row r="1872" spans="1:7" ht="14.25" customHeight="1">
      <c r="A1872" s="8">
        <f t="shared" si="7"/>
        <v>0</v>
      </c>
      <c r="B1872" s="8"/>
      <c r="C1872" s="8"/>
      <c r="D1872" t="s">
        <v>327</v>
      </c>
      <c r="G1872">
        <v>1336021</v>
      </c>
    </row>
    <row r="1873" spans="1:7" ht="14.25" customHeight="1">
      <c r="A1873" s="8">
        <f t="shared" si="7"/>
        <v>0</v>
      </c>
      <c r="B1873" s="8"/>
      <c r="C1873" s="8"/>
      <c r="F1873" t="s">
        <v>584</v>
      </c>
      <c r="G1873">
        <v>70612000</v>
      </c>
    </row>
    <row r="1874" spans="1:7" ht="14.25" customHeight="1">
      <c r="A1874" s="8">
        <f t="shared" si="7"/>
        <v>-4866472</v>
      </c>
      <c r="B1874" s="8">
        <v>4866472</v>
      </c>
      <c r="C1874" s="8"/>
      <c r="D1874">
        <v>151</v>
      </c>
      <c r="E1874" t="s">
        <v>585</v>
      </c>
      <c r="F1874" t="s">
        <v>1033</v>
      </c>
      <c r="G1874" s="9">
        <v>44795</v>
      </c>
    </row>
    <row r="1875" spans="1:7" ht="14.25" customHeight="1">
      <c r="A1875" s="8">
        <f t="shared" si="7"/>
        <v>4866472</v>
      </c>
      <c r="B1875" s="8"/>
      <c r="C1875" s="8">
        <v>4866472</v>
      </c>
      <c r="D1875">
        <v>196</v>
      </c>
      <c r="E1875" t="s">
        <v>585</v>
      </c>
      <c r="F1875" t="s">
        <v>1034</v>
      </c>
      <c r="G1875" s="9">
        <v>44855</v>
      </c>
    </row>
    <row r="1876" spans="1:7" ht="14.25" customHeight="1">
      <c r="A1876" s="8">
        <f t="shared" si="7"/>
        <v>0</v>
      </c>
      <c r="B1876" s="8">
        <v>4866472</v>
      </c>
      <c r="C1876" s="8">
        <v>4866472</v>
      </c>
    </row>
    <row r="1877" spans="1:7" ht="14.25" customHeight="1">
      <c r="A1877" s="8">
        <f t="shared" si="7"/>
        <v>0</v>
      </c>
      <c r="B1877" s="8">
        <v>4866472</v>
      </c>
      <c r="C1877" s="8">
        <v>4866472</v>
      </c>
      <c r="E1877">
        <v>1336021</v>
      </c>
      <c r="F1877" t="s">
        <v>327</v>
      </c>
      <c r="G1877" t="s">
        <v>581</v>
      </c>
    </row>
    <row r="1878" spans="1:7" ht="14.25" customHeight="1">
      <c r="A1878" s="8">
        <f t="shared" si="7"/>
        <v>0</v>
      </c>
      <c r="B1878" s="8"/>
      <c r="C1878" s="8"/>
      <c r="D1878" t="s">
        <v>328</v>
      </c>
      <c r="G1878">
        <v>1336101</v>
      </c>
    </row>
    <row r="1879" spans="1:7" ht="14.25" customHeight="1">
      <c r="A1879" s="8">
        <f t="shared" si="7"/>
        <v>0</v>
      </c>
      <c r="B1879" s="8"/>
      <c r="C1879" s="8"/>
      <c r="F1879" t="s">
        <v>578</v>
      </c>
      <c r="G1879">
        <v>63841000</v>
      </c>
    </row>
    <row r="1880" spans="1:7" ht="14.25" customHeight="1">
      <c r="A1880" s="8">
        <f t="shared" si="7"/>
        <v>592595</v>
      </c>
      <c r="B1880" s="8"/>
      <c r="C1880" s="8">
        <v>592595</v>
      </c>
      <c r="D1880">
        <v>118</v>
      </c>
      <c r="E1880" t="s">
        <v>594</v>
      </c>
      <c r="F1880" t="s">
        <v>1035</v>
      </c>
      <c r="G1880" s="9">
        <v>44827</v>
      </c>
    </row>
    <row r="1881" spans="1:7" ht="14.25" customHeight="1">
      <c r="A1881" s="8">
        <f t="shared" si="7"/>
        <v>592595</v>
      </c>
      <c r="B1881" s="8"/>
      <c r="C1881" s="8">
        <v>592595</v>
      </c>
    </row>
    <row r="1882" spans="1:7" ht="14.25" customHeight="1">
      <c r="A1882" s="8">
        <f t="shared" si="7"/>
        <v>592595</v>
      </c>
      <c r="B1882" s="8"/>
      <c r="C1882" s="8">
        <v>592595</v>
      </c>
      <c r="E1882">
        <v>1336101</v>
      </c>
      <c r="F1882" t="s">
        <v>328</v>
      </c>
      <c r="G1882" t="s">
        <v>581</v>
      </c>
    </row>
    <row r="1883" spans="1:7" ht="14.25" customHeight="1">
      <c r="A1883" s="8">
        <f t="shared" si="7"/>
        <v>0</v>
      </c>
      <c r="B1883" s="8"/>
      <c r="C1883" s="8"/>
      <c r="D1883" t="s">
        <v>329</v>
      </c>
      <c r="G1883">
        <v>1336105</v>
      </c>
    </row>
    <row r="1884" spans="1:7" ht="14.25" customHeight="1">
      <c r="A1884" s="8">
        <f t="shared" si="7"/>
        <v>0</v>
      </c>
      <c r="B1884" s="8"/>
      <c r="C1884" s="8"/>
      <c r="F1884" t="s">
        <v>582</v>
      </c>
      <c r="G1884">
        <v>63240000</v>
      </c>
    </row>
    <row r="1885" spans="1:7" ht="14.25" customHeight="1">
      <c r="A1885" s="8">
        <f t="shared" si="7"/>
        <v>258750</v>
      </c>
      <c r="B1885" s="8"/>
      <c r="C1885" s="8">
        <v>258750</v>
      </c>
      <c r="D1885">
        <v>333</v>
      </c>
      <c r="E1885" t="s">
        <v>579</v>
      </c>
      <c r="F1885" t="s">
        <v>984</v>
      </c>
      <c r="G1885" s="9">
        <v>44858</v>
      </c>
    </row>
    <row r="1886" spans="1:7" ht="14.25" customHeight="1">
      <c r="A1886" s="8">
        <f t="shared" si="7"/>
        <v>191187</v>
      </c>
      <c r="B1886" s="8"/>
      <c r="C1886" s="8">
        <v>191187</v>
      </c>
      <c r="D1886">
        <v>336</v>
      </c>
      <c r="E1886" t="s">
        <v>579</v>
      </c>
      <c r="F1886" t="s">
        <v>1024</v>
      </c>
      <c r="G1886" s="9">
        <v>44858</v>
      </c>
    </row>
    <row r="1887" spans="1:7" ht="14.25" customHeight="1">
      <c r="A1887" s="8">
        <f t="shared" si="7"/>
        <v>449937</v>
      </c>
      <c r="B1887" s="8"/>
      <c r="C1887" s="8">
        <v>449937</v>
      </c>
    </row>
    <row r="1888" spans="1:7" ht="14.25" customHeight="1">
      <c r="A1888" s="8">
        <f t="shared" si="7"/>
        <v>449937</v>
      </c>
      <c r="B1888" s="8"/>
      <c r="C1888" s="8">
        <v>449937</v>
      </c>
      <c r="E1888">
        <v>1336105</v>
      </c>
      <c r="F1888" t="s">
        <v>329</v>
      </c>
      <c r="G1888" t="s">
        <v>581</v>
      </c>
    </row>
    <row r="1889" spans="1:7" ht="14.25" customHeight="1">
      <c r="A1889" s="8">
        <f t="shared" si="7"/>
        <v>0</v>
      </c>
      <c r="B1889" s="8"/>
      <c r="C1889" s="8"/>
      <c r="D1889" t="s">
        <v>330</v>
      </c>
      <c r="G1889">
        <v>1336121</v>
      </c>
    </row>
    <row r="1890" spans="1:7" ht="14.25" customHeight="1">
      <c r="A1890" s="8">
        <f t="shared" si="7"/>
        <v>0</v>
      </c>
      <c r="B1890" s="8"/>
      <c r="C1890" s="8"/>
      <c r="F1890" t="s">
        <v>584</v>
      </c>
      <c r="G1890">
        <v>70612000</v>
      </c>
    </row>
    <row r="1891" spans="1:7" ht="14.25" customHeight="1">
      <c r="A1891" s="8">
        <f t="shared" si="7"/>
        <v>-4091125</v>
      </c>
      <c r="B1891" s="8">
        <v>4091125</v>
      </c>
      <c r="C1891" s="8"/>
      <c r="D1891">
        <v>152</v>
      </c>
      <c r="E1891" t="s">
        <v>585</v>
      </c>
      <c r="F1891" t="s">
        <v>1036</v>
      </c>
      <c r="G1891" s="9">
        <v>44795</v>
      </c>
    </row>
    <row r="1892" spans="1:7" ht="14.25" customHeight="1">
      <c r="A1892" s="8">
        <f t="shared" si="7"/>
        <v>-4091125</v>
      </c>
      <c r="B1892" s="8">
        <v>4091125</v>
      </c>
      <c r="C1892" s="8"/>
    </row>
    <row r="1893" spans="1:7" ht="14.25" customHeight="1">
      <c r="A1893" s="8">
        <f t="shared" si="7"/>
        <v>-4091125</v>
      </c>
      <c r="B1893" s="8">
        <v>4091125</v>
      </c>
      <c r="C1893" s="8"/>
      <c r="E1893">
        <v>1336121</v>
      </c>
      <c r="F1893" t="s">
        <v>330</v>
      </c>
      <c r="G1893" t="s">
        <v>581</v>
      </c>
    </row>
    <row r="1894" spans="1:7" ht="14.25" customHeight="1">
      <c r="A1894" s="8">
        <f t="shared" si="7"/>
        <v>0</v>
      </c>
      <c r="B1894" s="8"/>
      <c r="C1894" s="8"/>
      <c r="D1894" t="s">
        <v>331</v>
      </c>
      <c r="G1894">
        <v>1336201</v>
      </c>
    </row>
    <row r="1895" spans="1:7" ht="14.25" customHeight="1">
      <c r="A1895" s="8">
        <f t="shared" si="7"/>
        <v>0</v>
      </c>
      <c r="B1895" s="8"/>
      <c r="C1895" s="8"/>
      <c r="F1895" t="s">
        <v>578</v>
      </c>
      <c r="G1895">
        <v>63841000</v>
      </c>
    </row>
    <row r="1896" spans="1:7" ht="14.25" customHeight="1">
      <c r="A1896" s="8">
        <f t="shared" si="7"/>
        <v>113275</v>
      </c>
      <c r="B1896" s="8"/>
      <c r="C1896" s="8">
        <v>113275</v>
      </c>
      <c r="D1896">
        <v>121</v>
      </c>
      <c r="E1896" t="s">
        <v>594</v>
      </c>
      <c r="F1896" t="s">
        <v>997</v>
      </c>
      <c r="G1896" s="9">
        <v>44827</v>
      </c>
    </row>
    <row r="1897" spans="1:7" ht="14.25" customHeight="1">
      <c r="A1897" s="8">
        <f t="shared" si="7"/>
        <v>592595</v>
      </c>
      <c r="B1897" s="8"/>
      <c r="C1897" s="8">
        <v>592595</v>
      </c>
      <c r="D1897">
        <v>120</v>
      </c>
      <c r="E1897" t="s">
        <v>594</v>
      </c>
      <c r="F1897" t="s">
        <v>1037</v>
      </c>
      <c r="G1897" s="9">
        <v>44827</v>
      </c>
    </row>
    <row r="1898" spans="1:7" ht="14.25" customHeight="1">
      <c r="A1898" s="8">
        <f t="shared" si="7"/>
        <v>296298</v>
      </c>
      <c r="B1898" s="8"/>
      <c r="C1898" s="8">
        <v>296298</v>
      </c>
      <c r="D1898">
        <v>147</v>
      </c>
      <c r="E1898" t="s">
        <v>594</v>
      </c>
      <c r="F1898" t="s">
        <v>1038</v>
      </c>
      <c r="G1898" s="9">
        <v>44848</v>
      </c>
    </row>
    <row r="1899" spans="1:7" ht="14.25" customHeight="1">
      <c r="A1899" s="8">
        <f t="shared" si="7"/>
        <v>1002167</v>
      </c>
      <c r="B1899" s="8"/>
      <c r="C1899" s="8">
        <v>1002167</v>
      </c>
    </row>
    <row r="1900" spans="1:7" ht="14.25" customHeight="1">
      <c r="A1900" s="8">
        <f t="shared" si="7"/>
        <v>1002167</v>
      </c>
      <c r="B1900" s="8"/>
      <c r="C1900" s="8">
        <v>1002167</v>
      </c>
      <c r="E1900">
        <v>1336201</v>
      </c>
      <c r="F1900" t="s">
        <v>331</v>
      </c>
      <c r="G1900" t="s">
        <v>581</v>
      </c>
    </row>
    <row r="1901" spans="1:7" ht="14.25" customHeight="1">
      <c r="A1901" s="8">
        <f t="shared" si="7"/>
        <v>0</v>
      </c>
      <c r="B1901" s="8"/>
      <c r="C1901" s="8"/>
      <c r="D1901" t="s">
        <v>332</v>
      </c>
      <c r="G1901">
        <v>1336202</v>
      </c>
    </row>
    <row r="1902" spans="1:7" ht="14.25" customHeight="1">
      <c r="A1902" s="8">
        <f t="shared" si="7"/>
        <v>0</v>
      </c>
      <c r="B1902" s="8"/>
      <c r="C1902" s="8"/>
      <c r="F1902" t="s">
        <v>638</v>
      </c>
      <c r="G1902">
        <v>6121000</v>
      </c>
    </row>
    <row r="1903" spans="1:7" ht="14.25" customHeight="1">
      <c r="A1903" s="8">
        <f t="shared" si="7"/>
        <v>2875</v>
      </c>
      <c r="B1903" s="8"/>
      <c r="C1903" s="8">
        <v>2875</v>
      </c>
      <c r="D1903">
        <v>238</v>
      </c>
      <c r="E1903" t="s">
        <v>667</v>
      </c>
      <c r="F1903" t="s">
        <v>998</v>
      </c>
      <c r="G1903" s="9">
        <v>44855</v>
      </c>
    </row>
    <row r="1904" spans="1:7" ht="14.25" customHeight="1">
      <c r="A1904" s="8">
        <f t="shared" si="7"/>
        <v>2875</v>
      </c>
      <c r="B1904" s="8"/>
      <c r="C1904" s="8">
        <v>2875</v>
      </c>
    </row>
    <row r="1905" spans="1:7" ht="14.25" customHeight="1">
      <c r="A1905" s="8">
        <f t="shared" si="7"/>
        <v>2875</v>
      </c>
      <c r="B1905" s="8"/>
      <c r="C1905" s="8">
        <v>2875</v>
      </c>
      <c r="E1905">
        <v>1336202</v>
      </c>
      <c r="F1905" t="s">
        <v>332</v>
      </c>
      <c r="G1905" t="s">
        <v>581</v>
      </c>
    </row>
    <row r="1906" spans="1:7" ht="14.25" customHeight="1">
      <c r="A1906" s="8">
        <f t="shared" si="7"/>
        <v>0</v>
      </c>
      <c r="B1906" s="8"/>
      <c r="C1906" s="8"/>
      <c r="D1906" t="s">
        <v>333</v>
      </c>
      <c r="G1906">
        <v>1336205</v>
      </c>
    </row>
    <row r="1907" spans="1:7" ht="14.25" customHeight="1">
      <c r="A1907" s="8">
        <f t="shared" si="7"/>
        <v>0</v>
      </c>
      <c r="B1907" s="8"/>
      <c r="C1907" s="8"/>
      <c r="F1907" t="s">
        <v>582</v>
      </c>
      <c r="G1907">
        <v>63240000</v>
      </c>
    </row>
    <row r="1908" spans="1:7" ht="14.25" customHeight="1">
      <c r="A1908" s="8">
        <f t="shared" si="7"/>
        <v>171063</v>
      </c>
      <c r="B1908" s="8"/>
      <c r="C1908" s="8">
        <v>171063</v>
      </c>
      <c r="D1908">
        <v>376</v>
      </c>
      <c r="E1908" t="s">
        <v>579</v>
      </c>
      <c r="F1908" t="s">
        <v>1039</v>
      </c>
      <c r="G1908" s="9">
        <v>44889</v>
      </c>
    </row>
    <row r="1909" spans="1:7" ht="14.25" customHeight="1">
      <c r="A1909" s="8">
        <f t="shared" si="7"/>
        <v>245812</v>
      </c>
      <c r="B1909" s="8"/>
      <c r="C1909" s="8">
        <v>245812</v>
      </c>
      <c r="D1909">
        <v>378</v>
      </c>
      <c r="E1909" t="s">
        <v>579</v>
      </c>
      <c r="F1909" t="s">
        <v>775</v>
      </c>
      <c r="G1909" s="9">
        <v>44889</v>
      </c>
    </row>
    <row r="1910" spans="1:7" ht="14.25" customHeight="1">
      <c r="A1910" s="8">
        <f t="shared" si="7"/>
        <v>416875</v>
      </c>
      <c r="B1910" s="8"/>
      <c r="C1910" s="8">
        <v>416875</v>
      </c>
    </row>
    <row r="1911" spans="1:7" ht="14.25" customHeight="1">
      <c r="A1911" s="8">
        <f t="shared" si="7"/>
        <v>416875</v>
      </c>
      <c r="B1911" s="8"/>
      <c r="C1911" s="8">
        <v>416875</v>
      </c>
      <c r="E1911">
        <v>1336205</v>
      </c>
      <c r="F1911" t="s">
        <v>333</v>
      </c>
      <c r="G1911" t="s">
        <v>581</v>
      </c>
    </row>
    <row r="1912" spans="1:7" ht="14.25" customHeight="1">
      <c r="A1912" s="8">
        <f t="shared" si="7"/>
        <v>0</v>
      </c>
      <c r="B1912" s="8"/>
      <c r="C1912" s="8"/>
      <c r="D1912" t="s">
        <v>334</v>
      </c>
      <c r="G1912">
        <v>1336221</v>
      </c>
    </row>
    <row r="1913" spans="1:7" ht="14.25" customHeight="1">
      <c r="A1913" s="8">
        <f t="shared" si="7"/>
        <v>0</v>
      </c>
      <c r="B1913" s="8"/>
      <c r="C1913" s="8"/>
      <c r="F1913" t="s">
        <v>584</v>
      </c>
      <c r="G1913">
        <v>70612000</v>
      </c>
    </row>
    <row r="1914" spans="1:7" ht="14.25" customHeight="1">
      <c r="A1914" s="8">
        <f t="shared" si="7"/>
        <v>-4725086</v>
      </c>
      <c r="B1914" s="8">
        <v>4725086</v>
      </c>
      <c r="C1914" s="8"/>
      <c r="D1914">
        <v>154</v>
      </c>
      <c r="E1914" t="s">
        <v>585</v>
      </c>
      <c r="F1914" t="s">
        <v>1040</v>
      </c>
      <c r="G1914" s="9">
        <v>44797</v>
      </c>
    </row>
    <row r="1915" spans="1:7" ht="14.25" customHeight="1">
      <c r="A1915" s="8">
        <f t="shared" si="7"/>
        <v>-4725086</v>
      </c>
      <c r="B1915" s="8">
        <v>4725086</v>
      </c>
      <c r="C1915" s="8"/>
    </row>
    <row r="1916" spans="1:7" ht="14.25" customHeight="1">
      <c r="A1916" s="8">
        <f t="shared" si="7"/>
        <v>-4725086</v>
      </c>
      <c r="B1916" s="8">
        <v>4725086</v>
      </c>
      <c r="C1916" s="8"/>
      <c r="E1916">
        <v>1336221</v>
      </c>
      <c r="F1916" t="s">
        <v>334</v>
      </c>
      <c r="G1916" t="s">
        <v>581</v>
      </c>
    </row>
    <row r="1917" spans="1:7" ht="14.25" customHeight="1">
      <c r="A1917" s="8">
        <f t="shared" si="7"/>
        <v>0</v>
      </c>
      <c r="B1917" s="8"/>
      <c r="C1917" s="8"/>
      <c r="D1917" t="s">
        <v>335</v>
      </c>
      <c r="G1917">
        <v>1336301</v>
      </c>
    </row>
    <row r="1918" spans="1:7" ht="14.25" customHeight="1">
      <c r="A1918" s="8">
        <f t="shared" si="7"/>
        <v>0</v>
      </c>
      <c r="B1918" s="8"/>
      <c r="C1918" s="8"/>
      <c r="F1918" t="s">
        <v>578</v>
      </c>
      <c r="G1918">
        <v>63841000</v>
      </c>
    </row>
    <row r="1919" spans="1:7" ht="14.25" customHeight="1">
      <c r="A1919" s="8">
        <f t="shared" si="7"/>
        <v>662285</v>
      </c>
      <c r="B1919" s="8"/>
      <c r="C1919" s="8">
        <v>662285</v>
      </c>
      <c r="D1919">
        <v>146</v>
      </c>
      <c r="E1919" t="s">
        <v>594</v>
      </c>
      <c r="F1919" t="s">
        <v>1041</v>
      </c>
      <c r="G1919" s="9">
        <v>44846</v>
      </c>
    </row>
    <row r="1920" spans="1:7" ht="14.25" customHeight="1">
      <c r="A1920" s="8">
        <f t="shared" si="7"/>
        <v>662285</v>
      </c>
      <c r="B1920" s="8"/>
      <c r="C1920" s="8">
        <v>662285</v>
      </c>
    </row>
    <row r="1921" spans="1:7" ht="14.25" customHeight="1">
      <c r="A1921" s="8">
        <f t="shared" si="7"/>
        <v>662285</v>
      </c>
      <c r="B1921" s="8"/>
      <c r="C1921" s="8">
        <v>662285</v>
      </c>
      <c r="E1921">
        <v>1336301</v>
      </c>
      <c r="F1921" t="s">
        <v>335</v>
      </c>
      <c r="G1921" t="s">
        <v>581</v>
      </c>
    </row>
    <row r="1922" spans="1:7" ht="14.25" customHeight="1">
      <c r="A1922" s="8">
        <f t="shared" si="7"/>
        <v>0</v>
      </c>
      <c r="B1922" s="8"/>
      <c r="C1922" s="8"/>
      <c r="D1922" t="s">
        <v>336</v>
      </c>
      <c r="G1922">
        <v>1336302</v>
      </c>
    </row>
    <row r="1923" spans="1:7" ht="14.25" customHeight="1">
      <c r="A1923" s="8">
        <f t="shared" si="7"/>
        <v>0</v>
      </c>
      <c r="B1923" s="8"/>
      <c r="C1923" s="8"/>
      <c r="F1923" t="s">
        <v>778</v>
      </c>
      <c r="G1923">
        <v>60532000</v>
      </c>
    </row>
    <row r="1924" spans="1:7" ht="14.25" customHeight="1">
      <c r="A1924" s="8">
        <f t="shared" si="7"/>
        <v>99475</v>
      </c>
      <c r="B1924" s="8"/>
      <c r="C1924" s="8">
        <v>99475</v>
      </c>
      <c r="D1924">
        <v>159</v>
      </c>
      <c r="E1924" t="s">
        <v>594</v>
      </c>
      <c r="F1924" t="s">
        <v>1042</v>
      </c>
      <c r="G1924" s="9">
        <v>44868</v>
      </c>
    </row>
    <row r="1925" spans="1:7" ht="14.25" customHeight="1">
      <c r="A1925" s="8">
        <f t="shared" si="7"/>
        <v>99475</v>
      </c>
      <c r="B1925" s="8"/>
      <c r="C1925" s="8">
        <v>99475</v>
      </c>
    </row>
    <row r="1926" spans="1:7" ht="14.25" customHeight="1">
      <c r="A1926" s="8">
        <f t="shared" si="7"/>
        <v>0</v>
      </c>
      <c r="B1926" s="8"/>
      <c r="C1926" s="8"/>
      <c r="F1926" t="s">
        <v>590</v>
      </c>
      <c r="G1926">
        <v>61811000</v>
      </c>
    </row>
    <row r="1927" spans="1:7" ht="14.25" customHeight="1">
      <c r="A1927" s="8">
        <f t="shared" si="7"/>
        <v>1438</v>
      </c>
      <c r="B1927" s="8"/>
      <c r="C1927" s="8">
        <v>1438</v>
      </c>
      <c r="D1927">
        <v>159</v>
      </c>
      <c r="E1927" t="s">
        <v>594</v>
      </c>
      <c r="F1927" t="s">
        <v>1043</v>
      </c>
      <c r="G1927" s="9">
        <v>44868</v>
      </c>
    </row>
    <row r="1928" spans="1:7" ht="14.25" customHeight="1">
      <c r="A1928" s="8">
        <f t="shared" si="7"/>
        <v>1438</v>
      </c>
      <c r="B1928" s="8"/>
      <c r="C1928" s="8">
        <v>1438</v>
      </c>
    </row>
    <row r="1929" spans="1:7" ht="14.25" customHeight="1">
      <c r="A1929" s="8">
        <f t="shared" si="7"/>
        <v>0</v>
      </c>
      <c r="B1929" s="8"/>
      <c r="C1929" s="8"/>
      <c r="F1929" t="s">
        <v>785</v>
      </c>
      <c r="G1929">
        <v>62231000</v>
      </c>
    </row>
    <row r="1930" spans="1:7" ht="14.25" customHeight="1">
      <c r="A1930" s="8">
        <f t="shared" si="7"/>
        <v>402500</v>
      </c>
      <c r="B1930" s="8"/>
      <c r="C1930" s="8">
        <v>402500</v>
      </c>
      <c r="D1930">
        <v>350</v>
      </c>
      <c r="E1930" t="s">
        <v>579</v>
      </c>
      <c r="F1930" t="s">
        <v>1044</v>
      </c>
      <c r="G1930" s="9">
        <v>44869</v>
      </c>
    </row>
    <row r="1931" spans="1:7" ht="14.25" customHeight="1">
      <c r="A1931" s="8">
        <f t="shared" si="7"/>
        <v>402500</v>
      </c>
      <c r="B1931" s="8"/>
      <c r="C1931" s="8">
        <v>402500</v>
      </c>
    </row>
    <row r="1932" spans="1:7" ht="14.25" customHeight="1">
      <c r="A1932" s="8">
        <f t="shared" si="7"/>
        <v>503412</v>
      </c>
      <c r="B1932" s="8"/>
      <c r="C1932" s="8">
        <v>503412</v>
      </c>
      <c r="E1932">
        <v>1336302</v>
      </c>
      <c r="F1932" t="s">
        <v>336</v>
      </c>
      <c r="G1932" t="s">
        <v>581</v>
      </c>
    </row>
    <row r="1933" spans="1:7" ht="14.25" customHeight="1">
      <c r="A1933" s="8">
        <f t="shared" si="7"/>
        <v>0</v>
      </c>
      <c r="B1933" s="8"/>
      <c r="C1933" s="8"/>
      <c r="D1933" t="s">
        <v>337</v>
      </c>
      <c r="G1933">
        <v>1336305</v>
      </c>
    </row>
    <row r="1934" spans="1:7" ht="14.25" customHeight="1">
      <c r="A1934" s="8">
        <f t="shared" si="7"/>
        <v>0</v>
      </c>
      <c r="B1934" s="8"/>
      <c r="C1934" s="8"/>
      <c r="F1934" t="s">
        <v>582</v>
      </c>
      <c r="G1934">
        <v>63240000</v>
      </c>
    </row>
    <row r="1935" spans="1:7" ht="14.25" customHeight="1">
      <c r="A1935" s="8">
        <f t="shared" si="7"/>
        <v>201250</v>
      </c>
      <c r="B1935" s="8"/>
      <c r="C1935" s="8">
        <v>201250</v>
      </c>
      <c r="D1935">
        <v>398</v>
      </c>
      <c r="E1935" t="s">
        <v>579</v>
      </c>
      <c r="F1935" t="s">
        <v>1045</v>
      </c>
      <c r="G1935" s="9">
        <v>44896</v>
      </c>
    </row>
    <row r="1936" spans="1:7" ht="14.25" customHeight="1">
      <c r="A1936" s="8">
        <f t="shared" si="7"/>
        <v>284625</v>
      </c>
      <c r="B1936" s="8"/>
      <c r="C1936" s="8">
        <v>284625</v>
      </c>
      <c r="D1936">
        <v>399</v>
      </c>
      <c r="E1936" t="s">
        <v>579</v>
      </c>
      <c r="F1936" t="s">
        <v>1046</v>
      </c>
      <c r="G1936" s="9">
        <v>44896</v>
      </c>
    </row>
    <row r="1937" spans="1:7" ht="14.25" customHeight="1">
      <c r="A1937" s="8">
        <f t="shared" si="7"/>
        <v>485875</v>
      </c>
      <c r="B1937" s="8"/>
      <c r="C1937" s="8">
        <v>485875</v>
      </c>
    </row>
    <row r="1938" spans="1:7" ht="14.25" customHeight="1">
      <c r="A1938" s="8">
        <f t="shared" si="7"/>
        <v>485875</v>
      </c>
      <c r="B1938" s="8"/>
      <c r="C1938" s="8">
        <v>485875</v>
      </c>
      <c r="E1938">
        <v>1336305</v>
      </c>
      <c r="F1938" t="s">
        <v>337</v>
      </c>
      <c r="G1938" t="s">
        <v>581</v>
      </c>
    </row>
    <row r="1939" spans="1:7" ht="14.25" customHeight="1">
      <c r="A1939" s="8">
        <f t="shared" si="7"/>
        <v>0</v>
      </c>
      <c r="B1939" s="8"/>
      <c r="C1939" s="8"/>
      <c r="D1939" t="s">
        <v>338</v>
      </c>
      <c r="G1939">
        <v>1336321</v>
      </c>
    </row>
    <row r="1940" spans="1:7" ht="14.25" customHeight="1">
      <c r="A1940" s="8">
        <f t="shared" si="7"/>
        <v>0</v>
      </c>
      <c r="B1940" s="8"/>
      <c r="C1940" s="8"/>
      <c r="F1940" t="s">
        <v>584</v>
      </c>
      <c r="G1940">
        <v>70612000</v>
      </c>
    </row>
    <row r="1941" spans="1:7" ht="14.25" customHeight="1">
      <c r="A1941" s="8">
        <f t="shared" si="7"/>
        <v>-5014472</v>
      </c>
      <c r="B1941" s="8">
        <v>5014472</v>
      </c>
      <c r="C1941" s="8"/>
      <c r="D1941">
        <v>156</v>
      </c>
      <c r="E1941" t="s">
        <v>585</v>
      </c>
      <c r="F1941" t="s">
        <v>1047</v>
      </c>
      <c r="G1941" s="9">
        <v>44802</v>
      </c>
    </row>
    <row r="1942" spans="1:7" ht="14.25" customHeight="1">
      <c r="A1942" s="8">
        <f t="shared" si="7"/>
        <v>-5014472</v>
      </c>
      <c r="B1942" s="8">
        <v>5014472</v>
      </c>
      <c r="C1942" s="8"/>
    </row>
    <row r="1943" spans="1:7" ht="14.25" customHeight="1">
      <c r="A1943" s="8">
        <f t="shared" si="7"/>
        <v>-5014472</v>
      </c>
      <c r="B1943" s="8">
        <v>5014472</v>
      </c>
      <c r="C1943" s="8"/>
      <c r="E1943">
        <v>1336321</v>
      </c>
      <c r="F1943" t="s">
        <v>338</v>
      </c>
      <c r="G1943" t="s">
        <v>581</v>
      </c>
    </row>
    <row r="1944" spans="1:7" ht="14.25" customHeight="1">
      <c r="A1944" s="8">
        <f t="shared" si="7"/>
        <v>0</v>
      </c>
      <c r="B1944" s="8"/>
      <c r="C1944" s="8"/>
      <c r="D1944" t="s">
        <v>339</v>
      </c>
      <c r="G1944">
        <v>1336401</v>
      </c>
    </row>
    <row r="1945" spans="1:7" ht="14.25" customHeight="1">
      <c r="A1945" s="8">
        <f t="shared" si="7"/>
        <v>0</v>
      </c>
      <c r="B1945" s="8"/>
      <c r="C1945" s="8"/>
      <c r="F1945" t="s">
        <v>578</v>
      </c>
      <c r="G1945">
        <v>63841000</v>
      </c>
    </row>
    <row r="1946" spans="1:7" ht="14.25" customHeight="1">
      <c r="A1946" s="8">
        <f t="shared" si="7"/>
        <v>183051</v>
      </c>
      <c r="B1946" s="8"/>
      <c r="C1946" s="8">
        <v>183051</v>
      </c>
      <c r="D1946">
        <v>98</v>
      </c>
      <c r="E1946" t="s">
        <v>594</v>
      </c>
      <c r="F1946" t="s">
        <v>1048</v>
      </c>
      <c r="G1946" s="9">
        <v>44804</v>
      </c>
    </row>
    <row r="1947" spans="1:7" ht="14.25" customHeight="1">
      <c r="A1947" s="8">
        <f t="shared" si="7"/>
        <v>871355</v>
      </c>
      <c r="B1947" s="8"/>
      <c r="C1947" s="8">
        <v>871355</v>
      </c>
      <c r="D1947">
        <v>99</v>
      </c>
      <c r="E1947" t="s">
        <v>594</v>
      </c>
      <c r="F1947" t="s">
        <v>1049</v>
      </c>
      <c r="G1947" s="9">
        <v>44804</v>
      </c>
    </row>
    <row r="1948" spans="1:7" ht="14.25" customHeight="1">
      <c r="A1948" s="8">
        <f t="shared" si="7"/>
        <v>1054406</v>
      </c>
      <c r="B1948" s="8"/>
      <c r="C1948" s="8">
        <v>1054406</v>
      </c>
    </row>
    <row r="1949" spans="1:7" ht="14.25" customHeight="1">
      <c r="A1949" s="8">
        <f t="shared" si="7"/>
        <v>1054406</v>
      </c>
      <c r="B1949" s="8"/>
      <c r="C1949" s="8">
        <v>1054406</v>
      </c>
      <c r="E1949">
        <v>1336401</v>
      </c>
      <c r="F1949" t="s">
        <v>339</v>
      </c>
      <c r="G1949" t="s">
        <v>581</v>
      </c>
    </row>
    <row r="1950" spans="1:7" ht="14.25" customHeight="1">
      <c r="A1950" s="8">
        <f t="shared" si="7"/>
        <v>0</v>
      </c>
      <c r="B1950" s="8"/>
      <c r="C1950" s="8"/>
      <c r="D1950" t="s">
        <v>340</v>
      </c>
      <c r="G1950">
        <v>1336405</v>
      </c>
    </row>
    <row r="1951" spans="1:7" ht="14.25" customHeight="1">
      <c r="A1951" s="8">
        <f t="shared" si="7"/>
        <v>0</v>
      </c>
      <c r="B1951" s="8"/>
      <c r="C1951" s="8"/>
      <c r="F1951" t="s">
        <v>582</v>
      </c>
      <c r="G1951">
        <v>63240000</v>
      </c>
    </row>
    <row r="1952" spans="1:7" ht="14.25" customHeight="1">
      <c r="A1952" s="8">
        <f t="shared" si="7"/>
        <v>191187</v>
      </c>
      <c r="B1952" s="8"/>
      <c r="C1952" s="8">
        <v>191187</v>
      </c>
      <c r="D1952">
        <v>355</v>
      </c>
      <c r="E1952" t="s">
        <v>579</v>
      </c>
      <c r="F1952" t="s">
        <v>1030</v>
      </c>
      <c r="G1952" s="9">
        <v>44874</v>
      </c>
    </row>
    <row r="1953" spans="1:7" ht="14.25" customHeight="1">
      <c r="A1953" s="8">
        <f t="shared" si="7"/>
        <v>414000</v>
      </c>
      <c r="B1953" s="8"/>
      <c r="C1953" s="8">
        <v>414000</v>
      </c>
      <c r="D1953">
        <v>359</v>
      </c>
      <c r="E1953" t="s">
        <v>579</v>
      </c>
      <c r="F1953" t="s">
        <v>906</v>
      </c>
      <c r="G1953" s="9">
        <v>44874</v>
      </c>
    </row>
    <row r="1954" spans="1:7" ht="14.25" customHeight="1">
      <c r="A1954" s="8">
        <f t="shared" si="7"/>
        <v>605188</v>
      </c>
      <c r="B1954" s="8"/>
      <c r="C1954" s="8">
        <v>605188</v>
      </c>
    </row>
    <row r="1955" spans="1:7" ht="14.25" customHeight="1">
      <c r="A1955" s="8">
        <f t="shared" si="7"/>
        <v>605188</v>
      </c>
      <c r="B1955" s="8"/>
      <c r="C1955" s="8">
        <v>605188</v>
      </c>
      <c r="E1955">
        <v>1336405</v>
      </c>
      <c r="F1955" t="s">
        <v>340</v>
      </c>
      <c r="G1955" t="s">
        <v>581</v>
      </c>
    </row>
    <row r="1956" spans="1:7" ht="14.25" customHeight="1">
      <c r="A1956" s="8">
        <f t="shared" si="7"/>
        <v>0</v>
      </c>
      <c r="B1956" s="8"/>
      <c r="C1956" s="8"/>
      <c r="D1956" t="s">
        <v>341</v>
      </c>
      <c r="G1956">
        <v>1336421</v>
      </c>
    </row>
    <row r="1957" spans="1:7" ht="14.25" customHeight="1">
      <c r="A1957" s="8">
        <f t="shared" si="7"/>
        <v>0</v>
      </c>
      <c r="B1957" s="8"/>
      <c r="C1957" s="8"/>
      <c r="F1957" t="s">
        <v>584</v>
      </c>
      <c r="G1957">
        <v>70612000</v>
      </c>
    </row>
    <row r="1958" spans="1:7" ht="14.25" customHeight="1">
      <c r="A1958" s="8">
        <f t="shared" si="7"/>
        <v>-6181733</v>
      </c>
      <c r="B1958" s="8">
        <v>6181733</v>
      </c>
      <c r="C1958" s="8"/>
      <c r="D1958">
        <v>157</v>
      </c>
      <c r="E1958" t="s">
        <v>585</v>
      </c>
      <c r="F1958" t="s">
        <v>1050</v>
      </c>
      <c r="G1958" s="9">
        <v>44803</v>
      </c>
    </row>
    <row r="1959" spans="1:7" ht="14.25" customHeight="1">
      <c r="A1959" s="8">
        <f t="shared" si="7"/>
        <v>-6181733</v>
      </c>
      <c r="B1959" s="8">
        <v>6181733</v>
      </c>
      <c r="C1959" s="8"/>
    </row>
    <row r="1960" spans="1:7" ht="14.25" customHeight="1">
      <c r="A1960" s="8">
        <f t="shared" si="7"/>
        <v>-6181733</v>
      </c>
      <c r="B1960" s="8">
        <v>6181733</v>
      </c>
      <c r="C1960" s="8"/>
      <c r="E1960">
        <v>1336421</v>
      </c>
      <c r="F1960" t="s">
        <v>341</v>
      </c>
      <c r="G1960" t="s">
        <v>581</v>
      </c>
    </row>
    <row r="1961" spans="1:7" ht="14.25" customHeight="1">
      <c r="A1961" s="8">
        <f t="shared" si="7"/>
        <v>0</v>
      </c>
      <c r="B1961" s="8"/>
      <c r="C1961" s="8"/>
      <c r="D1961" t="s">
        <v>342</v>
      </c>
      <c r="G1961">
        <v>1336501</v>
      </c>
    </row>
    <row r="1962" spans="1:7" ht="14.25" customHeight="1">
      <c r="A1962" s="8">
        <f t="shared" si="7"/>
        <v>0</v>
      </c>
      <c r="B1962" s="8"/>
      <c r="C1962" s="8"/>
      <c r="F1962" t="s">
        <v>578</v>
      </c>
      <c r="G1962">
        <v>63841000</v>
      </c>
    </row>
    <row r="1963" spans="1:7" ht="14.25" customHeight="1">
      <c r="A1963" s="8">
        <f t="shared" si="7"/>
        <v>662285</v>
      </c>
      <c r="B1963" s="8"/>
      <c r="C1963" s="8">
        <v>662285</v>
      </c>
      <c r="D1963">
        <v>119</v>
      </c>
      <c r="E1963" t="s">
        <v>594</v>
      </c>
      <c r="F1963" t="s">
        <v>1051</v>
      </c>
      <c r="G1963" s="9">
        <v>44827</v>
      </c>
    </row>
    <row r="1964" spans="1:7" ht="14.25" customHeight="1">
      <c r="A1964" s="8">
        <f t="shared" si="7"/>
        <v>113275</v>
      </c>
      <c r="B1964" s="8"/>
      <c r="C1964" s="8">
        <v>113275</v>
      </c>
      <c r="D1964">
        <v>121</v>
      </c>
      <c r="E1964" t="s">
        <v>594</v>
      </c>
      <c r="F1964" t="s">
        <v>997</v>
      </c>
      <c r="G1964" s="9">
        <v>44827</v>
      </c>
    </row>
    <row r="1965" spans="1:7" ht="14.25" customHeight="1">
      <c r="A1965" s="8">
        <f t="shared" si="7"/>
        <v>775560</v>
      </c>
      <c r="B1965" s="8"/>
      <c r="C1965" s="8">
        <v>775560</v>
      </c>
    </row>
    <row r="1966" spans="1:7" ht="14.25" customHeight="1">
      <c r="A1966" s="8">
        <f t="shared" si="7"/>
        <v>775560</v>
      </c>
      <c r="B1966" s="8"/>
      <c r="C1966" s="8">
        <v>775560</v>
      </c>
      <c r="E1966">
        <v>1336501</v>
      </c>
      <c r="F1966" t="s">
        <v>342</v>
      </c>
      <c r="G1966" t="s">
        <v>581</v>
      </c>
    </row>
    <row r="1967" spans="1:7" ht="14.25" customHeight="1">
      <c r="A1967" s="8">
        <f t="shared" si="7"/>
        <v>0</v>
      </c>
      <c r="B1967" s="8"/>
      <c r="C1967" s="8"/>
      <c r="D1967" t="s">
        <v>343</v>
      </c>
      <c r="G1967">
        <v>1336505</v>
      </c>
    </row>
    <row r="1968" spans="1:7" ht="14.25" customHeight="1">
      <c r="A1968" s="8">
        <f t="shared" si="7"/>
        <v>0</v>
      </c>
      <c r="B1968" s="8"/>
      <c r="C1968" s="8"/>
      <c r="F1968" t="s">
        <v>582</v>
      </c>
      <c r="G1968">
        <v>63240000</v>
      </c>
    </row>
    <row r="1969" spans="1:7" ht="14.25" customHeight="1">
      <c r="A1969" s="8">
        <f t="shared" si="7"/>
        <v>221375</v>
      </c>
      <c r="B1969" s="8"/>
      <c r="C1969" s="8">
        <v>221375</v>
      </c>
      <c r="D1969">
        <v>377</v>
      </c>
      <c r="E1969" t="s">
        <v>579</v>
      </c>
      <c r="F1969" t="s">
        <v>1052</v>
      </c>
      <c r="G1969" s="9">
        <v>44889</v>
      </c>
    </row>
    <row r="1970" spans="1:7" ht="14.25" customHeight="1">
      <c r="A1970" s="8">
        <f t="shared" si="7"/>
        <v>310500</v>
      </c>
      <c r="B1970" s="8"/>
      <c r="C1970" s="8">
        <v>310500</v>
      </c>
      <c r="D1970">
        <v>378</v>
      </c>
      <c r="E1970" t="s">
        <v>579</v>
      </c>
      <c r="F1970" t="s">
        <v>775</v>
      </c>
      <c r="G1970" s="9">
        <v>44889</v>
      </c>
    </row>
    <row r="1971" spans="1:7" ht="14.25" customHeight="1">
      <c r="A1971" s="8">
        <f t="shared" si="7"/>
        <v>531875</v>
      </c>
      <c r="B1971" s="8"/>
      <c r="C1971" s="8">
        <v>531875</v>
      </c>
    </row>
    <row r="1972" spans="1:7" ht="14.25" customHeight="1">
      <c r="A1972" s="8">
        <f t="shared" si="7"/>
        <v>531875</v>
      </c>
      <c r="B1972" s="8"/>
      <c r="C1972" s="8">
        <v>531875</v>
      </c>
      <c r="E1972">
        <v>1336505</v>
      </c>
      <c r="F1972" t="s">
        <v>343</v>
      </c>
      <c r="G1972" t="s">
        <v>581</v>
      </c>
    </row>
    <row r="1973" spans="1:7" ht="14.25" customHeight="1">
      <c r="A1973" s="8">
        <f t="shared" si="7"/>
        <v>0</v>
      </c>
      <c r="B1973" s="8"/>
      <c r="C1973" s="8"/>
      <c r="D1973" t="s">
        <v>344</v>
      </c>
      <c r="G1973">
        <v>1336521</v>
      </c>
    </row>
    <row r="1974" spans="1:7" ht="14.25" customHeight="1">
      <c r="A1974" s="8">
        <f t="shared" si="7"/>
        <v>0</v>
      </c>
      <c r="B1974" s="8"/>
      <c r="C1974" s="8"/>
      <c r="F1974" t="s">
        <v>584</v>
      </c>
      <c r="G1974">
        <v>70612000</v>
      </c>
    </row>
    <row r="1975" spans="1:7" ht="14.25" customHeight="1">
      <c r="A1975" s="8">
        <f t="shared" si="7"/>
        <v>-5224701</v>
      </c>
      <c r="B1975" s="8">
        <v>5224701</v>
      </c>
      <c r="C1975" s="8"/>
      <c r="D1975">
        <v>160</v>
      </c>
      <c r="E1975" t="s">
        <v>585</v>
      </c>
      <c r="F1975" t="s">
        <v>1053</v>
      </c>
      <c r="G1975" s="9">
        <v>44805</v>
      </c>
    </row>
    <row r="1976" spans="1:7" ht="14.25" customHeight="1">
      <c r="A1976" s="8">
        <f t="shared" si="7"/>
        <v>-5224701</v>
      </c>
      <c r="B1976" s="8">
        <v>5224701</v>
      </c>
      <c r="C1976" s="8"/>
    </row>
    <row r="1977" spans="1:7" ht="14.25" customHeight="1">
      <c r="A1977" s="8">
        <f t="shared" si="7"/>
        <v>-5224701</v>
      </c>
      <c r="B1977" s="8">
        <v>5224701</v>
      </c>
      <c r="C1977" s="8"/>
      <c r="E1977">
        <v>1336521</v>
      </c>
      <c r="F1977" t="s">
        <v>344</v>
      </c>
      <c r="G1977" t="s">
        <v>581</v>
      </c>
    </row>
    <row r="1978" spans="1:7" ht="14.25" customHeight="1">
      <c r="A1978" s="8">
        <f t="shared" si="7"/>
        <v>0</v>
      </c>
      <c r="B1978" s="8"/>
      <c r="C1978" s="8"/>
      <c r="D1978" t="s">
        <v>345</v>
      </c>
      <c r="G1978">
        <v>1336601</v>
      </c>
    </row>
    <row r="1979" spans="1:7" ht="14.25" customHeight="1">
      <c r="A1979" s="8">
        <f t="shared" si="7"/>
        <v>0</v>
      </c>
      <c r="B1979" s="8"/>
      <c r="C1979" s="8"/>
      <c r="F1979" t="s">
        <v>578</v>
      </c>
      <c r="G1979">
        <v>63841000</v>
      </c>
    </row>
    <row r="1980" spans="1:7" ht="14.25" customHeight="1">
      <c r="A1980" s="8">
        <f t="shared" si="7"/>
        <v>505482</v>
      </c>
      <c r="B1980" s="8"/>
      <c r="C1980" s="8">
        <v>505482</v>
      </c>
      <c r="D1980">
        <v>145</v>
      </c>
      <c r="E1980" t="s">
        <v>594</v>
      </c>
      <c r="F1980" t="s">
        <v>1054</v>
      </c>
      <c r="G1980" s="9">
        <v>44840</v>
      </c>
    </row>
    <row r="1981" spans="1:7" ht="14.25" customHeight="1">
      <c r="A1981" s="8">
        <f t="shared" si="7"/>
        <v>505482</v>
      </c>
      <c r="B1981" s="8"/>
      <c r="C1981" s="8">
        <v>505482</v>
      </c>
    </row>
    <row r="1982" spans="1:7" ht="14.25" customHeight="1">
      <c r="A1982" s="8">
        <f t="shared" si="7"/>
        <v>505482</v>
      </c>
      <c r="B1982" s="8"/>
      <c r="C1982" s="8">
        <v>505482</v>
      </c>
      <c r="E1982">
        <v>1336601</v>
      </c>
      <c r="F1982" t="s">
        <v>345</v>
      </c>
      <c r="G1982" t="s">
        <v>581</v>
      </c>
    </row>
    <row r="1983" spans="1:7" ht="14.25" customHeight="1">
      <c r="A1983" s="8">
        <f t="shared" si="7"/>
        <v>0</v>
      </c>
      <c r="B1983" s="8"/>
      <c r="C1983" s="8"/>
      <c r="D1983" t="s">
        <v>346</v>
      </c>
      <c r="G1983">
        <v>1336602</v>
      </c>
    </row>
    <row r="1984" spans="1:7" ht="14.25" customHeight="1">
      <c r="A1984" s="8">
        <f t="shared" si="7"/>
        <v>0</v>
      </c>
      <c r="B1984" s="8"/>
      <c r="C1984" s="8"/>
      <c r="F1984" t="s">
        <v>778</v>
      </c>
      <c r="G1984">
        <v>60532000</v>
      </c>
    </row>
    <row r="1985" spans="1:7" ht="14.25" customHeight="1">
      <c r="A1985" s="8">
        <f t="shared" si="7"/>
        <v>99475</v>
      </c>
      <c r="B1985" s="8"/>
      <c r="C1985" s="8">
        <v>99475</v>
      </c>
      <c r="D1985">
        <v>159</v>
      </c>
      <c r="E1985" t="s">
        <v>594</v>
      </c>
      <c r="F1985" t="s">
        <v>1042</v>
      </c>
      <c r="G1985" s="9">
        <v>44868</v>
      </c>
    </row>
    <row r="1986" spans="1:7" ht="14.25" customHeight="1">
      <c r="A1986" s="8">
        <f t="shared" si="7"/>
        <v>99475</v>
      </c>
      <c r="B1986" s="8"/>
      <c r="C1986" s="8">
        <v>99475</v>
      </c>
    </row>
    <row r="1987" spans="1:7" ht="14.25" customHeight="1">
      <c r="A1987" s="8">
        <f t="shared" si="7"/>
        <v>0</v>
      </c>
      <c r="B1987" s="8"/>
      <c r="C1987" s="8"/>
      <c r="F1987" t="s">
        <v>590</v>
      </c>
      <c r="G1987">
        <v>61811000</v>
      </c>
    </row>
    <row r="1988" spans="1:7" ht="14.25" customHeight="1">
      <c r="A1988" s="8">
        <f t="shared" si="7"/>
        <v>1438</v>
      </c>
      <c r="B1988" s="8"/>
      <c r="C1988" s="8">
        <v>1438</v>
      </c>
      <c r="D1988">
        <v>159</v>
      </c>
      <c r="E1988" t="s">
        <v>594</v>
      </c>
      <c r="F1988" t="s">
        <v>1043</v>
      </c>
      <c r="G1988" s="9">
        <v>44868</v>
      </c>
    </row>
    <row r="1989" spans="1:7" ht="14.25" customHeight="1">
      <c r="A1989" s="8">
        <f t="shared" si="7"/>
        <v>1438</v>
      </c>
      <c r="B1989" s="8"/>
      <c r="C1989" s="8">
        <v>1438</v>
      </c>
    </row>
    <row r="1990" spans="1:7" ht="14.25" customHeight="1">
      <c r="A1990" s="8">
        <f t="shared" si="7"/>
        <v>0</v>
      </c>
      <c r="B1990" s="8"/>
      <c r="C1990" s="8"/>
      <c r="F1990" t="s">
        <v>785</v>
      </c>
      <c r="G1990">
        <v>62231000</v>
      </c>
    </row>
    <row r="1991" spans="1:7" ht="14.25" customHeight="1">
      <c r="A1991" s="8">
        <f t="shared" si="7"/>
        <v>402500</v>
      </c>
      <c r="B1991" s="8"/>
      <c r="C1991" s="8">
        <v>402500</v>
      </c>
      <c r="D1991">
        <v>350</v>
      </c>
      <c r="E1991" t="s">
        <v>579</v>
      </c>
      <c r="F1991" t="s">
        <v>1044</v>
      </c>
      <c r="G1991" s="9">
        <v>44869</v>
      </c>
    </row>
    <row r="1992" spans="1:7" ht="14.25" customHeight="1">
      <c r="A1992" s="8">
        <f t="shared" si="7"/>
        <v>402500</v>
      </c>
      <c r="B1992" s="8"/>
      <c r="C1992" s="8">
        <v>402500</v>
      </c>
    </row>
    <row r="1993" spans="1:7" ht="14.25" customHeight="1">
      <c r="A1993" s="8">
        <f t="shared" si="7"/>
        <v>503412</v>
      </c>
      <c r="B1993" s="8"/>
      <c r="C1993" s="8">
        <v>503412</v>
      </c>
      <c r="E1993">
        <v>1336602</v>
      </c>
      <c r="F1993" t="s">
        <v>346</v>
      </c>
      <c r="G1993" t="s">
        <v>581</v>
      </c>
    </row>
    <row r="1994" spans="1:7" ht="14.25" customHeight="1">
      <c r="A1994" s="8">
        <f t="shared" si="7"/>
        <v>0</v>
      </c>
      <c r="B1994" s="8"/>
      <c r="C1994" s="8"/>
      <c r="D1994" t="s">
        <v>347</v>
      </c>
      <c r="G1994">
        <v>1336605</v>
      </c>
    </row>
    <row r="1995" spans="1:7" ht="14.25" customHeight="1">
      <c r="A1995" s="8">
        <f t="shared" si="7"/>
        <v>0</v>
      </c>
      <c r="B1995" s="8"/>
      <c r="C1995" s="8"/>
      <c r="F1995" t="s">
        <v>582</v>
      </c>
      <c r="G1995">
        <v>63240000</v>
      </c>
    </row>
    <row r="1996" spans="1:7" ht="14.25" customHeight="1">
      <c r="A1996" s="8">
        <f t="shared" si="7"/>
        <v>171063</v>
      </c>
      <c r="B1996" s="8"/>
      <c r="C1996" s="8">
        <v>171063</v>
      </c>
      <c r="D1996">
        <v>398</v>
      </c>
      <c r="E1996" t="s">
        <v>579</v>
      </c>
      <c r="F1996" t="s">
        <v>1045</v>
      </c>
      <c r="G1996" s="9">
        <v>44896</v>
      </c>
    </row>
    <row r="1997" spans="1:7" ht="14.25" customHeight="1">
      <c r="A1997" s="8">
        <f t="shared" si="7"/>
        <v>245812</v>
      </c>
      <c r="B1997" s="8"/>
      <c r="C1997" s="8">
        <v>245812</v>
      </c>
      <c r="D1997">
        <v>399</v>
      </c>
      <c r="E1997" t="s">
        <v>579</v>
      </c>
      <c r="F1997" t="s">
        <v>1046</v>
      </c>
      <c r="G1997" s="9">
        <v>44896</v>
      </c>
    </row>
    <row r="1998" spans="1:7" ht="14.25" customHeight="1">
      <c r="A1998" s="8">
        <f t="shared" si="7"/>
        <v>416875</v>
      </c>
      <c r="B1998" s="8"/>
      <c r="C1998" s="8">
        <v>416875</v>
      </c>
    </row>
    <row r="1999" spans="1:7" ht="14.25" customHeight="1">
      <c r="A1999" s="8">
        <f t="shared" si="7"/>
        <v>416875</v>
      </c>
      <c r="B1999" s="8"/>
      <c r="C1999" s="8">
        <v>416875</v>
      </c>
      <c r="E1999">
        <v>1336605</v>
      </c>
      <c r="F1999" t="s">
        <v>347</v>
      </c>
      <c r="G1999" t="s">
        <v>581</v>
      </c>
    </row>
    <row r="2000" spans="1:7" ht="14.25" customHeight="1">
      <c r="A2000" s="8">
        <f t="shared" si="7"/>
        <v>0</v>
      </c>
      <c r="B2000" s="8"/>
      <c r="C2000" s="8"/>
      <c r="D2000" t="s">
        <v>348</v>
      </c>
      <c r="G2000">
        <v>1336621</v>
      </c>
    </row>
    <row r="2001" spans="1:7" ht="14.25" customHeight="1">
      <c r="A2001" s="8">
        <f t="shared" si="7"/>
        <v>0</v>
      </c>
      <c r="B2001" s="8"/>
      <c r="C2001" s="8"/>
      <c r="F2001" t="s">
        <v>584</v>
      </c>
      <c r="G2001">
        <v>70612000</v>
      </c>
    </row>
    <row r="2002" spans="1:7" ht="14.25" customHeight="1">
      <c r="A2002" s="8">
        <f t="shared" si="7"/>
        <v>-4399990</v>
      </c>
      <c r="B2002" s="8">
        <v>4399990</v>
      </c>
      <c r="C2002" s="8"/>
      <c r="D2002">
        <v>171</v>
      </c>
      <c r="E2002" t="s">
        <v>585</v>
      </c>
      <c r="F2002" t="s">
        <v>1055</v>
      </c>
      <c r="G2002" s="9">
        <v>44824</v>
      </c>
    </row>
    <row r="2003" spans="1:7" ht="14.25" customHeight="1">
      <c r="A2003" s="8">
        <f t="shared" si="7"/>
        <v>-4399990</v>
      </c>
      <c r="B2003" s="8">
        <v>4399990</v>
      </c>
      <c r="C2003" s="8"/>
    </row>
    <row r="2004" spans="1:7" ht="14.25" customHeight="1">
      <c r="A2004" s="8">
        <f t="shared" si="7"/>
        <v>-4399990</v>
      </c>
      <c r="B2004" s="8">
        <v>4399990</v>
      </c>
      <c r="C2004" s="8"/>
      <c r="E2004">
        <v>1336621</v>
      </c>
      <c r="F2004" t="s">
        <v>348</v>
      </c>
      <c r="G2004" t="s">
        <v>581</v>
      </c>
    </row>
    <row r="2005" spans="1:7" ht="14.25" customHeight="1">
      <c r="A2005" s="8">
        <f t="shared" si="7"/>
        <v>0</v>
      </c>
      <c r="B2005" s="8"/>
      <c r="C2005" s="8"/>
      <c r="D2005" t="s">
        <v>349</v>
      </c>
      <c r="G2005">
        <v>1336702</v>
      </c>
    </row>
    <row r="2006" spans="1:7" ht="14.25" customHeight="1">
      <c r="A2006" s="8">
        <f t="shared" si="7"/>
        <v>0</v>
      </c>
      <c r="B2006" s="8"/>
      <c r="C2006" s="8"/>
      <c r="F2006" t="s">
        <v>590</v>
      </c>
      <c r="G2006">
        <v>61811000</v>
      </c>
    </row>
    <row r="2007" spans="1:7" ht="14.25" customHeight="1">
      <c r="A2007" s="8">
        <f t="shared" si="7"/>
        <v>2156</v>
      </c>
      <c r="B2007" s="8"/>
      <c r="C2007" s="8">
        <v>2156</v>
      </c>
      <c r="D2007">
        <v>132</v>
      </c>
      <c r="E2007" t="s">
        <v>594</v>
      </c>
      <c r="F2007" t="s">
        <v>1027</v>
      </c>
      <c r="G2007" s="9">
        <v>44852</v>
      </c>
    </row>
    <row r="2008" spans="1:7" ht="14.25" customHeight="1">
      <c r="A2008" s="8">
        <f t="shared" si="7"/>
        <v>2156</v>
      </c>
      <c r="B2008" s="8"/>
      <c r="C2008" s="8">
        <v>2156</v>
      </c>
    </row>
    <row r="2009" spans="1:7" ht="14.25" customHeight="1">
      <c r="A2009" s="8">
        <f t="shared" si="7"/>
        <v>0</v>
      </c>
      <c r="B2009" s="8"/>
      <c r="C2009" s="8"/>
      <c r="F2009" t="s">
        <v>785</v>
      </c>
      <c r="G2009">
        <v>62231000</v>
      </c>
    </row>
    <row r="2010" spans="1:7" ht="14.25" customHeight="1">
      <c r="A2010" s="8">
        <f t="shared" si="7"/>
        <v>431250</v>
      </c>
      <c r="B2010" s="8"/>
      <c r="C2010" s="8">
        <v>431250</v>
      </c>
      <c r="D2010">
        <v>316</v>
      </c>
      <c r="E2010" t="s">
        <v>579</v>
      </c>
      <c r="F2010" t="s">
        <v>1028</v>
      </c>
      <c r="G2010" s="9">
        <v>44852</v>
      </c>
    </row>
    <row r="2011" spans="1:7" ht="14.25" customHeight="1">
      <c r="A2011" s="8">
        <f t="shared" si="7"/>
        <v>431250</v>
      </c>
      <c r="B2011" s="8"/>
      <c r="C2011" s="8">
        <v>431250</v>
      </c>
    </row>
    <row r="2012" spans="1:7" ht="14.25" customHeight="1">
      <c r="A2012" s="8">
        <f t="shared" si="7"/>
        <v>433406</v>
      </c>
      <c r="B2012" s="8"/>
      <c r="C2012" s="8">
        <v>433406</v>
      </c>
      <c r="E2012">
        <v>1336702</v>
      </c>
      <c r="F2012" t="s">
        <v>349</v>
      </c>
      <c r="G2012" t="s">
        <v>581</v>
      </c>
    </row>
    <row r="2013" spans="1:7" ht="14.25" customHeight="1">
      <c r="A2013" s="8">
        <f t="shared" si="7"/>
        <v>0</v>
      </c>
      <c r="B2013" s="8"/>
      <c r="C2013" s="8"/>
      <c r="D2013" t="s">
        <v>350</v>
      </c>
      <c r="G2013">
        <v>1336705</v>
      </c>
    </row>
    <row r="2014" spans="1:7" ht="14.25" customHeight="1">
      <c r="A2014" s="8">
        <f t="shared" si="7"/>
        <v>0</v>
      </c>
      <c r="B2014" s="8"/>
      <c r="C2014" s="8"/>
      <c r="F2014" t="s">
        <v>582</v>
      </c>
      <c r="G2014">
        <v>63240000</v>
      </c>
    </row>
    <row r="2015" spans="1:7" ht="14.25" customHeight="1">
      <c r="A2015" s="8">
        <f t="shared" si="7"/>
        <v>284625</v>
      </c>
      <c r="B2015" s="8"/>
      <c r="C2015" s="8">
        <v>284625</v>
      </c>
      <c r="D2015">
        <v>400</v>
      </c>
      <c r="E2015" t="s">
        <v>579</v>
      </c>
      <c r="F2015" t="s">
        <v>954</v>
      </c>
      <c r="G2015" s="9">
        <v>44896</v>
      </c>
    </row>
    <row r="2016" spans="1:7" ht="14.25" customHeight="1">
      <c r="A2016" s="8">
        <f t="shared" si="7"/>
        <v>201250</v>
      </c>
      <c r="B2016" s="8"/>
      <c r="C2016" s="8">
        <v>201250</v>
      </c>
      <c r="D2016">
        <v>401</v>
      </c>
      <c r="E2016" t="s">
        <v>579</v>
      </c>
      <c r="F2016" t="s">
        <v>955</v>
      </c>
      <c r="G2016" s="9">
        <v>44896</v>
      </c>
    </row>
    <row r="2017" spans="1:7" ht="14.25" customHeight="1">
      <c r="A2017" s="8">
        <f t="shared" si="7"/>
        <v>485875</v>
      </c>
      <c r="B2017" s="8"/>
      <c r="C2017" s="8">
        <v>485875</v>
      </c>
    </row>
    <row r="2018" spans="1:7" ht="14.25" customHeight="1">
      <c r="A2018" s="8">
        <f t="shared" si="7"/>
        <v>485875</v>
      </c>
      <c r="B2018" s="8"/>
      <c r="C2018" s="8">
        <v>485875</v>
      </c>
      <c r="E2018">
        <v>1336705</v>
      </c>
      <c r="F2018" t="s">
        <v>350</v>
      </c>
      <c r="G2018" t="s">
        <v>581</v>
      </c>
    </row>
    <row r="2019" spans="1:7" ht="14.25" customHeight="1">
      <c r="A2019" s="8">
        <f t="shared" si="7"/>
        <v>0</v>
      </c>
      <c r="B2019" s="8"/>
      <c r="C2019" s="8"/>
      <c r="D2019" t="s">
        <v>351</v>
      </c>
      <c r="G2019">
        <v>1336721</v>
      </c>
    </row>
    <row r="2020" spans="1:7" ht="14.25" customHeight="1">
      <c r="A2020" s="8">
        <f t="shared" si="7"/>
        <v>0</v>
      </c>
      <c r="B2020" s="8"/>
      <c r="C2020" s="8"/>
      <c r="F2020" t="s">
        <v>584</v>
      </c>
      <c r="G2020">
        <v>70612000</v>
      </c>
    </row>
    <row r="2021" spans="1:7" ht="14.25" customHeight="1">
      <c r="A2021" s="8">
        <f t="shared" si="7"/>
        <v>-4906642</v>
      </c>
      <c r="B2021" s="8">
        <v>4906642</v>
      </c>
      <c r="C2021" s="8"/>
      <c r="D2021">
        <v>178</v>
      </c>
      <c r="E2021" t="s">
        <v>585</v>
      </c>
      <c r="F2021" t="s">
        <v>1056</v>
      </c>
      <c r="G2021" s="9">
        <v>44827</v>
      </c>
    </row>
    <row r="2022" spans="1:7" ht="14.25" customHeight="1">
      <c r="A2022" s="8">
        <f t="shared" si="7"/>
        <v>-4906642</v>
      </c>
      <c r="B2022" s="8">
        <v>4906642</v>
      </c>
      <c r="C2022" s="8"/>
    </row>
    <row r="2023" spans="1:7" ht="14.25" customHeight="1">
      <c r="A2023" s="8">
        <f t="shared" si="7"/>
        <v>-4906642</v>
      </c>
      <c r="B2023" s="8">
        <v>4906642</v>
      </c>
      <c r="C2023" s="8"/>
      <c r="E2023">
        <v>1336721</v>
      </c>
      <c r="F2023" t="s">
        <v>351</v>
      </c>
      <c r="G2023" t="s">
        <v>581</v>
      </c>
    </row>
    <row r="2024" spans="1:7" ht="14.25" customHeight="1">
      <c r="A2024" s="8">
        <f t="shared" si="7"/>
        <v>0</v>
      </c>
      <c r="B2024" s="8"/>
      <c r="C2024" s="8"/>
      <c r="D2024" t="s">
        <v>352</v>
      </c>
      <c r="G2024">
        <v>1336821</v>
      </c>
    </row>
    <row r="2025" spans="1:7" ht="14.25" customHeight="1">
      <c r="A2025" s="8">
        <f t="shared" si="7"/>
        <v>0</v>
      </c>
      <c r="B2025" s="8"/>
      <c r="C2025" s="8"/>
      <c r="F2025" t="s">
        <v>584</v>
      </c>
      <c r="G2025">
        <v>70612000</v>
      </c>
    </row>
    <row r="2026" spans="1:7" ht="14.25" customHeight="1">
      <c r="A2026" s="8">
        <f t="shared" si="7"/>
        <v>-4704564</v>
      </c>
      <c r="B2026" s="8">
        <v>4704564</v>
      </c>
      <c r="C2026" s="8"/>
      <c r="D2026">
        <v>153</v>
      </c>
      <c r="E2026" t="s">
        <v>585</v>
      </c>
      <c r="F2026" t="s">
        <v>1057</v>
      </c>
      <c r="G2026" s="9">
        <v>44796</v>
      </c>
    </row>
    <row r="2027" spans="1:7" ht="14.25" customHeight="1">
      <c r="A2027" s="8">
        <f t="shared" si="7"/>
        <v>-4704564</v>
      </c>
      <c r="B2027" s="8">
        <v>4704564</v>
      </c>
      <c r="C2027" s="8"/>
    </row>
    <row r="2028" spans="1:7" ht="14.25" customHeight="1">
      <c r="A2028" s="8">
        <f t="shared" si="7"/>
        <v>-4704564</v>
      </c>
      <c r="B2028" s="8">
        <v>4704564</v>
      </c>
      <c r="C2028" s="8"/>
      <c r="E2028">
        <v>1336821</v>
      </c>
      <c r="F2028" t="s">
        <v>352</v>
      </c>
      <c r="G2028" t="s">
        <v>581</v>
      </c>
    </row>
    <row r="2029" spans="1:7" ht="14.25" customHeight="1">
      <c r="A2029" s="8">
        <f t="shared" si="7"/>
        <v>0</v>
      </c>
      <c r="B2029" s="8"/>
      <c r="C2029" s="8"/>
      <c r="D2029" t="s">
        <v>353</v>
      </c>
      <c r="G2029">
        <v>1336901</v>
      </c>
    </row>
    <row r="2030" spans="1:7" ht="14.25" customHeight="1">
      <c r="A2030" s="8">
        <f t="shared" si="7"/>
        <v>0</v>
      </c>
      <c r="B2030" s="8"/>
      <c r="C2030" s="8"/>
      <c r="F2030" t="s">
        <v>578</v>
      </c>
      <c r="G2030">
        <v>63841000</v>
      </c>
    </row>
    <row r="2031" spans="1:7" ht="14.25" customHeight="1">
      <c r="A2031" s="8">
        <f t="shared" si="7"/>
        <v>113361</v>
      </c>
      <c r="B2031" s="8"/>
      <c r="C2031" s="8">
        <v>113361</v>
      </c>
      <c r="D2031">
        <v>168</v>
      </c>
      <c r="E2031" t="s">
        <v>594</v>
      </c>
      <c r="F2031" t="s">
        <v>1058</v>
      </c>
      <c r="G2031" s="9">
        <v>44886</v>
      </c>
    </row>
    <row r="2032" spans="1:7" ht="14.25" customHeight="1">
      <c r="A2032" s="8">
        <f t="shared" si="7"/>
        <v>113361</v>
      </c>
      <c r="B2032" s="8"/>
      <c r="C2032" s="8">
        <v>113361</v>
      </c>
    </row>
    <row r="2033" spans="1:7" ht="14.25" customHeight="1">
      <c r="A2033" s="8">
        <f t="shared" si="7"/>
        <v>113361</v>
      </c>
      <c r="B2033" s="8"/>
      <c r="C2033" s="8">
        <v>113361</v>
      </c>
      <c r="E2033">
        <v>1336901</v>
      </c>
      <c r="F2033" t="s">
        <v>353</v>
      </c>
      <c r="G2033" t="s">
        <v>581</v>
      </c>
    </row>
    <row r="2034" spans="1:7" ht="14.25" customHeight="1">
      <c r="A2034" s="8">
        <f t="shared" si="7"/>
        <v>0</v>
      </c>
      <c r="B2034" s="8"/>
      <c r="C2034" s="8"/>
      <c r="D2034" t="s">
        <v>354</v>
      </c>
      <c r="G2034">
        <v>1336921</v>
      </c>
    </row>
    <row r="2035" spans="1:7" ht="14.25" customHeight="1">
      <c r="A2035" s="8">
        <f t="shared" si="7"/>
        <v>0</v>
      </c>
      <c r="B2035" s="8"/>
      <c r="C2035" s="8"/>
      <c r="F2035" t="s">
        <v>584</v>
      </c>
      <c r="G2035">
        <v>70612000</v>
      </c>
    </row>
    <row r="2036" spans="1:7" ht="14.25" customHeight="1">
      <c r="A2036" s="8">
        <f t="shared" si="7"/>
        <v>-4208989</v>
      </c>
      <c r="B2036" s="8">
        <v>4208989</v>
      </c>
      <c r="C2036" s="8"/>
      <c r="D2036">
        <v>197</v>
      </c>
      <c r="E2036" t="s">
        <v>585</v>
      </c>
      <c r="F2036" t="s">
        <v>1059</v>
      </c>
      <c r="G2036" s="9">
        <v>44858</v>
      </c>
    </row>
    <row r="2037" spans="1:7" ht="14.25" customHeight="1">
      <c r="A2037" s="8">
        <f t="shared" si="7"/>
        <v>-4208989</v>
      </c>
      <c r="B2037" s="8">
        <v>4208989</v>
      </c>
      <c r="C2037" s="8"/>
    </row>
    <row r="2038" spans="1:7" ht="14.25" customHeight="1">
      <c r="A2038" s="8">
        <f t="shared" si="7"/>
        <v>-4208989</v>
      </c>
      <c r="B2038" s="8">
        <v>4208989</v>
      </c>
      <c r="C2038" s="8"/>
      <c r="E2038">
        <v>1336921</v>
      </c>
      <c r="F2038" t="s">
        <v>354</v>
      </c>
      <c r="G2038" t="s">
        <v>581</v>
      </c>
    </row>
    <row r="2039" spans="1:7" ht="14.25" customHeight="1">
      <c r="A2039" s="8">
        <f t="shared" si="7"/>
        <v>0</v>
      </c>
      <c r="B2039" s="8"/>
      <c r="C2039" s="8"/>
      <c r="D2039" t="s">
        <v>355</v>
      </c>
      <c r="G2039">
        <v>1337001</v>
      </c>
    </row>
    <row r="2040" spans="1:7" ht="14.25" customHeight="1">
      <c r="A2040" s="8">
        <f t="shared" si="7"/>
        <v>0</v>
      </c>
      <c r="B2040" s="8"/>
      <c r="C2040" s="8"/>
      <c r="F2040" t="s">
        <v>578</v>
      </c>
      <c r="G2040">
        <v>63841000</v>
      </c>
    </row>
    <row r="2041" spans="1:7" ht="14.25" customHeight="1">
      <c r="A2041" s="8">
        <f t="shared" si="7"/>
        <v>627440</v>
      </c>
      <c r="B2041" s="8"/>
      <c r="C2041" s="8">
        <v>627440</v>
      </c>
      <c r="D2041">
        <v>142</v>
      </c>
      <c r="E2041" t="s">
        <v>594</v>
      </c>
      <c r="F2041" t="s">
        <v>1060</v>
      </c>
      <c r="G2041" s="9">
        <v>44837</v>
      </c>
    </row>
    <row r="2042" spans="1:7" ht="14.25" customHeight="1">
      <c r="A2042" s="8">
        <f t="shared" ref="A2042:A2296" si="8">C2042-B2042</f>
        <v>261452</v>
      </c>
      <c r="B2042" s="8"/>
      <c r="C2042" s="8">
        <v>261452</v>
      </c>
      <c r="D2042">
        <v>184</v>
      </c>
      <c r="E2042" t="s">
        <v>594</v>
      </c>
      <c r="F2042" t="s">
        <v>1061</v>
      </c>
      <c r="G2042" s="9">
        <v>44902</v>
      </c>
    </row>
    <row r="2043" spans="1:7" ht="14.25" customHeight="1">
      <c r="A2043" s="8">
        <f t="shared" si="8"/>
        <v>888892</v>
      </c>
      <c r="B2043" s="8"/>
      <c r="C2043" s="8">
        <v>888892</v>
      </c>
    </row>
    <row r="2044" spans="1:7" ht="14.25" customHeight="1">
      <c r="A2044" s="8">
        <f t="shared" si="8"/>
        <v>888892</v>
      </c>
      <c r="B2044" s="8"/>
      <c r="C2044" s="8">
        <v>888892</v>
      </c>
      <c r="E2044">
        <v>1337001</v>
      </c>
      <c r="F2044" t="s">
        <v>355</v>
      </c>
      <c r="G2044" t="s">
        <v>581</v>
      </c>
    </row>
    <row r="2045" spans="1:7" ht="14.25" customHeight="1">
      <c r="A2045" s="8">
        <f t="shared" si="8"/>
        <v>0</v>
      </c>
      <c r="B2045" s="8"/>
      <c r="C2045" s="8"/>
      <c r="D2045" t="s">
        <v>356</v>
      </c>
      <c r="G2045">
        <v>1337002</v>
      </c>
    </row>
    <row r="2046" spans="1:7" ht="14.25" customHeight="1">
      <c r="A2046" s="8">
        <f t="shared" si="8"/>
        <v>0</v>
      </c>
      <c r="B2046" s="8"/>
      <c r="C2046" s="8"/>
      <c r="F2046" t="s">
        <v>590</v>
      </c>
      <c r="G2046">
        <v>61811000</v>
      </c>
    </row>
    <row r="2047" spans="1:7" ht="14.25" customHeight="1">
      <c r="A2047" s="8">
        <f t="shared" si="8"/>
        <v>179170</v>
      </c>
      <c r="B2047" s="8"/>
      <c r="C2047" s="8">
        <v>179170</v>
      </c>
      <c r="D2047">
        <v>410</v>
      </c>
      <c r="E2047" t="s">
        <v>579</v>
      </c>
      <c r="F2047" t="s">
        <v>1062</v>
      </c>
      <c r="G2047" s="9">
        <v>44908</v>
      </c>
    </row>
    <row r="2048" spans="1:7" ht="14.25" customHeight="1">
      <c r="A2048" s="8">
        <f t="shared" si="8"/>
        <v>179170</v>
      </c>
      <c r="B2048" s="8"/>
      <c r="C2048" s="8">
        <v>179170</v>
      </c>
    </row>
    <row r="2049" spans="1:7" ht="14.25" customHeight="1">
      <c r="A2049" s="8">
        <f t="shared" si="8"/>
        <v>179170</v>
      </c>
      <c r="B2049" s="8"/>
      <c r="C2049" s="8">
        <v>179170</v>
      </c>
      <c r="E2049">
        <v>1337002</v>
      </c>
      <c r="F2049" t="s">
        <v>356</v>
      </c>
      <c r="G2049" t="s">
        <v>581</v>
      </c>
    </row>
    <row r="2050" spans="1:7" ht="14.25" customHeight="1">
      <c r="A2050" s="8">
        <f t="shared" si="8"/>
        <v>0</v>
      </c>
      <c r="B2050" s="8"/>
      <c r="C2050" s="8"/>
      <c r="D2050" t="s">
        <v>357</v>
      </c>
      <c r="G2050">
        <v>1337101</v>
      </c>
    </row>
    <row r="2051" spans="1:7" ht="14.25" customHeight="1">
      <c r="A2051" s="8">
        <f t="shared" si="8"/>
        <v>0</v>
      </c>
      <c r="B2051" s="8"/>
      <c r="C2051" s="8"/>
      <c r="F2051" t="s">
        <v>578</v>
      </c>
      <c r="G2051">
        <v>63841000</v>
      </c>
    </row>
    <row r="2052" spans="1:7" ht="14.25" customHeight="1">
      <c r="A2052" s="8">
        <f t="shared" si="8"/>
        <v>557750</v>
      </c>
      <c r="B2052" s="8"/>
      <c r="C2052" s="8">
        <v>557750</v>
      </c>
      <c r="D2052">
        <v>154</v>
      </c>
      <c r="E2052" t="s">
        <v>594</v>
      </c>
      <c r="F2052" t="s">
        <v>1063</v>
      </c>
      <c r="G2052" s="9">
        <v>44868</v>
      </c>
    </row>
    <row r="2053" spans="1:7" ht="14.25" customHeight="1">
      <c r="A2053" s="8">
        <f t="shared" si="8"/>
        <v>557750</v>
      </c>
      <c r="B2053" s="8"/>
      <c r="C2053" s="8">
        <v>557750</v>
      </c>
    </row>
    <row r="2054" spans="1:7" ht="14.25" customHeight="1">
      <c r="A2054" s="8">
        <f t="shared" si="8"/>
        <v>557750</v>
      </c>
      <c r="B2054" s="8"/>
      <c r="C2054" s="8">
        <v>557750</v>
      </c>
      <c r="E2054">
        <v>1337101</v>
      </c>
      <c r="F2054" t="s">
        <v>357</v>
      </c>
      <c r="G2054" t="s">
        <v>581</v>
      </c>
    </row>
    <row r="2055" spans="1:7" ht="14.25" customHeight="1">
      <c r="A2055" s="8">
        <f t="shared" si="8"/>
        <v>0</v>
      </c>
      <c r="B2055" s="8"/>
      <c r="C2055" s="8"/>
      <c r="D2055" t="s">
        <v>358</v>
      </c>
      <c r="G2055">
        <v>1337121</v>
      </c>
    </row>
    <row r="2056" spans="1:7" ht="14.25" customHeight="1">
      <c r="A2056" s="8">
        <f t="shared" si="8"/>
        <v>0</v>
      </c>
      <c r="B2056" s="8"/>
      <c r="C2056" s="8"/>
      <c r="F2056" t="s">
        <v>584</v>
      </c>
      <c r="G2056">
        <v>70612000</v>
      </c>
    </row>
    <row r="2057" spans="1:7" ht="14.25" customHeight="1">
      <c r="A2057" s="8">
        <f t="shared" si="8"/>
        <v>-3047500</v>
      </c>
      <c r="B2057" s="8">
        <v>3047500</v>
      </c>
      <c r="C2057" s="8"/>
      <c r="D2057">
        <v>208</v>
      </c>
      <c r="E2057" t="s">
        <v>585</v>
      </c>
      <c r="F2057" t="s">
        <v>1064</v>
      </c>
      <c r="G2057" s="9">
        <v>44886</v>
      </c>
    </row>
    <row r="2058" spans="1:7" ht="14.25" customHeight="1">
      <c r="A2058" s="8">
        <f t="shared" si="8"/>
        <v>-3047500</v>
      </c>
      <c r="B2058" s="8">
        <v>3047500</v>
      </c>
      <c r="C2058" s="8"/>
    </row>
    <row r="2059" spans="1:7" ht="14.25" customHeight="1">
      <c r="A2059" s="8">
        <f t="shared" si="8"/>
        <v>-3047500</v>
      </c>
      <c r="B2059" s="8">
        <v>3047500</v>
      </c>
      <c r="C2059" s="8"/>
      <c r="E2059">
        <v>1337121</v>
      </c>
      <c r="F2059" t="s">
        <v>358</v>
      </c>
      <c r="G2059" t="s">
        <v>581</v>
      </c>
    </row>
    <row r="2060" spans="1:7" ht="14.25" customHeight="1">
      <c r="A2060" s="8">
        <f t="shared" si="8"/>
        <v>-197435206</v>
      </c>
      <c r="B2060" s="8">
        <v>321749859</v>
      </c>
      <c r="C2060" s="8">
        <v>124314653</v>
      </c>
      <c r="E2060">
        <v>13</v>
      </c>
      <c r="F2060" t="s">
        <v>359</v>
      </c>
      <c r="G2060" t="s">
        <v>581</v>
      </c>
    </row>
    <row r="2061" spans="1:7" ht="14.25" customHeight="1">
      <c r="A2061" s="8">
        <f t="shared" si="8"/>
        <v>0</v>
      </c>
      <c r="B2061" s="8"/>
      <c r="C2061" s="8"/>
      <c r="D2061" t="s">
        <v>360</v>
      </c>
      <c r="G2061">
        <v>2140105</v>
      </c>
    </row>
    <row r="2062" spans="1:7" ht="14.25" customHeight="1">
      <c r="A2062" s="8">
        <f t="shared" si="8"/>
        <v>0</v>
      </c>
      <c r="B2062" s="8"/>
      <c r="C2062" s="8"/>
      <c r="F2062" t="s">
        <v>582</v>
      </c>
      <c r="G2062">
        <v>63240000</v>
      </c>
    </row>
    <row r="2063" spans="1:7" ht="14.25" customHeight="1">
      <c r="A2063" s="8">
        <f t="shared" si="8"/>
        <v>258750</v>
      </c>
      <c r="B2063" s="8"/>
      <c r="C2063" s="8">
        <v>258750</v>
      </c>
      <c r="D2063">
        <v>296</v>
      </c>
      <c r="E2063" t="s">
        <v>579</v>
      </c>
      <c r="F2063" t="s">
        <v>1065</v>
      </c>
      <c r="G2063" s="9">
        <v>44824</v>
      </c>
    </row>
    <row r="2064" spans="1:7" ht="14.25" customHeight="1">
      <c r="A2064" s="8">
        <f t="shared" si="8"/>
        <v>74750</v>
      </c>
      <c r="B2064" s="8"/>
      <c r="C2064" s="8">
        <v>74750</v>
      </c>
      <c r="D2064">
        <v>417</v>
      </c>
      <c r="E2064" t="s">
        <v>579</v>
      </c>
      <c r="F2064" t="s">
        <v>1066</v>
      </c>
      <c r="G2064" s="9">
        <v>44915</v>
      </c>
    </row>
    <row r="2065" spans="1:7" ht="14.25" customHeight="1">
      <c r="A2065" s="8">
        <f t="shared" si="8"/>
        <v>333500</v>
      </c>
      <c r="B2065" s="8"/>
      <c r="C2065" s="8">
        <v>333500</v>
      </c>
    </row>
    <row r="2066" spans="1:7" ht="14.25" customHeight="1">
      <c r="A2066" s="8">
        <f t="shared" si="8"/>
        <v>333500</v>
      </c>
      <c r="B2066" s="8"/>
      <c r="C2066" s="8">
        <v>333500</v>
      </c>
      <c r="E2066">
        <v>2140105</v>
      </c>
      <c r="F2066" t="s">
        <v>360</v>
      </c>
      <c r="G2066" t="s">
        <v>581</v>
      </c>
    </row>
    <row r="2067" spans="1:7" ht="14.25" customHeight="1">
      <c r="A2067" s="8">
        <f t="shared" si="8"/>
        <v>0</v>
      </c>
      <c r="B2067" s="8"/>
      <c r="C2067" s="8"/>
      <c r="D2067" t="s">
        <v>361</v>
      </c>
      <c r="G2067">
        <v>2140121</v>
      </c>
    </row>
    <row r="2068" spans="1:7" ht="14.25" customHeight="1">
      <c r="A2068" s="8">
        <f t="shared" si="8"/>
        <v>0</v>
      </c>
      <c r="B2068" s="8"/>
      <c r="C2068" s="8"/>
      <c r="F2068" t="s">
        <v>584</v>
      </c>
      <c r="G2068">
        <v>70612000</v>
      </c>
    </row>
    <row r="2069" spans="1:7" ht="14.25" customHeight="1">
      <c r="A2069" s="8">
        <f t="shared" si="8"/>
        <v>-1831950</v>
      </c>
      <c r="B2069" s="8">
        <v>1831950</v>
      </c>
      <c r="C2069" s="8"/>
      <c r="D2069">
        <v>133</v>
      </c>
      <c r="E2069" t="s">
        <v>585</v>
      </c>
      <c r="F2069" t="s">
        <v>1067</v>
      </c>
      <c r="G2069" s="9">
        <v>44775</v>
      </c>
    </row>
    <row r="2070" spans="1:7" ht="14.25" customHeight="1">
      <c r="A2070" s="8">
        <f t="shared" si="8"/>
        <v>-1831950</v>
      </c>
      <c r="B2070" s="8">
        <v>1831950</v>
      </c>
      <c r="C2070" s="8"/>
    </row>
    <row r="2071" spans="1:7" ht="14.25" customHeight="1">
      <c r="A2071" s="8">
        <f t="shared" si="8"/>
        <v>-1831950</v>
      </c>
      <c r="B2071" s="8">
        <v>1831950</v>
      </c>
      <c r="C2071" s="8"/>
      <c r="E2071">
        <v>2140121</v>
      </c>
      <c r="F2071" t="s">
        <v>361</v>
      </c>
      <c r="G2071" t="s">
        <v>581</v>
      </c>
    </row>
    <row r="2072" spans="1:7" ht="14.25" customHeight="1">
      <c r="A2072" s="8">
        <f t="shared" si="8"/>
        <v>-1498450</v>
      </c>
      <c r="B2072" s="8">
        <v>1831950</v>
      </c>
      <c r="C2072" s="8">
        <v>333500</v>
      </c>
      <c r="E2072">
        <v>21401</v>
      </c>
      <c r="F2072" t="s">
        <v>362</v>
      </c>
      <c r="G2072" t="s">
        <v>581</v>
      </c>
    </row>
    <row r="2073" spans="1:7" ht="14.25" customHeight="1">
      <c r="A2073" s="8">
        <f t="shared" si="8"/>
        <v>0</v>
      </c>
      <c r="B2073" s="8"/>
      <c r="C2073" s="8"/>
      <c r="D2073" t="s">
        <v>363</v>
      </c>
      <c r="G2073">
        <v>2140205</v>
      </c>
    </row>
    <row r="2074" spans="1:7" ht="14.25" customHeight="1">
      <c r="A2074" s="8">
        <f t="shared" si="8"/>
        <v>0</v>
      </c>
      <c r="B2074" s="8"/>
      <c r="C2074" s="8"/>
      <c r="F2074" t="s">
        <v>582</v>
      </c>
      <c r="G2074">
        <v>63240000</v>
      </c>
    </row>
    <row r="2075" spans="1:7" ht="14.25" customHeight="1">
      <c r="A2075" s="8">
        <f t="shared" si="8"/>
        <v>86250</v>
      </c>
      <c r="B2075" s="8"/>
      <c r="C2075" s="8">
        <v>86250</v>
      </c>
      <c r="D2075">
        <v>146</v>
      </c>
      <c r="E2075" t="s">
        <v>579</v>
      </c>
      <c r="F2075" t="s">
        <v>1068</v>
      </c>
      <c r="G2075" s="9">
        <v>44710</v>
      </c>
    </row>
    <row r="2076" spans="1:7" ht="14.25" customHeight="1">
      <c r="A2076" s="8">
        <f t="shared" si="8"/>
        <v>86250</v>
      </c>
      <c r="B2076" s="8"/>
      <c r="C2076" s="8">
        <v>86250</v>
      </c>
    </row>
    <row r="2077" spans="1:7" ht="14.25" customHeight="1">
      <c r="A2077" s="8">
        <f t="shared" si="8"/>
        <v>86250</v>
      </c>
      <c r="B2077" s="8"/>
      <c r="C2077" s="8">
        <v>86250</v>
      </c>
      <c r="E2077">
        <v>2140205</v>
      </c>
      <c r="F2077" t="s">
        <v>363</v>
      </c>
      <c r="G2077" t="s">
        <v>581</v>
      </c>
    </row>
    <row r="2078" spans="1:7" ht="14.25" customHeight="1">
      <c r="A2078" s="8">
        <f t="shared" si="8"/>
        <v>0</v>
      </c>
      <c r="B2078" s="8"/>
      <c r="C2078" s="8"/>
      <c r="D2078" t="s">
        <v>364</v>
      </c>
      <c r="G2078">
        <v>2140221</v>
      </c>
    </row>
    <row r="2079" spans="1:7" ht="14.25" customHeight="1">
      <c r="A2079" s="8">
        <f t="shared" si="8"/>
        <v>0</v>
      </c>
      <c r="B2079" s="8"/>
      <c r="C2079" s="8"/>
      <c r="F2079" t="s">
        <v>584</v>
      </c>
      <c r="G2079">
        <v>70612000</v>
      </c>
    </row>
    <row r="2080" spans="1:7" ht="14.25" customHeight="1">
      <c r="A2080" s="8">
        <f t="shared" si="8"/>
        <v>-388125</v>
      </c>
      <c r="B2080" s="8">
        <v>388125</v>
      </c>
      <c r="C2080" s="8"/>
      <c r="D2080">
        <v>5</v>
      </c>
      <c r="E2080" t="s">
        <v>585</v>
      </c>
      <c r="F2080" t="s">
        <v>1069</v>
      </c>
      <c r="G2080" s="9">
        <v>44585</v>
      </c>
    </row>
    <row r="2081" spans="1:7" ht="14.25" customHeight="1">
      <c r="A2081" s="8">
        <f t="shared" si="8"/>
        <v>-457987</v>
      </c>
      <c r="B2081" s="8">
        <v>457987</v>
      </c>
      <c r="C2081" s="8"/>
      <c r="D2081">
        <v>81</v>
      </c>
      <c r="E2081" t="s">
        <v>585</v>
      </c>
      <c r="F2081" t="s">
        <v>1070</v>
      </c>
      <c r="G2081" s="9">
        <v>44691</v>
      </c>
    </row>
    <row r="2082" spans="1:7" ht="14.25" customHeight="1">
      <c r="A2082" s="8">
        <f t="shared" si="8"/>
        <v>-846112</v>
      </c>
      <c r="B2082" s="8">
        <v>846112</v>
      </c>
      <c r="C2082" s="8"/>
    </row>
    <row r="2083" spans="1:7" ht="14.25" customHeight="1">
      <c r="A2083" s="8">
        <f t="shared" si="8"/>
        <v>-846112</v>
      </c>
      <c r="B2083" s="8">
        <v>846112</v>
      </c>
      <c r="C2083" s="8"/>
      <c r="E2083">
        <v>2140221</v>
      </c>
      <c r="F2083" t="s">
        <v>364</v>
      </c>
      <c r="G2083" t="s">
        <v>581</v>
      </c>
    </row>
    <row r="2084" spans="1:7" ht="14.25" customHeight="1">
      <c r="A2084" s="8">
        <f t="shared" si="8"/>
        <v>-759862</v>
      </c>
      <c r="B2084" s="8">
        <v>846112</v>
      </c>
      <c r="C2084" s="8">
        <v>86250</v>
      </c>
      <c r="E2084">
        <v>21402</v>
      </c>
      <c r="F2084" t="s">
        <v>365</v>
      </c>
      <c r="G2084" t="s">
        <v>581</v>
      </c>
    </row>
    <row r="2085" spans="1:7" ht="14.25" customHeight="1">
      <c r="A2085" s="8">
        <f t="shared" si="8"/>
        <v>0</v>
      </c>
      <c r="B2085" s="8"/>
      <c r="C2085" s="8"/>
      <c r="D2085" t="s">
        <v>366</v>
      </c>
      <c r="G2085">
        <v>2140302</v>
      </c>
    </row>
    <row r="2086" spans="1:7" ht="14.25" customHeight="1">
      <c r="A2086" s="8">
        <f t="shared" si="8"/>
        <v>0</v>
      </c>
      <c r="B2086" s="8"/>
      <c r="C2086" s="8"/>
      <c r="F2086" t="s">
        <v>1071</v>
      </c>
      <c r="G2086">
        <v>60530000</v>
      </c>
    </row>
    <row r="2087" spans="1:7" ht="14.25" customHeight="1">
      <c r="A2087" s="8">
        <f t="shared" si="8"/>
        <v>23230</v>
      </c>
      <c r="B2087" s="8"/>
      <c r="C2087" s="8">
        <v>23230</v>
      </c>
      <c r="D2087">
        <v>60</v>
      </c>
      <c r="E2087" t="s">
        <v>667</v>
      </c>
      <c r="F2087" t="s">
        <v>1072</v>
      </c>
      <c r="G2087" s="9">
        <v>44652</v>
      </c>
    </row>
    <row r="2088" spans="1:7" ht="14.25" customHeight="1">
      <c r="A2088" s="8">
        <f t="shared" si="8"/>
        <v>23230</v>
      </c>
      <c r="B2088" s="8"/>
      <c r="C2088" s="8">
        <v>23230</v>
      </c>
    </row>
    <row r="2089" spans="1:7" ht="14.25" customHeight="1">
      <c r="A2089" s="8">
        <f t="shared" si="8"/>
        <v>23230</v>
      </c>
      <c r="B2089" s="8"/>
      <c r="C2089" s="8">
        <v>23230</v>
      </c>
      <c r="E2089">
        <v>2140302</v>
      </c>
      <c r="F2089" t="s">
        <v>366</v>
      </c>
      <c r="G2089" t="s">
        <v>581</v>
      </c>
    </row>
    <row r="2090" spans="1:7" ht="14.25" customHeight="1">
      <c r="A2090" s="8">
        <f t="shared" si="8"/>
        <v>0</v>
      </c>
      <c r="B2090" s="8"/>
      <c r="C2090" s="8"/>
      <c r="D2090" t="s">
        <v>367</v>
      </c>
      <c r="G2090">
        <v>2140305</v>
      </c>
    </row>
    <row r="2091" spans="1:7" ht="14.25" customHeight="1">
      <c r="A2091" s="8">
        <f t="shared" si="8"/>
        <v>0</v>
      </c>
      <c r="B2091" s="8"/>
      <c r="C2091" s="8"/>
      <c r="F2091" t="s">
        <v>582</v>
      </c>
      <c r="G2091">
        <v>63240000</v>
      </c>
    </row>
    <row r="2092" spans="1:7" ht="14.25" customHeight="1">
      <c r="A2092" s="8">
        <f t="shared" si="8"/>
        <v>86250</v>
      </c>
      <c r="B2092" s="8"/>
      <c r="C2092" s="8">
        <v>86250</v>
      </c>
      <c r="D2092">
        <v>131</v>
      </c>
      <c r="E2092" t="s">
        <v>579</v>
      </c>
      <c r="F2092" t="s">
        <v>1073</v>
      </c>
      <c r="G2092" s="9">
        <v>44693</v>
      </c>
    </row>
    <row r="2093" spans="1:7" ht="14.25" customHeight="1">
      <c r="A2093" s="8">
        <f t="shared" si="8"/>
        <v>776250</v>
      </c>
      <c r="B2093" s="8"/>
      <c r="C2093" s="8">
        <v>776250</v>
      </c>
      <c r="D2093">
        <v>149</v>
      </c>
      <c r="E2093" t="s">
        <v>579</v>
      </c>
      <c r="F2093" t="s">
        <v>1074</v>
      </c>
      <c r="G2093" s="9">
        <v>44712</v>
      </c>
    </row>
    <row r="2094" spans="1:7" ht="14.25" customHeight="1">
      <c r="A2094" s="8">
        <f t="shared" si="8"/>
        <v>862500</v>
      </c>
      <c r="B2094" s="8"/>
      <c r="C2094" s="8">
        <v>862500</v>
      </c>
    </row>
    <row r="2095" spans="1:7" ht="14.25" customHeight="1">
      <c r="A2095" s="8">
        <f t="shared" si="8"/>
        <v>862500</v>
      </c>
      <c r="B2095" s="8"/>
      <c r="C2095" s="8">
        <v>862500</v>
      </c>
      <c r="E2095">
        <v>2140305</v>
      </c>
      <c r="F2095" t="s">
        <v>367</v>
      </c>
      <c r="G2095" t="s">
        <v>581</v>
      </c>
    </row>
    <row r="2096" spans="1:7" ht="14.25" customHeight="1">
      <c r="A2096" s="8">
        <f t="shared" si="8"/>
        <v>0</v>
      </c>
      <c r="B2096" s="8"/>
      <c r="C2096" s="8"/>
      <c r="D2096" t="s">
        <v>368</v>
      </c>
      <c r="G2096">
        <v>2140321</v>
      </c>
    </row>
    <row r="2097" spans="1:7" ht="14.25" customHeight="1">
      <c r="A2097" s="8">
        <f t="shared" si="8"/>
        <v>0</v>
      </c>
      <c r="B2097" s="8"/>
      <c r="C2097" s="8"/>
      <c r="F2097" t="s">
        <v>584</v>
      </c>
      <c r="G2097">
        <v>70612000</v>
      </c>
    </row>
    <row r="2098" spans="1:7" ht="14.25" customHeight="1">
      <c r="A2098" s="8">
        <f t="shared" si="8"/>
        <v>-5767250</v>
      </c>
      <c r="B2098" s="8">
        <v>5767250</v>
      </c>
      <c r="C2098" s="8"/>
      <c r="D2098">
        <v>13</v>
      </c>
      <c r="E2098" t="s">
        <v>585</v>
      </c>
      <c r="F2098" t="s">
        <v>1075</v>
      </c>
      <c r="G2098" s="9">
        <v>44599</v>
      </c>
    </row>
    <row r="2099" spans="1:7" ht="14.25" customHeight="1">
      <c r="A2099" s="8">
        <f t="shared" si="8"/>
        <v>-5767250</v>
      </c>
      <c r="B2099" s="8">
        <v>5767250</v>
      </c>
      <c r="C2099" s="8"/>
    </row>
    <row r="2100" spans="1:7" ht="14.25" customHeight="1">
      <c r="A2100" s="8">
        <f t="shared" si="8"/>
        <v>-5767250</v>
      </c>
      <c r="B2100" s="8">
        <v>5767250</v>
      </c>
      <c r="C2100" s="8"/>
      <c r="E2100">
        <v>2140321</v>
      </c>
      <c r="F2100" t="s">
        <v>368</v>
      </c>
      <c r="G2100" t="s">
        <v>581</v>
      </c>
    </row>
    <row r="2101" spans="1:7" ht="14.25" customHeight="1">
      <c r="A2101" s="8">
        <f t="shared" si="8"/>
        <v>0</v>
      </c>
      <c r="B2101" s="8"/>
      <c r="C2101" s="8"/>
      <c r="D2101" t="s">
        <v>369</v>
      </c>
      <c r="G2101">
        <v>2140405</v>
      </c>
    </row>
    <row r="2102" spans="1:7" ht="14.25" customHeight="1">
      <c r="A2102" s="8">
        <f t="shared" si="8"/>
        <v>0</v>
      </c>
      <c r="B2102" s="8"/>
      <c r="C2102" s="8"/>
      <c r="F2102" t="s">
        <v>582</v>
      </c>
      <c r="G2102">
        <v>63240000</v>
      </c>
    </row>
    <row r="2103" spans="1:7" ht="14.25" customHeight="1">
      <c r="A2103" s="8">
        <f t="shared" si="8"/>
        <v>345000</v>
      </c>
      <c r="B2103" s="8"/>
      <c r="C2103" s="8">
        <v>345000</v>
      </c>
      <c r="D2103">
        <v>108</v>
      </c>
      <c r="E2103" t="s">
        <v>579</v>
      </c>
      <c r="F2103" t="s">
        <v>1076</v>
      </c>
      <c r="G2103" s="9">
        <v>44681</v>
      </c>
    </row>
    <row r="2104" spans="1:7" ht="14.25" customHeight="1">
      <c r="A2104" s="8">
        <f t="shared" si="8"/>
        <v>86250</v>
      </c>
      <c r="B2104" s="8"/>
      <c r="C2104" s="8">
        <v>86250</v>
      </c>
      <c r="D2104">
        <v>110</v>
      </c>
      <c r="E2104" t="s">
        <v>579</v>
      </c>
      <c r="F2104" t="s">
        <v>1077</v>
      </c>
      <c r="G2104" s="9">
        <v>44682</v>
      </c>
    </row>
    <row r="2105" spans="1:7" ht="14.25" customHeight="1">
      <c r="A2105" s="8">
        <f t="shared" si="8"/>
        <v>345000</v>
      </c>
      <c r="B2105" s="8"/>
      <c r="C2105" s="8">
        <v>345000</v>
      </c>
      <c r="D2105">
        <v>365</v>
      </c>
      <c r="E2105" t="s">
        <v>579</v>
      </c>
      <c r="F2105" t="s">
        <v>1078</v>
      </c>
      <c r="G2105" s="9">
        <v>44876</v>
      </c>
    </row>
    <row r="2106" spans="1:7" ht="14.25" customHeight="1">
      <c r="A2106" s="8">
        <f t="shared" si="8"/>
        <v>86250</v>
      </c>
      <c r="B2106" s="8"/>
      <c r="C2106" s="8">
        <v>86250</v>
      </c>
      <c r="D2106">
        <v>416</v>
      </c>
      <c r="E2106" t="s">
        <v>579</v>
      </c>
      <c r="F2106" t="s">
        <v>1079</v>
      </c>
      <c r="G2106" s="9">
        <v>44915</v>
      </c>
    </row>
    <row r="2107" spans="1:7" ht="14.25" customHeight="1">
      <c r="A2107" s="8">
        <f t="shared" si="8"/>
        <v>862500</v>
      </c>
      <c r="B2107" s="8"/>
      <c r="C2107" s="8">
        <v>862500</v>
      </c>
    </row>
    <row r="2108" spans="1:7" ht="14.25" customHeight="1">
      <c r="A2108" s="8">
        <f t="shared" si="8"/>
        <v>862500</v>
      </c>
      <c r="B2108" s="8"/>
      <c r="C2108" s="8">
        <v>862500</v>
      </c>
      <c r="E2108">
        <v>2140405</v>
      </c>
      <c r="F2108" t="s">
        <v>369</v>
      </c>
      <c r="G2108" t="s">
        <v>581</v>
      </c>
    </row>
    <row r="2109" spans="1:7" ht="14.25" customHeight="1">
      <c r="A2109" s="8">
        <f t="shared" si="8"/>
        <v>0</v>
      </c>
      <c r="B2109" s="8"/>
      <c r="C2109" s="8"/>
      <c r="D2109" t="s">
        <v>370</v>
      </c>
      <c r="G2109">
        <v>2140421</v>
      </c>
    </row>
    <row r="2110" spans="1:7" ht="14.25" customHeight="1">
      <c r="A2110" s="8">
        <f t="shared" si="8"/>
        <v>0</v>
      </c>
      <c r="B2110" s="8"/>
      <c r="C2110" s="8"/>
      <c r="F2110" t="s">
        <v>584</v>
      </c>
      <c r="G2110">
        <v>70612000</v>
      </c>
    </row>
    <row r="2111" spans="1:7" ht="14.25" customHeight="1">
      <c r="A2111" s="8">
        <f t="shared" si="8"/>
        <v>-1618222</v>
      </c>
      <c r="B2111" s="8">
        <v>1618222</v>
      </c>
      <c r="C2111" s="8"/>
      <c r="D2111">
        <v>11</v>
      </c>
      <c r="E2111" t="s">
        <v>585</v>
      </c>
      <c r="F2111" t="s">
        <v>1080</v>
      </c>
      <c r="G2111" s="9">
        <v>44599</v>
      </c>
    </row>
    <row r="2112" spans="1:7" ht="14.25" customHeight="1">
      <c r="A2112" s="8">
        <f t="shared" si="8"/>
        <v>-2137390</v>
      </c>
      <c r="B2112" s="8">
        <v>2137390</v>
      </c>
      <c r="C2112" s="8"/>
      <c r="D2112">
        <v>104</v>
      </c>
      <c r="E2112" t="s">
        <v>585</v>
      </c>
      <c r="F2112" t="s">
        <v>1081</v>
      </c>
      <c r="G2112" s="9">
        <v>44740</v>
      </c>
    </row>
    <row r="2113" spans="1:7" ht="14.25" customHeight="1">
      <c r="A2113" s="8">
        <f t="shared" si="8"/>
        <v>-3755612</v>
      </c>
      <c r="B2113" s="8">
        <v>3755612</v>
      </c>
      <c r="C2113" s="8"/>
    </row>
    <row r="2114" spans="1:7" ht="14.25" customHeight="1">
      <c r="A2114" s="8">
        <f t="shared" si="8"/>
        <v>-3755612</v>
      </c>
      <c r="B2114" s="8">
        <v>3755612</v>
      </c>
      <c r="C2114" s="8"/>
      <c r="E2114">
        <v>2140421</v>
      </c>
      <c r="F2114" t="s">
        <v>370</v>
      </c>
      <c r="G2114" t="s">
        <v>581</v>
      </c>
    </row>
    <row r="2115" spans="1:7" ht="14.25" customHeight="1">
      <c r="A2115" s="8">
        <f t="shared" si="8"/>
        <v>0</v>
      </c>
      <c r="B2115" s="8"/>
      <c r="C2115" s="8"/>
      <c r="D2115" t="s">
        <v>371</v>
      </c>
      <c r="G2115">
        <v>2140501</v>
      </c>
    </row>
    <row r="2116" spans="1:7" ht="14.25" customHeight="1">
      <c r="A2116" s="8">
        <f t="shared" si="8"/>
        <v>0</v>
      </c>
      <c r="B2116" s="8"/>
      <c r="C2116" s="8"/>
      <c r="F2116" t="s">
        <v>578</v>
      </c>
      <c r="G2116">
        <v>63841000</v>
      </c>
    </row>
    <row r="2117" spans="1:7" ht="14.25" customHeight="1">
      <c r="A2117" s="8">
        <f t="shared" si="8"/>
        <v>11500</v>
      </c>
      <c r="B2117" s="8"/>
      <c r="C2117" s="8">
        <v>11500</v>
      </c>
      <c r="D2117">
        <v>222</v>
      </c>
      <c r="E2117" t="s">
        <v>667</v>
      </c>
      <c r="F2117" t="s">
        <v>1082</v>
      </c>
      <c r="G2117" s="9">
        <v>44833</v>
      </c>
    </row>
    <row r="2118" spans="1:7" ht="14.25" customHeight="1">
      <c r="A2118" s="8">
        <f t="shared" si="8"/>
        <v>11500</v>
      </c>
      <c r="B2118" s="8"/>
      <c r="C2118" s="8">
        <v>11500</v>
      </c>
    </row>
    <row r="2119" spans="1:7" ht="14.25" customHeight="1">
      <c r="A2119" s="8">
        <f t="shared" si="8"/>
        <v>11500</v>
      </c>
      <c r="B2119" s="8"/>
      <c r="C2119" s="8">
        <v>11500</v>
      </c>
      <c r="E2119">
        <v>2140501</v>
      </c>
      <c r="F2119" t="s">
        <v>371</v>
      </c>
      <c r="G2119" t="s">
        <v>581</v>
      </c>
    </row>
    <row r="2120" spans="1:7" ht="14.25" customHeight="1">
      <c r="A2120" s="8">
        <f t="shared" si="8"/>
        <v>0</v>
      </c>
      <c r="B2120" s="8"/>
      <c r="C2120" s="8"/>
      <c r="D2120" t="s">
        <v>372</v>
      </c>
      <c r="G2120">
        <v>2140502</v>
      </c>
    </row>
    <row r="2121" spans="1:7" ht="14.25" customHeight="1">
      <c r="A2121" s="8">
        <f t="shared" si="8"/>
        <v>0</v>
      </c>
      <c r="B2121" s="8"/>
      <c r="C2121" s="8"/>
      <c r="F2121" t="s">
        <v>590</v>
      </c>
      <c r="G2121">
        <v>61811000</v>
      </c>
    </row>
    <row r="2122" spans="1:7" ht="14.25" customHeight="1">
      <c r="A2122" s="8">
        <f t="shared" si="8"/>
        <v>5750</v>
      </c>
      <c r="B2122" s="8"/>
      <c r="C2122" s="8">
        <v>5750</v>
      </c>
      <c r="D2122">
        <v>222</v>
      </c>
      <c r="E2122" t="s">
        <v>667</v>
      </c>
      <c r="F2122" t="s">
        <v>1082</v>
      </c>
      <c r="G2122" s="9">
        <v>44833</v>
      </c>
    </row>
    <row r="2123" spans="1:7" ht="14.25" customHeight="1">
      <c r="A2123" s="8">
        <f t="shared" si="8"/>
        <v>5750</v>
      </c>
      <c r="B2123" s="8"/>
      <c r="C2123" s="8">
        <v>5750</v>
      </c>
    </row>
    <row r="2124" spans="1:7" ht="14.25" customHeight="1">
      <c r="A2124" s="8">
        <f t="shared" si="8"/>
        <v>5750</v>
      </c>
      <c r="B2124" s="8"/>
      <c r="C2124" s="8">
        <v>5750</v>
      </c>
      <c r="E2124">
        <v>2140502</v>
      </c>
      <c r="F2124" t="s">
        <v>372</v>
      </c>
      <c r="G2124" t="s">
        <v>581</v>
      </c>
    </row>
    <row r="2125" spans="1:7" ht="14.25" customHeight="1">
      <c r="A2125" s="8">
        <f t="shared" si="8"/>
        <v>0</v>
      </c>
      <c r="B2125" s="8"/>
      <c r="C2125" s="8"/>
      <c r="D2125" t="s">
        <v>373</v>
      </c>
      <c r="G2125">
        <v>2140505</v>
      </c>
    </row>
    <row r="2126" spans="1:7" ht="14.25" customHeight="1">
      <c r="A2126" s="8">
        <f t="shared" si="8"/>
        <v>0</v>
      </c>
      <c r="B2126" s="8"/>
      <c r="C2126" s="8"/>
      <c r="F2126" t="s">
        <v>582</v>
      </c>
      <c r="G2126">
        <v>63240000</v>
      </c>
    </row>
    <row r="2127" spans="1:7" ht="14.25" customHeight="1">
      <c r="A2127" s="8">
        <f t="shared" si="8"/>
        <v>258750</v>
      </c>
      <c r="B2127" s="8"/>
      <c r="C2127" s="8">
        <v>258750</v>
      </c>
      <c r="D2127">
        <v>346</v>
      </c>
      <c r="E2127" t="s">
        <v>579</v>
      </c>
      <c r="F2127" t="s">
        <v>1083</v>
      </c>
      <c r="G2127" s="9">
        <v>44865</v>
      </c>
    </row>
    <row r="2128" spans="1:7" ht="14.25" customHeight="1">
      <c r="A2128" s="8">
        <f t="shared" si="8"/>
        <v>86250</v>
      </c>
      <c r="B2128" s="8"/>
      <c r="C2128" s="8">
        <v>86250</v>
      </c>
      <c r="D2128">
        <v>372</v>
      </c>
      <c r="E2128" t="s">
        <v>579</v>
      </c>
      <c r="F2128" t="s">
        <v>1084</v>
      </c>
      <c r="G2128" s="9">
        <v>44882</v>
      </c>
    </row>
    <row r="2129" spans="1:7" ht="14.25" customHeight="1">
      <c r="A2129" s="8">
        <f t="shared" si="8"/>
        <v>345000</v>
      </c>
      <c r="B2129" s="8"/>
      <c r="C2129" s="8">
        <v>345000</v>
      </c>
    </row>
    <row r="2130" spans="1:7" ht="14.25" customHeight="1">
      <c r="A2130" s="8">
        <f t="shared" si="8"/>
        <v>345000</v>
      </c>
      <c r="B2130" s="8"/>
      <c r="C2130" s="8">
        <v>345000</v>
      </c>
      <c r="E2130">
        <v>2140505</v>
      </c>
      <c r="F2130" t="s">
        <v>373</v>
      </c>
      <c r="G2130" t="s">
        <v>581</v>
      </c>
    </row>
    <row r="2131" spans="1:7" ht="14.25" customHeight="1">
      <c r="A2131" s="8">
        <f t="shared" si="8"/>
        <v>0</v>
      </c>
      <c r="B2131" s="8"/>
      <c r="C2131" s="8"/>
      <c r="D2131" t="s">
        <v>374</v>
      </c>
      <c r="G2131">
        <v>2140521</v>
      </c>
    </row>
    <row r="2132" spans="1:7" ht="14.25" customHeight="1">
      <c r="A2132" s="8">
        <f t="shared" si="8"/>
        <v>0</v>
      </c>
      <c r="B2132" s="8"/>
      <c r="C2132" s="8"/>
      <c r="F2132" t="s">
        <v>584</v>
      </c>
      <c r="G2132">
        <v>70612000</v>
      </c>
    </row>
    <row r="2133" spans="1:7" ht="14.25" customHeight="1">
      <c r="A2133" s="8">
        <f t="shared" si="8"/>
        <v>-2137275</v>
      </c>
      <c r="B2133" s="8">
        <v>2137275</v>
      </c>
      <c r="C2133" s="8"/>
      <c r="D2133">
        <v>138</v>
      </c>
      <c r="E2133" t="s">
        <v>585</v>
      </c>
      <c r="F2133" t="s">
        <v>1085</v>
      </c>
      <c r="G2133" s="9">
        <v>44778</v>
      </c>
    </row>
    <row r="2134" spans="1:7" ht="14.25" customHeight="1">
      <c r="A2134" s="8">
        <f t="shared" si="8"/>
        <v>-2137275</v>
      </c>
      <c r="B2134" s="8">
        <v>2137275</v>
      </c>
      <c r="C2134" s="8"/>
    </row>
    <row r="2135" spans="1:7" ht="14.25" customHeight="1">
      <c r="A2135" s="8">
        <f t="shared" si="8"/>
        <v>-2137275</v>
      </c>
      <c r="B2135" s="8">
        <v>2137275</v>
      </c>
      <c r="C2135" s="8"/>
      <c r="E2135">
        <v>2140521</v>
      </c>
      <c r="F2135" t="s">
        <v>374</v>
      </c>
      <c r="G2135" t="s">
        <v>581</v>
      </c>
    </row>
    <row r="2136" spans="1:7" ht="14.25" customHeight="1">
      <c r="A2136" s="8">
        <f t="shared" si="8"/>
        <v>0</v>
      </c>
      <c r="B2136" s="8"/>
      <c r="C2136" s="8"/>
      <c r="D2136" t="s">
        <v>375</v>
      </c>
      <c r="G2136">
        <v>2140605</v>
      </c>
    </row>
    <row r="2137" spans="1:7" ht="14.25" customHeight="1">
      <c r="A2137" s="8">
        <f t="shared" si="8"/>
        <v>0</v>
      </c>
      <c r="B2137" s="8"/>
      <c r="C2137" s="8"/>
      <c r="F2137" t="s">
        <v>582</v>
      </c>
      <c r="G2137">
        <v>63240000</v>
      </c>
    </row>
    <row r="2138" spans="1:7" ht="14.25" customHeight="1">
      <c r="A2138" s="8">
        <f t="shared" si="8"/>
        <v>1035000</v>
      </c>
      <c r="B2138" s="8"/>
      <c r="C2138" s="8">
        <v>1035000</v>
      </c>
      <c r="D2138">
        <v>92</v>
      </c>
      <c r="E2138" t="s">
        <v>579</v>
      </c>
      <c r="F2138" t="s">
        <v>1086</v>
      </c>
      <c r="G2138" s="9">
        <v>44658</v>
      </c>
    </row>
    <row r="2139" spans="1:7" ht="14.25" customHeight="1">
      <c r="A2139" s="8">
        <f t="shared" si="8"/>
        <v>224250</v>
      </c>
      <c r="B2139" s="8"/>
      <c r="C2139" s="8">
        <v>224250</v>
      </c>
      <c r="D2139">
        <v>155</v>
      </c>
      <c r="E2139" t="s">
        <v>579</v>
      </c>
      <c r="F2139" t="s">
        <v>1087</v>
      </c>
      <c r="G2139" s="9">
        <v>44712</v>
      </c>
    </row>
    <row r="2140" spans="1:7" ht="14.25" customHeight="1">
      <c r="A2140" s="8">
        <f t="shared" si="8"/>
        <v>1259250</v>
      </c>
      <c r="B2140" s="8"/>
      <c r="C2140" s="8">
        <v>1259250</v>
      </c>
    </row>
    <row r="2141" spans="1:7" ht="14.25" customHeight="1">
      <c r="A2141" s="8">
        <f t="shared" si="8"/>
        <v>1259250</v>
      </c>
      <c r="B2141" s="8"/>
      <c r="C2141" s="8">
        <v>1259250</v>
      </c>
      <c r="E2141">
        <v>2140605</v>
      </c>
      <c r="F2141" t="s">
        <v>375</v>
      </c>
      <c r="G2141" t="s">
        <v>581</v>
      </c>
    </row>
    <row r="2142" spans="1:7" ht="14.25" customHeight="1">
      <c r="A2142" s="8">
        <f t="shared" si="8"/>
        <v>0</v>
      </c>
      <c r="B2142" s="8"/>
      <c r="C2142" s="8"/>
      <c r="D2142" t="s">
        <v>376</v>
      </c>
      <c r="G2142">
        <v>2140621</v>
      </c>
    </row>
    <row r="2143" spans="1:7" ht="14.25" customHeight="1">
      <c r="A2143" s="8">
        <f t="shared" si="8"/>
        <v>0</v>
      </c>
      <c r="B2143" s="8"/>
      <c r="C2143" s="8"/>
      <c r="F2143" t="s">
        <v>584</v>
      </c>
      <c r="G2143">
        <v>70612000</v>
      </c>
    </row>
    <row r="2144" spans="1:7" ht="14.25" customHeight="1">
      <c r="A2144" s="8">
        <f t="shared" si="8"/>
        <v>-5347500</v>
      </c>
      <c r="B2144" s="8">
        <v>5347500</v>
      </c>
      <c r="C2144" s="8"/>
      <c r="D2144">
        <v>262</v>
      </c>
      <c r="E2144" t="s">
        <v>594</v>
      </c>
      <c r="F2144" t="s">
        <v>1088</v>
      </c>
      <c r="G2144" s="9">
        <v>44925</v>
      </c>
    </row>
    <row r="2145" spans="1:7" ht="14.25" customHeight="1">
      <c r="A2145" s="8">
        <f t="shared" si="8"/>
        <v>-5347500</v>
      </c>
      <c r="B2145" s="8">
        <v>5347500</v>
      </c>
      <c r="C2145" s="8"/>
    </row>
    <row r="2146" spans="1:7" ht="14.25" customHeight="1">
      <c r="A2146" s="8">
        <f t="shared" si="8"/>
        <v>-5347500</v>
      </c>
      <c r="B2146" s="8">
        <v>5347500</v>
      </c>
      <c r="C2146" s="8"/>
      <c r="E2146">
        <v>2140621</v>
      </c>
      <c r="F2146" t="s">
        <v>376</v>
      </c>
      <c r="G2146" t="s">
        <v>581</v>
      </c>
    </row>
    <row r="2147" spans="1:7" ht="14.25" customHeight="1">
      <c r="A2147" s="8">
        <f t="shared" si="8"/>
        <v>0</v>
      </c>
      <c r="B2147" s="8"/>
      <c r="C2147" s="8"/>
      <c r="D2147" t="s">
        <v>377</v>
      </c>
      <c r="G2147">
        <v>2140705</v>
      </c>
    </row>
    <row r="2148" spans="1:7" ht="14.25" customHeight="1">
      <c r="A2148" s="8">
        <f t="shared" si="8"/>
        <v>0</v>
      </c>
      <c r="B2148" s="8"/>
      <c r="C2148" s="8"/>
      <c r="F2148" t="s">
        <v>582</v>
      </c>
      <c r="G2148">
        <v>63240000</v>
      </c>
    </row>
    <row r="2149" spans="1:7" ht="14.25" customHeight="1">
      <c r="A2149" s="8">
        <f t="shared" si="8"/>
        <v>201250</v>
      </c>
      <c r="B2149" s="8"/>
      <c r="C2149" s="8">
        <v>201250</v>
      </c>
      <c r="D2149">
        <v>215</v>
      </c>
      <c r="E2149" t="s">
        <v>579</v>
      </c>
      <c r="F2149" t="s">
        <v>1089</v>
      </c>
      <c r="G2149" s="9">
        <v>44770</v>
      </c>
    </row>
    <row r="2150" spans="1:7" ht="14.25" customHeight="1">
      <c r="A2150" s="8">
        <f t="shared" si="8"/>
        <v>86250</v>
      </c>
      <c r="B2150" s="8"/>
      <c r="C2150" s="8">
        <v>86250</v>
      </c>
      <c r="D2150">
        <v>297</v>
      </c>
      <c r="E2150" t="s">
        <v>579</v>
      </c>
      <c r="F2150" t="s">
        <v>1090</v>
      </c>
      <c r="G2150" s="9">
        <v>44826</v>
      </c>
    </row>
    <row r="2151" spans="1:7" ht="14.25" customHeight="1">
      <c r="A2151" s="8">
        <f t="shared" si="8"/>
        <v>373750</v>
      </c>
      <c r="B2151" s="8"/>
      <c r="C2151" s="8">
        <v>373750</v>
      </c>
      <c r="D2151">
        <v>360</v>
      </c>
      <c r="E2151" t="s">
        <v>579</v>
      </c>
      <c r="F2151" t="s">
        <v>1091</v>
      </c>
      <c r="G2151" s="9">
        <v>44867</v>
      </c>
    </row>
    <row r="2152" spans="1:7" ht="14.25" customHeight="1">
      <c r="A2152" s="8">
        <f t="shared" si="8"/>
        <v>189750</v>
      </c>
      <c r="B2152" s="8"/>
      <c r="C2152" s="8">
        <v>189750</v>
      </c>
      <c r="D2152">
        <v>369</v>
      </c>
      <c r="E2152" t="s">
        <v>579</v>
      </c>
      <c r="F2152" t="s">
        <v>1092</v>
      </c>
      <c r="G2152" s="9">
        <v>44881</v>
      </c>
    </row>
    <row r="2153" spans="1:7" ht="14.25" customHeight="1">
      <c r="A2153" s="8">
        <f t="shared" si="8"/>
        <v>86250</v>
      </c>
      <c r="B2153" s="8"/>
      <c r="C2153" s="8">
        <v>86250</v>
      </c>
      <c r="D2153">
        <v>371</v>
      </c>
      <c r="E2153" t="s">
        <v>579</v>
      </c>
      <c r="F2153" t="s">
        <v>1093</v>
      </c>
      <c r="G2153" s="9">
        <v>44882</v>
      </c>
    </row>
    <row r="2154" spans="1:7" ht="14.25" customHeight="1">
      <c r="A2154" s="8">
        <f t="shared" si="8"/>
        <v>937250</v>
      </c>
      <c r="B2154" s="8"/>
      <c r="C2154" s="8">
        <v>937250</v>
      </c>
    </row>
    <row r="2155" spans="1:7" ht="14.25" customHeight="1">
      <c r="A2155" s="8">
        <f t="shared" si="8"/>
        <v>937250</v>
      </c>
      <c r="B2155" s="8"/>
      <c r="C2155" s="8">
        <v>937250</v>
      </c>
      <c r="E2155">
        <v>2140705</v>
      </c>
      <c r="F2155" t="s">
        <v>377</v>
      </c>
      <c r="G2155" t="s">
        <v>581</v>
      </c>
    </row>
    <row r="2156" spans="1:7" ht="14.25" customHeight="1">
      <c r="A2156" s="8">
        <f t="shared" si="8"/>
        <v>0</v>
      </c>
      <c r="B2156" s="8"/>
      <c r="C2156" s="8"/>
      <c r="D2156" t="s">
        <v>378</v>
      </c>
      <c r="G2156">
        <v>2140721</v>
      </c>
    </row>
    <row r="2157" spans="1:7" ht="14.25" customHeight="1">
      <c r="A2157" s="8">
        <f t="shared" si="8"/>
        <v>0</v>
      </c>
      <c r="B2157" s="8"/>
      <c r="C2157" s="8"/>
      <c r="F2157" t="s">
        <v>584</v>
      </c>
      <c r="G2157">
        <v>70612000</v>
      </c>
    </row>
    <row r="2158" spans="1:7" ht="14.25" customHeight="1">
      <c r="A2158" s="8">
        <f t="shared" si="8"/>
        <v>-242219</v>
      </c>
      <c r="B2158" s="8">
        <v>242219</v>
      </c>
      <c r="C2158" s="8"/>
      <c r="D2158">
        <v>42</v>
      </c>
      <c r="E2158" t="s">
        <v>585</v>
      </c>
      <c r="F2158" t="s">
        <v>1094</v>
      </c>
      <c r="G2158" s="9">
        <v>44645</v>
      </c>
    </row>
    <row r="2159" spans="1:7" ht="14.25" customHeight="1">
      <c r="A2159" s="8">
        <f t="shared" si="8"/>
        <v>-242219</v>
      </c>
      <c r="B2159" s="8">
        <v>242219</v>
      </c>
      <c r="C2159" s="8"/>
      <c r="D2159">
        <v>85</v>
      </c>
      <c r="E2159" t="s">
        <v>585</v>
      </c>
      <c r="F2159" t="s">
        <v>1095</v>
      </c>
      <c r="G2159" s="9">
        <v>44693</v>
      </c>
    </row>
    <row r="2160" spans="1:7" ht="14.25" customHeight="1">
      <c r="A2160" s="8">
        <f t="shared" si="8"/>
        <v>-1211094</v>
      </c>
      <c r="B2160" s="8">
        <v>1211094</v>
      </c>
      <c r="C2160" s="8"/>
      <c r="D2160">
        <v>188</v>
      </c>
      <c r="E2160" t="s">
        <v>585</v>
      </c>
      <c r="F2160" t="s">
        <v>1096</v>
      </c>
      <c r="G2160" s="9">
        <v>44846</v>
      </c>
    </row>
    <row r="2161" spans="1:7" ht="14.25" customHeight="1">
      <c r="A2161" s="8">
        <f t="shared" si="8"/>
        <v>1211094</v>
      </c>
      <c r="B2161" s="8"/>
      <c r="C2161" s="8">
        <v>1211094</v>
      </c>
      <c r="D2161">
        <v>190</v>
      </c>
      <c r="E2161" t="s">
        <v>585</v>
      </c>
      <c r="F2161" t="s">
        <v>1097</v>
      </c>
      <c r="G2161" s="9">
        <v>44851</v>
      </c>
    </row>
    <row r="2162" spans="1:7" ht="14.25" customHeight="1">
      <c r="A2162" s="8">
        <f t="shared" si="8"/>
        <v>-1211094</v>
      </c>
      <c r="B2162" s="8">
        <v>1211094</v>
      </c>
      <c r="C2162" s="8"/>
      <c r="D2162">
        <v>191</v>
      </c>
      <c r="E2162" t="s">
        <v>585</v>
      </c>
      <c r="F2162" t="s">
        <v>1098</v>
      </c>
      <c r="G2162" s="9">
        <v>44851</v>
      </c>
    </row>
    <row r="2163" spans="1:7" ht="14.25" customHeight="1">
      <c r="A2163" s="8">
        <f t="shared" si="8"/>
        <v>242219</v>
      </c>
      <c r="B2163" s="8"/>
      <c r="C2163" s="8">
        <v>242219</v>
      </c>
      <c r="D2163">
        <v>198</v>
      </c>
      <c r="E2163" t="s">
        <v>585</v>
      </c>
      <c r="F2163" t="s">
        <v>1099</v>
      </c>
      <c r="G2163" s="9">
        <v>44862</v>
      </c>
    </row>
    <row r="2164" spans="1:7" ht="14.25" customHeight="1">
      <c r="A2164" s="8">
        <f t="shared" si="8"/>
        <v>-242219</v>
      </c>
      <c r="B2164" s="8">
        <v>242219</v>
      </c>
      <c r="C2164" s="8"/>
      <c r="D2164">
        <v>199</v>
      </c>
      <c r="E2164" t="s">
        <v>585</v>
      </c>
      <c r="F2164" t="s">
        <v>1100</v>
      </c>
      <c r="G2164" s="9">
        <v>44862</v>
      </c>
    </row>
    <row r="2165" spans="1:7" ht="14.25" customHeight="1">
      <c r="A2165" s="8">
        <f t="shared" si="8"/>
        <v>-968875</v>
      </c>
      <c r="B2165" s="8">
        <v>968875</v>
      </c>
      <c r="C2165" s="8"/>
      <c r="D2165">
        <v>222</v>
      </c>
      <c r="E2165" t="s">
        <v>585</v>
      </c>
      <c r="F2165" t="s">
        <v>1101</v>
      </c>
      <c r="G2165" s="9">
        <v>44917</v>
      </c>
    </row>
    <row r="2166" spans="1:7" ht="14.25" customHeight="1">
      <c r="A2166" s="8">
        <f t="shared" si="8"/>
        <v>242219</v>
      </c>
      <c r="B2166" s="8"/>
      <c r="C2166" s="8">
        <v>242219</v>
      </c>
      <c r="D2166">
        <v>222</v>
      </c>
      <c r="E2166" t="s">
        <v>594</v>
      </c>
      <c r="F2166" t="s">
        <v>1102</v>
      </c>
      <c r="G2166" s="9">
        <v>44925</v>
      </c>
    </row>
    <row r="2167" spans="1:7" ht="14.25" customHeight="1">
      <c r="A2167" s="8">
        <f t="shared" si="8"/>
        <v>-2422188</v>
      </c>
      <c r="B2167" s="8">
        <v>4117719</v>
      </c>
      <c r="C2167" s="8">
        <v>1695531</v>
      </c>
    </row>
    <row r="2168" spans="1:7" ht="14.25" customHeight="1">
      <c r="A2168" s="8">
        <f t="shared" si="8"/>
        <v>-2422188</v>
      </c>
      <c r="B2168" s="8">
        <v>4117719</v>
      </c>
      <c r="C2168" s="8">
        <v>1695531</v>
      </c>
      <c r="E2168">
        <v>2140721</v>
      </c>
      <c r="F2168" t="s">
        <v>378</v>
      </c>
      <c r="G2168" t="s">
        <v>581</v>
      </c>
    </row>
    <row r="2169" spans="1:7" ht="14.25" customHeight="1">
      <c r="A2169" s="8">
        <f t="shared" si="8"/>
        <v>0</v>
      </c>
      <c r="B2169" s="8"/>
      <c r="C2169" s="8"/>
      <c r="D2169" t="s">
        <v>379</v>
      </c>
      <c r="G2169">
        <v>2140801</v>
      </c>
    </row>
    <row r="2170" spans="1:7" ht="14.25" customHeight="1">
      <c r="A2170" s="8">
        <f t="shared" si="8"/>
        <v>0</v>
      </c>
      <c r="B2170" s="8"/>
      <c r="C2170" s="8"/>
      <c r="F2170" t="s">
        <v>578</v>
      </c>
      <c r="G2170">
        <v>63841000</v>
      </c>
    </row>
    <row r="2171" spans="1:7" ht="14.25" customHeight="1">
      <c r="A2171" s="8">
        <f t="shared" si="8"/>
        <v>333500</v>
      </c>
      <c r="B2171" s="8"/>
      <c r="C2171" s="8">
        <v>333500</v>
      </c>
      <c r="D2171">
        <v>101</v>
      </c>
      <c r="E2171" t="s">
        <v>587</v>
      </c>
      <c r="F2171" t="s">
        <v>1103</v>
      </c>
      <c r="G2171" s="9">
        <v>44673</v>
      </c>
    </row>
    <row r="2172" spans="1:7" ht="14.25" customHeight="1">
      <c r="A2172" s="8">
        <f t="shared" si="8"/>
        <v>333500</v>
      </c>
      <c r="B2172" s="8"/>
      <c r="C2172" s="8">
        <v>333500</v>
      </c>
    </row>
    <row r="2173" spans="1:7" ht="14.25" customHeight="1">
      <c r="A2173" s="8">
        <f t="shared" si="8"/>
        <v>333500</v>
      </c>
      <c r="B2173" s="8"/>
      <c r="C2173" s="8">
        <v>333500</v>
      </c>
      <c r="E2173">
        <v>2140801</v>
      </c>
      <c r="F2173" t="s">
        <v>379</v>
      </c>
      <c r="G2173" t="s">
        <v>581</v>
      </c>
    </row>
    <row r="2174" spans="1:7" ht="14.25" customHeight="1">
      <c r="A2174" s="8">
        <f t="shared" si="8"/>
        <v>0</v>
      </c>
      <c r="B2174" s="8"/>
      <c r="C2174" s="8"/>
      <c r="D2174" t="s">
        <v>380</v>
      </c>
      <c r="G2174">
        <v>2140805</v>
      </c>
    </row>
    <row r="2175" spans="1:7" ht="14.25" customHeight="1">
      <c r="A2175" s="8">
        <f t="shared" si="8"/>
        <v>0</v>
      </c>
      <c r="B2175" s="8"/>
      <c r="C2175" s="8"/>
      <c r="F2175" t="s">
        <v>582</v>
      </c>
      <c r="G2175">
        <v>63240000</v>
      </c>
    </row>
    <row r="2176" spans="1:7" ht="14.25" customHeight="1">
      <c r="A2176" s="8">
        <f t="shared" si="8"/>
        <v>345000</v>
      </c>
      <c r="B2176" s="8"/>
      <c r="C2176" s="8">
        <v>345000</v>
      </c>
      <c r="D2176">
        <v>77</v>
      </c>
      <c r="E2176" t="s">
        <v>579</v>
      </c>
      <c r="F2176" t="s">
        <v>1104</v>
      </c>
      <c r="G2176" s="9">
        <v>44652</v>
      </c>
    </row>
    <row r="2177" spans="1:7" ht="14.25" customHeight="1">
      <c r="A2177" s="8">
        <f t="shared" si="8"/>
        <v>517500</v>
      </c>
      <c r="B2177" s="8"/>
      <c r="C2177" s="8">
        <v>517500</v>
      </c>
      <c r="D2177">
        <v>176</v>
      </c>
      <c r="E2177" t="s">
        <v>579</v>
      </c>
      <c r="F2177" t="s">
        <v>1105</v>
      </c>
      <c r="G2177" s="9">
        <v>44727</v>
      </c>
    </row>
    <row r="2178" spans="1:7" ht="14.25" customHeight="1">
      <c r="A2178" s="8">
        <f t="shared" si="8"/>
        <v>862500</v>
      </c>
      <c r="B2178" s="8"/>
      <c r="C2178" s="8">
        <v>862500</v>
      </c>
    </row>
    <row r="2179" spans="1:7" ht="14.25" customHeight="1">
      <c r="A2179" s="8">
        <f t="shared" si="8"/>
        <v>862500</v>
      </c>
      <c r="B2179" s="8"/>
      <c r="C2179" s="8">
        <v>862500</v>
      </c>
      <c r="E2179">
        <v>2140805</v>
      </c>
      <c r="F2179" t="s">
        <v>380</v>
      </c>
      <c r="G2179" t="s">
        <v>581</v>
      </c>
    </row>
    <row r="2180" spans="1:7" ht="14.25" customHeight="1">
      <c r="A2180" s="8">
        <f t="shared" si="8"/>
        <v>0</v>
      </c>
      <c r="B2180" s="8"/>
      <c r="C2180" s="8"/>
      <c r="D2180" t="s">
        <v>381</v>
      </c>
      <c r="G2180">
        <v>2140821</v>
      </c>
    </row>
    <row r="2181" spans="1:7" ht="14.25" customHeight="1">
      <c r="A2181" s="8">
        <f t="shared" si="8"/>
        <v>0</v>
      </c>
      <c r="B2181" s="8"/>
      <c r="C2181" s="8"/>
      <c r="F2181" t="s">
        <v>584</v>
      </c>
      <c r="G2181">
        <v>70612000</v>
      </c>
    </row>
    <row r="2182" spans="1:7" ht="14.25" customHeight="1">
      <c r="A2182" s="8">
        <f t="shared" si="8"/>
        <v>-350750</v>
      </c>
      <c r="B2182" s="8">
        <v>350750</v>
      </c>
      <c r="C2182" s="8"/>
      <c r="D2182">
        <v>61</v>
      </c>
      <c r="E2182" t="s">
        <v>585</v>
      </c>
      <c r="F2182" t="s">
        <v>1106</v>
      </c>
      <c r="G2182" s="9">
        <v>44664</v>
      </c>
    </row>
    <row r="2183" spans="1:7" ht="14.25" customHeight="1">
      <c r="A2183" s="8">
        <f t="shared" si="8"/>
        <v>-350750</v>
      </c>
      <c r="B2183" s="8">
        <v>350750</v>
      </c>
      <c r="C2183" s="8"/>
    </row>
    <row r="2184" spans="1:7" ht="14.25" customHeight="1">
      <c r="A2184" s="8">
        <f t="shared" si="8"/>
        <v>-350750</v>
      </c>
      <c r="B2184" s="8">
        <v>350750</v>
      </c>
      <c r="C2184" s="8"/>
      <c r="E2184">
        <v>2140821</v>
      </c>
      <c r="F2184" t="s">
        <v>381</v>
      </c>
      <c r="G2184" t="s">
        <v>581</v>
      </c>
    </row>
    <row r="2185" spans="1:7" ht="14.25" customHeight="1">
      <c r="A2185" s="8">
        <f t="shared" si="8"/>
        <v>0</v>
      </c>
      <c r="B2185" s="8"/>
      <c r="C2185" s="8"/>
      <c r="D2185" t="s">
        <v>382</v>
      </c>
      <c r="G2185">
        <v>2140905</v>
      </c>
    </row>
    <row r="2186" spans="1:7" ht="14.25" customHeight="1">
      <c r="A2186" s="8">
        <f t="shared" si="8"/>
        <v>0</v>
      </c>
      <c r="B2186" s="8"/>
      <c r="C2186" s="8"/>
      <c r="F2186" t="s">
        <v>582</v>
      </c>
      <c r="G2186">
        <v>63240000</v>
      </c>
    </row>
    <row r="2187" spans="1:7" ht="14.25" customHeight="1">
      <c r="A2187" s="8">
        <f t="shared" si="8"/>
        <v>431250</v>
      </c>
      <c r="B2187" s="8"/>
      <c r="C2187" s="8">
        <v>431250</v>
      </c>
      <c r="D2187">
        <v>37</v>
      </c>
      <c r="E2187" t="s">
        <v>579</v>
      </c>
      <c r="F2187" t="s">
        <v>1107</v>
      </c>
      <c r="G2187" s="9">
        <v>44609</v>
      </c>
    </row>
    <row r="2188" spans="1:7" ht="14.25" customHeight="1">
      <c r="A2188" s="8">
        <f t="shared" si="8"/>
        <v>431250</v>
      </c>
      <c r="B2188" s="8"/>
      <c r="C2188" s="8">
        <v>431250</v>
      </c>
    </row>
    <row r="2189" spans="1:7" ht="14.25" customHeight="1">
      <c r="A2189" s="8">
        <f t="shared" si="8"/>
        <v>431250</v>
      </c>
      <c r="B2189" s="8"/>
      <c r="C2189" s="8">
        <v>431250</v>
      </c>
      <c r="E2189">
        <v>2140905</v>
      </c>
      <c r="F2189" t="s">
        <v>382</v>
      </c>
      <c r="G2189" t="s">
        <v>581</v>
      </c>
    </row>
    <row r="2190" spans="1:7" ht="14.25" customHeight="1">
      <c r="A2190" s="8">
        <f t="shared" si="8"/>
        <v>0</v>
      </c>
      <c r="B2190" s="8"/>
      <c r="C2190" s="8"/>
      <c r="D2190" t="s">
        <v>383</v>
      </c>
      <c r="G2190">
        <v>2140921</v>
      </c>
    </row>
    <row r="2191" spans="1:7" ht="14.25" customHeight="1">
      <c r="A2191" s="8">
        <f t="shared" si="8"/>
        <v>0</v>
      </c>
      <c r="B2191" s="8"/>
      <c r="C2191" s="8"/>
      <c r="F2191" t="s">
        <v>1108</v>
      </c>
      <c r="G2191">
        <v>70611000</v>
      </c>
    </row>
    <row r="2192" spans="1:7" ht="14.25" customHeight="1">
      <c r="A2192" s="8">
        <f t="shared" si="8"/>
        <v>-862500</v>
      </c>
      <c r="B2192" s="8">
        <v>862500</v>
      </c>
      <c r="C2192" s="8"/>
      <c r="D2192">
        <v>43</v>
      </c>
      <c r="E2192" t="s">
        <v>594</v>
      </c>
      <c r="F2192" t="s">
        <v>1109</v>
      </c>
      <c r="G2192" s="9">
        <v>44774</v>
      </c>
    </row>
    <row r="2193" spans="1:7" ht="14.25" customHeight="1">
      <c r="A2193" s="8">
        <f t="shared" si="8"/>
        <v>-835762</v>
      </c>
      <c r="B2193" s="8">
        <v>835762</v>
      </c>
      <c r="C2193" s="8"/>
      <c r="D2193">
        <v>44</v>
      </c>
      <c r="E2193" t="s">
        <v>594</v>
      </c>
      <c r="F2193" t="s">
        <v>1110</v>
      </c>
      <c r="G2193" s="9">
        <v>44774</v>
      </c>
    </row>
    <row r="2194" spans="1:7" ht="14.25" customHeight="1">
      <c r="A2194" s="8">
        <f t="shared" si="8"/>
        <v>-1698262</v>
      </c>
      <c r="B2194" s="8">
        <v>1698262</v>
      </c>
      <c r="C2194" s="8"/>
    </row>
    <row r="2195" spans="1:7" ht="14.25" customHeight="1">
      <c r="A2195" s="8">
        <f t="shared" si="8"/>
        <v>-1698262</v>
      </c>
      <c r="B2195" s="8">
        <v>1698262</v>
      </c>
      <c r="C2195" s="8"/>
      <c r="E2195">
        <v>2140921</v>
      </c>
      <c r="F2195" t="s">
        <v>383</v>
      </c>
      <c r="G2195" t="s">
        <v>581</v>
      </c>
    </row>
    <row r="2196" spans="1:7" ht="14.25" customHeight="1">
      <c r="A2196" s="8">
        <f t="shared" si="8"/>
        <v>0</v>
      </c>
      <c r="B2196" s="8"/>
      <c r="C2196" s="8"/>
      <c r="D2196" t="s">
        <v>384</v>
      </c>
      <c r="G2196">
        <v>2141005</v>
      </c>
    </row>
    <row r="2197" spans="1:7" ht="14.25" customHeight="1">
      <c r="A2197" s="8">
        <f t="shared" si="8"/>
        <v>0</v>
      </c>
      <c r="B2197" s="8"/>
      <c r="C2197" s="8"/>
      <c r="F2197" t="s">
        <v>582</v>
      </c>
      <c r="G2197">
        <v>63240000</v>
      </c>
    </row>
    <row r="2198" spans="1:7" ht="14.25" customHeight="1">
      <c r="A2198" s="8">
        <f t="shared" si="8"/>
        <v>345000</v>
      </c>
      <c r="B2198" s="8"/>
      <c r="C2198" s="8">
        <v>345000</v>
      </c>
      <c r="D2198">
        <v>181</v>
      </c>
      <c r="E2198" t="s">
        <v>579</v>
      </c>
      <c r="F2198" t="s">
        <v>1111</v>
      </c>
      <c r="G2198" s="9">
        <v>44733</v>
      </c>
    </row>
    <row r="2199" spans="1:7" ht="14.25" customHeight="1">
      <c r="A2199" s="8">
        <f t="shared" si="8"/>
        <v>172500</v>
      </c>
      <c r="B2199" s="8"/>
      <c r="C2199" s="8">
        <v>172500</v>
      </c>
      <c r="D2199">
        <v>297</v>
      </c>
      <c r="E2199" t="s">
        <v>579</v>
      </c>
      <c r="F2199" t="s">
        <v>1090</v>
      </c>
      <c r="G2199" s="9">
        <v>44826</v>
      </c>
    </row>
    <row r="2200" spans="1:7" ht="14.25" customHeight="1">
      <c r="A2200" s="8">
        <f t="shared" si="8"/>
        <v>287500</v>
      </c>
      <c r="B2200" s="8"/>
      <c r="C2200" s="8">
        <v>287500</v>
      </c>
      <c r="D2200">
        <v>306</v>
      </c>
      <c r="E2200" t="s">
        <v>579</v>
      </c>
      <c r="F2200" t="s">
        <v>1112</v>
      </c>
      <c r="G2200" s="9">
        <v>44830</v>
      </c>
    </row>
    <row r="2201" spans="1:7" ht="14.25" customHeight="1">
      <c r="A2201" s="8">
        <f t="shared" si="8"/>
        <v>517500</v>
      </c>
      <c r="B2201" s="8"/>
      <c r="C2201" s="8">
        <v>517500</v>
      </c>
      <c r="D2201">
        <v>310</v>
      </c>
      <c r="E2201" t="s">
        <v>579</v>
      </c>
      <c r="F2201" t="s">
        <v>1113</v>
      </c>
      <c r="G2201" s="9">
        <v>44834</v>
      </c>
    </row>
    <row r="2202" spans="1:7" ht="14.25" customHeight="1">
      <c r="A2202" s="8">
        <f t="shared" si="8"/>
        <v>1322500</v>
      </c>
      <c r="B2202" s="8"/>
      <c r="C2202" s="8">
        <v>1322500</v>
      </c>
    </row>
    <row r="2203" spans="1:7" ht="14.25" customHeight="1">
      <c r="A2203" s="8">
        <f t="shared" si="8"/>
        <v>1322500</v>
      </c>
      <c r="B2203" s="8"/>
      <c r="C2203" s="8">
        <v>1322500</v>
      </c>
      <c r="E2203">
        <v>2141005</v>
      </c>
      <c r="F2203" t="s">
        <v>384</v>
      </c>
      <c r="G2203" t="s">
        <v>581</v>
      </c>
    </row>
    <row r="2204" spans="1:7" ht="14.25" customHeight="1">
      <c r="A2204" s="8">
        <f t="shared" si="8"/>
        <v>0</v>
      </c>
      <c r="B2204" s="8"/>
      <c r="C2204" s="8"/>
      <c r="D2204" t="s">
        <v>385</v>
      </c>
      <c r="G2204">
        <v>2141021</v>
      </c>
    </row>
    <row r="2205" spans="1:7" ht="14.25" customHeight="1">
      <c r="A2205" s="8">
        <f t="shared" si="8"/>
        <v>0</v>
      </c>
      <c r="B2205" s="8"/>
      <c r="C2205" s="8"/>
      <c r="F2205" t="s">
        <v>584</v>
      </c>
      <c r="G2205">
        <v>70612000</v>
      </c>
    </row>
    <row r="2206" spans="1:7" ht="14.25" customHeight="1">
      <c r="A2206" s="8">
        <f t="shared" si="8"/>
        <v>-2859188</v>
      </c>
      <c r="B2206" s="8">
        <v>2859188</v>
      </c>
      <c r="C2206" s="8"/>
      <c r="D2206">
        <v>1</v>
      </c>
      <c r="E2206" t="s">
        <v>585</v>
      </c>
      <c r="F2206" t="s">
        <v>1114</v>
      </c>
      <c r="G2206" s="9">
        <v>44565</v>
      </c>
    </row>
    <row r="2207" spans="1:7" ht="14.25" customHeight="1">
      <c r="A2207" s="8">
        <f t="shared" si="8"/>
        <v>-686981</v>
      </c>
      <c r="B2207" s="8">
        <v>686981</v>
      </c>
      <c r="C2207" s="8"/>
      <c r="D2207">
        <v>163</v>
      </c>
      <c r="E2207" t="s">
        <v>585</v>
      </c>
      <c r="F2207" t="s">
        <v>1115</v>
      </c>
      <c r="G2207" s="9">
        <v>44810</v>
      </c>
    </row>
    <row r="2208" spans="1:7" ht="14.25" customHeight="1">
      <c r="A2208" s="8">
        <f t="shared" si="8"/>
        <v>-1211094</v>
      </c>
      <c r="B2208" s="8">
        <v>1211094</v>
      </c>
      <c r="C2208" s="8"/>
      <c r="D2208">
        <v>223</v>
      </c>
      <c r="E2208" t="s">
        <v>585</v>
      </c>
      <c r="F2208" t="s">
        <v>1116</v>
      </c>
      <c r="G2208" s="9">
        <v>44917</v>
      </c>
    </row>
    <row r="2209" spans="1:7" ht="14.25" customHeight="1">
      <c r="A2209" s="8">
        <f t="shared" si="8"/>
        <v>-968875</v>
      </c>
      <c r="B2209" s="8">
        <v>968875</v>
      </c>
      <c r="C2209" s="8"/>
      <c r="D2209">
        <v>224</v>
      </c>
      <c r="E2209" t="s">
        <v>585</v>
      </c>
      <c r="F2209" t="s">
        <v>1117</v>
      </c>
      <c r="G2209" s="9">
        <v>44917</v>
      </c>
    </row>
    <row r="2210" spans="1:7" ht="14.25" customHeight="1">
      <c r="A2210" s="8">
        <f t="shared" si="8"/>
        <v>-5726138</v>
      </c>
      <c r="B2210" s="8">
        <v>5726138</v>
      </c>
      <c r="C2210" s="8"/>
    </row>
    <row r="2211" spans="1:7" ht="14.25" customHeight="1">
      <c r="A2211" s="8">
        <f t="shared" si="8"/>
        <v>-5726138</v>
      </c>
      <c r="B2211" s="8">
        <v>5726138</v>
      </c>
      <c r="C2211" s="8"/>
      <c r="E2211">
        <v>2141021</v>
      </c>
      <c r="F2211" t="s">
        <v>385</v>
      </c>
      <c r="G2211" t="s">
        <v>581</v>
      </c>
    </row>
    <row r="2212" spans="1:7" ht="14.25" customHeight="1">
      <c r="A2212" s="8">
        <f t="shared" si="8"/>
        <v>0</v>
      </c>
      <c r="B2212" s="8"/>
      <c r="C2212" s="8"/>
      <c r="D2212" t="s">
        <v>386</v>
      </c>
      <c r="G2212">
        <v>2141121</v>
      </c>
    </row>
    <row r="2213" spans="1:7" ht="14.25" customHeight="1">
      <c r="A2213" s="8">
        <f t="shared" si="8"/>
        <v>0</v>
      </c>
      <c r="B2213" s="8"/>
      <c r="C2213" s="8"/>
      <c r="F2213" t="s">
        <v>584</v>
      </c>
      <c r="G2213">
        <v>70612000</v>
      </c>
    </row>
    <row r="2214" spans="1:7" ht="14.25" customHeight="1">
      <c r="A2214" s="8">
        <f t="shared" si="8"/>
        <v>-862500</v>
      </c>
      <c r="B2214" s="8">
        <v>862500</v>
      </c>
      <c r="C2214" s="8"/>
      <c r="D2214">
        <v>96</v>
      </c>
      <c r="E2214" t="s">
        <v>585</v>
      </c>
      <c r="F2214" t="s">
        <v>1118</v>
      </c>
      <c r="G2214" s="9">
        <v>44728</v>
      </c>
    </row>
    <row r="2215" spans="1:7" ht="14.25" customHeight="1">
      <c r="A2215" s="8">
        <f t="shared" si="8"/>
        <v>-862500</v>
      </c>
      <c r="B2215" s="8">
        <v>862500</v>
      </c>
      <c r="C2215" s="8"/>
    </row>
    <row r="2216" spans="1:7" ht="14.25" customHeight="1">
      <c r="A2216" s="8">
        <f t="shared" si="8"/>
        <v>-862500</v>
      </c>
      <c r="B2216" s="8">
        <v>862500</v>
      </c>
      <c r="C2216" s="8"/>
      <c r="E2216">
        <v>2141121</v>
      </c>
      <c r="F2216" t="s">
        <v>386</v>
      </c>
      <c r="G2216" t="s">
        <v>581</v>
      </c>
    </row>
    <row r="2217" spans="1:7" ht="14.25" customHeight="1">
      <c r="A2217" s="8">
        <f t="shared" si="8"/>
        <v>0</v>
      </c>
      <c r="B2217" s="8"/>
      <c r="C2217" s="8"/>
      <c r="D2217" t="s">
        <v>387</v>
      </c>
      <c r="G2217">
        <v>2141205</v>
      </c>
    </row>
    <row r="2218" spans="1:7" ht="14.25" customHeight="1">
      <c r="A2218" s="8">
        <f t="shared" si="8"/>
        <v>0</v>
      </c>
      <c r="B2218" s="8"/>
      <c r="C2218" s="8"/>
      <c r="F2218" t="s">
        <v>582</v>
      </c>
      <c r="G2218">
        <v>63240000</v>
      </c>
    </row>
    <row r="2219" spans="1:7" ht="14.25" customHeight="1">
      <c r="A2219" s="8">
        <f t="shared" si="8"/>
        <v>184000</v>
      </c>
      <c r="B2219" s="8"/>
      <c r="C2219" s="8">
        <v>184000</v>
      </c>
      <c r="D2219">
        <v>324</v>
      </c>
      <c r="E2219" t="s">
        <v>579</v>
      </c>
      <c r="F2219" t="s">
        <v>1119</v>
      </c>
      <c r="G2219" s="9">
        <v>44854</v>
      </c>
    </row>
    <row r="2220" spans="1:7" ht="14.25" customHeight="1">
      <c r="A2220" s="8">
        <f t="shared" si="8"/>
        <v>184000</v>
      </c>
      <c r="B2220" s="8"/>
      <c r="C2220" s="8">
        <v>184000</v>
      </c>
    </row>
    <row r="2221" spans="1:7" ht="14.25" customHeight="1">
      <c r="A2221" s="8">
        <f t="shared" si="8"/>
        <v>184000</v>
      </c>
      <c r="B2221" s="8"/>
      <c r="C2221" s="8">
        <v>184000</v>
      </c>
      <c r="E2221">
        <v>2141205</v>
      </c>
      <c r="F2221" t="s">
        <v>387</v>
      </c>
      <c r="G2221" t="s">
        <v>581</v>
      </c>
    </row>
    <row r="2222" spans="1:7" ht="14.25" customHeight="1">
      <c r="A2222" s="8">
        <f t="shared" si="8"/>
        <v>-22885058</v>
      </c>
      <c r="B2222" s="8">
        <v>32441069</v>
      </c>
      <c r="C2222" s="8">
        <v>9556011</v>
      </c>
      <c r="E2222">
        <v>21</v>
      </c>
      <c r="F2222" t="s">
        <v>388</v>
      </c>
      <c r="G2222" t="s">
        <v>581</v>
      </c>
    </row>
    <row r="2223" spans="1:7" ht="14.25" customHeight="1">
      <c r="A2223" s="8">
        <f t="shared" si="8"/>
        <v>0</v>
      </c>
      <c r="B2223" s="8"/>
      <c r="C2223" s="8"/>
      <c r="D2223" t="s">
        <v>389</v>
      </c>
      <c r="G2223">
        <v>2245405</v>
      </c>
    </row>
    <row r="2224" spans="1:7" ht="14.25" customHeight="1">
      <c r="A2224" s="8">
        <f t="shared" si="8"/>
        <v>0</v>
      </c>
      <c r="B2224" s="8"/>
      <c r="C2224" s="8"/>
      <c r="F2224" t="s">
        <v>582</v>
      </c>
      <c r="G2224">
        <v>63240000</v>
      </c>
    </row>
    <row r="2225" spans="1:7" ht="14.25" customHeight="1">
      <c r="A2225" s="8">
        <f t="shared" si="8"/>
        <v>86250</v>
      </c>
      <c r="B2225" s="8"/>
      <c r="C2225" s="8">
        <v>86250</v>
      </c>
      <c r="D2225">
        <v>154</v>
      </c>
      <c r="E2225" t="s">
        <v>579</v>
      </c>
      <c r="F2225" t="s">
        <v>1120</v>
      </c>
      <c r="G2225" s="9">
        <v>44712</v>
      </c>
    </row>
    <row r="2226" spans="1:7" ht="14.25" customHeight="1">
      <c r="A2226" s="8">
        <f t="shared" si="8"/>
        <v>86250</v>
      </c>
      <c r="B2226" s="8"/>
      <c r="C2226" s="8">
        <v>86250</v>
      </c>
    </row>
    <row r="2227" spans="1:7" ht="14.25" customHeight="1">
      <c r="A2227" s="8">
        <f t="shared" si="8"/>
        <v>86250</v>
      </c>
      <c r="B2227" s="8"/>
      <c r="C2227" s="8">
        <v>86250</v>
      </c>
      <c r="E2227">
        <v>2245405</v>
      </c>
      <c r="F2227" t="s">
        <v>389</v>
      </c>
      <c r="G2227" t="s">
        <v>581</v>
      </c>
    </row>
    <row r="2228" spans="1:7" ht="14.25" customHeight="1">
      <c r="A2228" s="8">
        <f t="shared" si="8"/>
        <v>0</v>
      </c>
      <c r="B2228" s="8"/>
      <c r="C2228" s="8"/>
      <c r="D2228" t="s">
        <v>390</v>
      </c>
      <c r="G2228">
        <v>2245421</v>
      </c>
    </row>
    <row r="2229" spans="1:7" ht="14.25" customHeight="1">
      <c r="A2229" s="8">
        <f t="shared" si="8"/>
        <v>0</v>
      </c>
      <c r="B2229" s="8"/>
      <c r="C2229" s="8"/>
      <c r="F2229" t="s">
        <v>584</v>
      </c>
      <c r="G2229">
        <v>70612000</v>
      </c>
    </row>
    <row r="2230" spans="1:7" ht="14.25" customHeight="1">
      <c r="A2230" s="8">
        <f t="shared" si="8"/>
        <v>-776250</v>
      </c>
      <c r="B2230" s="8">
        <v>776250</v>
      </c>
      <c r="C2230" s="8"/>
      <c r="D2230">
        <v>31</v>
      </c>
      <c r="E2230" t="s">
        <v>585</v>
      </c>
      <c r="F2230" t="s">
        <v>1121</v>
      </c>
      <c r="G2230" s="9">
        <v>44620</v>
      </c>
    </row>
    <row r="2231" spans="1:7" ht="14.25" customHeight="1">
      <c r="A2231" s="8">
        <f t="shared" si="8"/>
        <v>-776250</v>
      </c>
      <c r="B2231" s="8">
        <v>776250</v>
      </c>
      <c r="C2231" s="8"/>
    </row>
    <row r="2232" spans="1:7" ht="14.25" customHeight="1">
      <c r="A2232" s="8">
        <f t="shared" si="8"/>
        <v>-776250</v>
      </c>
      <c r="B2232" s="8">
        <v>776250</v>
      </c>
      <c r="C2232" s="8"/>
      <c r="E2232">
        <v>2245421</v>
      </c>
      <c r="F2232" t="s">
        <v>390</v>
      </c>
      <c r="G2232" t="s">
        <v>581</v>
      </c>
    </row>
    <row r="2233" spans="1:7" ht="14.25" customHeight="1">
      <c r="A2233" s="8">
        <f t="shared" si="8"/>
        <v>0</v>
      </c>
      <c r="B2233" s="8"/>
      <c r="C2233" s="8"/>
      <c r="D2233" t="s">
        <v>391</v>
      </c>
      <c r="G2233">
        <v>2245502</v>
      </c>
    </row>
    <row r="2234" spans="1:7" ht="14.25" customHeight="1">
      <c r="A2234" s="8">
        <f t="shared" si="8"/>
        <v>0</v>
      </c>
      <c r="B2234" s="8"/>
      <c r="C2234" s="8"/>
      <c r="F2234" t="s">
        <v>590</v>
      </c>
      <c r="G2234">
        <v>61811000</v>
      </c>
    </row>
    <row r="2235" spans="1:7" ht="14.25" customHeight="1">
      <c r="A2235" s="8">
        <f t="shared" si="8"/>
        <v>1530305</v>
      </c>
      <c r="B2235" s="8"/>
      <c r="C2235" s="8">
        <v>1530305</v>
      </c>
      <c r="D2235">
        <v>226</v>
      </c>
      <c r="E2235" t="s">
        <v>579</v>
      </c>
      <c r="F2235" t="s">
        <v>1122</v>
      </c>
      <c r="G2235" s="9">
        <v>44751</v>
      </c>
    </row>
    <row r="2236" spans="1:7" ht="14.25" customHeight="1">
      <c r="A2236" s="8">
        <f t="shared" si="8"/>
        <v>1530305</v>
      </c>
      <c r="B2236" s="8"/>
      <c r="C2236" s="8">
        <v>1530305</v>
      </c>
    </row>
    <row r="2237" spans="1:7" ht="14.25" customHeight="1">
      <c r="A2237" s="8">
        <f t="shared" si="8"/>
        <v>1530305</v>
      </c>
      <c r="B2237" s="8"/>
      <c r="C2237" s="8">
        <v>1530305</v>
      </c>
      <c r="E2237">
        <v>2245502</v>
      </c>
      <c r="F2237" t="s">
        <v>391</v>
      </c>
      <c r="G2237" t="s">
        <v>581</v>
      </c>
    </row>
    <row r="2238" spans="1:7" ht="14.25" customHeight="1">
      <c r="A2238" s="8">
        <f t="shared" si="8"/>
        <v>0</v>
      </c>
      <c r="B2238" s="8"/>
      <c r="C2238" s="8"/>
      <c r="D2238" t="s">
        <v>392</v>
      </c>
      <c r="G2238">
        <v>2245521</v>
      </c>
    </row>
    <row r="2239" spans="1:7" ht="14.25" customHeight="1">
      <c r="A2239" s="8">
        <f t="shared" si="8"/>
        <v>0</v>
      </c>
      <c r="B2239" s="8"/>
      <c r="C2239" s="8"/>
      <c r="F2239" t="s">
        <v>584</v>
      </c>
      <c r="G2239">
        <v>70612000</v>
      </c>
    </row>
    <row r="2240" spans="1:7" ht="14.25" customHeight="1">
      <c r="A2240" s="8">
        <f t="shared" si="8"/>
        <v>-1565437</v>
      </c>
      <c r="B2240" s="8">
        <v>1565437</v>
      </c>
      <c r="C2240" s="8"/>
      <c r="D2240">
        <v>92</v>
      </c>
      <c r="E2240" t="s">
        <v>585</v>
      </c>
      <c r="F2240" t="s">
        <v>1123</v>
      </c>
      <c r="G2240" s="9">
        <v>44722</v>
      </c>
    </row>
    <row r="2241" spans="1:7" ht="14.25" customHeight="1">
      <c r="A2241" s="8">
        <f t="shared" si="8"/>
        <v>-1565437</v>
      </c>
      <c r="B2241" s="8">
        <v>1565437</v>
      </c>
      <c r="C2241" s="8"/>
    </row>
    <row r="2242" spans="1:7" ht="14.25" customHeight="1">
      <c r="A2242" s="8">
        <f t="shared" si="8"/>
        <v>-1565437</v>
      </c>
      <c r="B2242" s="8">
        <v>1565437</v>
      </c>
      <c r="C2242" s="8"/>
      <c r="E2242">
        <v>2245521</v>
      </c>
      <c r="F2242" t="s">
        <v>392</v>
      </c>
      <c r="G2242" t="s">
        <v>581</v>
      </c>
    </row>
    <row r="2243" spans="1:7" ht="14.25" customHeight="1">
      <c r="A2243" s="8">
        <f t="shared" si="8"/>
        <v>0</v>
      </c>
      <c r="B2243" s="8"/>
      <c r="C2243" s="8"/>
      <c r="D2243" t="s">
        <v>393</v>
      </c>
      <c r="G2243">
        <v>2247105</v>
      </c>
    </row>
    <row r="2244" spans="1:7" ht="14.25" customHeight="1">
      <c r="A2244" s="8">
        <f t="shared" si="8"/>
        <v>0</v>
      </c>
      <c r="B2244" s="8"/>
      <c r="C2244" s="8"/>
      <c r="F2244" t="s">
        <v>582</v>
      </c>
      <c r="G2244">
        <v>63240000</v>
      </c>
    </row>
    <row r="2245" spans="1:7" ht="14.25" customHeight="1">
      <c r="A2245" s="8">
        <f t="shared" si="8"/>
        <v>201250</v>
      </c>
      <c r="B2245" s="8"/>
      <c r="C2245" s="8">
        <v>201250</v>
      </c>
      <c r="D2245">
        <v>394</v>
      </c>
      <c r="E2245" t="s">
        <v>579</v>
      </c>
      <c r="F2245" t="s">
        <v>1124</v>
      </c>
      <c r="G2245" s="9">
        <v>44896</v>
      </c>
    </row>
    <row r="2246" spans="1:7" ht="14.25" customHeight="1">
      <c r="A2246" s="8">
        <f t="shared" si="8"/>
        <v>201250</v>
      </c>
      <c r="B2246" s="8"/>
      <c r="C2246" s="8">
        <v>201250</v>
      </c>
    </row>
    <row r="2247" spans="1:7" ht="14.25" customHeight="1">
      <c r="A2247" s="8">
        <f t="shared" si="8"/>
        <v>201250</v>
      </c>
      <c r="B2247" s="8"/>
      <c r="C2247" s="8">
        <v>201250</v>
      </c>
      <c r="E2247">
        <v>2247105</v>
      </c>
      <c r="F2247" t="s">
        <v>393</v>
      </c>
      <c r="G2247" t="s">
        <v>581</v>
      </c>
    </row>
    <row r="2248" spans="1:7" ht="14.25" customHeight="1">
      <c r="A2248" s="8">
        <f t="shared" si="8"/>
        <v>0</v>
      </c>
      <c r="B2248" s="8"/>
      <c r="C2248" s="8"/>
      <c r="D2248" t="s">
        <v>394</v>
      </c>
      <c r="G2248">
        <v>2247121</v>
      </c>
    </row>
    <row r="2249" spans="1:7" ht="14.25" customHeight="1">
      <c r="A2249" s="8">
        <f t="shared" si="8"/>
        <v>0</v>
      </c>
      <c r="B2249" s="8"/>
      <c r="C2249" s="8"/>
      <c r="F2249" t="s">
        <v>584</v>
      </c>
      <c r="G2249">
        <v>70612000</v>
      </c>
    </row>
    <row r="2250" spans="1:7" ht="14.25" customHeight="1">
      <c r="A2250" s="8">
        <f t="shared" si="8"/>
        <v>-747500</v>
      </c>
      <c r="B2250" s="8">
        <v>747500</v>
      </c>
      <c r="C2250" s="8"/>
      <c r="D2250">
        <v>189</v>
      </c>
      <c r="E2250" t="s">
        <v>585</v>
      </c>
      <c r="F2250" t="s">
        <v>1125</v>
      </c>
      <c r="G2250" s="9">
        <v>44846</v>
      </c>
    </row>
    <row r="2251" spans="1:7" ht="14.25" customHeight="1">
      <c r="A2251" s="8">
        <f t="shared" si="8"/>
        <v>-747500</v>
      </c>
      <c r="B2251" s="8">
        <v>747500</v>
      </c>
      <c r="C2251" s="8"/>
    </row>
    <row r="2252" spans="1:7" ht="14.25" customHeight="1">
      <c r="A2252" s="8">
        <f t="shared" si="8"/>
        <v>-747500</v>
      </c>
      <c r="B2252" s="8">
        <v>747500</v>
      </c>
      <c r="C2252" s="8"/>
      <c r="E2252">
        <v>2247121</v>
      </c>
      <c r="F2252" t="s">
        <v>394</v>
      </c>
      <c r="G2252" t="s">
        <v>581</v>
      </c>
    </row>
    <row r="2253" spans="1:7" ht="14.25" customHeight="1">
      <c r="A2253" s="8">
        <f t="shared" si="8"/>
        <v>0</v>
      </c>
      <c r="B2253" s="8"/>
      <c r="C2253" s="8"/>
      <c r="D2253" t="s">
        <v>395</v>
      </c>
      <c r="G2253">
        <v>2247201</v>
      </c>
    </row>
    <row r="2254" spans="1:7" ht="14.25" customHeight="1">
      <c r="A2254" s="8">
        <f t="shared" si="8"/>
        <v>0</v>
      </c>
      <c r="B2254" s="8"/>
      <c r="C2254" s="8"/>
      <c r="F2254" t="s">
        <v>578</v>
      </c>
      <c r="G2254">
        <v>63841000</v>
      </c>
    </row>
    <row r="2255" spans="1:7" ht="14.25" customHeight="1">
      <c r="A2255" s="8">
        <f t="shared" si="8"/>
        <v>106375</v>
      </c>
      <c r="B2255" s="8"/>
      <c r="C2255" s="8">
        <v>106375</v>
      </c>
      <c r="D2255">
        <v>34</v>
      </c>
      <c r="E2255" t="s">
        <v>1126</v>
      </c>
      <c r="F2255" t="s">
        <v>1127</v>
      </c>
      <c r="G2255" s="9">
        <v>44764</v>
      </c>
    </row>
    <row r="2256" spans="1:7" ht="14.25" customHeight="1">
      <c r="A2256" s="8">
        <f t="shared" si="8"/>
        <v>106375</v>
      </c>
      <c r="B2256" s="8"/>
      <c r="C2256" s="8">
        <v>106375</v>
      </c>
    </row>
    <row r="2257" spans="1:7" ht="14.25" customHeight="1">
      <c r="A2257" s="8">
        <f t="shared" si="8"/>
        <v>106375</v>
      </c>
      <c r="B2257" s="8"/>
      <c r="C2257" s="8">
        <v>106375</v>
      </c>
      <c r="E2257">
        <v>2247201</v>
      </c>
      <c r="F2257" t="s">
        <v>395</v>
      </c>
      <c r="G2257" t="s">
        <v>581</v>
      </c>
    </row>
    <row r="2258" spans="1:7" ht="14.25" customHeight="1">
      <c r="A2258" s="8">
        <f t="shared" si="8"/>
        <v>0</v>
      </c>
      <c r="B2258" s="8"/>
      <c r="C2258" s="8"/>
      <c r="D2258" t="s">
        <v>396</v>
      </c>
      <c r="G2258">
        <v>2247205</v>
      </c>
    </row>
    <row r="2259" spans="1:7" ht="14.25" customHeight="1">
      <c r="A2259" s="8">
        <f t="shared" si="8"/>
        <v>0</v>
      </c>
      <c r="B2259" s="8"/>
      <c r="C2259" s="8"/>
      <c r="F2259" t="s">
        <v>582</v>
      </c>
      <c r="G2259">
        <v>63240000</v>
      </c>
    </row>
    <row r="2260" spans="1:7" ht="14.25" customHeight="1">
      <c r="A2260" s="8">
        <f t="shared" si="8"/>
        <v>163875</v>
      </c>
      <c r="B2260" s="8"/>
      <c r="C2260" s="8">
        <v>163875</v>
      </c>
      <c r="D2260">
        <v>260</v>
      </c>
      <c r="E2260" t="s">
        <v>579</v>
      </c>
      <c r="F2260" t="s">
        <v>1128</v>
      </c>
      <c r="G2260" s="9">
        <v>44784</v>
      </c>
    </row>
    <row r="2261" spans="1:7" ht="14.25" customHeight="1">
      <c r="A2261" s="8">
        <f t="shared" si="8"/>
        <v>163875</v>
      </c>
      <c r="B2261" s="8"/>
      <c r="C2261" s="8">
        <v>163875</v>
      </c>
    </row>
    <row r="2262" spans="1:7" ht="14.25" customHeight="1">
      <c r="A2262" s="8">
        <f t="shared" si="8"/>
        <v>163875</v>
      </c>
      <c r="B2262" s="8"/>
      <c r="C2262" s="8">
        <v>163875</v>
      </c>
      <c r="E2262">
        <v>2247205</v>
      </c>
      <c r="F2262" t="s">
        <v>396</v>
      </c>
      <c r="G2262" t="s">
        <v>581</v>
      </c>
    </row>
    <row r="2263" spans="1:7" ht="14.25" customHeight="1">
      <c r="A2263" s="8">
        <f t="shared" si="8"/>
        <v>0</v>
      </c>
      <c r="B2263" s="8"/>
      <c r="C2263" s="8"/>
      <c r="D2263" t="s">
        <v>397</v>
      </c>
      <c r="G2263">
        <v>2247221</v>
      </c>
    </row>
    <row r="2264" spans="1:7" ht="14.25" customHeight="1">
      <c r="A2264" s="8">
        <f t="shared" si="8"/>
        <v>0</v>
      </c>
      <c r="B2264" s="8"/>
      <c r="C2264" s="8"/>
      <c r="F2264" t="s">
        <v>584</v>
      </c>
      <c r="G2264">
        <v>70612000</v>
      </c>
    </row>
    <row r="2265" spans="1:7" ht="14.25" customHeight="1">
      <c r="A2265" s="8">
        <f t="shared" si="8"/>
        <v>-480125</v>
      </c>
      <c r="B2265" s="8">
        <v>480125</v>
      </c>
      <c r="C2265" s="8"/>
      <c r="D2265">
        <v>111</v>
      </c>
      <c r="E2265" t="s">
        <v>585</v>
      </c>
      <c r="F2265" t="s">
        <v>1129</v>
      </c>
      <c r="G2265" s="9">
        <v>44753</v>
      </c>
    </row>
    <row r="2266" spans="1:7" ht="14.25" customHeight="1">
      <c r="A2266" s="8">
        <f t="shared" si="8"/>
        <v>-1638750</v>
      </c>
      <c r="B2266" s="8">
        <v>1638750</v>
      </c>
      <c r="C2266" s="8"/>
      <c r="D2266">
        <v>114</v>
      </c>
      <c r="E2266" t="s">
        <v>585</v>
      </c>
      <c r="F2266" t="s">
        <v>1130</v>
      </c>
      <c r="G2266" s="9">
        <v>44754</v>
      </c>
    </row>
    <row r="2267" spans="1:7" ht="14.25" customHeight="1">
      <c r="A2267" s="8">
        <f t="shared" si="8"/>
        <v>1811250</v>
      </c>
      <c r="B2267" s="8"/>
      <c r="C2267" s="8">
        <v>1811250</v>
      </c>
      <c r="D2267">
        <v>113</v>
      </c>
      <c r="E2267" t="s">
        <v>585</v>
      </c>
      <c r="F2267" t="s">
        <v>1131</v>
      </c>
      <c r="G2267" s="9">
        <v>44754</v>
      </c>
    </row>
    <row r="2268" spans="1:7" ht="14.25" customHeight="1">
      <c r="A2268" s="8">
        <f t="shared" si="8"/>
        <v>-307625</v>
      </c>
      <c r="B2268" s="8">
        <v>2118875</v>
      </c>
      <c r="C2268" s="8">
        <v>1811250</v>
      </c>
    </row>
    <row r="2269" spans="1:7" ht="14.25" customHeight="1">
      <c r="A2269" s="8">
        <f t="shared" si="8"/>
        <v>-307625</v>
      </c>
      <c r="B2269" s="8">
        <v>2118875</v>
      </c>
      <c r="C2269" s="8">
        <v>1811250</v>
      </c>
      <c r="E2269">
        <v>2247221</v>
      </c>
      <c r="F2269" t="s">
        <v>397</v>
      </c>
      <c r="G2269" t="s">
        <v>581</v>
      </c>
    </row>
    <row r="2270" spans="1:7" ht="14.25" customHeight="1">
      <c r="A2270" s="8">
        <f t="shared" si="8"/>
        <v>0</v>
      </c>
      <c r="B2270" s="8"/>
      <c r="C2270" s="8"/>
      <c r="D2270" t="s">
        <v>398</v>
      </c>
      <c r="G2270">
        <v>2247301</v>
      </c>
    </row>
    <row r="2271" spans="1:7" ht="14.25" customHeight="1">
      <c r="A2271" s="8">
        <f t="shared" si="8"/>
        <v>0</v>
      </c>
      <c r="B2271" s="8"/>
      <c r="C2271" s="8"/>
      <c r="F2271" t="s">
        <v>578</v>
      </c>
      <c r="G2271">
        <v>63841000</v>
      </c>
    </row>
    <row r="2272" spans="1:7" ht="14.25" customHeight="1">
      <c r="A2272" s="8">
        <f t="shared" si="8"/>
        <v>106375</v>
      </c>
      <c r="B2272" s="8"/>
      <c r="C2272" s="8">
        <v>106375</v>
      </c>
      <c r="D2272">
        <v>34</v>
      </c>
      <c r="E2272" t="s">
        <v>1126</v>
      </c>
      <c r="F2272" t="s">
        <v>1127</v>
      </c>
      <c r="G2272" s="9">
        <v>44764</v>
      </c>
    </row>
    <row r="2273" spans="1:7" ht="14.25" customHeight="1">
      <c r="A2273" s="8">
        <f t="shared" si="8"/>
        <v>106375</v>
      </c>
      <c r="B2273" s="8"/>
      <c r="C2273" s="8">
        <v>106375</v>
      </c>
    </row>
    <row r="2274" spans="1:7" ht="14.25" customHeight="1">
      <c r="A2274" s="8">
        <f t="shared" si="8"/>
        <v>106375</v>
      </c>
      <c r="B2274" s="8"/>
      <c r="C2274" s="8">
        <v>106375</v>
      </c>
      <c r="E2274">
        <v>2247301</v>
      </c>
      <c r="F2274" t="s">
        <v>398</v>
      </c>
      <c r="G2274" t="s">
        <v>581</v>
      </c>
    </row>
    <row r="2275" spans="1:7" ht="14.25" customHeight="1">
      <c r="A2275" s="8">
        <f t="shared" si="8"/>
        <v>0</v>
      </c>
      <c r="B2275" s="8"/>
      <c r="C2275" s="8"/>
      <c r="D2275" t="s">
        <v>399</v>
      </c>
      <c r="G2275">
        <v>2247305</v>
      </c>
    </row>
    <row r="2276" spans="1:7" ht="14.25" customHeight="1">
      <c r="A2276" s="8">
        <f t="shared" si="8"/>
        <v>0</v>
      </c>
      <c r="B2276" s="8"/>
      <c r="C2276" s="8"/>
      <c r="F2276" t="s">
        <v>582</v>
      </c>
      <c r="G2276">
        <v>63240000</v>
      </c>
    </row>
    <row r="2277" spans="1:7" ht="14.25" customHeight="1">
      <c r="A2277" s="8">
        <f t="shared" si="8"/>
        <v>163875</v>
      </c>
      <c r="B2277" s="8"/>
      <c r="C2277" s="8">
        <v>163875</v>
      </c>
      <c r="D2277">
        <v>260</v>
      </c>
      <c r="E2277" t="s">
        <v>579</v>
      </c>
      <c r="F2277" t="s">
        <v>1128</v>
      </c>
      <c r="G2277" s="9">
        <v>44784</v>
      </c>
    </row>
    <row r="2278" spans="1:7" ht="14.25" customHeight="1">
      <c r="A2278" s="8">
        <f t="shared" si="8"/>
        <v>163875</v>
      </c>
      <c r="B2278" s="8"/>
      <c r="C2278" s="8">
        <v>163875</v>
      </c>
    </row>
    <row r="2279" spans="1:7" ht="14.25" customHeight="1">
      <c r="A2279" s="8">
        <f t="shared" si="8"/>
        <v>163875</v>
      </c>
      <c r="B2279" s="8"/>
      <c r="C2279" s="8">
        <v>163875</v>
      </c>
      <c r="E2279">
        <v>2247305</v>
      </c>
      <c r="F2279" t="s">
        <v>399</v>
      </c>
      <c r="G2279" t="s">
        <v>581</v>
      </c>
    </row>
    <row r="2280" spans="1:7" ht="14.25" customHeight="1">
      <c r="A2280" s="8">
        <f t="shared" si="8"/>
        <v>0</v>
      </c>
      <c r="B2280" s="8"/>
      <c r="C2280" s="8"/>
      <c r="D2280" t="s">
        <v>400</v>
      </c>
      <c r="G2280">
        <v>2247321</v>
      </c>
    </row>
    <row r="2281" spans="1:7" ht="14.25" customHeight="1">
      <c r="A2281" s="8">
        <f t="shared" si="8"/>
        <v>0</v>
      </c>
      <c r="B2281" s="8"/>
      <c r="C2281" s="8"/>
      <c r="F2281" t="s">
        <v>584</v>
      </c>
      <c r="G2281">
        <v>70612000</v>
      </c>
    </row>
    <row r="2282" spans="1:7" ht="14.25" customHeight="1">
      <c r="A2282" s="8">
        <f t="shared" si="8"/>
        <v>-209875</v>
      </c>
      <c r="B2282" s="8">
        <v>209875</v>
      </c>
      <c r="C2282" s="8"/>
      <c r="D2282">
        <v>112</v>
      </c>
      <c r="E2282" t="s">
        <v>585</v>
      </c>
      <c r="F2282" t="s">
        <v>1132</v>
      </c>
      <c r="G2282" s="9">
        <v>44753</v>
      </c>
    </row>
    <row r="2283" spans="1:7" ht="14.25" customHeight="1">
      <c r="A2283" s="8">
        <f t="shared" si="8"/>
        <v>-209875</v>
      </c>
      <c r="B2283" s="8">
        <v>209875</v>
      </c>
      <c r="C2283" s="8"/>
    </row>
    <row r="2284" spans="1:7" ht="14.25" customHeight="1">
      <c r="A2284" s="8">
        <f t="shared" si="8"/>
        <v>-209875</v>
      </c>
      <c r="B2284" s="8">
        <v>209875</v>
      </c>
      <c r="C2284" s="8"/>
      <c r="E2284">
        <v>2247321</v>
      </c>
      <c r="F2284" t="s">
        <v>400</v>
      </c>
      <c r="G2284" t="s">
        <v>581</v>
      </c>
    </row>
    <row r="2285" spans="1:7" ht="14.25" customHeight="1">
      <c r="A2285" s="8">
        <f t="shared" si="8"/>
        <v>0</v>
      </c>
      <c r="B2285" s="8"/>
      <c r="C2285" s="8"/>
      <c r="D2285" t="s">
        <v>401</v>
      </c>
      <c r="G2285">
        <v>2247405</v>
      </c>
    </row>
    <row r="2286" spans="1:7" ht="14.25" customHeight="1">
      <c r="A2286" s="8">
        <f t="shared" si="8"/>
        <v>0</v>
      </c>
      <c r="B2286" s="8"/>
      <c r="C2286" s="8"/>
      <c r="F2286" t="s">
        <v>582</v>
      </c>
      <c r="G2286">
        <v>63240000</v>
      </c>
    </row>
    <row r="2287" spans="1:7" ht="14.25" customHeight="1">
      <c r="A2287" s="8">
        <f t="shared" si="8"/>
        <v>238625</v>
      </c>
      <c r="B2287" s="8"/>
      <c r="C2287" s="8">
        <v>238625</v>
      </c>
      <c r="D2287">
        <v>260</v>
      </c>
      <c r="E2287" t="s">
        <v>579</v>
      </c>
      <c r="F2287" t="s">
        <v>1128</v>
      </c>
      <c r="G2287" s="9">
        <v>44784</v>
      </c>
    </row>
    <row r="2288" spans="1:7" ht="14.25" customHeight="1">
      <c r="A2288" s="8">
        <f t="shared" si="8"/>
        <v>238625</v>
      </c>
      <c r="B2288" s="8"/>
      <c r="C2288" s="8">
        <v>238625</v>
      </c>
    </row>
    <row r="2289" spans="1:7" ht="14.25" customHeight="1">
      <c r="A2289" s="8">
        <f t="shared" si="8"/>
        <v>238625</v>
      </c>
      <c r="B2289" s="8"/>
      <c r="C2289" s="8">
        <v>238625</v>
      </c>
      <c r="E2289">
        <v>2247405</v>
      </c>
      <c r="F2289" t="s">
        <v>401</v>
      </c>
      <c r="G2289" t="s">
        <v>581</v>
      </c>
    </row>
    <row r="2290" spans="1:7" ht="14.25" customHeight="1">
      <c r="A2290" s="8">
        <f t="shared" si="8"/>
        <v>0</v>
      </c>
      <c r="B2290" s="8"/>
      <c r="C2290" s="8"/>
      <c r="D2290" t="s">
        <v>402</v>
      </c>
      <c r="G2290">
        <v>2247421</v>
      </c>
    </row>
    <row r="2291" spans="1:7" ht="14.25" customHeight="1">
      <c r="A2291" s="8">
        <f t="shared" si="8"/>
        <v>0</v>
      </c>
      <c r="B2291" s="8"/>
      <c r="C2291" s="8"/>
      <c r="F2291" t="s">
        <v>584</v>
      </c>
      <c r="G2291">
        <v>70612000</v>
      </c>
    </row>
    <row r="2292" spans="1:7" ht="14.25" customHeight="1">
      <c r="A2292" s="8">
        <f t="shared" si="8"/>
        <v>-1700620</v>
      </c>
      <c r="B2292" s="8">
        <v>1700620</v>
      </c>
      <c r="C2292" s="8"/>
      <c r="D2292">
        <v>120</v>
      </c>
      <c r="E2292" t="s">
        <v>585</v>
      </c>
      <c r="F2292" t="s">
        <v>1133</v>
      </c>
      <c r="G2292" s="9">
        <v>44760</v>
      </c>
    </row>
    <row r="2293" spans="1:7" ht="14.25" customHeight="1">
      <c r="A2293" s="8">
        <f t="shared" si="8"/>
        <v>-1700620</v>
      </c>
      <c r="B2293" s="8">
        <v>1700620</v>
      </c>
      <c r="C2293" s="8"/>
    </row>
    <row r="2294" spans="1:7" ht="14.25" customHeight="1">
      <c r="A2294" s="8">
        <f t="shared" si="8"/>
        <v>-1700620</v>
      </c>
      <c r="B2294" s="8">
        <v>1700620</v>
      </c>
      <c r="C2294" s="8"/>
      <c r="E2294">
        <v>2247421</v>
      </c>
      <c r="F2294" t="s">
        <v>402</v>
      </c>
      <c r="G2294" t="s">
        <v>581</v>
      </c>
    </row>
    <row r="2295" spans="1:7" ht="14.25" customHeight="1">
      <c r="A2295" s="8">
        <f t="shared" si="8"/>
        <v>0</v>
      </c>
      <c r="B2295" s="8"/>
      <c r="C2295" s="8"/>
      <c r="D2295" t="s">
        <v>403</v>
      </c>
      <c r="G2295">
        <v>2247501</v>
      </c>
    </row>
    <row r="2296" spans="1:7" ht="14.25" customHeight="1">
      <c r="A2296" s="8">
        <f t="shared" si="8"/>
        <v>0</v>
      </c>
      <c r="B2296" s="8"/>
      <c r="C2296" s="8"/>
      <c r="F2296" t="s">
        <v>578</v>
      </c>
      <c r="G2296">
        <v>63841000</v>
      </c>
    </row>
    <row r="2297" spans="1:7" ht="14.25" customHeight="1">
      <c r="A2297" s="8">
        <f t="shared" ref="A2297:A2551" si="9">C2297-B2297</f>
        <v>106375</v>
      </c>
      <c r="B2297" s="8"/>
      <c r="C2297" s="8">
        <v>106375</v>
      </c>
      <c r="D2297">
        <v>34</v>
      </c>
      <c r="E2297" t="s">
        <v>1126</v>
      </c>
      <c r="F2297" t="s">
        <v>1127</v>
      </c>
      <c r="G2297" s="9">
        <v>44764</v>
      </c>
    </row>
    <row r="2298" spans="1:7" ht="14.25" customHeight="1">
      <c r="A2298" s="8">
        <f t="shared" si="9"/>
        <v>106375</v>
      </c>
      <c r="B2298" s="8"/>
      <c r="C2298" s="8">
        <v>106375</v>
      </c>
    </row>
    <row r="2299" spans="1:7" ht="14.25" customHeight="1">
      <c r="A2299" s="8">
        <f t="shared" si="9"/>
        <v>106375</v>
      </c>
      <c r="B2299" s="8"/>
      <c r="C2299" s="8">
        <v>106375</v>
      </c>
      <c r="E2299">
        <v>2247501</v>
      </c>
      <c r="F2299" t="s">
        <v>403</v>
      </c>
      <c r="G2299" t="s">
        <v>581</v>
      </c>
    </row>
    <row r="2300" spans="1:7" ht="14.25" customHeight="1">
      <c r="A2300" s="8">
        <f t="shared" si="9"/>
        <v>0</v>
      </c>
      <c r="B2300" s="8"/>
      <c r="C2300" s="8"/>
      <c r="D2300" t="s">
        <v>404</v>
      </c>
      <c r="G2300">
        <v>2247505</v>
      </c>
    </row>
    <row r="2301" spans="1:7" ht="14.25" customHeight="1">
      <c r="A2301" s="8">
        <f t="shared" si="9"/>
        <v>0</v>
      </c>
      <c r="B2301" s="8"/>
      <c r="C2301" s="8"/>
      <c r="F2301" t="s">
        <v>582</v>
      </c>
      <c r="G2301">
        <v>63240000</v>
      </c>
    </row>
    <row r="2302" spans="1:7" ht="14.25" customHeight="1">
      <c r="A2302" s="8">
        <f t="shared" si="9"/>
        <v>238625</v>
      </c>
      <c r="B2302" s="8"/>
      <c r="C2302" s="8">
        <v>238625</v>
      </c>
      <c r="D2302">
        <v>260</v>
      </c>
      <c r="E2302" t="s">
        <v>579</v>
      </c>
      <c r="F2302" t="s">
        <v>1128</v>
      </c>
      <c r="G2302" s="9">
        <v>44784</v>
      </c>
    </row>
    <row r="2303" spans="1:7" ht="14.25" customHeight="1">
      <c r="A2303" s="8">
        <f t="shared" si="9"/>
        <v>238625</v>
      </c>
      <c r="B2303" s="8"/>
      <c r="C2303" s="8">
        <v>238625</v>
      </c>
    </row>
    <row r="2304" spans="1:7" ht="14.25" customHeight="1">
      <c r="A2304" s="8">
        <f t="shared" si="9"/>
        <v>238625</v>
      </c>
      <c r="B2304" s="8"/>
      <c r="C2304" s="8">
        <v>238625</v>
      </c>
      <c r="E2304">
        <v>2247505</v>
      </c>
      <c r="F2304" t="s">
        <v>404</v>
      </c>
      <c r="G2304" t="s">
        <v>581</v>
      </c>
    </row>
    <row r="2305" spans="1:7" ht="14.25" customHeight="1">
      <c r="A2305" s="8">
        <f t="shared" si="9"/>
        <v>0</v>
      </c>
      <c r="B2305" s="8"/>
      <c r="C2305" s="8"/>
      <c r="D2305" t="s">
        <v>405</v>
      </c>
      <c r="G2305">
        <v>2247521</v>
      </c>
    </row>
    <row r="2306" spans="1:7" ht="14.25" customHeight="1">
      <c r="A2306" s="8">
        <f t="shared" si="9"/>
        <v>0</v>
      </c>
      <c r="B2306" s="8"/>
      <c r="C2306" s="8"/>
      <c r="F2306" t="s">
        <v>584</v>
      </c>
      <c r="G2306">
        <v>70612000</v>
      </c>
    </row>
    <row r="2307" spans="1:7" ht="14.25" customHeight="1">
      <c r="A2307" s="8">
        <f t="shared" si="9"/>
        <v>-1769620</v>
      </c>
      <c r="B2307" s="8">
        <v>1769620</v>
      </c>
      <c r="C2307" s="8"/>
      <c r="D2307">
        <v>121</v>
      </c>
      <c r="E2307" t="s">
        <v>585</v>
      </c>
      <c r="F2307" t="s">
        <v>1134</v>
      </c>
      <c r="G2307" s="9">
        <v>44760</v>
      </c>
    </row>
    <row r="2308" spans="1:7" ht="14.25" customHeight="1">
      <c r="A2308" s="8">
        <f t="shared" si="9"/>
        <v>-1769620</v>
      </c>
      <c r="B2308" s="8">
        <v>1769620</v>
      </c>
      <c r="C2308" s="8"/>
    </row>
    <row r="2309" spans="1:7" ht="14.25" customHeight="1">
      <c r="A2309" s="8">
        <f t="shared" si="9"/>
        <v>-1769620</v>
      </c>
      <c r="B2309" s="8">
        <v>1769620</v>
      </c>
      <c r="C2309" s="8"/>
      <c r="E2309">
        <v>2247521</v>
      </c>
      <c r="F2309" t="s">
        <v>405</v>
      </c>
      <c r="G2309" t="s">
        <v>581</v>
      </c>
    </row>
    <row r="2310" spans="1:7" ht="14.25" customHeight="1">
      <c r="A2310" s="8">
        <f t="shared" si="9"/>
        <v>0</v>
      </c>
      <c r="B2310" s="8"/>
      <c r="C2310" s="8"/>
      <c r="D2310" t="s">
        <v>406</v>
      </c>
      <c r="G2310">
        <v>2247601</v>
      </c>
    </row>
    <row r="2311" spans="1:7" ht="14.25" customHeight="1">
      <c r="A2311" s="8">
        <f t="shared" si="9"/>
        <v>0</v>
      </c>
      <c r="B2311" s="8"/>
      <c r="C2311" s="8"/>
      <c r="F2311" t="s">
        <v>578</v>
      </c>
      <c r="G2311">
        <v>63841000</v>
      </c>
    </row>
    <row r="2312" spans="1:7" ht="14.25" customHeight="1">
      <c r="A2312" s="8">
        <f t="shared" si="9"/>
        <v>106375</v>
      </c>
      <c r="B2312" s="8"/>
      <c r="C2312" s="8">
        <v>106375</v>
      </c>
      <c r="D2312">
        <v>34</v>
      </c>
      <c r="E2312" t="s">
        <v>1126</v>
      </c>
      <c r="F2312" t="s">
        <v>1127</v>
      </c>
      <c r="G2312" s="9">
        <v>44764</v>
      </c>
    </row>
    <row r="2313" spans="1:7" ht="14.25" customHeight="1">
      <c r="A2313" s="8">
        <f t="shared" si="9"/>
        <v>106375</v>
      </c>
      <c r="B2313" s="8"/>
      <c r="C2313" s="8">
        <v>106375</v>
      </c>
    </row>
    <row r="2314" spans="1:7" ht="14.25" customHeight="1">
      <c r="A2314" s="8">
        <f t="shared" si="9"/>
        <v>106375</v>
      </c>
      <c r="B2314" s="8"/>
      <c r="C2314" s="8">
        <v>106375</v>
      </c>
      <c r="E2314">
        <v>2247601</v>
      </c>
      <c r="F2314" t="s">
        <v>406</v>
      </c>
      <c r="G2314" t="s">
        <v>581</v>
      </c>
    </row>
    <row r="2315" spans="1:7" ht="14.25" customHeight="1">
      <c r="A2315" s="8">
        <f t="shared" si="9"/>
        <v>0</v>
      </c>
      <c r="B2315" s="8"/>
      <c r="C2315" s="8"/>
      <c r="D2315" t="s">
        <v>407</v>
      </c>
      <c r="G2315">
        <v>2247605</v>
      </c>
    </row>
    <row r="2316" spans="1:7" ht="14.25" customHeight="1">
      <c r="A2316" s="8">
        <f t="shared" si="9"/>
        <v>0</v>
      </c>
      <c r="B2316" s="8"/>
      <c r="C2316" s="8"/>
      <c r="F2316" t="s">
        <v>582</v>
      </c>
      <c r="G2316">
        <v>63240000</v>
      </c>
    </row>
    <row r="2317" spans="1:7" ht="14.25" customHeight="1">
      <c r="A2317" s="8">
        <f t="shared" si="9"/>
        <v>232875</v>
      </c>
      <c r="B2317" s="8"/>
      <c r="C2317" s="8">
        <v>232875</v>
      </c>
      <c r="D2317">
        <v>260</v>
      </c>
      <c r="E2317" t="s">
        <v>579</v>
      </c>
      <c r="F2317" t="s">
        <v>1128</v>
      </c>
      <c r="G2317" s="9">
        <v>44784</v>
      </c>
    </row>
    <row r="2318" spans="1:7" ht="14.25" customHeight="1">
      <c r="A2318" s="8">
        <f t="shared" si="9"/>
        <v>232875</v>
      </c>
      <c r="B2318" s="8"/>
      <c r="C2318" s="8">
        <v>232875</v>
      </c>
    </row>
    <row r="2319" spans="1:7" ht="14.25" customHeight="1">
      <c r="A2319" s="8">
        <f t="shared" si="9"/>
        <v>232875</v>
      </c>
      <c r="B2319" s="8"/>
      <c r="C2319" s="8">
        <v>232875</v>
      </c>
      <c r="E2319">
        <v>2247605</v>
      </c>
      <c r="F2319" t="s">
        <v>407</v>
      </c>
      <c r="G2319" t="s">
        <v>581</v>
      </c>
    </row>
    <row r="2320" spans="1:7" ht="14.25" customHeight="1">
      <c r="A2320" s="8">
        <f t="shared" si="9"/>
        <v>0</v>
      </c>
      <c r="B2320" s="8"/>
      <c r="C2320" s="8"/>
      <c r="D2320" t="s">
        <v>408</v>
      </c>
      <c r="G2320">
        <v>2247621</v>
      </c>
    </row>
    <row r="2321" spans="1:7" ht="14.25" customHeight="1">
      <c r="A2321" s="8">
        <f t="shared" si="9"/>
        <v>0</v>
      </c>
      <c r="B2321" s="8"/>
      <c r="C2321" s="8"/>
      <c r="F2321" t="s">
        <v>584</v>
      </c>
      <c r="G2321">
        <v>70612000</v>
      </c>
    </row>
    <row r="2322" spans="1:7" ht="14.25" customHeight="1">
      <c r="A2322" s="8">
        <f t="shared" si="9"/>
        <v>-1913370</v>
      </c>
      <c r="B2322" s="8">
        <v>1913370</v>
      </c>
      <c r="C2322" s="8"/>
      <c r="D2322">
        <v>122</v>
      </c>
      <c r="E2322" t="s">
        <v>585</v>
      </c>
      <c r="F2322" t="s">
        <v>1135</v>
      </c>
      <c r="G2322" s="9">
        <v>44760</v>
      </c>
    </row>
    <row r="2323" spans="1:7" ht="14.25" customHeight="1">
      <c r="A2323" s="8">
        <f t="shared" si="9"/>
        <v>-1913370</v>
      </c>
      <c r="B2323" s="8">
        <v>1913370</v>
      </c>
      <c r="C2323" s="8"/>
    </row>
    <row r="2324" spans="1:7" ht="14.25" customHeight="1">
      <c r="A2324" s="8">
        <f t="shared" si="9"/>
        <v>-1913370</v>
      </c>
      <c r="B2324" s="8">
        <v>1913370</v>
      </c>
      <c r="C2324" s="8"/>
      <c r="E2324">
        <v>2247621</v>
      </c>
      <c r="F2324" t="s">
        <v>408</v>
      </c>
      <c r="G2324" t="s">
        <v>581</v>
      </c>
    </row>
    <row r="2325" spans="1:7" ht="14.25" customHeight="1">
      <c r="A2325" s="8">
        <f t="shared" si="9"/>
        <v>0</v>
      </c>
      <c r="B2325" s="8"/>
      <c r="C2325" s="8"/>
      <c r="D2325" t="s">
        <v>409</v>
      </c>
      <c r="G2325">
        <v>2247701</v>
      </c>
    </row>
    <row r="2326" spans="1:7" ht="14.25" customHeight="1">
      <c r="A2326" s="8">
        <f t="shared" si="9"/>
        <v>0</v>
      </c>
      <c r="B2326" s="8"/>
      <c r="C2326" s="8"/>
      <c r="F2326" t="s">
        <v>578</v>
      </c>
      <c r="G2326">
        <v>63841000</v>
      </c>
    </row>
    <row r="2327" spans="1:7" ht="14.25" customHeight="1">
      <c r="A2327" s="8">
        <f t="shared" si="9"/>
        <v>139495</v>
      </c>
      <c r="B2327" s="8"/>
      <c r="C2327" s="8">
        <v>139495</v>
      </c>
      <c r="D2327">
        <v>95</v>
      </c>
      <c r="E2327" t="s">
        <v>594</v>
      </c>
      <c r="F2327" t="s">
        <v>1136</v>
      </c>
      <c r="G2327" s="9">
        <v>44799</v>
      </c>
    </row>
    <row r="2328" spans="1:7" ht="14.25" customHeight="1">
      <c r="A2328" s="8">
        <f t="shared" si="9"/>
        <v>139495</v>
      </c>
      <c r="B2328" s="8"/>
      <c r="C2328" s="8">
        <v>139495</v>
      </c>
    </row>
    <row r="2329" spans="1:7" ht="14.25" customHeight="1">
      <c r="A2329" s="8">
        <f t="shared" si="9"/>
        <v>139495</v>
      </c>
      <c r="B2329" s="8"/>
      <c r="C2329" s="8">
        <v>139495</v>
      </c>
      <c r="E2329">
        <v>2247701</v>
      </c>
      <c r="F2329" t="s">
        <v>409</v>
      </c>
      <c r="G2329" t="s">
        <v>581</v>
      </c>
    </row>
    <row r="2330" spans="1:7" ht="14.25" customHeight="1">
      <c r="A2330" s="8">
        <f t="shared" si="9"/>
        <v>0</v>
      </c>
      <c r="B2330" s="8"/>
      <c r="C2330" s="8"/>
      <c r="D2330" t="s">
        <v>410</v>
      </c>
      <c r="G2330">
        <v>2247721</v>
      </c>
    </row>
    <row r="2331" spans="1:7" ht="14.25" customHeight="1">
      <c r="A2331" s="8">
        <f t="shared" si="9"/>
        <v>0</v>
      </c>
      <c r="B2331" s="8"/>
      <c r="C2331" s="8"/>
      <c r="F2331" t="s">
        <v>584</v>
      </c>
      <c r="G2331">
        <v>70612000</v>
      </c>
    </row>
    <row r="2332" spans="1:7" ht="14.25" customHeight="1">
      <c r="A2332" s="8">
        <f t="shared" si="9"/>
        <v>-968415</v>
      </c>
      <c r="B2332" s="8">
        <v>968415</v>
      </c>
      <c r="C2332" s="8"/>
      <c r="D2332">
        <v>145</v>
      </c>
      <c r="E2332" t="s">
        <v>585</v>
      </c>
      <c r="F2332" t="s">
        <v>1137</v>
      </c>
      <c r="G2332" s="9">
        <v>44789</v>
      </c>
    </row>
    <row r="2333" spans="1:7" ht="14.25" customHeight="1">
      <c r="A2333" s="8">
        <f t="shared" si="9"/>
        <v>-968415</v>
      </c>
      <c r="B2333" s="8">
        <v>968415</v>
      </c>
      <c r="C2333" s="8"/>
    </row>
    <row r="2334" spans="1:7" ht="14.25" customHeight="1">
      <c r="A2334" s="8">
        <f t="shared" si="9"/>
        <v>-968415</v>
      </c>
      <c r="B2334" s="8">
        <v>968415</v>
      </c>
      <c r="C2334" s="8"/>
      <c r="E2334">
        <v>2247721</v>
      </c>
      <c r="F2334" t="s">
        <v>410</v>
      </c>
      <c r="G2334" t="s">
        <v>581</v>
      </c>
    </row>
    <row r="2335" spans="1:7" ht="14.25" customHeight="1">
      <c r="A2335" s="8">
        <f t="shared" si="9"/>
        <v>0</v>
      </c>
      <c r="B2335" s="8"/>
      <c r="C2335" s="8"/>
      <c r="D2335" t="s">
        <v>411</v>
      </c>
      <c r="G2335">
        <v>2247801</v>
      </c>
    </row>
    <row r="2336" spans="1:7" ht="14.25" customHeight="1">
      <c r="A2336" s="8">
        <f t="shared" si="9"/>
        <v>0</v>
      </c>
      <c r="B2336" s="8"/>
      <c r="C2336" s="8"/>
      <c r="F2336" t="s">
        <v>578</v>
      </c>
      <c r="G2336">
        <v>63841000</v>
      </c>
    </row>
    <row r="2337" spans="1:7" ht="14.25" customHeight="1">
      <c r="A2337" s="8">
        <f t="shared" si="9"/>
        <v>29095</v>
      </c>
      <c r="B2337" s="8"/>
      <c r="C2337" s="8">
        <v>29095</v>
      </c>
      <c r="D2337">
        <v>112</v>
      </c>
      <c r="E2337" t="s">
        <v>594</v>
      </c>
      <c r="F2337" t="s">
        <v>1138</v>
      </c>
      <c r="G2337" s="9">
        <v>44826</v>
      </c>
    </row>
    <row r="2338" spans="1:7" ht="14.25" customHeight="1">
      <c r="A2338" s="8">
        <f t="shared" si="9"/>
        <v>29095</v>
      </c>
      <c r="B2338" s="8"/>
      <c r="C2338" s="8">
        <v>29095</v>
      </c>
    </row>
    <row r="2339" spans="1:7" ht="14.25" customHeight="1">
      <c r="A2339" s="8">
        <f t="shared" si="9"/>
        <v>29095</v>
      </c>
      <c r="B2339" s="8"/>
      <c r="C2339" s="8">
        <v>29095</v>
      </c>
      <c r="E2339">
        <v>2247801</v>
      </c>
      <c r="F2339" t="s">
        <v>411</v>
      </c>
      <c r="G2339" t="s">
        <v>581</v>
      </c>
    </row>
    <row r="2340" spans="1:7" ht="14.25" customHeight="1">
      <c r="A2340" s="8">
        <f t="shared" si="9"/>
        <v>0</v>
      </c>
      <c r="B2340" s="8"/>
      <c r="C2340" s="8"/>
      <c r="D2340" t="s">
        <v>412</v>
      </c>
      <c r="G2340">
        <v>2247821</v>
      </c>
    </row>
    <row r="2341" spans="1:7" ht="14.25" customHeight="1">
      <c r="A2341" s="8">
        <f t="shared" si="9"/>
        <v>0</v>
      </c>
      <c r="B2341" s="8"/>
      <c r="C2341" s="8"/>
      <c r="F2341" t="s">
        <v>584</v>
      </c>
      <c r="G2341">
        <v>70612000</v>
      </c>
    </row>
    <row r="2342" spans="1:7" ht="14.25" customHeight="1">
      <c r="A2342" s="8">
        <f t="shared" si="9"/>
        <v>-3191250</v>
      </c>
      <c r="B2342" s="8">
        <v>3191250</v>
      </c>
      <c r="C2342" s="8"/>
      <c r="D2342">
        <v>164</v>
      </c>
      <c r="E2342" t="s">
        <v>585</v>
      </c>
      <c r="F2342" t="s">
        <v>1139</v>
      </c>
      <c r="G2342" s="9">
        <v>44812</v>
      </c>
    </row>
    <row r="2343" spans="1:7" ht="14.25" customHeight="1">
      <c r="A2343" s="8">
        <f t="shared" si="9"/>
        <v>3191250</v>
      </c>
      <c r="B2343" s="8"/>
      <c r="C2343" s="8">
        <v>3191250</v>
      </c>
      <c r="D2343">
        <v>172</v>
      </c>
      <c r="E2343" t="s">
        <v>585</v>
      </c>
      <c r="F2343" t="s">
        <v>1140</v>
      </c>
      <c r="G2343" s="9">
        <v>44824</v>
      </c>
    </row>
    <row r="2344" spans="1:7" ht="14.25" customHeight="1">
      <c r="A2344" s="8">
        <f t="shared" si="9"/>
        <v>-1351250</v>
      </c>
      <c r="B2344" s="8">
        <v>1351250</v>
      </c>
      <c r="C2344" s="8"/>
      <c r="D2344">
        <v>174</v>
      </c>
      <c r="E2344" t="s">
        <v>585</v>
      </c>
      <c r="F2344" t="s">
        <v>1141</v>
      </c>
      <c r="G2344" s="9">
        <v>44824</v>
      </c>
    </row>
    <row r="2345" spans="1:7" ht="14.25" customHeight="1">
      <c r="A2345" s="8">
        <f t="shared" si="9"/>
        <v>-1351250</v>
      </c>
      <c r="B2345" s="8">
        <v>4542500</v>
      </c>
      <c r="C2345" s="8">
        <v>3191250</v>
      </c>
    </row>
    <row r="2346" spans="1:7" ht="14.25" customHeight="1">
      <c r="A2346" s="8">
        <f t="shared" si="9"/>
        <v>-1351250</v>
      </c>
      <c r="B2346" s="8">
        <v>4542500</v>
      </c>
      <c r="C2346" s="8">
        <v>3191250</v>
      </c>
      <c r="E2346">
        <v>2247821</v>
      </c>
      <c r="F2346" t="s">
        <v>412</v>
      </c>
      <c r="G2346" t="s">
        <v>581</v>
      </c>
    </row>
    <row r="2347" spans="1:7" ht="14.25" customHeight="1">
      <c r="A2347" s="8">
        <f t="shared" si="9"/>
        <v>0</v>
      </c>
      <c r="B2347" s="8"/>
      <c r="C2347" s="8"/>
      <c r="D2347" t="s">
        <v>413</v>
      </c>
      <c r="G2347">
        <v>2247901</v>
      </c>
    </row>
    <row r="2348" spans="1:7" ht="14.25" customHeight="1">
      <c r="A2348" s="8">
        <f t="shared" si="9"/>
        <v>0</v>
      </c>
      <c r="B2348" s="8"/>
      <c r="C2348" s="8"/>
      <c r="F2348" t="s">
        <v>578</v>
      </c>
      <c r="G2348">
        <v>63841000</v>
      </c>
    </row>
    <row r="2349" spans="1:7" ht="14.25" customHeight="1">
      <c r="A2349" s="8">
        <f t="shared" si="9"/>
        <v>29095</v>
      </c>
      <c r="B2349" s="8"/>
      <c r="C2349" s="8">
        <v>29095</v>
      </c>
      <c r="D2349">
        <v>112</v>
      </c>
      <c r="E2349" t="s">
        <v>594</v>
      </c>
      <c r="F2349" t="s">
        <v>1138</v>
      </c>
      <c r="G2349" s="9">
        <v>44826</v>
      </c>
    </row>
    <row r="2350" spans="1:7" ht="14.25" customHeight="1">
      <c r="A2350" s="8">
        <f t="shared" si="9"/>
        <v>29095</v>
      </c>
      <c r="B2350" s="8"/>
      <c r="C2350" s="8">
        <v>29095</v>
      </c>
    </row>
    <row r="2351" spans="1:7" ht="14.25" customHeight="1">
      <c r="A2351" s="8">
        <f t="shared" si="9"/>
        <v>29095</v>
      </c>
      <c r="B2351" s="8"/>
      <c r="C2351" s="8">
        <v>29095</v>
      </c>
      <c r="E2351">
        <v>2247901</v>
      </c>
      <c r="F2351" t="s">
        <v>413</v>
      </c>
      <c r="G2351" t="s">
        <v>581</v>
      </c>
    </row>
    <row r="2352" spans="1:7" ht="14.25" customHeight="1">
      <c r="A2352" s="8">
        <f t="shared" si="9"/>
        <v>0</v>
      </c>
      <c r="B2352" s="8"/>
      <c r="C2352" s="8"/>
      <c r="D2352" t="s">
        <v>414</v>
      </c>
      <c r="G2352">
        <v>2247921</v>
      </c>
    </row>
    <row r="2353" spans="1:7" ht="14.25" customHeight="1">
      <c r="A2353" s="8">
        <f t="shared" si="9"/>
        <v>0</v>
      </c>
      <c r="B2353" s="8"/>
      <c r="C2353" s="8"/>
      <c r="F2353" t="s">
        <v>584</v>
      </c>
      <c r="G2353">
        <v>70612000</v>
      </c>
    </row>
    <row r="2354" spans="1:7" ht="14.25" customHeight="1">
      <c r="A2354" s="8">
        <f t="shared" si="9"/>
        <v>-3191250</v>
      </c>
      <c r="B2354" s="8">
        <v>3191250</v>
      </c>
      <c r="C2354" s="8"/>
      <c r="D2354">
        <v>165</v>
      </c>
      <c r="E2354" t="s">
        <v>585</v>
      </c>
      <c r="F2354" t="s">
        <v>1142</v>
      </c>
      <c r="G2354" s="9">
        <v>44812</v>
      </c>
    </row>
    <row r="2355" spans="1:7" ht="14.25" customHeight="1">
      <c r="A2355" s="8">
        <f t="shared" si="9"/>
        <v>3191250</v>
      </c>
      <c r="B2355" s="8"/>
      <c r="C2355" s="8">
        <v>3191250</v>
      </c>
      <c r="D2355">
        <v>173</v>
      </c>
      <c r="E2355" t="s">
        <v>585</v>
      </c>
      <c r="F2355" t="s">
        <v>1143</v>
      </c>
      <c r="G2355" s="9">
        <v>44824</v>
      </c>
    </row>
    <row r="2356" spans="1:7" ht="14.25" customHeight="1">
      <c r="A2356" s="8">
        <f t="shared" si="9"/>
        <v>-1351250</v>
      </c>
      <c r="B2356" s="8">
        <v>1351250</v>
      </c>
      <c r="C2356" s="8"/>
      <c r="D2356">
        <v>175</v>
      </c>
      <c r="E2356" t="s">
        <v>585</v>
      </c>
      <c r="F2356" t="s">
        <v>1144</v>
      </c>
      <c r="G2356" s="9">
        <v>44824</v>
      </c>
    </row>
    <row r="2357" spans="1:7" ht="14.25" customHeight="1">
      <c r="A2357" s="8">
        <f t="shared" si="9"/>
        <v>-1351250</v>
      </c>
      <c r="B2357" s="8">
        <v>4542500</v>
      </c>
      <c r="C2357" s="8">
        <v>3191250</v>
      </c>
    </row>
    <row r="2358" spans="1:7" ht="14.25" customHeight="1">
      <c r="A2358" s="8">
        <f t="shared" si="9"/>
        <v>-1351250</v>
      </c>
      <c r="B2358" s="8">
        <v>4542500</v>
      </c>
      <c r="C2358" s="8">
        <v>3191250</v>
      </c>
      <c r="E2358">
        <v>2247921</v>
      </c>
      <c r="F2358" t="s">
        <v>414</v>
      </c>
      <c r="G2358" t="s">
        <v>581</v>
      </c>
    </row>
    <row r="2359" spans="1:7" ht="14.25" customHeight="1">
      <c r="A2359" s="8">
        <f t="shared" si="9"/>
        <v>0</v>
      </c>
      <c r="B2359" s="8"/>
      <c r="C2359" s="8"/>
      <c r="D2359" t="s">
        <v>415</v>
      </c>
      <c r="G2359">
        <v>2248021</v>
      </c>
    </row>
    <row r="2360" spans="1:7" ht="14.25" customHeight="1">
      <c r="A2360" s="8">
        <f t="shared" si="9"/>
        <v>0</v>
      </c>
      <c r="B2360" s="8"/>
      <c r="C2360" s="8"/>
      <c r="F2360" t="s">
        <v>584</v>
      </c>
      <c r="G2360">
        <v>70612000</v>
      </c>
    </row>
    <row r="2361" spans="1:7" ht="14.25" customHeight="1">
      <c r="A2361" s="8">
        <f t="shared" si="9"/>
        <v>-1454750</v>
      </c>
      <c r="B2361" s="8">
        <v>1454750</v>
      </c>
      <c r="C2361" s="8"/>
      <c r="D2361">
        <v>221</v>
      </c>
      <c r="E2361" t="s">
        <v>585</v>
      </c>
      <c r="F2361" t="s">
        <v>1145</v>
      </c>
      <c r="G2361" s="9">
        <v>44917</v>
      </c>
    </row>
    <row r="2362" spans="1:7" ht="14.25" customHeight="1">
      <c r="A2362" s="8">
        <f t="shared" si="9"/>
        <v>1454750</v>
      </c>
      <c r="B2362" s="8"/>
      <c r="C2362" s="8">
        <v>1454750</v>
      </c>
      <c r="D2362">
        <v>305</v>
      </c>
      <c r="E2362" t="s">
        <v>594</v>
      </c>
      <c r="F2362" t="s">
        <v>1146</v>
      </c>
      <c r="G2362" s="9">
        <v>44925</v>
      </c>
    </row>
    <row r="2363" spans="1:7" ht="14.25" customHeight="1">
      <c r="A2363" s="8">
        <f t="shared" si="9"/>
        <v>0</v>
      </c>
      <c r="B2363" s="8">
        <v>1454750</v>
      </c>
      <c r="C2363" s="8">
        <v>1454750</v>
      </c>
    </row>
    <row r="2364" spans="1:7" ht="14.25" customHeight="1">
      <c r="A2364" s="8">
        <f t="shared" si="9"/>
        <v>0</v>
      </c>
      <c r="B2364" s="8">
        <v>1454750</v>
      </c>
      <c r="C2364" s="8">
        <v>1454750</v>
      </c>
      <c r="E2364">
        <v>2248021</v>
      </c>
      <c r="F2364" t="s">
        <v>415</v>
      </c>
      <c r="G2364" t="s">
        <v>581</v>
      </c>
    </row>
    <row r="2365" spans="1:7" ht="14.25" customHeight="1">
      <c r="A2365" s="8">
        <f t="shared" si="9"/>
        <v>-9182348</v>
      </c>
      <c r="B2365" s="8">
        <v>22309713</v>
      </c>
      <c r="C2365" s="8">
        <v>13127365</v>
      </c>
      <c r="E2365">
        <v>22</v>
      </c>
      <c r="F2365" t="s">
        <v>416</v>
      </c>
      <c r="G2365" t="s">
        <v>581</v>
      </c>
    </row>
    <row r="2366" spans="1:7" ht="14.25" customHeight="1">
      <c r="A2366" s="8">
        <f t="shared" si="9"/>
        <v>0</v>
      </c>
      <c r="B2366" s="8"/>
      <c r="C2366" s="8"/>
      <c r="D2366" t="s">
        <v>417</v>
      </c>
      <c r="G2366">
        <v>2345105</v>
      </c>
    </row>
    <row r="2367" spans="1:7" ht="14.25" customHeight="1">
      <c r="A2367" s="8">
        <f t="shared" si="9"/>
        <v>0</v>
      </c>
      <c r="B2367" s="8"/>
      <c r="C2367" s="8"/>
      <c r="F2367" t="s">
        <v>582</v>
      </c>
      <c r="G2367">
        <v>63240000</v>
      </c>
    </row>
    <row r="2368" spans="1:7" ht="14.25" customHeight="1">
      <c r="A2368" s="8">
        <f t="shared" si="9"/>
        <v>345000</v>
      </c>
      <c r="B2368" s="8"/>
      <c r="C2368" s="8">
        <v>345000</v>
      </c>
      <c r="D2368">
        <v>393</v>
      </c>
      <c r="E2368" t="s">
        <v>579</v>
      </c>
      <c r="F2368" t="s">
        <v>1147</v>
      </c>
      <c r="G2368" s="9">
        <v>44896</v>
      </c>
    </row>
    <row r="2369" spans="1:7" ht="14.25" customHeight="1">
      <c r="A2369" s="8">
        <f t="shared" si="9"/>
        <v>345000</v>
      </c>
      <c r="B2369" s="8"/>
      <c r="C2369" s="8">
        <v>345000</v>
      </c>
    </row>
    <row r="2370" spans="1:7" ht="14.25" customHeight="1">
      <c r="A2370" s="8">
        <f t="shared" si="9"/>
        <v>345000</v>
      </c>
      <c r="B2370" s="8"/>
      <c r="C2370" s="8">
        <v>345000</v>
      </c>
      <c r="E2370">
        <v>2345105</v>
      </c>
      <c r="F2370" t="s">
        <v>417</v>
      </c>
      <c r="G2370" t="s">
        <v>581</v>
      </c>
    </row>
    <row r="2371" spans="1:7" ht="14.25" customHeight="1">
      <c r="A2371" s="8">
        <f t="shared" si="9"/>
        <v>0</v>
      </c>
      <c r="B2371" s="8"/>
      <c r="C2371" s="8"/>
      <c r="D2371" t="s">
        <v>418</v>
      </c>
      <c r="G2371">
        <v>2345121</v>
      </c>
    </row>
    <row r="2372" spans="1:7" ht="14.25" customHeight="1">
      <c r="A2372" s="8">
        <f t="shared" si="9"/>
        <v>0</v>
      </c>
      <c r="B2372" s="8"/>
      <c r="C2372" s="8"/>
      <c r="F2372" t="s">
        <v>584</v>
      </c>
      <c r="G2372">
        <v>70612000</v>
      </c>
    </row>
    <row r="2373" spans="1:7" ht="14.25" customHeight="1">
      <c r="A2373" s="8">
        <f t="shared" si="9"/>
        <v>-1565437</v>
      </c>
      <c r="B2373" s="8">
        <v>1565437</v>
      </c>
      <c r="C2373" s="8"/>
      <c r="D2373">
        <v>162</v>
      </c>
      <c r="E2373" t="s">
        <v>585</v>
      </c>
      <c r="F2373" t="s">
        <v>1148</v>
      </c>
      <c r="G2373" s="9">
        <v>44805</v>
      </c>
    </row>
    <row r="2374" spans="1:7" ht="14.25" customHeight="1">
      <c r="A2374" s="8">
        <f t="shared" si="9"/>
        <v>-103500</v>
      </c>
      <c r="B2374" s="8">
        <v>103500</v>
      </c>
      <c r="C2374" s="8"/>
      <c r="D2374">
        <v>187</v>
      </c>
      <c r="E2374" t="s">
        <v>585</v>
      </c>
      <c r="F2374" t="s">
        <v>1149</v>
      </c>
      <c r="G2374" s="9">
        <v>44845</v>
      </c>
    </row>
    <row r="2375" spans="1:7" ht="14.25" customHeight="1">
      <c r="A2375" s="8">
        <f t="shared" si="9"/>
        <v>-1668937</v>
      </c>
      <c r="B2375" s="8">
        <v>1668937</v>
      </c>
      <c r="C2375" s="8"/>
    </row>
    <row r="2376" spans="1:7" ht="14.25" customHeight="1">
      <c r="A2376" s="8">
        <f t="shared" si="9"/>
        <v>-1668937</v>
      </c>
      <c r="B2376" s="8">
        <v>1668937</v>
      </c>
      <c r="C2376" s="8"/>
      <c r="E2376">
        <v>2345121</v>
      </c>
      <c r="F2376" t="s">
        <v>418</v>
      </c>
      <c r="G2376" t="s">
        <v>581</v>
      </c>
    </row>
    <row r="2377" spans="1:7" ht="14.25" customHeight="1">
      <c r="A2377" s="8">
        <f t="shared" si="9"/>
        <v>0</v>
      </c>
      <c r="B2377" s="8"/>
      <c r="C2377" s="8"/>
      <c r="D2377" t="s">
        <v>419</v>
      </c>
      <c r="G2377">
        <v>2345221</v>
      </c>
    </row>
    <row r="2378" spans="1:7" ht="14.25" customHeight="1">
      <c r="A2378" s="8">
        <f t="shared" si="9"/>
        <v>0</v>
      </c>
      <c r="B2378" s="8"/>
      <c r="C2378" s="8"/>
      <c r="F2378" t="s">
        <v>584</v>
      </c>
      <c r="G2378">
        <v>70612000</v>
      </c>
    </row>
    <row r="2379" spans="1:7" ht="14.25" customHeight="1">
      <c r="A2379" s="8">
        <f t="shared" si="9"/>
        <v>-1565437</v>
      </c>
      <c r="B2379" s="8">
        <v>1565437</v>
      </c>
      <c r="C2379" s="8"/>
      <c r="D2379">
        <v>169</v>
      </c>
      <c r="E2379" t="s">
        <v>585</v>
      </c>
      <c r="F2379" t="s">
        <v>1150</v>
      </c>
      <c r="G2379" s="9">
        <v>44819</v>
      </c>
    </row>
    <row r="2380" spans="1:7" ht="14.25" customHeight="1">
      <c r="A2380" s="8">
        <f t="shared" si="9"/>
        <v>1565437</v>
      </c>
      <c r="B2380" s="8"/>
      <c r="C2380" s="8">
        <v>1565437</v>
      </c>
      <c r="D2380">
        <v>301</v>
      </c>
      <c r="E2380" t="s">
        <v>594</v>
      </c>
      <c r="F2380" t="s">
        <v>1151</v>
      </c>
      <c r="G2380" s="9">
        <v>44925</v>
      </c>
    </row>
    <row r="2381" spans="1:7" ht="14.25" customHeight="1">
      <c r="A2381" s="8">
        <f t="shared" si="9"/>
        <v>0</v>
      </c>
      <c r="B2381" s="8">
        <v>1565437</v>
      </c>
      <c r="C2381" s="8">
        <v>1565437</v>
      </c>
    </row>
    <row r="2382" spans="1:7" ht="14.25" customHeight="1">
      <c r="A2382" s="8">
        <f t="shared" si="9"/>
        <v>0</v>
      </c>
      <c r="B2382" s="8">
        <v>1565437</v>
      </c>
      <c r="C2382" s="8">
        <v>1565437</v>
      </c>
      <c r="E2382">
        <v>2345221</v>
      </c>
      <c r="F2382" t="s">
        <v>419</v>
      </c>
      <c r="G2382" t="s">
        <v>581</v>
      </c>
    </row>
    <row r="2383" spans="1:7" ht="14.25" customHeight="1">
      <c r="A2383" s="8">
        <f t="shared" si="9"/>
        <v>0</v>
      </c>
      <c r="B2383" s="8"/>
      <c r="C2383" s="8"/>
      <c r="D2383" t="s">
        <v>420</v>
      </c>
      <c r="G2383">
        <v>2345301</v>
      </c>
    </row>
    <row r="2384" spans="1:7" ht="14.25" customHeight="1">
      <c r="A2384" s="8">
        <f t="shared" si="9"/>
        <v>0</v>
      </c>
      <c r="B2384" s="8"/>
      <c r="C2384" s="8"/>
      <c r="F2384" t="s">
        <v>578</v>
      </c>
      <c r="G2384">
        <v>63841000</v>
      </c>
    </row>
    <row r="2385" spans="1:7" ht="14.25" customHeight="1">
      <c r="A2385" s="8">
        <f t="shared" si="9"/>
        <v>34960</v>
      </c>
      <c r="B2385" s="8"/>
      <c r="C2385" s="8">
        <v>34960</v>
      </c>
      <c r="D2385">
        <v>170</v>
      </c>
      <c r="E2385" t="s">
        <v>594</v>
      </c>
      <c r="F2385" t="s">
        <v>1152</v>
      </c>
      <c r="G2385" s="9">
        <v>44886</v>
      </c>
    </row>
    <row r="2386" spans="1:7" ht="14.25" customHeight="1">
      <c r="A2386" s="8">
        <f t="shared" si="9"/>
        <v>34960</v>
      </c>
      <c r="B2386" s="8"/>
      <c r="C2386" s="8">
        <v>34960</v>
      </c>
    </row>
    <row r="2387" spans="1:7" ht="14.25" customHeight="1">
      <c r="A2387" s="8">
        <f t="shared" si="9"/>
        <v>34960</v>
      </c>
      <c r="B2387" s="8"/>
      <c r="C2387" s="8">
        <v>34960</v>
      </c>
      <c r="E2387">
        <v>2345301</v>
      </c>
      <c r="F2387" t="s">
        <v>420</v>
      </c>
      <c r="G2387" t="s">
        <v>581</v>
      </c>
    </row>
    <row r="2388" spans="1:7" ht="14.25" customHeight="1">
      <c r="A2388" s="8">
        <f t="shared" si="9"/>
        <v>0</v>
      </c>
      <c r="B2388" s="8"/>
      <c r="C2388" s="8"/>
      <c r="D2388" t="s">
        <v>421</v>
      </c>
      <c r="G2388">
        <v>2345305</v>
      </c>
    </row>
    <row r="2389" spans="1:7" ht="14.25" customHeight="1">
      <c r="A2389" s="8">
        <f t="shared" si="9"/>
        <v>0</v>
      </c>
      <c r="B2389" s="8"/>
      <c r="C2389" s="8"/>
      <c r="F2389" t="s">
        <v>582</v>
      </c>
      <c r="G2389">
        <v>63240000</v>
      </c>
    </row>
    <row r="2390" spans="1:7" ht="14.25" customHeight="1">
      <c r="A2390" s="8">
        <f t="shared" si="9"/>
        <v>828000</v>
      </c>
      <c r="B2390" s="8"/>
      <c r="C2390" s="8">
        <v>828000</v>
      </c>
      <c r="D2390">
        <v>434</v>
      </c>
      <c r="E2390" t="s">
        <v>579</v>
      </c>
      <c r="F2390" t="s">
        <v>1153</v>
      </c>
      <c r="G2390" s="9">
        <v>44925</v>
      </c>
    </row>
    <row r="2391" spans="1:7" ht="14.25" customHeight="1">
      <c r="A2391" s="8">
        <f t="shared" si="9"/>
        <v>828000</v>
      </c>
      <c r="B2391" s="8"/>
      <c r="C2391" s="8">
        <v>828000</v>
      </c>
    </row>
    <row r="2392" spans="1:7" ht="14.25" customHeight="1">
      <c r="A2392" s="8">
        <f t="shared" si="9"/>
        <v>828000</v>
      </c>
      <c r="B2392" s="8"/>
      <c r="C2392" s="8">
        <v>828000</v>
      </c>
      <c r="E2392">
        <v>2345305</v>
      </c>
      <c r="F2392" t="s">
        <v>421</v>
      </c>
      <c r="G2392" t="s">
        <v>581</v>
      </c>
    </row>
    <row r="2393" spans="1:7" ht="14.25" customHeight="1">
      <c r="A2393" s="8">
        <f t="shared" si="9"/>
        <v>0</v>
      </c>
      <c r="B2393" s="8"/>
      <c r="C2393" s="8"/>
      <c r="D2393" t="s">
        <v>422</v>
      </c>
      <c r="G2393">
        <v>2345321</v>
      </c>
    </row>
    <row r="2394" spans="1:7" ht="14.25" customHeight="1">
      <c r="A2394" s="8">
        <f t="shared" si="9"/>
        <v>0</v>
      </c>
      <c r="B2394" s="8"/>
      <c r="C2394" s="8"/>
      <c r="F2394" t="s">
        <v>584</v>
      </c>
      <c r="G2394">
        <v>70612000</v>
      </c>
    </row>
    <row r="2395" spans="1:7" ht="14.25" customHeight="1">
      <c r="A2395" s="8">
        <f t="shared" si="9"/>
        <v>-2875000</v>
      </c>
      <c r="B2395" s="8">
        <v>2875000</v>
      </c>
      <c r="C2395" s="8"/>
      <c r="D2395">
        <v>201</v>
      </c>
      <c r="E2395" t="s">
        <v>585</v>
      </c>
      <c r="F2395" t="s">
        <v>1154</v>
      </c>
      <c r="G2395" s="9">
        <v>44867</v>
      </c>
    </row>
    <row r="2396" spans="1:7" ht="14.25" customHeight="1">
      <c r="A2396" s="8">
        <f t="shared" si="9"/>
        <v>2875000</v>
      </c>
      <c r="B2396" s="8"/>
      <c r="C2396" s="8">
        <v>2875000</v>
      </c>
      <c r="D2396">
        <v>209</v>
      </c>
      <c r="E2396" t="s">
        <v>585</v>
      </c>
      <c r="F2396" t="s">
        <v>1155</v>
      </c>
      <c r="G2396" s="9">
        <v>44890</v>
      </c>
    </row>
    <row r="2397" spans="1:7" ht="14.25" customHeight="1">
      <c r="A2397" s="8">
        <f t="shared" si="9"/>
        <v>-3450000</v>
      </c>
      <c r="B2397" s="8">
        <v>3450000</v>
      </c>
      <c r="C2397" s="8"/>
      <c r="D2397">
        <v>210</v>
      </c>
      <c r="E2397" t="s">
        <v>585</v>
      </c>
      <c r="F2397" t="s">
        <v>1156</v>
      </c>
      <c r="G2397" s="9">
        <v>44890</v>
      </c>
    </row>
    <row r="2398" spans="1:7" ht="14.25" customHeight="1">
      <c r="A2398" s="8">
        <f t="shared" si="9"/>
        <v>-2875000</v>
      </c>
      <c r="B2398" s="8">
        <v>2875000</v>
      </c>
      <c r="C2398" s="8"/>
      <c r="D2398">
        <v>211</v>
      </c>
      <c r="E2398" t="s">
        <v>585</v>
      </c>
      <c r="F2398" t="s">
        <v>1157</v>
      </c>
      <c r="G2398" s="9">
        <v>44890</v>
      </c>
    </row>
    <row r="2399" spans="1:7" ht="14.25" customHeight="1">
      <c r="A2399" s="8">
        <f t="shared" si="9"/>
        <v>-6325000</v>
      </c>
      <c r="B2399" s="8">
        <v>9200000</v>
      </c>
      <c r="C2399" s="8">
        <v>2875000</v>
      </c>
    </row>
    <row r="2400" spans="1:7" ht="14.25" customHeight="1">
      <c r="A2400" s="8">
        <f t="shared" si="9"/>
        <v>-6325000</v>
      </c>
      <c r="B2400" s="8">
        <v>9200000</v>
      </c>
      <c r="C2400" s="8">
        <v>2875000</v>
      </c>
      <c r="E2400">
        <v>2345321</v>
      </c>
      <c r="F2400" t="s">
        <v>422</v>
      </c>
      <c r="G2400" t="s">
        <v>581</v>
      </c>
    </row>
    <row r="2401" spans="1:7" ht="14.25" customHeight="1">
      <c r="A2401" s="8">
        <f t="shared" si="9"/>
        <v>0</v>
      </c>
      <c r="B2401" s="8"/>
      <c r="C2401" s="8"/>
      <c r="D2401" t="s">
        <v>423</v>
      </c>
      <c r="G2401">
        <v>2345505</v>
      </c>
    </row>
    <row r="2402" spans="1:7" ht="14.25" customHeight="1">
      <c r="A2402" s="8">
        <f t="shared" si="9"/>
        <v>0</v>
      </c>
      <c r="B2402" s="8"/>
      <c r="C2402" s="8"/>
      <c r="F2402" t="s">
        <v>582</v>
      </c>
      <c r="G2402">
        <v>63240000</v>
      </c>
    </row>
    <row r="2403" spans="1:7" ht="14.25" customHeight="1">
      <c r="A2403" s="8">
        <f t="shared" si="9"/>
        <v>345000</v>
      </c>
      <c r="B2403" s="8"/>
      <c r="C2403" s="8">
        <v>345000</v>
      </c>
      <c r="D2403">
        <v>224</v>
      </c>
      <c r="E2403" t="s">
        <v>579</v>
      </c>
      <c r="F2403" t="s">
        <v>1158</v>
      </c>
      <c r="G2403" s="9">
        <v>44760</v>
      </c>
    </row>
    <row r="2404" spans="1:7" ht="14.25" customHeight="1">
      <c r="A2404" s="8">
        <f t="shared" si="9"/>
        <v>345000</v>
      </c>
      <c r="B2404" s="8"/>
      <c r="C2404" s="8">
        <v>345000</v>
      </c>
    </row>
    <row r="2405" spans="1:7" ht="14.25" customHeight="1">
      <c r="A2405" s="8">
        <f t="shared" si="9"/>
        <v>345000</v>
      </c>
      <c r="B2405" s="8"/>
      <c r="C2405" s="8">
        <v>345000</v>
      </c>
      <c r="E2405">
        <v>2345505</v>
      </c>
      <c r="F2405" t="s">
        <v>423</v>
      </c>
      <c r="G2405" t="s">
        <v>581</v>
      </c>
    </row>
    <row r="2406" spans="1:7" ht="14.25" customHeight="1">
      <c r="A2406" s="8">
        <f t="shared" si="9"/>
        <v>0</v>
      </c>
      <c r="B2406" s="8"/>
      <c r="C2406" s="8"/>
      <c r="D2406" t="s">
        <v>424</v>
      </c>
      <c r="G2406">
        <v>2345521</v>
      </c>
    </row>
    <row r="2407" spans="1:7" ht="14.25" customHeight="1">
      <c r="A2407" s="8">
        <f t="shared" si="9"/>
        <v>0</v>
      </c>
      <c r="B2407" s="8"/>
      <c r="C2407" s="8"/>
      <c r="F2407" t="s">
        <v>584</v>
      </c>
      <c r="G2407">
        <v>70612000</v>
      </c>
    </row>
    <row r="2408" spans="1:7" ht="14.25" customHeight="1">
      <c r="A2408" s="8">
        <f t="shared" si="9"/>
        <v>-129375</v>
      </c>
      <c r="B2408" s="8">
        <v>129375</v>
      </c>
      <c r="C2408" s="8"/>
      <c r="D2408">
        <v>179</v>
      </c>
      <c r="E2408" t="s">
        <v>585</v>
      </c>
      <c r="F2408" t="s">
        <v>1159</v>
      </c>
      <c r="G2408" s="9">
        <v>44827</v>
      </c>
    </row>
    <row r="2409" spans="1:7" ht="14.25" customHeight="1">
      <c r="A2409" s="8">
        <f t="shared" si="9"/>
        <v>-129375</v>
      </c>
      <c r="B2409" s="8">
        <v>129375</v>
      </c>
      <c r="C2409" s="8"/>
    </row>
    <row r="2410" spans="1:7" ht="14.25" customHeight="1">
      <c r="A2410" s="8">
        <f t="shared" si="9"/>
        <v>-129375</v>
      </c>
      <c r="B2410" s="8">
        <v>129375</v>
      </c>
      <c r="C2410" s="8"/>
      <c r="E2410">
        <v>2345521</v>
      </c>
      <c r="F2410" t="s">
        <v>424</v>
      </c>
      <c r="G2410" t="s">
        <v>581</v>
      </c>
    </row>
    <row r="2411" spans="1:7" ht="14.25" customHeight="1">
      <c r="A2411" s="8">
        <f t="shared" si="9"/>
        <v>0</v>
      </c>
      <c r="B2411" s="8"/>
      <c r="C2411" s="8"/>
      <c r="D2411" t="s">
        <v>425</v>
      </c>
      <c r="G2411">
        <v>2347221</v>
      </c>
    </row>
    <row r="2412" spans="1:7" ht="14.25" customHeight="1">
      <c r="A2412" s="8">
        <f t="shared" si="9"/>
        <v>0</v>
      </c>
      <c r="B2412" s="8"/>
      <c r="C2412" s="8"/>
      <c r="F2412" t="s">
        <v>584</v>
      </c>
      <c r="G2412">
        <v>70612000</v>
      </c>
    </row>
    <row r="2413" spans="1:7" ht="14.25" customHeight="1">
      <c r="A2413" s="8">
        <f t="shared" si="9"/>
        <v>-1811250</v>
      </c>
      <c r="B2413" s="8">
        <v>1811250</v>
      </c>
      <c r="C2413" s="8"/>
      <c r="D2413">
        <v>37</v>
      </c>
      <c r="E2413" t="s">
        <v>585</v>
      </c>
      <c r="F2413" t="s">
        <v>1160</v>
      </c>
      <c r="G2413" s="9">
        <v>44635</v>
      </c>
    </row>
    <row r="2414" spans="1:7" ht="14.25" customHeight="1">
      <c r="A2414" s="8">
        <f t="shared" si="9"/>
        <v>-1811250</v>
      </c>
      <c r="B2414" s="8">
        <v>1811250</v>
      </c>
      <c r="C2414" s="8"/>
    </row>
    <row r="2415" spans="1:7" ht="14.25" customHeight="1">
      <c r="A2415" s="8">
        <f t="shared" si="9"/>
        <v>-1811250</v>
      </c>
      <c r="B2415" s="8">
        <v>1811250</v>
      </c>
      <c r="C2415" s="8"/>
      <c r="E2415">
        <v>2347221</v>
      </c>
      <c r="F2415" t="s">
        <v>425</v>
      </c>
      <c r="G2415" t="s">
        <v>581</v>
      </c>
    </row>
    <row r="2416" spans="1:7" ht="14.25" customHeight="1">
      <c r="A2416" s="8">
        <f t="shared" si="9"/>
        <v>0</v>
      </c>
      <c r="B2416" s="8"/>
      <c r="C2416" s="8"/>
      <c r="D2416" t="s">
        <v>426</v>
      </c>
      <c r="G2416">
        <v>2347321</v>
      </c>
    </row>
    <row r="2417" spans="1:7" ht="14.25" customHeight="1">
      <c r="A2417" s="8">
        <f t="shared" si="9"/>
        <v>0</v>
      </c>
      <c r="B2417" s="8"/>
      <c r="C2417" s="8"/>
      <c r="F2417" t="s">
        <v>584</v>
      </c>
      <c r="G2417">
        <v>70612000</v>
      </c>
    </row>
    <row r="2418" spans="1:7" ht="14.25" customHeight="1">
      <c r="A2418" s="8">
        <f t="shared" si="9"/>
        <v>-1995250</v>
      </c>
      <c r="B2418" s="8">
        <v>1995250</v>
      </c>
      <c r="C2418" s="8"/>
      <c r="D2418">
        <v>87</v>
      </c>
      <c r="E2418" t="s">
        <v>585</v>
      </c>
      <c r="F2418" t="s">
        <v>1161</v>
      </c>
      <c r="G2418" s="9">
        <v>44705</v>
      </c>
    </row>
    <row r="2419" spans="1:7" ht="14.25" customHeight="1">
      <c r="A2419" s="8">
        <f t="shared" si="9"/>
        <v>-1466250</v>
      </c>
      <c r="B2419" s="8">
        <v>1466250</v>
      </c>
      <c r="C2419" s="8"/>
      <c r="D2419">
        <v>95</v>
      </c>
      <c r="E2419" t="s">
        <v>585</v>
      </c>
      <c r="F2419" t="s">
        <v>1162</v>
      </c>
      <c r="G2419" s="9">
        <v>44728</v>
      </c>
    </row>
    <row r="2420" spans="1:7" ht="14.25" customHeight="1">
      <c r="A2420" s="8">
        <f t="shared" si="9"/>
        <v>1995250</v>
      </c>
      <c r="B2420" s="8"/>
      <c r="C2420" s="8">
        <v>1995250</v>
      </c>
      <c r="D2420">
        <v>101</v>
      </c>
      <c r="E2420" t="s">
        <v>585</v>
      </c>
      <c r="F2420" t="s">
        <v>1163</v>
      </c>
      <c r="G2420" s="9">
        <v>44728</v>
      </c>
    </row>
    <row r="2421" spans="1:7" ht="14.25" customHeight="1">
      <c r="A2421" s="8">
        <f t="shared" si="9"/>
        <v>-1466250</v>
      </c>
      <c r="B2421" s="8">
        <v>3461500</v>
      </c>
      <c r="C2421" s="8">
        <v>1995250</v>
      </c>
    </row>
    <row r="2422" spans="1:7" ht="14.25" customHeight="1">
      <c r="A2422" s="8">
        <f t="shared" si="9"/>
        <v>-1466250</v>
      </c>
      <c r="B2422" s="8">
        <v>3461500</v>
      </c>
      <c r="C2422" s="8">
        <v>1995250</v>
      </c>
      <c r="E2422">
        <v>2347321</v>
      </c>
      <c r="F2422" t="s">
        <v>426</v>
      </c>
      <c r="G2422" t="s">
        <v>581</v>
      </c>
    </row>
    <row r="2423" spans="1:7" ht="14.25" customHeight="1">
      <c r="A2423" s="8">
        <f t="shared" si="9"/>
        <v>-9847853</v>
      </c>
      <c r="B2423" s="8">
        <v>17836500</v>
      </c>
      <c r="C2423" s="8">
        <v>7988647</v>
      </c>
      <c r="E2423">
        <v>23</v>
      </c>
      <c r="F2423" t="s">
        <v>427</v>
      </c>
      <c r="G2423" t="s">
        <v>581</v>
      </c>
    </row>
    <row r="2424" spans="1:7" ht="14.25" customHeight="1">
      <c r="A2424" s="8">
        <f t="shared" si="9"/>
        <v>0</v>
      </c>
      <c r="B2424" s="8"/>
      <c r="C2424" s="8"/>
      <c r="D2424" t="s">
        <v>428</v>
      </c>
      <c r="G2424">
        <v>3150101</v>
      </c>
    </row>
    <row r="2425" spans="1:7" ht="14.25" customHeight="1">
      <c r="A2425" s="8">
        <f t="shared" si="9"/>
        <v>0</v>
      </c>
      <c r="B2425" s="8"/>
      <c r="C2425" s="8"/>
      <c r="F2425" t="s">
        <v>578</v>
      </c>
      <c r="G2425">
        <v>63841000</v>
      </c>
    </row>
    <row r="2426" spans="1:7" ht="14.25" customHeight="1">
      <c r="A2426" s="8">
        <f t="shared" si="9"/>
        <v>174340</v>
      </c>
      <c r="B2426" s="8"/>
      <c r="C2426" s="8">
        <v>174340</v>
      </c>
      <c r="D2426">
        <v>120</v>
      </c>
      <c r="E2426" t="s">
        <v>579</v>
      </c>
      <c r="F2426" t="s">
        <v>1164</v>
      </c>
      <c r="G2426" s="9">
        <v>44686</v>
      </c>
    </row>
    <row r="2427" spans="1:7" ht="14.25" customHeight="1">
      <c r="A2427" s="8">
        <f t="shared" si="9"/>
        <v>174340</v>
      </c>
      <c r="B2427" s="8"/>
      <c r="C2427" s="8">
        <v>174340</v>
      </c>
    </row>
    <row r="2428" spans="1:7" ht="14.25" customHeight="1">
      <c r="A2428" s="8">
        <f t="shared" si="9"/>
        <v>174340</v>
      </c>
      <c r="B2428" s="8"/>
      <c r="C2428" s="8">
        <v>174340</v>
      </c>
      <c r="E2428">
        <v>3150101</v>
      </c>
      <c r="F2428" t="s">
        <v>428</v>
      </c>
      <c r="G2428" t="s">
        <v>581</v>
      </c>
    </row>
    <row r="2429" spans="1:7" ht="14.25" customHeight="1">
      <c r="A2429" s="8">
        <f t="shared" si="9"/>
        <v>0</v>
      </c>
      <c r="B2429" s="8"/>
      <c r="C2429" s="8"/>
      <c r="D2429" t="s">
        <v>429</v>
      </c>
      <c r="G2429">
        <v>3150102</v>
      </c>
    </row>
    <row r="2430" spans="1:7" ht="14.25" customHeight="1">
      <c r="A2430" s="8">
        <f t="shared" si="9"/>
        <v>0</v>
      </c>
      <c r="B2430" s="8"/>
      <c r="C2430" s="8"/>
      <c r="F2430" t="s">
        <v>638</v>
      </c>
      <c r="G2430">
        <v>6121000</v>
      </c>
    </row>
    <row r="2431" spans="1:7" ht="14.25" customHeight="1">
      <c r="A2431" s="8">
        <f t="shared" si="9"/>
        <v>5750</v>
      </c>
      <c r="B2431" s="8"/>
      <c r="C2431" s="8">
        <v>5750</v>
      </c>
      <c r="D2431">
        <v>85</v>
      </c>
      <c r="E2431" t="s">
        <v>667</v>
      </c>
      <c r="F2431" t="s">
        <v>1165</v>
      </c>
      <c r="G2431" s="9">
        <v>44693</v>
      </c>
    </row>
    <row r="2432" spans="1:7" ht="14.25" customHeight="1">
      <c r="A2432" s="8">
        <f t="shared" si="9"/>
        <v>2875</v>
      </c>
      <c r="B2432" s="8"/>
      <c r="C2432" s="8">
        <v>2875</v>
      </c>
      <c r="D2432">
        <v>94</v>
      </c>
      <c r="E2432" t="s">
        <v>667</v>
      </c>
      <c r="F2432" t="s">
        <v>1166</v>
      </c>
      <c r="G2432" s="9">
        <v>44701</v>
      </c>
    </row>
    <row r="2433" spans="1:7" ht="14.25" customHeight="1">
      <c r="A2433" s="8">
        <f t="shared" si="9"/>
        <v>5750</v>
      </c>
      <c r="B2433" s="8"/>
      <c r="C2433" s="8">
        <v>5750</v>
      </c>
      <c r="D2433">
        <v>228</v>
      </c>
      <c r="E2433" t="s">
        <v>667</v>
      </c>
      <c r="F2433" t="s">
        <v>1167</v>
      </c>
      <c r="G2433" s="9">
        <v>44841</v>
      </c>
    </row>
    <row r="2434" spans="1:7" ht="14.25" customHeight="1">
      <c r="A2434" s="8">
        <f t="shared" si="9"/>
        <v>14375</v>
      </c>
      <c r="B2434" s="8"/>
      <c r="C2434" s="8">
        <v>14375</v>
      </c>
    </row>
    <row r="2435" spans="1:7" ht="14.25" customHeight="1">
      <c r="A2435" s="8">
        <f t="shared" si="9"/>
        <v>14375</v>
      </c>
      <c r="B2435" s="8"/>
      <c r="C2435" s="8">
        <v>14375</v>
      </c>
      <c r="E2435">
        <v>3150102</v>
      </c>
      <c r="F2435" t="s">
        <v>429</v>
      </c>
      <c r="G2435" t="s">
        <v>581</v>
      </c>
    </row>
    <row r="2436" spans="1:7" ht="14.25" customHeight="1">
      <c r="A2436" s="8">
        <f t="shared" si="9"/>
        <v>0</v>
      </c>
      <c r="B2436" s="8"/>
      <c r="C2436" s="8"/>
      <c r="D2436" t="s">
        <v>430</v>
      </c>
      <c r="G2436">
        <v>3150104</v>
      </c>
    </row>
    <row r="2437" spans="1:7" ht="14.25" customHeight="1">
      <c r="A2437" s="8">
        <f t="shared" si="9"/>
        <v>0</v>
      </c>
      <c r="B2437" s="8"/>
      <c r="C2437" s="8"/>
      <c r="F2437" t="s">
        <v>1168</v>
      </c>
      <c r="G2437">
        <v>6331</v>
      </c>
    </row>
    <row r="2438" spans="1:7" ht="14.25" customHeight="1">
      <c r="A2438" s="8">
        <f t="shared" si="9"/>
        <v>3359986</v>
      </c>
      <c r="B2438" s="8"/>
      <c r="C2438" s="8">
        <v>3359986</v>
      </c>
      <c r="D2438">
        <v>424</v>
      </c>
      <c r="E2438" t="s">
        <v>579</v>
      </c>
      <c r="F2438" t="s">
        <v>1169</v>
      </c>
      <c r="G2438" s="9">
        <v>44918</v>
      </c>
    </row>
    <row r="2439" spans="1:7" ht="14.25" customHeight="1">
      <c r="A2439" s="8">
        <f t="shared" si="9"/>
        <v>3359986</v>
      </c>
      <c r="B2439" s="8"/>
      <c r="C2439" s="8">
        <v>3359986</v>
      </c>
    </row>
    <row r="2440" spans="1:7" ht="14.25" customHeight="1">
      <c r="A2440" s="8">
        <f t="shared" si="9"/>
        <v>0</v>
      </c>
      <c r="B2440" s="8"/>
      <c r="C2440" s="8"/>
      <c r="F2440" t="s">
        <v>592</v>
      </c>
      <c r="G2440">
        <v>63833</v>
      </c>
    </row>
    <row r="2441" spans="1:7" ht="14.25" customHeight="1">
      <c r="A2441" s="8">
        <f t="shared" si="9"/>
        <v>2413275</v>
      </c>
      <c r="B2441" s="8"/>
      <c r="C2441" s="8">
        <v>2413275</v>
      </c>
      <c r="D2441">
        <v>144</v>
      </c>
      <c r="E2441" t="s">
        <v>579</v>
      </c>
      <c r="F2441" t="s">
        <v>1170</v>
      </c>
      <c r="G2441" s="9">
        <v>44705</v>
      </c>
    </row>
    <row r="2442" spans="1:7" ht="14.25" customHeight="1">
      <c r="A2442" s="8">
        <f t="shared" si="9"/>
        <v>3882400</v>
      </c>
      <c r="B2442" s="8"/>
      <c r="C2442" s="8">
        <v>3882400</v>
      </c>
      <c r="D2442">
        <v>381</v>
      </c>
      <c r="E2442" t="s">
        <v>594</v>
      </c>
      <c r="F2442" t="s">
        <v>1171</v>
      </c>
      <c r="G2442" s="9">
        <v>44925</v>
      </c>
    </row>
    <row r="2443" spans="1:7" ht="14.25" customHeight="1">
      <c r="A2443" s="8">
        <f t="shared" si="9"/>
        <v>6295675</v>
      </c>
      <c r="B2443" s="8"/>
      <c r="C2443" s="8">
        <v>6295675</v>
      </c>
    </row>
    <row r="2444" spans="1:7" ht="14.25" customHeight="1">
      <c r="A2444" s="8">
        <f t="shared" si="9"/>
        <v>9655661</v>
      </c>
      <c r="B2444" s="8"/>
      <c r="C2444" s="8">
        <v>9655661</v>
      </c>
      <c r="E2444">
        <v>3150104</v>
      </c>
      <c r="F2444" t="s">
        <v>430</v>
      </c>
      <c r="G2444" t="s">
        <v>581</v>
      </c>
    </row>
    <row r="2445" spans="1:7" ht="14.25" customHeight="1">
      <c r="A2445" s="8">
        <f t="shared" si="9"/>
        <v>0</v>
      </c>
      <c r="B2445" s="8"/>
      <c r="C2445" s="8"/>
      <c r="D2445" t="s">
        <v>431</v>
      </c>
      <c r="G2445">
        <v>3150115</v>
      </c>
    </row>
    <row r="2446" spans="1:7" ht="14.25" customHeight="1">
      <c r="A2446" s="8">
        <f t="shared" si="9"/>
        <v>0</v>
      </c>
      <c r="B2446" s="8"/>
      <c r="C2446" s="8"/>
      <c r="F2446" t="s">
        <v>1172</v>
      </c>
      <c r="G2446">
        <v>60550000</v>
      </c>
    </row>
    <row r="2447" spans="1:7" ht="14.25" customHeight="1">
      <c r="A2447" s="8">
        <f t="shared" si="9"/>
        <v>539120</v>
      </c>
      <c r="B2447" s="8"/>
      <c r="C2447" s="8">
        <v>539120</v>
      </c>
      <c r="D2447">
        <v>123</v>
      </c>
      <c r="E2447" t="s">
        <v>579</v>
      </c>
      <c r="F2447" t="s">
        <v>1173</v>
      </c>
      <c r="G2447" s="9">
        <v>44690</v>
      </c>
    </row>
    <row r="2448" spans="1:7" ht="14.25" customHeight="1">
      <c r="A2448" s="8">
        <f t="shared" si="9"/>
        <v>11500</v>
      </c>
      <c r="B2448" s="8"/>
      <c r="C2448" s="8">
        <v>11500</v>
      </c>
      <c r="D2448">
        <v>229</v>
      </c>
      <c r="E2448" t="s">
        <v>667</v>
      </c>
      <c r="F2448" t="s">
        <v>1174</v>
      </c>
      <c r="G2448" s="9">
        <v>44841</v>
      </c>
    </row>
    <row r="2449" spans="1:7" ht="14.25" customHeight="1">
      <c r="A2449" s="8">
        <f t="shared" si="9"/>
        <v>550620</v>
      </c>
      <c r="B2449" s="8"/>
      <c r="C2449" s="8">
        <v>550620</v>
      </c>
    </row>
    <row r="2450" spans="1:7" ht="14.25" customHeight="1">
      <c r="A2450" s="8">
        <f t="shared" si="9"/>
        <v>550620</v>
      </c>
      <c r="B2450" s="8"/>
      <c r="C2450" s="8">
        <v>550620</v>
      </c>
      <c r="E2450">
        <v>3150115</v>
      </c>
      <c r="F2450" t="s">
        <v>431</v>
      </c>
      <c r="G2450" t="s">
        <v>581</v>
      </c>
    </row>
    <row r="2451" spans="1:7" ht="14.25" customHeight="1">
      <c r="A2451" s="8">
        <f t="shared" si="9"/>
        <v>0</v>
      </c>
      <c r="B2451" s="8"/>
      <c r="C2451" s="8"/>
      <c r="D2451" t="s">
        <v>432</v>
      </c>
      <c r="G2451">
        <v>3150121</v>
      </c>
    </row>
    <row r="2452" spans="1:7" ht="14.25" customHeight="1">
      <c r="A2452" s="8">
        <f t="shared" si="9"/>
        <v>0</v>
      </c>
      <c r="B2452" s="8"/>
      <c r="C2452" s="8"/>
      <c r="F2452" t="s">
        <v>584</v>
      </c>
      <c r="G2452">
        <v>70612000</v>
      </c>
    </row>
    <row r="2453" spans="1:7" ht="14.25" customHeight="1">
      <c r="A2453" s="8">
        <f t="shared" si="9"/>
        <v>-2070000</v>
      </c>
      <c r="B2453" s="8">
        <v>2070000</v>
      </c>
      <c r="C2453" s="8"/>
      <c r="D2453">
        <v>48</v>
      </c>
      <c r="E2453" t="s">
        <v>585</v>
      </c>
      <c r="F2453" t="s">
        <v>1175</v>
      </c>
      <c r="G2453" s="9">
        <v>44649</v>
      </c>
    </row>
    <row r="2454" spans="1:7" ht="14.25" customHeight="1">
      <c r="A2454" s="8">
        <f t="shared" si="9"/>
        <v>-805000</v>
      </c>
      <c r="B2454" s="8">
        <v>805000</v>
      </c>
      <c r="C2454" s="8"/>
      <c r="D2454">
        <v>50</v>
      </c>
      <c r="E2454" t="s">
        <v>585</v>
      </c>
      <c r="F2454" t="s">
        <v>1176</v>
      </c>
      <c r="G2454" s="9">
        <v>44649</v>
      </c>
    </row>
    <row r="2455" spans="1:7" ht="14.25" customHeight="1">
      <c r="A2455" s="8">
        <f t="shared" si="9"/>
        <v>-805000</v>
      </c>
      <c r="B2455" s="8">
        <v>805000</v>
      </c>
      <c r="C2455" s="8"/>
      <c r="D2455">
        <v>51</v>
      </c>
      <c r="E2455" t="s">
        <v>585</v>
      </c>
      <c r="F2455" t="s">
        <v>1177</v>
      </c>
      <c r="G2455" s="9">
        <v>44649</v>
      </c>
    </row>
    <row r="2456" spans="1:7" ht="14.25" customHeight="1">
      <c r="A2456" s="8">
        <f t="shared" si="9"/>
        <v>-690000</v>
      </c>
      <c r="B2456" s="8">
        <v>690000</v>
      </c>
      <c r="C2456" s="8"/>
      <c r="D2456">
        <v>52</v>
      </c>
      <c r="E2456" t="s">
        <v>585</v>
      </c>
      <c r="F2456" t="s">
        <v>1178</v>
      </c>
      <c r="G2456" s="9">
        <v>44649</v>
      </c>
    </row>
    <row r="2457" spans="1:7" ht="14.25" customHeight="1">
      <c r="A2457" s="8">
        <f t="shared" si="9"/>
        <v>-1380000</v>
      </c>
      <c r="B2457" s="8">
        <v>1380000</v>
      </c>
      <c r="C2457" s="8"/>
      <c r="D2457">
        <v>53</v>
      </c>
      <c r="E2457" t="s">
        <v>585</v>
      </c>
      <c r="F2457" t="s">
        <v>1179</v>
      </c>
      <c r="G2457" s="9">
        <v>44649</v>
      </c>
    </row>
    <row r="2458" spans="1:7" ht="14.25" customHeight="1">
      <c r="A2458" s="8">
        <f t="shared" si="9"/>
        <v>-805000</v>
      </c>
      <c r="B2458" s="8">
        <v>805000</v>
      </c>
      <c r="C2458" s="8"/>
      <c r="D2458">
        <v>55</v>
      </c>
      <c r="E2458" t="s">
        <v>585</v>
      </c>
      <c r="F2458" t="s">
        <v>1180</v>
      </c>
      <c r="G2458" s="9">
        <v>44657</v>
      </c>
    </row>
    <row r="2459" spans="1:7" ht="14.25" customHeight="1">
      <c r="A2459" s="8">
        <f t="shared" si="9"/>
        <v>-805000</v>
      </c>
      <c r="B2459" s="8">
        <v>805000</v>
      </c>
      <c r="C2459" s="8"/>
      <c r="D2459">
        <v>75</v>
      </c>
      <c r="E2459" t="s">
        <v>585</v>
      </c>
      <c r="F2459" t="s">
        <v>1181</v>
      </c>
      <c r="G2459" s="9">
        <v>44685</v>
      </c>
    </row>
    <row r="2460" spans="1:7" ht="14.25" customHeight="1">
      <c r="A2460" s="8">
        <f t="shared" si="9"/>
        <v>-690000</v>
      </c>
      <c r="B2460" s="8">
        <v>690000</v>
      </c>
      <c r="C2460" s="8"/>
      <c r="D2460">
        <v>76</v>
      </c>
      <c r="E2460" t="s">
        <v>585</v>
      </c>
      <c r="F2460" t="s">
        <v>1182</v>
      </c>
      <c r="G2460" s="9">
        <v>44685</v>
      </c>
    </row>
    <row r="2461" spans="1:7" ht="14.25" customHeight="1">
      <c r="A2461" s="8">
        <f t="shared" si="9"/>
        <v>-805000</v>
      </c>
      <c r="B2461" s="8">
        <v>805000</v>
      </c>
      <c r="C2461" s="8"/>
      <c r="D2461">
        <v>77</v>
      </c>
      <c r="E2461" t="s">
        <v>585</v>
      </c>
      <c r="F2461" t="s">
        <v>1183</v>
      </c>
      <c r="G2461" s="9">
        <v>44685</v>
      </c>
    </row>
    <row r="2462" spans="1:7" ht="14.25" customHeight="1">
      <c r="A2462" s="8">
        <f t="shared" si="9"/>
        <v>-690000</v>
      </c>
      <c r="B2462" s="8">
        <v>690000</v>
      </c>
      <c r="C2462" s="8"/>
      <c r="D2462">
        <v>78</v>
      </c>
      <c r="E2462" t="s">
        <v>585</v>
      </c>
      <c r="F2462" t="s">
        <v>1184</v>
      </c>
      <c r="G2462" s="9">
        <v>44686</v>
      </c>
    </row>
    <row r="2463" spans="1:7" ht="14.25" customHeight="1">
      <c r="A2463" s="8">
        <f t="shared" si="9"/>
        <v>-2070000</v>
      </c>
      <c r="B2463" s="8">
        <v>2070000</v>
      </c>
      <c r="C2463" s="8"/>
      <c r="D2463">
        <v>79</v>
      </c>
      <c r="E2463" t="s">
        <v>585</v>
      </c>
      <c r="F2463" t="s">
        <v>1185</v>
      </c>
      <c r="G2463" s="9">
        <v>44686</v>
      </c>
    </row>
    <row r="2464" spans="1:7" ht="14.25" customHeight="1">
      <c r="A2464" s="8">
        <f t="shared" si="9"/>
        <v>11040000</v>
      </c>
      <c r="B2464" s="8"/>
      <c r="C2464" s="8">
        <v>11040000</v>
      </c>
      <c r="D2464">
        <v>89</v>
      </c>
      <c r="E2464" t="s">
        <v>585</v>
      </c>
      <c r="F2464" t="s">
        <v>1186</v>
      </c>
      <c r="G2464" s="9">
        <v>44719</v>
      </c>
    </row>
    <row r="2465" spans="1:7" ht="14.25" customHeight="1">
      <c r="A2465" s="8">
        <f t="shared" si="9"/>
        <v>-11040000</v>
      </c>
      <c r="B2465" s="8">
        <v>11040000</v>
      </c>
      <c r="C2465" s="8"/>
      <c r="D2465">
        <v>90</v>
      </c>
      <c r="E2465" t="s">
        <v>585</v>
      </c>
      <c r="F2465" t="s">
        <v>1187</v>
      </c>
      <c r="G2465" s="9">
        <v>44719</v>
      </c>
    </row>
    <row r="2466" spans="1:7" ht="14.25" customHeight="1">
      <c r="A2466" s="8">
        <f t="shared" si="9"/>
        <v>805000</v>
      </c>
      <c r="B2466" s="8"/>
      <c r="C2466" s="8">
        <v>805000</v>
      </c>
      <c r="D2466">
        <v>97</v>
      </c>
      <c r="E2466" t="s">
        <v>585</v>
      </c>
      <c r="F2466" t="s">
        <v>1188</v>
      </c>
      <c r="G2466" s="9">
        <v>44728</v>
      </c>
    </row>
    <row r="2467" spans="1:7" ht="14.25" customHeight="1">
      <c r="A2467" s="8">
        <f t="shared" si="9"/>
        <v>805000</v>
      </c>
      <c r="B2467" s="8"/>
      <c r="C2467" s="8">
        <v>805000</v>
      </c>
      <c r="D2467">
        <v>98</v>
      </c>
      <c r="E2467" t="s">
        <v>585</v>
      </c>
      <c r="F2467" t="s">
        <v>1189</v>
      </c>
      <c r="G2467" s="9">
        <v>44728</v>
      </c>
    </row>
    <row r="2468" spans="1:7" ht="14.25" customHeight="1">
      <c r="A2468" s="8">
        <f t="shared" si="9"/>
        <v>2070000</v>
      </c>
      <c r="B2468" s="8"/>
      <c r="C2468" s="8">
        <v>2070000</v>
      </c>
      <c r="D2468">
        <v>308</v>
      </c>
      <c r="E2468" t="s">
        <v>594</v>
      </c>
      <c r="F2468" t="s">
        <v>1190</v>
      </c>
      <c r="G2468" s="9">
        <v>44925</v>
      </c>
    </row>
    <row r="2469" spans="1:7" ht="14.25" customHeight="1">
      <c r="A2469" s="8">
        <f t="shared" si="9"/>
        <v>805000</v>
      </c>
      <c r="B2469" s="8"/>
      <c r="C2469" s="8">
        <v>805000</v>
      </c>
      <c r="D2469">
        <v>309</v>
      </c>
      <c r="E2469" t="s">
        <v>594</v>
      </c>
      <c r="F2469" t="s">
        <v>1191</v>
      </c>
      <c r="G2469" s="9">
        <v>44925</v>
      </c>
    </row>
    <row r="2470" spans="1:7" ht="14.25" customHeight="1">
      <c r="A2470" s="8">
        <f t="shared" si="9"/>
        <v>-7130000</v>
      </c>
      <c r="B2470" s="8">
        <v>22655000</v>
      </c>
      <c r="C2470" s="8">
        <v>15525000</v>
      </c>
    </row>
    <row r="2471" spans="1:7" ht="14.25" customHeight="1">
      <c r="A2471" s="8">
        <f t="shared" si="9"/>
        <v>-7130000</v>
      </c>
      <c r="B2471" s="8">
        <v>22655000</v>
      </c>
      <c r="C2471" s="8">
        <v>15525000</v>
      </c>
      <c r="E2471">
        <v>3150121</v>
      </c>
      <c r="F2471" t="s">
        <v>432</v>
      </c>
      <c r="G2471" t="s">
        <v>581</v>
      </c>
    </row>
    <row r="2472" spans="1:7" ht="14.25" customHeight="1">
      <c r="A2472" s="8">
        <f t="shared" si="9"/>
        <v>3264996</v>
      </c>
      <c r="B2472" s="8">
        <v>22655000</v>
      </c>
      <c r="C2472" s="8">
        <v>25919996</v>
      </c>
      <c r="E2472">
        <v>31501</v>
      </c>
      <c r="F2472" t="s">
        <v>433</v>
      </c>
      <c r="G2472" t="s">
        <v>581</v>
      </c>
    </row>
    <row r="2473" spans="1:7" ht="14.25" customHeight="1">
      <c r="A2473" s="8">
        <f t="shared" si="9"/>
        <v>0</v>
      </c>
      <c r="B2473" s="8"/>
      <c r="C2473" s="8"/>
      <c r="D2473" t="s">
        <v>434</v>
      </c>
      <c r="G2473">
        <v>3150201</v>
      </c>
    </row>
    <row r="2474" spans="1:7" ht="14.25" customHeight="1">
      <c r="A2474" s="8">
        <f t="shared" si="9"/>
        <v>0</v>
      </c>
      <c r="B2474" s="8"/>
      <c r="C2474" s="8"/>
      <c r="F2474" t="s">
        <v>578</v>
      </c>
      <c r="G2474">
        <v>63841000</v>
      </c>
    </row>
    <row r="2475" spans="1:7" ht="14.25" customHeight="1">
      <c r="A2475" s="8">
        <f t="shared" si="9"/>
        <v>174225</v>
      </c>
      <c r="B2475" s="8"/>
      <c r="C2475" s="8">
        <v>174225</v>
      </c>
      <c r="D2475">
        <v>140</v>
      </c>
      <c r="E2475" t="s">
        <v>594</v>
      </c>
      <c r="F2475" t="s">
        <v>1192</v>
      </c>
      <c r="G2475" s="9">
        <v>44837</v>
      </c>
    </row>
    <row r="2476" spans="1:7" ht="14.25" customHeight="1">
      <c r="A2476" s="8">
        <f t="shared" si="9"/>
        <v>11730</v>
      </c>
      <c r="B2476" s="8"/>
      <c r="C2476" s="8">
        <v>11730</v>
      </c>
      <c r="D2476">
        <v>141</v>
      </c>
      <c r="E2476" t="s">
        <v>594</v>
      </c>
      <c r="F2476" t="s">
        <v>1193</v>
      </c>
      <c r="G2476" s="9">
        <v>44837</v>
      </c>
    </row>
    <row r="2477" spans="1:7" ht="14.25" customHeight="1">
      <c r="A2477" s="8">
        <f t="shared" si="9"/>
        <v>185955</v>
      </c>
      <c r="B2477" s="8"/>
      <c r="C2477" s="8">
        <v>185955</v>
      </c>
    </row>
    <row r="2478" spans="1:7" ht="14.25" customHeight="1">
      <c r="A2478" s="8">
        <f t="shared" si="9"/>
        <v>185955</v>
      </c>
      <c r="B2478" s="8"/>
      <c r="C2478" s="8">
        <v>185955</v>
      </c>
      <c r="E2478">
        <v>3150201</v>
      </c>
      <c r="F2478" t="s">
        <v>434</v>
      </c>
      <c r="G2478" t="s">
        <v>581</v>
      </c>
    </row>
    <row r="2479" spans="1:7" ht="14.25" customHeight="1">
      <c r="A2479" s="8">
        <f t="shared" si="9"/>
        <v>0</v>
      </c>
      <c r="B2479" s="8"/>
      <c r="C2479" s="8"/>
      <c r="D2479" t="s">
        <v>435</v>
      </c>
      <c r="G2479">
        <v>3150202</v>
      </c>
    </row>
    <row r="2480" spans="1:7" ht="14.25" customHeight="1">
      <c r="A2480" s="8">
        <f t="shared" si="9"/>
        <v>0</v>
      </c>
      <c r="B2480" s="8"/>
      <c r="C2480" s="8"/>
      <c r="F2480" t="s">
        <v>1194</v>
      </c>
      <c r="G2480">
        <v>60531000</v>
      </c>
    </row>
    <row r="2481" spans="1:7" ht="14.25" customHeight="1">
      <c r="A2481" s="8">
        <f t="shared" si="9"/>
        <v>87228</v>
      </c>
      <c r="B2481" s="8"/>
      <c r="C2481" s="8">
        <v>87228</v>
      </c>
      <c r="D2481">
        <v>140</v>
      </c>
      <c r="E2481" t="s">
        <v>594</v>
      </c>
      <c r="F2481" t="s">
        <v>1192</v>
      </c>
      <c r="G2481" s="9">
        <v>44837</v>
      </c>
    </row>
    <row r="2482" spans="1:7" ht="14.25" customHeight="1">
      <c r="A2482" s="8">
        <f t="shared" si="9"/>
        <v>87228</v>
      </c>
      <c r="B2482" s="8"/>
      <c r="C2482" s="8">
        <v>87228</v>
      </c>
    </row>
    <row r="2483" spans="1:7" ht="14.25" customHeight="1">
      <c r="A2483" s="8">
        <f t="shared" si="9"/>
        <v>87228</v>
      </c>
      <c r="B2483" s="8"/>
      <c r="C2483" s="8">
        <v>87228</v>
      </c>
      <c r="E2483">
        <v>3150202</v>
      </c>
      <c r="F2483" t="s">
        <v>435</v>
      </c>
      <c r="G2483" t="s">
        <v>581</v>
      </c>
    </row>
    <row r="2484" spans="1:7" ht="14.25" customHeight="1">
      <c r="A2484" s="8">
        <f t="shared" si="9"/>
        <v>0</v>
      </c>
      <c r="B2484" s="8"/>
      <c r="C2484" s="8"/>
      <c r="D2484" t="s">
        <v>436</v>
      </c>
      <c r="G2484">
        <v>3150215</v>
      </c>
    </row>
    <row r="2485" spans="1:7" ht="14.25" customHeight="1">
      <c r="A2485" s="8">
        <f t="shared" si="9"/>
        <v>0</v>
      </c>
      <c r="B2485" s="8"/>
      <c r="C2485" s="8"/>
      <c r="F2485" t="s">
        <v>1172</v>
      </c>
      <c r="G2485">
        <v>60550000</v>
      </c>
    </row>
    <row r="2486" spans="1:7" ht="14.25" customHeight="1">
      <c r="A2486" s="8">
        <f t="shared" si="9"/>
        <v>337180</v>
      </c>
      <c r="B2486" s="8"/>
      <c r="C2486" s="8">
        <v>337180</v>
      </c>
      <c r="D2486">
        <v>294</v>
      </c>
      <c r="E2486" t="s">
        <v>579</v>
      </c>
      <c r="F2486" t="s">
        <v>1195</v>
      </c>
      <c r="G2486" s="9">
        <v>44823</v>
      </c>
    </row>
    <row r="2487" spans="1:7" ht="14.25" customHeight="1">
      <c r="A2487" s="8">
        <f t="shared" si="9"/>
        <v>23690</v>
      </c>
      <c r="B2487" s="8"/>
      <c r="C2487" s="8">
        <v>23690</v>
      </c>
      <c r="D2487">
        <v>299</v>
      </c>
      <c r="E2487" t="s">
        <v>579</v>
      </c>
      <c r="F2487" t="s">
        <v>1196</v>
      </c>
      <c r="G2487" s="9">
        <v>44831</v>
      </c>
    </row>
    <row r="2488" spans="1:7" ht="14.25" customHeight="1">
      <c r="A2488" s="8">
        <f t="shared" si="9"/>
        <v>360870</v>
      </c>
      <c r="B2488" s="8"/>
      <c r="C2488" s="8">
        <v>360870</v>
      </c>
    </row>
    <row r="2489" spans="1:7" ht="14.25" customHeight="1">
      <c r="A2489" s="8">
        <f t="shared" si="9"/>
        <v>360870</v>
      </c>
      <c r="B2489" s="8"/>
      <c r="C2489" s="8">
        <v>360870</v>
      </c>
      <c r="E2489">
        <v>3150215</v>
      </c>
      <c r="F2489" t="s">
        <v>436</v>
      </c>
      <c r="G2489" t="s">
        <v>581</v>
      </c>
    </row>
    <row r="2490" spans="1:7" ht="14.25" customHeight="1">
      <c r="A2490" s="8">
        <f t="shared" si="9"/>
        <v>0</v>
      </c>
      <c r="B2490" s="8"/>
      <c r="C2490" s="8"/>
      <c r="D2490" t="s">
        <v>437</v>
      </c>
      <c r="G2490">
        <v>3150221</v>
      </c>
    </row>
    <row r="2491" spans="1:7" ht="14.25" customHeight="1">
      <c r="A2491" s="8">
        <f t="shared" si="9"/>
        <v>0</v>
      </c>
      <c r="B2491" s="8"/>
      <c r="C2491" s="8"/>
      <c r="F2491" t="s">
        <v>584</v>
      </c>
      <c r="G2491">
        <v>70612000</v>
      </c>
    </row>
    <row r="2492" spans="1:7" ht="14.25" customHeight="1">
      <c r="A2492" s="8">
        <f t="shared" si="9"/>
        <v>-11040000</v>
      </c>
      <c r="B2492" s="8">
        <v>11040000</v>
      </c>
      <c r="C2492" s="8"/>
      <c r="D2492">
        <v>60</v>
      </c>
      <c r="E2492" t="s">
        <v>585</v>
      </c>
      <c r="F2492" t="s">
        <v>1197</v>
      </c>
      <c r="G2492" s="9">
        <v>44663</v>
      </c>
    </row>
    <row r="2493" spans="1:7" ht="14.25" customHeight="1">
      <c r="A2493" s="8">
        <f t="shared" si="9"/>
        <v>-1380000</v>
      </c>
      <c r="B2493" s="8">
        <v>1380000</v>
      </c>
      <c r="C2493" s="8"/>
      <c r="D2493">
        <v>161</v>
      </c>
      <c r="E2493" t="s">
        <v>585</v>
      </c>
      <c r="F2493" t="s">
        <v>1198</v>
      </c>
      <c r="G2493" s="9">
        <v>44805</v>
      </c>
    </row>
    <row r="2494" spans="1:7" ht="14.25" customHeight="1">
      <c r="A2494" s="8">
        <f t="shared" si="9"/>
        <v>1380000</v>
      </c>
      <c r="B2494" s="8"/>
      <c r="C2494" s="8">
        <v>1380000</v>
      </c>
      <c r="D2494">
        <v>181</v>
      </c>
      <c r="E2494" t="s">
        <v>585</v>
      </c>
      <c r="F2494" t="s">
        <v>1199</v>
      </c>
      <c r="G2494" s="9">
        <v>44827</v>
      </c>
    </row>
    <row r="2495" spans="1:7" ht="14.25" customHeight="1">
      <c r="A2495" s="8">
        <f t="shared" si="9"/>
        <v>-690000</v>
      </c>
      <c r="B2495" s="8">
        <v>690000</v>
      </c>
      <c r="C2495" s="8"/>
      <c r="D2495">
        <v>182</v>
      </c>
      <c r="E2495" t="s">
        <v>585</v>
      </c>
      <c r="F2495" t="s">
        <v>1200</v>
      </c>
      <c r="G2495" s="9">
        <v>44827</v>
      </c>
    </row>
    <row r="2496" spans="1:7" ht="14.25" customHeight="1">
      <c r="A2496" s="8">
        <f t="shared" si="9"/>
        <v>-11730000</v>
      </c>
      <c r="B2496" s="8">
        <v>13110000</v>
      </c>
      <c r="C2496" s="8">
        <v>1380000</v>
      </c>
    </row>
    <row r="2497" spans="1:7" ht="14.25" customHeight="1">
      <c r="A2497" s="8">
        <f t="shared" si="9"/>
        <v>-11730000</v>
      </c>
      <c r="B2497" s="8">
        <v>13110000</v>
      </c>
      <c r="C2497" s="8">
        <v>1380000</v>
      </c>
      <c r="E2497">
        <v>3150221</v>
      </c>
      <c r="F2497" t="s">
        <v>437</v>
      </c>
      <c r="G2497" t="s">
        <v>581</v>
      </c>
    </row>
    <row r="2498" spans="1:7" ht="14.25" customHeight="1">
      <c r="A2498" s="8">
        <f t="shared" si="9"/>
        <v>-11095948</v>
      </c>
      <c r="B2498" s="8">
        <v>13110000</v>
      </c>
      <c r="C2498" s="8">
        <v>2014052</v>
      </c>
      <c r="E2498">
        <v>31502</v>
      </c>
      <c r="F2498" t="s">
        <v>438</v>
      </c>
      <c r="G2498" t="s">
        <v>581</v>
      </c>
    </row>
    <row r="2499" spans="1:7" ht="14.25" customHeight="1">
      <c r="A2499" s="8">
        <f t="shared" si="9"/>
        <v>-7830951</v>
      </c>
      <c r="B2499" s="8">
        <v>35765000</v>
      </c>
      <c r="C2499" s="8">
        <v>27934049</v>
      </c>
      <c r="E2499">
        <v>31</v>
      </c>
      <c r="F2499" t="s">
        <v>439</v>
      </c>
      <c r="G2499" t="s">
        <v>581</v>
      </c>
    </row>
    <row r="2500" spans="1:7" ht="14.25" customHeight="1">
      <c r="A2500" s="8">
        <f t="shared" si="9"/>
        <v>0</v>
      </c>
      <c r="B2500" s="8"/>
      <c r="C2500" s="8"/>
      <c r="D2500" t="s">
        <v>440</v>
      </c>
      <c r="G2500">
        <v>3260105</v>
      </c>
    </row>
    <row r="2501" spans="1:7" ht="14.25" customHeight="1">
      <c r="A2501" s="8">
        <f t="shared" si="9"/>
        <v>0</v>
      </c>
      <c r="B2501" s="8"/>
      <c r="C2501" s="8"/>
      <c r="F2501" t="s">
        <v>582</v>
      </c>
      <c r="G2501">
        <v>63240000</v>
      </c>
    </row>
    <row r="2502" spans="1:7" ht="14.25" customHeight="1">
      <c r="A2502" s="8">
        <f t="shared" si="9"/>
        <v>1206961</v>
      </c>
      <c r="B2502" s="8"/>
      <c r="C2502" s="8">
        <v>1206961</v>
      </c>
      <c r="D2502">
        <v>109</v>
      </c>
      <c r="E2502" t="s">
        <v>579</v>
      </c>
      <c r="F2502" t="s">
        <v>1201</v>
      </c>
      <c r="G2502" s="9">
        <v>44681</v>
      </c>
    </row>
    <row r="2503" spans="1:7" ht="14.25" customHeight="1">
      <c r="A2503" s="8">
        <f t="shared" si="9"/>
        <v>1206961</v>
      </c>
      <c r="B2503" s="8"/>
      <c r="C2503" s="8">
        <v>1206961</v>
      </c>
    </row>
    <row r="2504" spans="1:7" ht="14.25" customHeight="1">
      <c r="A2504" s="8">
        <f t="shared" si="9"/>
        <v>1206961</v>
      </c>
      <c r="B2504" s="8"/>
      <c r="C2504" s="8">
        <v>1206961</v>
      </c>
      <c r="E2504">
        <v>3260105</v>
      </c>
      <c r="F2504" t="s">
        <v>440</v>
      </c>
      <c r="G2504" t="s">
        <v>581</v>
      </c>
    </row>
    <row r="2505" spans="1:7" ht="14.25" customHeight="1">
      <c r="A2505" s="8">
        <f t="shared" si="9"/>
        <v>0</v>
      </c>
      <c r="B2505" s="8"/>
      <c r="C2505" s="8"/>
      <c r="D2505" t="s">
        <v>441</v>
      </c>
      <c r="G2505">
        <v>3260116</v>
      </c>
    </row>
    <row r="2506" spans="1:7" ht="14.25" customHeight="1">
      <c r="A2506" s="8">
        <f t="shared" si="9"/>
        <v>0</v>
      </c>
      <c r="B2506" s="8"/>
      <c r="C2506" s="8"/>
      <c r="F2506" t="s">
        <v>1202</v>
      </c>
      <c r="G2506">
        <v>63180000</v>
      </c>
    </row>
    <row r="2507" spans="1:7" ht="14.25" customHeight="1">
      <c r="A2507" s="8">
        <f t="shared" si="9"/>
        <v>20355</v>
      </c>
      <c r="B2507" s="8"/>
      <c r="C2507" s="8">
        <v>20355</v>
      </c>
      <c r="D2507">
        <v>180</v>
      </c>
      <c r="E2507" t="s">
        <v>594</v>
      </c>
      <c r="F2507" t="s">
        <v>1203</v>
      </c>
      <c r="G2507" s="9">
        <v>44904</v>
      </c>
    </row>
    <row r="2508" spans="1:7" ht="14.25" customHeight="1">
      <c r="A2508" s="8">
        <f t="shared" si="9"/>
        <v>20355</v>
      </c>
      <c r="B2508" s="8"/>
      <c r="C2508" s="8">
        <v>20355</v>
      </c>
    </row>
    <row r="2509" spans="1:7" ht="14.25" customHeight="1">
      <c r="A2509" s="8">
        <f t="shared" si="9"/>
        <v>20355</v>
      </c>
      <c r="B2509" s="8"/>
      <c r="C2509" s="8">
        <v>20355</v>
      </c>
      <c r="E2509">
        <v>3260116</v>
      </c>
      <c r="F2509" t="s">
        <v>441</v>
      </c>
      <c r="G2509" t="s">
        <v>581</v>
      </c>
    </row>
    <row r="2510" spans="1:7" ht="14.25" customHeight="1">
      <c r="A2510" s="8">
        <f t="shared" si="9"/>
        <v>0</v>
      </c>
      <c r="B2510" s="8"/>
      <c r="C2510" s="8"/>
      <c r="D2510" t="s">
        <v>442</v>
      </c>
      <c r="G2510">
        <v>3260121</v>
      </c>
    </row>
    <row r="2511" spans="1:7" ht="14.25" customHeight="1">
      <c r="A2511" s="8">
        <f t="shared" si="9"/>
        <v>0</v>
      </c>
      <c r="B2511" s="8"/>
      <c r="C2511" s="8"/>
      <c r="F2511" t="s">
        <v>584</v>
      </c>
      <c r="G2511">
        <v>70612000</v>
      </c>
    </row>
    <row r="2512" spans="1:7" ht="14.25" customHeight="1">
      <c r="A2512" s="8">
        <f t="shared" si="9"/>
        <v>-862500</v>
      </c>
      <c r="B2512" s="8">
        <v>862500</v>
      </c>
      <c r="C2512" s="8"/>
      <c r="D2512">
        <v>9</v>
      </c>
      <c r="E2512" t="s">
        <v>585</v>
      </c>
      <c r="F2512" t="s">
        <v>1204</v>
      </c>
      <c r="G2512" s="9">
        <v>44596</v>
      </c>
    </row>
    <row r="2513" spans="1:7" ht="14.25" customHeight="1">
      <c r="A2513" s="8">
        <f t="shared" si="9"/>
        <v>-862500</v>
      </c>
      <c r="B2513" s="8">
        <v>862500</v>
      </c>
      <c r="C2513" s="8"/>
      <c r="D2513">
        <v>10</v>
      </c>
      <c r="E2513" t="s">
        <v>585</v>
      </c>
      <c r="F2513" t="s">
        <v>1205</v>
      </c>
      <c r="G2513" s="9">
        <v>44599</v>
      </c>
    </row>
    <row r="2514" spans="1:7" ht="14.25" customHeight="1">
      <c r="A2514" s="8">
        <f t="shared" si="9"/>
        <v>-862500</v>
      </c>
      <c r="B2514" s="8">
        <v>862500</v>
      </c>
      <c r="C2514" s="8"/>
      <c r="D2514">
        <v>80</v>
      </c>
      <c r="E2514" t="s">
        <v>585</v>
      </c>
      <c r="F2514" t="s">
        <v>1206</v>
      </c>
      <c r="G2514" s="9">
        <v>44686</v>
      </c>
    </row>
    <row r="2515" spans="1:7" ht="14.25" customHeight="1">
      <c r="A2515" s="8">
        <f t="shared" si="9"/>
        <v>862500</v>
      </c>
      <c r="B2515" s="8"/>
      <c r="C2515" s="8">
        <v>862500</v>
      </c>
      <c r="D2515">
        <v>100</v>
      </c>
      <c r="E2515" t="s">
        <v>585</v>
      </c>
      <c r="F2515" t="s">
        <v>1207</v>
      </c>
      <c r="G2515" s="9">
        <v>44728</v>
      </c>
    </row>
    <row r="2516" spans="1:7" ht="14.25" customHeight="1">
      <c r="A2516" s="8">
        <f t="shared" si="9"/>
        <v>-345000</v>
      </c>
      <c r="B2516" s="8">
        <v>345000</v>
      </c>
      <c r="C2516" s="8"/>
      <c r="D2516">
        <v>172</v>
      </c>
      <c r="E2516" t="s">
        <v>594</v>
      </c>
      <c r="F2516" t="s">
        <v>1208</v>
      </c>
      <c r="G2516" s="9">
        <v>44893</v>
      </c>
    </row>
    <row r="2517" spans="1:7" ht="14.25" customHeight="1">
      <c r="A2517" s="8">
        <f t="shared" si="9"/>
        <v>-862500</v>
      </c>
      <c r="B2517" s="8">
        <v>862500</v>
      </c>
      <c r="C2517" s="8"/>
      <c r="D2517">
        <v>228</v>
      </c>
      <c r="E2517" t="s">
        <v>585</v>
      </c>
      <c r="F2517" t="s">
        <v>1209</v>
      </c>
      <c r="G2517" s="9">
        <v>44925</v>
      </c>
    </row>
    <row r="2518" spans="1:7" ht="14.25" customHeight="1">
      <c r="A2518" s="8">
        <f t="shared" si="9"/>
        <v>-862500</v>
      </c>
      <c r="B2518" s="8">
        <v>862500</v>
      </c>
      <c r="C2518" s="8"/>
      <c r="D2518">
        <v>229</v>
      </c>
      <c r="E2518" t="s">
        <v>585</v>
      </c>
      <c r="F2518" t="s">
        <v>1210</v>
      </c>
      <c r="G2518" s="9">
        <v>44925</v>
      </c>
    </row>
    <row r="2519" spans="1:7" ht="14.25" customHeight="1">
      <c r="A2519" s="8">
        <f t="shared" si="9"/>
        <v>-690000</v>
      </c>
      <c r="B2519" s="8">
        <v>690000</v>
      </c>
      <c r="C2519" s="8"/>
      <c r="D2519">
        <v>230</v>
      </c>
      <c r="E2519" t="s">
        <v>585</v>
      </c>
      <c r="F2519" t="s">
        <v>1211</v>
      </c>
      <c r="G2519" s="9">
        <v>44925</v>
      </c>
    </row>
    <row r="2520" spans="1:7" ht="14.25" customHeight="1">
      <c r="A2520" s="8">
        <f t="shared" si="9"/>
        <v>-862500</v>
      </c>
      <c r="B2520" s="8">
        <v>862500</v>
      </c>
      <c r="C2520" s="8"/>
      <c r="D2520">
        <v>231</v>
      </c>
      <c r="E2520" t="s">
        <v>585</v>
      </c>
      <c r="F2520" t="s">
        <v>1212</v>
      </c>
      <c r="G2520" s="9">
        <v>44925</v>
      </c>
    </row>
    <row r="2521" spans="1:7" ht="14.25" customHeight="1">
      <c r="A2521" s="8">
        <f t="shared" si="9"/>
        <v>-862500</v>
      </c>
      <c r="B2521" s="8">
        <v>862500</v>
      </c>
      <c r="C2521" s="8"/>
      <c r="D2521">
        <v>264</v>
      </c>
      <c r="E2521" t="s">
        <v>594</v>
      </c>
      <c r="F2521" t="s">
        <v>1213</v>
      </c>
      <c r="G2521" s="9">
        <v>44925</v>
      </c>
    </row>
    <row r="2522" spans="1:7" ht="14.25" customHeight="1">
      <c r="A2522" s="8">
        <f t="shared" si="9"/>
        <v>-862500</v>
      </c>
      <c r="B2522" s="8">
        <v>862500</v>
      </c>
      <c r="C2522" s="8"/>
      <c r="D2522">
        <v>265</v>
      </c>
      <c r="E2522" t="s">
        <v>594</v>
      </c>
      <c r="F2522" t="s">
        <v>1214</v>
      </c>
      <c r="G2522" s="9">
        <v>44925</v>
      </c>
    </row>
    <row r="2523" spans="1:7" ht="14.25" customHeight="1">
      <c r="A2523" s="8">
        <f t="shared" si="9"/>
        <v>-862500</v>
      </c>
      <c r="B2523" s="8">
        <v>862500</v>
      </c>
      <c r="C2523" s="8"/>
      <c r="D2523">
        <v>266</v>
      </c>
      <c r="E2523" t="s">
        <v>594</v>
      </c>
      <c r="F2523" t="s">
        <v>1213</v>
      </c>
      <c r="G2523" s="9">
        <v>44925</v>
      </c>
    </row>
    <row r="2524" spans="1:7" ht="14.25" customHeight="1">
      <c r="A2524" s="8">
        <f t="shared" si="9"/>
        <v>-690000</v>
      </c>
      <c r="B2524" s="8">
        <v>690000</v>
      </c>
      <c r="C2524" s="8"/>
      <c r="D2524">
        <v>268</v>
      </c>
      <c r="E2524" t="s">
        <v>594</v>
      </c>
      <c r="F2524" t="s">
        <v>1215</v>
      </c>
      <c r="G2524" s="9">
        <v>44925</v>
      </c>
    </row>
    <row r="2525" spans="1:7" ht="14.25" customHeight="1">
      <c r="A2525" s="8">
        <f t="shared" si="9"/>
        <v>-690000</v>
      </c>
      <c r="B2525" s="8">
        <v>690000</v>
      </c>
      <c r="C2525" s="8"/>
      <c r="D2525">
        <v>269</v>
      </c>
      <c r="E2525" t="s">
        <v>594</v>
      </c>
      <c r="F2525" t="s">
        <v>1215</v>
      </c>
      <c r="G2525" s="9">
        <v>44925</v>
      </c>
    </row>
    <row r="2526" spans="1:7" ht="14.25" customHeight="1">
      <c r="A2526" s="8">
        <f t="shared" si="9"/>
        <v>-862500</v>
      </c>
      <c r="B2526" s="8">
        <v>862500</v>
      </c>
      <c r="C2526" s="8"/>
      <c r="D2526">
        <v>270</v>
      </c>
      <c r="E2526" t="s">
        <v>594</v>
      </c>
      <c r="F2526" t="s">
        <v>1215</v>
      </c>
      <c r="G2526" s="9">
        <v>44925</v>
      </c>
    </row>
    <row r="2527" spans="1:7" ht="14.25" customHeight="1">
      <c r="A2527" s="8">
        <f t="shared" si="9"/>
        <v>345000</v>
      </c>
      <c r="B2527" s="8"/>
      <c r="C2527" s="8">
        <v>345000</v>
      </c>
      <c r="D2527">
        <v>323</v>
      </c>
      <c r="E2527" t="s">
        <v>594</v>
      </c>
      <c r="F2527" t="s">
        <v>1216</v>
      </c>
      <c r="G2527" s="9">
        <v>44925</v>
      </c>
    </row>
    <row r="2528" spans="1:7" ht="14.25" customHeight="1">
      <c r="A2528" s="8">
        <f t="shared" si="9"/>
        <v>862500</v>
      </c>
      <c r="B2528" s="8"/>
      <c r="C2528" s="8">
        <v>862500</v>
      </c>
      <c r="D2528">
        <v>234</v>
      </c>
      <c r="E2528" t="s">
        <v>585</v>
      </c>
      <c r="F2528" t="s">
        <v>1217</v>
      </c>
      <c r="G2528" s="9">
        <v>44925</v>
      </c>
    </row>
    <row r="2529" spans="1:7" ht="14.25" customHeight="1">
      <c r="A2529" s="8">
        <f t="shared" si="9"/>
        <v>862500</v>
      </c>
      <c r="B2529" s="8"/>
      <c r="C2529" s="8">
        <v>862500</v>
      </c>
      <c r="D2529">
        <v>235</v>
      </c>
      <c r="E2529" t="s">
        <v>585</v>
      </c>
      <c r="F2529" t="s">
        <v>1218</v>
      </c>
      <c r="G2529" s="9">
        <v>44925</v>
      </c>
    </row>
    <row r="2530" spans="1:7" ht="14.25" customHeight="1">
      <c r="A2530" s="8">
        <f t="shared" si="9"/>
        <v>690000</v>
      </c>
      <c r="B2530" s="8"/>
      <c r="C2530" s="8">
        <v>690000</v>
      </c>
      <c r="D2530">
        <v>236</v>
      </c>
      <c r="E2530" t="s">
        <v>585</v>
      </c>
      <c r="F2530" t="s">
        <v>1219</v>
      </c>
      <c r="G2530" s="9">
        <v>44925</v>
      </c>
    </row>
    <row r="2531" spans="1:7" ht="14.25" customHeight="1">
      <c r="A2531" s="8">
        <f t="shared" si="9"/>
        <v>862500</v>
      </c>
      <c r="B2531" s="8"/>
      <c r="C2531" s="8">
        <v>862500</v>
      </c>
      <c r="D2531">
        <v>237</v>
      </c>
      <c r="E2531" t="s">
        <v>585</v>
      </c>
      <c r="F2531" t="s">
        <v>1220</v>
      </c>
      <c r="G2531" s="9">
        <v>44925</v>
      </c>
    </row>
    <row r="2532" spans="1:7" ht="14.25" customHeight="1">
      <c r="A2532" s="8">
        <f t="shared" si="9"/>
        <v>862500</v>
      </c>
      <c r="B2532" s="8"/>
      <c r="C2532" s="8">
        <v>862500</v>
      </c>
      <c r="D2532">
        <v>328</v>
      </c>
      <c r="E2532" t="s">
        <v>594</v>
      </c>
      <c r="F2532" t="s">
        <v>1221</v>
      </c>
      <c r="G2532" s="9">
        <v>44925</v>
      </c>
    </row>
    <row r="2533" spans="1:7" ht="14.25" customHeight="1">
      <c r="A2533" s="8">
        <f t="shared" si="9"/>
        <v>862500</v>
      </c>
      <c r="B2533" s="8"/>
      <c r="C2533" s="8">
        <v>862500</v>
      </c>
      <c r="D2533">
        <v>329</v>
      </c>
      <c r="E2533" t="s">
        <v>594</v>
      </c>
      <c r="F2533" t="s">
        <v>1222</v>
      </c>
      <c r="G2533" s="9">
        <v>44925</v>
      </c>
    </row>
    <row r="2534" spans="1:7" ht="14.25" customHeight="1">
      <c r="A2534" s="8">
        <f t="shared" si="9"/>
        <v>862500</v>
      </c>
      <c r="B2534" s="8"/>
      <c r="C2534" s="8">
        <v>862500</v>
      </c>
      <c r="D2534">
        <v>238</v>
      </c>
      <c r="E2534" t="s">
        <v>585</v>
      </c>
      <c r="F2534" t="s">
        <v>1223</v>
      </c>
      <c r="G2534" s="9">
        <v>44925</v>
      </c>
    </row>
    <row r="2535" spans="1:7" ht="14.25" customHeight="1">
      <c r="A2535" s="8">
        <f t="shared" si="9"/>
        <v>-3967500</v>
      </c>
      <c r="B2535" s="8">
        <v>11040000</v>
      </c>
      <c r="C2535" s="8">
        <v>7072500</v>
      </c>
    </row>
    <row r="2536" spans="1:7" ht="14.25" customHeight="1">
      <c r="A2536" s="8">
        <f t="shared" si="9"/>
        <v>-3967500</v>
      </c>
      <c r="B2536" s="8">
        <v>11040000</v>
      </c>
      <c r="C2536" s="8">
        <v>7072500</v>
      </c>
      <c r="E2536">
        <v>3260121</v>
      </c>
      <c r="F2536" t="s">
        <v>442</v>
      </c>
      <c r="G2536" t="s">
        <v>581</v>
      </c>
    </row>
    <row r="2537" spans="1:7" ht="14.25" customHeight="1">
      <c r="A2537" s="8">
        <f t="shared" si="9"/>
        <v>-2740184</v>
      </c>
      <c r="B2537" s="8">
        <v>11040000</v>
      </c>
      <c r="C2537" s="8">
        <v>8299816</v>
      </c>
      <c r="E2537">
        <v>32601</v>
      </c>
      <c r="F2537" t="s">
        <v>443</v>
      </c>
      <c r="G2537" t="s">
        <v>581</v>
      </c>
    </row>
    <row r="2538" spans="1:7" ht="14.25" customHeight="1">
      <c r="A2538" s="8">
        <f t="shared" si="9"/>
        <v>0</v>
      </c>
      <c r="B2538" s="8"/>
      <c r="C2538" s="8"/>
      <c r="D2538" t="s">
        <v>444</v>
      </c>
      <c r="G2538">
        <v>3260202</v>
      </c>
    </row>
    <row r="2539" spans="1:7" ht="14.25" customHeight="1">
      <c r="A2539" s="8">
        <f t="shared" si="9"/>
        <v>0</v>
      </c>
      <c r="B2539" s="8"/>
      <c r="C2539" s="8"/>
      <c r="F2539" t="s">
        <v>778</v>
      </c>
      <c r="G2539">
        <v>60532000</v>
      </c>
    </row>
    <row r="2540" spans="1:7" ht="14.25" customHeight="1">
      <c r="A2540" s="8">
        <f t="shared" si="9"/>
        <v>28750</v>
      </c>
      <c r="B2540" s="8"/>
      <c r="C2540" s="8">
        <v>28750</v>
      </c>
      <c r="D2540">
        <v>43</v>
      </c>
      <c r="E2540" t="s">
        <v>667</v>
      </c>
      <c r="F2540" t="s">
        <v>1224</v>
      </c>
      <c r="G2540" s="9">
        <v>44641</v>
      </c>
    </row>
    <row r="2541" spans="1:7" ht="14.25" customHeight="1">
      <c r="A2541" s="8">
        <f t="shared" si="9"/>
        <v>28750</v>
      </c>
      <c r="B2541" s="8"/>
      <c r="C2541" s="8">
        <v>28750</v>
      </c>
    </row>
    <row r="2542" spans="1:7" ht="14.25" customHeight="1">
      <c r="A2542" s="8">
        <f t="shared" si="9"/>
        <v>28750</v>
      </c>
      <c r="B2542" s="8"/>
      <c r="C2542" s="8">
        <v>28750</v>
      </c>
      <c r="E2542">
        <v>3260202</v>
      </c>
      <c r="F2542" t="s">
        <v>444</v>
      </c>
      <c r="G2542" t="s">
        <v>581</v>
      </c>
    </row>
    <row r="2543" spans="1:7" ht="14.25" customHeight="1">
      <c r="A2543" s="8">
        <f t="shared" si="9"/>
        <v>28750</v>
      </c>
      <c r="B2543" s="8"/>
      <c r="C2543" s="8">
        <v>28750</v>
      </c>
      <c r="E2543">
        <v>32602</v>
      </c>
      <c r="F2543" t="s">
        <v>445</v>
      </c>
      <c r="G2543" t="s">
        <v>581</v>
      </c>
    </row>
    <row r="2544" spans="1:7" ht="14.25" customHeight="1">
      <c r="A2544" s="8">
        <f t="shared" si="9"/>
        <v>-2711434</v>
      </c>
      <c r="B2544" s="8">
        <v>11040000</v>
      </c>
      <c r="C2544" s="8">
        <v>8328566</v>
      </c>
      <c r="E2544">
        <v>32</v>
      </c>
      <c r="F2544" t="s">
        <v>446</v>
      </c>
      <c r="G2544" t="s">
        <v>581</v>
      </c>
    </row>
    <row r="2545" spans="1:7" ht="14.25" customHeight="1">
      <c r="A2545" s="8">
        <f t="shared" si="9"/>
        <v>0</v>
      </c>
      <c r="B2545" s="8"/>
      <c r="C2545" s="8"/>
      <c r="D2545" t="s">
        <v>447</v>
      </c>
      <c r="G2545">
        <v>3365121</v>
      </c>
    </row>
    <row r="2546" spans="1:7" ht="14.25" customHeight="1">
      <c r="A2546" s="8">
        <f t="shared" si="9"/>
        <v>0</v>
      </c>
      <c r="B2546" s="8"/>
      <c r="C2546" s="8"/>
      <c r="F2546" t="s">
        <v>584</v>
      </c>
      <c r="G2546">
        <v>70612000</v>
      </c>
    </row>
    <row r="2547" spans="1:7" ht="14.25" customHeight="1">
      <c r="A2547" s="8">
        <f t="shared" si="9"/>
        <v>-2082423</v>
      </c>
      <c r="B2547" s="8">
        <v>2082423</v>
      </c>
      <c r="C2547" s="8"/>
      <c r="D2547">
        <v>17</v>
      </c>
      <c r="E2547" t="s">
        <v>585</v>
      </c>
      <c r="F2547" t="s">
        <v>1225</v>
      </c>
      <c r="G2547" s="9">
        <v>44601</v>
      </c>
    </row>
    <row r="2548" spans="1:7" ht="14.25" customHeight="1">
      <c r="A2548" s="8">
        <f t="shared" si="9"/>
        <v>-188587</v>
      </c>
      <c r="B2548" s="8">
        <v>188587</v>
      </c>
      <c r="C2548" s="8"/>
      <c r="D2548">
        <v>106</v>
      </c>
      <c r="E2548" t="s">
        <v>585</v>
      </c>
      <c r="F2548" t="s">
        <v>1226</v>
      </c>
      <c r="G2548" s="9">
        <v>44741</v>
      </c>
    </row>
    <row r="2549" spans="1:7" ht="14.25" customHeight="1">
      <c r="A2549" s="8">
        <f t="shared" si="9"/>
        <v>-3771753</v>
      </c>
      <c r="B2549" s="8">
        <v>3771753</v>
      </c>
      <c r="C2549" s="8"/>
      <c r="D2549">
        <v>107</v>
      </c>
      <c r="E2549" t="s">
        <v>585</v>
      </c>
      <c r="F2549" t="s">
        <v>1227</v>
      </c>
      <c r="G2549" s="9">
        <v>44741</v>
      </c>
    </row>
    <row r="2550" spans="1:7" ht="14.25" customHeight="1">
      <c r="A2550" s="8">
        <f t="shared" si="9"/>
        <v>-2564792</v>
      </c>
      <c r="B2550" s="8">
        <v>2564792</v>
      </c>
      <c r="C2550" s="8"/>
      <c r="D2550">
        <v>168</v>
      </c>
      <c r="E2550" t="s">
        <v>585</v>
      </c>
      <c r="F2550" t="s">
        <v>1228</v>
      </c>
      <c r="G2550" s="9">
        <v>44819</v>
      </c>
    </row>
    <row r="2551" spans="1:7" ht="14.25" customHeight="1">
      <c r="A2551" s="8">
        <f t="shared" si="9"/>
        <v>-169729</v>
      </c>
      <c r="B2551" s="8">
        <v>169729</v>
      </c>
      <c r="C2551" s="8"/>
      <c r="D2551">
        <v>218</v>
      </c>
      <c r="E2551" t="s">
        <v>585</v>
      </c>
      <c r="F2551" t="s">
        <v>1229</v>
      </c>
      <c r="G2551" s="9">
        <v>44911</v>
      </c>
    </row>
    <row r="2552" spans="1:7" ht="14.25" customHeight="1">
      <c r="A2552" s="8">
        <f t="shared" ref="A2552:A2806" si="10">C2552-B2552</f>
        <v>-389924</v>
      </c>
      <c r="B2552" s="8">
        <v>389924</v>
      </c>
      <c r="C2552" s="8"/>
      <c r="D2552">
        <v>226</v>
      </c>
      <c r="E2552" t="s">
        <v>594</v>
      </c>
      <c r="F2552" t="s">
        <v>1230</v>
      </c>
      <c r="G2552" s="9">
        <v>44925</v>
      </c>
    </row>
    <row r="2553" spans="1:7" ht="14.25" customHeight="1">
      <c r="A2553" s="8">
        <f t="shared" si="10"/>
        <v>169729</v>
      </c>
      <c r="B2553" s="8"/>
      <c r="C2553" s="8">
        <v>169729</v>
      </c>
      <c r="D2553">
        <v>283</v>
      </c>
      <c r="E2553" t="s">
        <v>594</v>
      </c>
      <c r="F2553" t="s">
        <v>1231</v>
      </c>
      <c r="G2553" s="9">
        <v>44925</v>
      </c>
    </row>
    <row r="2554" spans="1:7" ht="14.25" customHeight="1">
      <c r="A2554" s="8">
        <f t="shared" si="10"/>
        <v>389924</v>
      </c>
      <c r="B2554" s="8"/>
      <c r="C2554" s="8">
        <v>389924</v>
      </c>
      <c r="D2554">
        <v>330</v>
      </c>
      <c r="E2554" t="s">
        <v>594</v>
      </c>
      <c r="F2554" t="s">
        <v>1232</v>
      </c>
      <c r="G2554" s="9">
        <v>44925</v>
      </c>
    </row>
    <row r="2555" spans="1:7" ht="14.25" customHeight="1">
      <c r="A2555" s="8">
        <f t="shared" si="10"/>
        <v>-8607556</v>
      </c>
      <c r="B2555" s="8">
        <v>9167208</v>
      </c>
      <c r="C2555" s="8">
        <v>559652</v>
      </c>
    </row>
    <row r="2556" spans="1:7" ht="14.25" customHeight="1">
      <c r="A2556" s="8">
        <f t="shared" si="10"/>
        <v>-8607556</v>
      </c>
      <c r="B2556" s="8">
        <v>9167208</v>
      </c>
      <c r="C2556" s="8">
        <v>559652</v>
      </c>
      <c r="E2556">
        <v>3365121</v>
      </c>
      <c r="F2556" t="s">
        <v>447</v>
      </c>
      <c r="G2556" t="s">
        <v>581</v>
      </c>
    </row>
    <row r="2557" spans="1:7" ht="14.25" customHeight="1">
      <c r="A2557" s="8">
        <f t="shared" si="10"/>
        <v>-8607556</v>
      </c>
      <c r="B2557" s="8">
        <v>9167208</v>
      </c>
      <c r="C2557" s="8">
        <v>559652</v>
      </c>
      <c r="E2557">
        <v>33651</v>
      </c>
      <c r="F2557" t="s">
        <v>448</v>
      </c>
      <c r="G2557" t="s">
        <v>581</v>
      </c>
    </row>
    <row r="2558" spans="1:7" ht="14.25" customHeight="1">
      <c r="A2558" s="8">
        <f t="shared" si="10"/>
        <v>-8607556</v>
      </c>
      <c r="B2558" s="8">
        <v>9167208</v>
      </c>
      <c r="C2558" s="8">
        <v>559652</v>
      </c>
      <c r="E2558">
        <v>33</v>
      </c>
      <c r="F2558" t="s">
        <v>449</v>
      </c>
      <c r="G2558" t="s">
        <v>581</v>
      </c>
    </row>
    <row r="2559" spans="1:7" ht="14.25" customHeight="1">
      <c r="A2559" s="8">
        <f t="shared" si="10"/>
        <v>0</v>
      </c>
      <c r="B2559" s="8"/>
      <c r="C2559" s="8"/>
      <c r="D2559" t="s">
        <v>450</v>
      </c>
      <c r="G2559">
        <v>4170102</v>
      </c>
    </row>
    <row r="2560" spans="1:7" ht="14.25" customHeight="1">
      <c r="A2560" s="8">
        <f t="shared" si="10"/>
        <v>0</v>
      </c>
      <c r="B2560" s="8"/>
      <c r="C2560" s="8"/>
      <c r="F2560" t="s">
        <v>590</v>
      </c>
      <c r="G2560">
        <v>61811000</v>
      </c>
    </row>
    <row r="2561" spans="1:7" ht="14.25" customHeight="1">
      <c r="A2561" s="8">
        <f t="shared" si="10"/>
        <v>235750</v>
      </c>
      <c r="B2561" s="8"/>
      <c r="C2561" s="8">
        <v>235750</v>
      </c>
      <c r="D2561">
        <v>264</v>
      </c>
      <c r="E2561" t="s">
        <v>667</v>
      </c>
      <c r="F2561" t="s">
        <v>1233</v>
      </c>
      <c r="G2561" s="9">
        <v>44897</v>
      </c>
    </row>
    <row r="2562" spans="1:7" ht="14.25" customHeight="1">
      <c r="A2562" s="8">
        <f t="shared" si="10"/>
        <v>224250</v>
      </c>
      <c r="B2562" s="8"/>
      <c r="C2562" s="8">
        <v>224250</v>
      </c>
      <c r="D2562">
        <v>265</v>
      </c>
      <c r="E2562" t="s">
        <v>667</v>
      </c>
      <c r="F2562" t="s">
        <v>1234</v>
      </c>
      <c r="G2562" s="9">
        <v>44897</v>
      </c>
    </row>
    <row r="2563" spans="1:7" ht="14.25" customHeight="1">
      <c r="A2563" s="8">
        <f t="shared" si="10"/>
        <v>460000</v>
      </c>
      <c r="B2563" s="8"/>
      <c r="C2563" s="8">
        <v>460000</v>
      </c>
    </row>
    <row r="2564" spans="1:7" ht="14.25" customHeight="1">
      <c r="A2564" s="8">
        <f t="shared" si="10"/>
        <v>460000</v>
      </c>
      <c r="B2564" s="8"/>
      <c r="C2564" s="8">
        <v>460000</v>
      </c>
      <c r="E2564">
        <v>4170102</v>
      </c>
      <c r="F2564" t="s">
        <v>450</v>
      </c>
      <c r="G2564" t="s">
        <v>581</v>
      </c>
    </row>
    <row r="2565" spans="1:7" ht="14.25" customHeight="1">
      <c r="A2565" s="8">
        <f t="shared" si="10"/>
        <v>0</v>
      </c>
      <c r="B2565" s="8"/>
      <c r="C2565" s="8"/>
      <c r="D2565" t="s">
        <v>451</v>
      </c>
      <c r="G2565">
        <v>4170104</v>
      </c>
    </row>
    <row r="2566" spans="1:7" ht="14.25" customHeight="1">
      <c r="A2566" s="8">
        <f t="shared" si="10"/>
        <v>0</v>
      </c>
      <c r="B2566" s="8"/>
      <c r="C2566" s="8"/>
      <c r="F2566" t="s">
        <v>1235</v>
      </c>
      <c r="G2566">
        <v>6122000</v>
      </c>
    </row>
    <row r="2567" spans="1:7" ht="14.25" customHeight="1">
      <c r="A2567" s="8">
        <f t="shared" si="10"/>
        <v>24150</v>
      </c>
      <c r="B2567" s="8"/>
      <c r="C2567" s="8">
        <v>24150</v>
      </c>
      <c r="D2567">
        <v>258</v>
      </c>
      <c r="E2567" t="s">
        <v>667</v>
      </c>
      <c r="F2567" t="s">
        <v>1236</v>
      </c>
      <c r="G2567" s="9">
        <v>44895</v>
      </c>
    </row>
    <row r="2568" spans="1:7" ht="14.25" customHeight="1">
      <c r="A2568" s="8">
        <f t="shared" si="10"/>
        <v>24150</v>
      </c>
      <c r="B2568" s="8"/>
      <c r="C2568" s="8">
        <v>24150</v>
      </c>
    </row>
    <row r="2569" spans="1:7" ht="14.25" customHeight="1">
      <c r="A2569" s="8">
        <f t="shared" si="10"/>
        <v>24150</v>
      </c>
      <c r="B2569" s="8"/>
      <c r="C2569" s="8">
        <v>24150</v>
      </c>
      <c r="E2569">
        <v>4170104</v>
      </c>
      <c r="F2569" t="s">
        <v>451</v>
      </c>
      <c r="G2569" t="s">
        <v>581</v>
      </c>
    </row>
    <row r="2570" spans="1:7" ht="14.25" customHeight="1">
      <c r="A2570" s="8">
        <f t="shared" si="10"/>
        <v>0</v>
      </c>
      <c r="B2570" s="8"/>
      <c r="C2570" s="8"/>
      <c r="D2570" t="s">
        <v>452</v>
      </c>
      <c r="G2570">
        <v>4170121</v>
      </c>
    </row>
    <row r="2571" spans="1:7" ht="14.25" customHeight="1">
      <c r="A2571" s="8">
        <f t="shared" si="10"/>
        <v>0</v>
      </c>
      <c r="B2571" s="8"/>
      <c r="C2571" s="8"/>
      <c r="F2571" t="s">
        <v>584</v>
      </c>
      <c r="G2571">
        <v>70612000</v>
      </c>
    </row>
    <row r="2572" spans="1:7" ht="14.25" customHeight="1">
      <c r="A2572" s="8">
        <f t="shared" si="10"/>
        <v>-5939175</v>
      </c>
      <c r="B2572" s="8">
        <v>5939175</v>
      </c>
      <c r="C2572" s="8"/>
      <c r="D2572">
        <v>49</v>
      </c>
      <c r="E2572" t="s">
        <v>585</v>
      </c>
      <c r="F2572" t="s">
        <v>1237</v>
      </c>
      <c r="G2572" s="9">
        <v>44645</v>
      </c>
    </row>
    <row r="2573" spans="1:7" ht="14.25" customHeight="1">
      <c r="A2573" s="8">
        <f t="shared" si="10"/>
        <v>-15727400</v>
      </c>
      <c r="B2573" s="8">
        <v>15727400</v>
      </c>
      <c r="C2573" s="8"/>
      <c r="D2573">
        <v>219</v>
      </c>
      <c r="E2573" t="s">
        <v>585</v>
      </c>
      <c r="F2573" t="s">
        <v>1238</v>
      </c>
      <c r="G2573" s="9">
        <v>44914</v>
      </c>
    </row>
    <row r="2574" spans="1:7" ht="14.25" customHeight="1">
      <c r="A2574" s="8">
        <f t="shared" si="10"/>
        <v>-15727400</v>
      </c>
      <c r="B2574" s="8">
        <v>15727400</v>
      </c>
      <c r="C2574" s="8"/>
      <c r="D2574">
        <v>220</v>
      </c>
      <c r="E2574" t="s">
        <v>585</v>
      </c>
      <c r="F2574" t="s">
        <v>1239</v>
      </c>
      <c r="G2574" s="9">
        <v>44914</v>
      </c>
    </row>
    <row r="2575" spans="1:7" ht="14.25" customHeight="1">
      <c r="A2575" s="8">
        <f t="shared" si="10"/>
        <v>15727400</v>
      </c>
      <c r="B2575" s="8"/>
      <c r="C2575" s="8">
        <v>15727400</v>
      </c>
      <c r="D2575">
        <v>298</v>
      </c>
      <c r="E2575" t="s">
        <v>594</v>
      </c>
      <c r="F2575" t="s">
        <v>1240</v>
      </c>
      <c r="G2575" s="9">
        <v>44925</v>
      </c>
    </row>
    <row r="2576" spans="1:7" ht="14.25" customHeight="1">
      <c r="A2576" s="8">
        <f t="shared" si="10"/>
        <v>15727400</v>
      </c>
      <c r="B2576" s="8"/>
      <c r="C2576" s="8">
        <v>15727400</v>
      </c>
      <c r="D2576">
        <v>299</v>
      </c>
      <c r="E2576" t="s">
        <v>594</v>
      </c>
      <c r="F2576" t="s">
        <v>1241</v>
      </c>
      <c r="G2576" s="9">
        <v>44925</v>
      </c>
    </row>
    <row r="2577" spans="1:7" ht="14.25" customHeight="1">
      <c r="A2577" s="8">
        <f t="shared" si="10"/>
        <v>690000</v>
      </c>
      <c r="B2577" s="8"/>
      <c r="C2577" s="8">
        <v>690000</v>
      </c>
      <c r="D2577">
        <v>232</v>
      </c>
      <c r="E2577" t="s">
        <v>585</v>
      </c>
      <c r="F2577" t="s">
        <v>1242</v>
      </c>
      <c r="G2577" s="9">
        <v>44925</v>
      </c>
    </row>
    <row r="2578" spans="1:7" ht="14.25" customHeight="1">
      <c r="A2578" s="8">
        <f t="shared" si="10"/>
        <v>-5249175</v>
      </c>
      <c r="B2578" s="8">
        <v>37393975</v>
      </c>
      <c r="C2578" s="8">
        <v>32144800</v>
      </c>
    </row>
    <row r="2579" spans="1:7" ht="14.25" customHeight="1">
      <c r="A2579" s="8">
        <f t="shared" si="10"/>
        <v>-5249175</v>
      </c>
      <c r="B2579" s="8">
        <v>37393975</v>
      </c>
      <c r="C2579" s="8">
        <v>32144800</v>
      </c>
      <c r="E2579">
        <v>4170121</v>
      </c>
      <c r="F2579" t="s">
        <v>452</v>
      </c>
      <c r="G2579" t="s">
        <v>581</v>
      </c>
    </row>
    <row r="2580" spans="1:7" ht="14.25" customHeight="1">
      <c r="A2580" s="8">
        <f t="shared" si="10"/>
        <v>-4765025</v>
      </c>
      <c r="B2580" s="8">
        <v>37393975</v>
      </c>
      <c r="C2580" s="8">
        <v>32628950</v>
      </c>
      <c r="E2580">
        <v>41701</v>
      </c>
      <c r="F2580" t="s">
        <v>453</v>
      </c>
      <c r="G2580" t="s">
        <v>581</v>
      </c>
    </row>
    <row r="2581" spans="1:7" ht="14.25" customHeight="1">
      <c r="A2581" s="8">
        <f t="shared" si="10"/>
        <v>0</v>
      </c>
      <c r="B2581" s="8"/>
      <c r="C2581" s="8"/>
      <c r="D2581" t="s">
        <v>454</v>
      </c>
      <c r="G2581">
        <v>4170221</v>
      </c>
    </row>
    <row r="2582" spans="1:7" ht="14.25" customHeight="1">
      <c r="A2582" s="8">
        <f t="shared" si="10"/>
        <v>0</v>
      </c>
      <c r="B2582" s="8"/>
      <c r="C2582" s="8"/>
      <c r="F2582" t="s">
        <v>584</v>
      </c>
      <c r="G2582">
        <v>70612000</v>
      </c>
    </row>
    <row r="2583" spans="1:7" ht="14.25" customHeight="1">
      <c r="A2583" s="8">
        <f t="shared" si="10"/>
        <v>-62909600</v>
      </c>
      <c r="B2583" s="8">
        <v>62909600</v>
      </c>
      <c r="C2583" s="8"/>
      <c r="D2583">
        <v>88</v>
      </c>
      <c r="E2583" t="s">
        <v>585</v>
      </c>
      <c r="F2583" t="s">
        <v>1243</v>
      </c>
      <c r="G2583" s="9">
        <v>44708</v>
      </c>
    </row>
    <row r="2584" spans="1:7" ht="14.25" customHeight="1">
      <c r="A2584" s="8">
        <f t="shared" si="10"/>
        <v>62909600</v>
      </c>
      <c r="B2584" s="8"/>
      <c r="C2584" s="8">
        <v>62909600</v>
      </c>
      <c r="D2584">
        <v>382</v>
      </c>
      <c r="E2584" t="s">
        <v>594</v>
      </c>
      <c r="F2584" t="s">
        <v>1244</v>
      </c>
      <c r="G2584" s="9">
        <v>44925</v>
      </c>
    </row>
    <row r="2585" spans="1:7" ht="14.25" customHeight="1">
      <c r="A2585" s="8">
        <f t="shared" si="10"/>
        <v>0</v>
      </c>
      <c r="B2585" s="8">
        <v>62909600</v>
      </c>
      <c r="C2585" s="8">
        <v>62909600</v>
      </c>
    </row>
    <row r="2586" spans="1:7" ht="14.25" customHeight="1">
      <c r="A2586" s="8">
        <f t="shared" si="10"/>
        <v>0</v>
      </c>
      <c r="B2586" s="8">
        <v>62909600</v>
      </c>
      <c r="C2586" s="8">
        <v>62909600</v>
      </c>
      <c r="E2586">
        <v>4170221</v>
      </c>
      <c r="F2586" t="s">
        <v>454</v>
      </c>
      <c r="G2586" t="s">
        <v>581</v>
      </c>
    </row>
    <row r="2587" spans="1:7" ht="14.25" customHeight="1">
      <c r="A2587" s="8">
        <f t="shared" si="10"/>
        <v>0</v>
      </c>
      <c r="B2587" s="8">
        <v>62909600</v>
      </c>
      <c r="C2587" s="8">
        <v>62909600</v>
      </c>
      <c r="E2587">
        <v>41702</v>
      </c>
      <c r="F2587" t="s">
        <v>455</v>
      </c>
      <c r="G2587" t="s">
        <v>581</v>
      </c>
    </row>
    <row r="2588" spans="1:7" ht="14.25" customHeight="1">
      <c r="A2588" s="8">
        <f t="shared" si="10"/>
        <v>0</v>
      </c>
      <c r="B2588" s="8"/>
      <c r="C2588" s="8"/>
      <c r="D2588" t="s">
        <v>456</v>
      </c>
      <c r="G2588">
        <v>4170301</v>
      </c>
    </row>
    <row r="2589" spans="1:7" ht="14.25" customHeight="1">
      <c r="A2589" s="8">
        <f t="shared" si="10"/>
        <v>0</v>
      </c>
      <c r="B2589" s="8"/>
      <c r="C2589" s="8"/>
      <c r="F2589" t="s">
        <v>578</v>
      </c>
      <c r="G2589">
        <v>63841000</v>
      </c>
    </row>
    <row r="2590" spans="1:7" ht="14.25" customHeight="1">
      <c r="A2590" s="8">
        <f t="shared" si="10"/>
        <v>366793</v>
      </c>
      <c r="B2590" s="8"/>
      <c r="C2590" s="8">
        <v>366793</v>
      </c>
      <c r="D2590">
        <v>143</v>
      </c>
      <c r="E2590" t="s">
        <v>594</v>
      </c>
      <c r="F2590" t="s">
        <v>1245</v>
      </c>
      <c r="G2590" s="9">
        <v>44839</v>
      </c>
    </row>
    <row r="2591" spans="1:7" ht="14.25" customHeight="1">
      <c r="A2591" s="8">
        <f t="shared" si="10"/>
        <v>4026667</v>
      </c>
      <c r="B2591" s="8"/>
      <c r="C2591" s="8">
        <v>4026667</v>
      </c>
      <c r="D2591">
        <v>148</v>
      </c>
      <c r="E2591" t="s">
        <v>594</v>
      </c>
      <c r="F2591" t="s">
        <v>1246</v>
      </c>
      <c r="G2591" s="9">
        <v>44855</v>
      </c>
    </row>
    <row r="2592" spans="1:7" ht="14.25" customHeight="1">
      <c r="A2592" s="8">
        <f t="shared" si="10"/>
        <v>1534215</v>
      </c>
      <c r="B2592" s="8"/>
      <c r="C2592" s="8">
        <v>1534215</v>
      </c>
      <c r="D2592">
        <v>149</v>
      </c>
      <c r="E2592" t="s">
        <v>594</v>
      </c>
      <c r="F2592" t="s">
        <v>1246</v>
      </c>
      <c r="G2592" s="9">
        <v>44860</v>
      </c>
    </row>
    <row r="2593" spans="1:7" ht="14.25" customHeight="1">
      <c r="A2593" s="8">
        <f t="shared" si="10"/>
        <v>930120</v>
      </c>
      <c r="B2593" s="8"/>
      <c r="C2593" s="8">
        <v>930120</v>
      </c>
      <c r="D2593">
        <v>152</v>
      </c>
      <c r="E2593" t="s">
        <v>594</v>
      </c>
      <c r="F2593" t="s">
        <v>1246</v>
      </c>
      <c r="G2593" s="9">
        <v>44865</v>
      </c>
    </row>
    <row r="2594" spans="1:7" ht="14.25" customHeight="1">
      <c r="A2594" s="8">
        <f t="shared" si="10"/>
        <v>785047</v>
      </c>
      <c r="B2594" s="8"/>
      <c r="C2594" s="8">
        <v>785047</v>
      </c>
      <c r="D2594">
        <v>153</v>
      </c>
      <c r="E2594" t="s">
        <v>594</v>
      </c>
      <c r="F2594" t="s">
        <v>1247</v>
      </c>
      <c r="G2594" s="9">
        <v>44867</v>
      </c>
    </row>
    <row r="2595" spans="1:7" ht="14.25" customHeight="1">
      <c r="A2595" s="8">
        <f t="shared" si="10"/>
        <v>7642842</v>
      </c>
      <c r="B2595" s="8"/>
      <c r="C2595" s="8">
        <v>7642842</v>
      </c>
    </row>
    <row r="2596" spans="1:7" ht="14.25" customHeight="1">
      <c r="A2596" s="8">
        <f t="shared" si="10"/>
        <v>7642842</v>
      </c>
      <c r="B2596" s="8"/>
      <c r="C2596" s="8">
        <v>7642842</v>
      </c>
      <c r="E2596">
        <v>4170301</v>
      </c>
      <c r="F2596" t="s">
        <v>456</v>
      </c>
      <c r="G2596" t="s">
        <v>581</v>
      </c>
    </row>
    <row r="2597" spans="1:7" ht="14.25" customHeight="1">
      <c r="A2597" s="8">
        <f t="shared" si="10"/>
        <v>0</v>
      </c>
      <c r="B2597" s="8"/>
      <c r="C2597" s="8"/>
      <c r="D2597" t="s">
        <v>457</v>
      </c>
      <c r="G2597">
        <v>4170302</v>
      </c>
    </row>
    <row r="2598" spans="1:7" ht="14.25" customHeight="1">
      <c r="A2598" s="8">
        <f t="shared" si="10"/>
        <v>0</v>
      </c>
      <c r="B2598" s="8"/>
      <c r="C2598" s="8"/>
      <c r="F2598" t="s">
        <v>1071</v>
      </c>
      <c r="G2598">
        <v>60530000</v>
      </c>
    </row>
    <row r="2599" spans="1:7" ht="14.25" customHeight="1">
      <c r="A2599" s="8">
        <f t="shared" si="10"/>
        <v>1208290</v>
      </c>
      <c r="B2599" s="8"/>
      <c r="C2599" s="8">
        <v>1208290</v>
      </c>
      <c r="D2599">
        <v>161</v>
      </c>
      <c r="E2599" t="s">
        <v>594</v>
      </c>
      <c r="F2599" t="s">
        <v>1248</v>
      </c>
      <c r="G2599" s="9">
        <v>44875</v>
      </c>
    </row>
    <row r="2600" spans="1:7" ht="14.25" customHeight="1">
      <c r="A2600" s="8">
        <f t="shared" si="10"/>
        <v>1208290</v>
      </c>
      <c r="B2600" s="8"/>
      <c r="C2600" s="8">
        <v>1208290</v>
      </c>
    </row>
    <row r="2601" spans="1:7" ht="14.25" customHeight="1">
      <c r="A2601" s="8">
        <f t="shared" si="10"/>
        <v>0</v>
      </c>
      <c r="B2601" s="8"/>
      <c r="C2601" s="8"/>
      <c r="F2601" t="s">
        <v>1194</v>
      </c>
      <c r="G2601">
        <v>60531000</v>
      </c>
    </row>
    <row r="2602" spans="1:7" ht="14.25" customHeight="1">
      <c r="A2602" s="8">
        <f t="shared" si="10"/>
        <v>106290</v>
      </c>
      <c r="B2602" s="8"/>
      <c r="C2602" s="8">
        <v>106290</v>
      </c>
      <c r="D2602">
        <v>132</v>
      </c>
      <c r="E2602" t="s">
        <v>594</v>
      </c>
      <c r="F2602" t="s">
        <v>1249</v>
      </c>
      <c r="G2602" s="9">
        <v>44852</v>
      </c>
    </row>
    <row r="2603" spans="1:7" ht="14.25" customHeight="1">
      <c r="A2603" s="8">
        <f t="shared" si="10"/>
        <v>106290</v>
      </c>
      <c r="B2603" s="8"/>
      <c r="C2603" s="8">
        <v>106290</v>
      </c>
    </row>
    <row r="2604" spans="1:7" ht="14.25" customHeight="1">
      <c r="A2604" s="8">
        <f t="shared" si="10"/>
        <v>0</v>
      </c>
      <c r="B2604" s="8"/>
      <c r="C2604" s="8"/>
      <c r="F2604" t="s">
        <v>638</v>
      </c>
      <c r="G2604">
        <v>6121000</v>
      </c>
    </row>
    <row r="2605" spans="1:7" ht="14.25" customHeight="1">
      <c r="A2605" s="8">
        <f t="shared" si="10"/>
        <v>5750</v>
      </c>
      <c r="B2605" s="8"/>
      <c r="C2605" s="8">
        <v>5750</v>
      </c>
      <c r="D2605">
        <v>233</v>
      </c>
      <c r="E2605" t="s">
        <v>667</v>
      </c>
      <c r="F2605" t="s">
        <v>1250</v>
      </c>
      <c r="G2605" s="9">
        <v>44848</v>
      </c>
    </row>
    <row r="2606" spans="1:7" ht="14.25" customHeight="1">
      <c r="A2606" s="8">
        <f t="shared" si="10"/>
        <v>5750</v>
      </c>
      <c r="B2606" s="8"/>
      <c r="C2606" s="8">
        <v>5750</v>
      </c>
    </row>
    <row r="2607" spans="1:7" ht="14.25" customHeight="1">
      <c r="A2607" s="8">
        <f t="shared" si="10"/>
        <v>0</v>
      </c>
      <c r="B2607" s="8"/>
      <c r="C2607" s="8"/>
      <c r="F2607" t="s">
        <v>590</v>
      </c>
      <c r="G2607">
        <v>61811000</v>
      </c>
    </row>
    <row r="2608" spans="1:7" ht="14.25" customHeight="1">
      <c r="A2608" s="8">
        <f t="shared" si="10"/>
        <v>23000</v>
      </c>
      <c r="B2608" s="8"/>
      <c r="C2608" s="8">
        <v>23000</v>
      </c>
      <c r="D2608">
        <v>161</v>
      </c>
      <c r="E2608" t="s">
        <v>594</v>
      </c>
      <c r="F2608" t="s">
        <v>1251</v>
      </c>
      <c r="G2608" s="9">
        <v>44875</v>
      </c>
    </row>
    <row r="2609" spans="1:7" ht="14.25" customHeight="1">
      <c r="A2609" s="8">
        <f t="shared" si="10"/>
        <v>230000</v>
      </c>
      <c r="B2609" s="8"/>
      <c r="C2609" s="8">
        <v>230000</v>
      </c>
      <c r="D2609">
        <v>208</v>
      </c>
      <c r="E2609" t="s">
        <v>594</v>
      </c>
      <c r="F2609" t="s">
        <v>1252</v>
      </c>
      <c r="G2609" s="9">
        <v>44925</v>
      </c>
    </row>
    <row r="2610" spans="1:7" ht="14.25" customHeight="1">
      <c r="A2610" s="8">
        <f t="shared" si="10"/>
        <v>253000</v>
      </c>
      <c r="B2610" s="8"/>
      <c r="C2610" s="8">
        <v>253000</v>
      </c>
    </row>
    <row r="2611" spans="1:7" ht="14.25" customHeight="1">
      <c r="A2611" s="8">
        <f t="shared" si="10"/>
        <v>0</v>
      </c>
      <c r="B2611" s="8"/>
      <c r="C2611" s="8"/>
      <c r="F2611" t="s">
        <v>785</v>
      </c>
      <c r="G2611">
        <v>62231000</v>
      </c>
    </row>
    <row r="2612" spans="1:7" ht="14.25" customHeight="1">
      <c r="A2612" s="8">
        <f t="shared" si="10"/>
        <v>230000</v>
      </c>
      <c r="B2612" s="8"/>
      <c r="C2612" s="8">
        <v>230000</v>
      </c>
      <c r="D2612">
        <v>315</v>
      </c>
      <c r="E2612" t="s">
        <v>579</v>
      </c>
      <c r="F2612" t="s">
        <v>1253</v>
      </c>
      <c r="G2612" s="9">
        <v>44855</v>
      </c>
    </row>
    <row r="2613" spans="1:7" ht="14.25" customHeight="1">
      <c r="A2613" s="8">
        <f t="shared" si="10"/>
        <v>4887500</v>
      </c>
      <c r="B2613" s="8"/>
      <c r="C2613" s="8">
        <v>4887500</v>
      </c>
      <c r="D2613">
        <v>368</v>
      </c>
      <c r="E2613" t="s">
        <v>579</v>
      </c>
      <c r="F2613" t="s">
        <v>1254</v>
      </c>
      <c r="G2613" s="9">
        <v>44879</v>
      </c>
    </row>
    <row r="2614" spans="1:7" ht="14.25" customHeight="1">
      <c r="A2614" s="8">
        <f t="shared" si="10"/>
        <v>5117500</v>
      </c>
      <c r="B2614" s="8"/>
      <c r="C2614" s="8">
        <v>5117500</v>
      </c>
    </row>
    <row r="2615" spans="1:7" ht="14.25" customHeight="1">
      <c r="A2615" s="8">
        <f t="shared" si="10"/>
        <v>0</v>
      </c>
      <c r="B2615" s="8"/>
      <c r="C2615" s="8"/>
      <c r="F2615" t="s">
        <v>1255</v>
      </c>
      <c r="G2615">
        <v>63840000</v>
      </c>
    </row>
    <row r="2616" spans="1:7" ht="14.25" customHeight="1">
      <c r="A2616" s="8">
        <f t="shared" si="10"/>
        <v>960250</v>
      </c>
      <c r="B2616" s="8"/>
      <c r="C2616" s="8">
        <v>960250</v>
      </c>
      <c r="D2616">
        <v>307</v>
      </c>
      <c r="E2616" t="s">
        <v>579</v>
      </c>
      <c r="F2616" t="s">
        <v>1256</v>
      </c>
      <c r="G2616" s="9">
        <v>44832</v>
      </c>
    </row>
    <row r="2617" spans="1:7" ht="14.25" customHeight="1">
      <c r="A2617" s="8">
        <f t="shared" si="10"/>
        <v>960250</v>
      </c>
      <c r="B2617" s="8"/>
      <c r="C2617" s="8">
        <v>960250</v>
      </c>
    </row>
    <row r="2618" spans="1:7" ht="14.25" customHeight="1">
      <c r="A2618" s="8">
        <f t="shared" si="10"/>
        <v>7651080</v>
      </c>
      <c r="B2618" s="8"/>
      <c r="C2618" s="8">
        <v>7651080</v>
      </c>
      <c r="E2618">
        <v>4170302</v>
      </c>
      <c r="F2618" t="s">
        <v>457</v>
      </c>
      <c r="G2618" t="s">
        <v>581</v>
      </c>
    </row>
    <row r="2619" spans="1:7" ht="14.25" customHeight="1">
      <c r="A2619" s="8">
        <f t="shared" si="10"/>
        <v>0</v>
      </c>
      <c r="B2619" s="8"/>
      <c r="C2619" s="8"/>
      <c r="D2619" t="s">
        <v>458</v>
      </c>
      <c r="G2619">
        <v>4170304</v>
      </c>
    </row>
    <row r="2620" spans="1:7" ht="14.25" customHeight="1">
      <c r="A2620" s="8">
        <f t="shared" si="10"/>
        <v>0</v>
      </c>
      <c r="B2620" s="8"/>
      <c r="C2620" s="8"/>
      <c r="F2620" t="s">
        <v>592</v>
      </c>
      <c r="G2620">
        <v>63833</v>
      </c>
    </row>
    <row r="2621" spans="1:7" ht="14.25" customHeight="1">
      <c r="A2621" s="8">
        <f t="shared" si="10"/>
        <v>230230</v>
      </c>
      <c r="B2621" s="8"/>
      <c r="C2621" s="8">
        <v>230230</v>
      </c>
      <c r="D2621">
        <v>291</v>
      </c>
      <c r="E2621" t="s">
        <v>579</v>
      </c>
      <c r="F2621" t="s">
        <v>1257</v>
      </c>
      <c r="G2621" s="9">
        <v>44827</v>
      </c>
    </row>
    <row r="2622" spans="1:7" ht="14.25" customHeight="1">
      <c r="A2622" s="8">
        <f t="shared" si="10"/>
        <v>141220</v>
      </c>
      <c r="B2622" s="8"/>
      <c r="C2622" s="8">
        <v>141220</v>
      </c>
      <c r="D2622">
        <v>387</v>
      </c>
      <c r="E2622" t="s">
        <v>579</v>
      </c>
      <c r="F2622" t="s">
        <v>1258</v>
      </c>
      <c r="G2622" s="9">
        <v>44901</v>
      </c>
    </row>
    <row r="2623" spans="1:7" ht="14.25" customHeight="1">
      <c r="A2623" s="8">
        <f t="shared" si="10"/>
        <v>188600</v>
      </c>
      <c r="B2623" s="8"/>
      <c r="C2623" s="8">
        <v>188600</v>
      </c>
      <c r="D2623">
        <v>412</v>
      </c>
      <c r="E2623" t="s">
        <v>579</v>
      </c>
      <c r="F2623" t="s">
        <v>1259</v>
      </c>
      <c r="G2623" s="9">
        <v>44910</v>
      </c>
    </row>
    <row r="2624" spans="1:7" ht="14.25" customHeight="1">
      <c r="A2624" s="8">
        <f t="shared" si="10"/>
        <v>560050</v>
      </c>
      <c r="B2624" s="8"/>
      <c r="C2624" s="8">
        <v>560050</v>
      </c>
    </row>
    <row r="2625" spans="1:7" ht="14.25" customHeight="1">
      <c r="A2625" s="8">
        <f t="shared" si="10"/>
        <v>560050</v>
      </c>
      <c r="B2625" s="8"/>
      <c r="C2625" s="8">
        <v>560050</v>
      </c>
      <c r="E2625">
        <v>4170304</v>
      </c>
      <c r="F2625" t="s">
        <v>458</v>
      </c>
      <c r="G2625" t="s">
        <v>581</v>
      </c>
    </row>
    <row r="2626" spans="1:7" ht="14.25" customHeight="1">
      <c r="A2626" s="8">
        <f t="shared" si="10"/>
        <v>0</v>
      </c>
      <c r="B2626" s="8"/>
      <c r="C2626" s="8"/>
      <c r="D2626" t="s">
        <v>459</v>
      </c>
      <c r="G2626">
        <v>4170305</v>
      </c>
    </row>
    <row r="2627" spans="1:7" ht="14.25" customHeight="1">
      <c r="A2627" s="8">
        <f t="shared" si="10"/>
        <v>0</v>
      </c>
      <c r="B2627" s="8"/>
      <c r="C2627" s="8"/>
      <c r="F2627" t="s">
        <v>582</v>
      </c>
      <c r="G2627">
        <v>63240000</v>
      </c>
    </row>
    <row r="2628" spans="1:7" ht="14.25" customHeight="1">
      <c r="A2628" s="8">
        <f t="shared" si="10"/>
        <v>6325000</v>
      </c>
      <c r="B2628" s="8"/>
      <c r="C2628" s="8">
        <v>6325000</v>
      </c>
      <c r="D2628">
        <v>308</v>
      </c>
      <c r="E2628" t="s">
        <v>579</v>
      </c>
      <c r="F2628" t="s">
        <v>1260</v>
      </c>
      <c r="G2628" s="9">
        <v>44832</v>
      </c>
    </row>
    <row r="2629" spans="1:7" ht="14.25" customHeight="1">
      <c r="A2629" s="8">
        <f t="shared" si="10"/>
        <v>273514</v>
      </c>
      <c r="B2629" s="8"/>
      <c r="C2629" s="8">
        <v>273514</v>
      </c>
      <c r="D2629">
        <v>388</v>
      </c>
      <c r="E2629" t="s">
        <v>579</v>
      </c>
      <c r="F2629" t="s">
        <v>1261</v>
      </c>
      <c r="G2629" s="9">
        <v>44904</v>
      </c>
    </row>
    <row r="2630" spans="1:7" ht="14.25" customHeight="1">
      <c r="A2630" s="8">
        <f t="shared" si="10"/>
        <v>6598514</v>
      </c>
      <c r="B2630" s="8"/>
      <c r="C2630" s="8">
        <v>6598514</v>
      </c>
    </row>
    <row r="2631" spans="1:7" ht="14.25" customHeight="1">
      <c r="A2631" s="8">
        <f t="shared" si="10"/>
        <v>6598514</v>
      </c>
      <c r="B2631" s="8"/>
      <c r="C2631" s="8">
        <v>6598514</v>
      </c>
      <c r="E2631">
        <v>4170305</v>
      </c>
      <c r="F2631" t="s">
        <v>459</v>
      </c>
      <c r="G2631" t="s">
        <v>581</v>
      </c>
    </row>
    <row r="2632" spans="1:7" ht="14.25" customHeight="1">
      <c r="A2632" s="8">
        <f t="shared" si="10"/>
        <v>0</v>
      </c>
      <c r="B2632" s="8"/>
      <c r="C2632" s="8"/>
      <c r="D2632" t="s">
        <v>460</v>
      </c>
      <c r="G2632">
        <v>4170309</v>
      </c>
    </row>
    <row r="2633" spans="1:7" ht="14.25" customHeight="1">
      <c r="A2633" s="8">
        <f t="shared" si="10"/>
        <v>0</v>
      </c>
      <c r="B2633" s="8"/>
      <c r="C2633" s="8"/>
      <c r="F2633" t="s">
        <v>1262</v>
      </c>
      <c r="G2633">
        <v>62881000</v>
      </c>
    </row>
    <row r="2634" spans="1:7" ht="14.25" customHeight="1">
      <c r="A2634" s="8">
        <f t="shared" si="10"/>
        <v>11500</v>
      </c>
      <c r="B2634" s="8"/>
      <c r="C2634" s="8">
        <v>11500</v>
      </c>
      <c r="D2634">
        <v>241</v>
      </c>
      <c r="E2634" t="s">
        <v>667</v>
      </c>
      <c r="F2634" t="s">
        <v>1263</v>
      </c>
      <c r="G2634" s="9">
        <v>44861</v>
      </c>
    </row>
    <row r="2635" spans="1:7" ht="14.25" customHeight="1">
      <c r="A2635" s="8">
        <f t="shared" si="10"/>
        <v>11500</v>
      </c>
      <c r="B2635" s="8"/>
      <c r="C2635" s="8">
        <v>11500</v>
      </c>
    </row>
    <row r="2636" spans="1:7" ht="14.25" customHeight="1">
      <c r="A2636" s="8">
        <f t="shared" si="10"/>
        <v>11500</v>
      </c>
      <c r="B2636" s="8"/>
      <c r="C2636" s="8">
        <v>11500</v>
      </c>
      <c r="E2636">
        <v>4170309</v>
      </c>
      <c r="F2636" t="s">
        <v>460</v>
      </c>
      <c r="G2636" t="s">
        <v>581</v>
      </c>
    </row>
    <row r="2637" spans="1:7" ht="14.25" customHeight="1">
      <c r="A2637" s="8">
        <f t="shared" si="10"/>
        <v>0</v>
      </c>
      <c r="B2637" s="8"/>
      <c r="C2637" s="8"/>
      <c r="D2637" t="s">
        <v>461</v>
      </c>
      <c r="G2637">
        <v>4170321</v>
      </c>
    </row>
    <row r="2638" spans="1:7" ht="14.25" customHeight="1">
      <c r="A2638" s="8">
        <f t="shared" si="10"/>
        <v>0</v>
      </c>
      <c r="B2638" s="8"/>
      <c r="C2638" s="8"/>
      <c r="F2638" t="s">
        <v>584</v>
      </c>
      <c r="G2638">
        <v>70612000</v>
      </c>
    </row>
    <row r="2639" spans="1:7" ht="14.25" customHeight="1">
      <c r="A2639" s="8">
        <f t="shared" si="10"/>
        <v>-64398168</v>
      </c>
      <c r="B2639" s="8">
        <v>64398168</v>
      </c>
      <c r="C2639" s="8"/>
      <c r="D2639">
        <v>155</v>
      </c>
      <c r="E2639" t="s">
        <v>585</v>
      </c>
      <c r="F2639" t="s">
        <v>1264</v>
      </c>
      <c r="G2639" s="9">
        <v>44799</v>
      </c>
    </row>
    <row r="2640" spans="1:7" ht="14.25" customHeight="1">
      <c r="A2640" s="8">
        <f t="shared" si="10"/>
        <v>-64398168</v>
      </c>
      <c r="B2640" s="8">
        <v>64398168</v>
      </c>
      <c r="C2640" s="8"/>
    </row>
    <row r="2641" spans="1:7" ht="14.25" customHeight="1">
      <c r="A2641" s="8">
        <f t="shared" si="10"/>
        <v>-64398168</v>
      </c>
      <c r="B2641" s="8">
        <v>64398168</v>
      </c>
      <c r="C2641" s="8"/>
      <c r="E2641">
        <v>4170321</v>
      </c>
      <c r="F2641" t="s">
        <v>461</v>
      </c>
      <c r="G2641" t="s">
        <v>581</v>
      </c>
    </row>
    <row r="2642" spans="1:7" ht="14.25" customHeight="1">
      <c r="A2642" s="8">
        <f t="shared" si="10"/>
        <v>0</v>
      </c>
      <c r="B2642" s="8"/>
      <c r="C2642" s="8"/>
      <c r="D2642" t="s">
        <v>462</v>
      </c>
      <c r="G2642">
        <v>4170401</v>
      </c>
    </row>
    <row r="2643" spans="1:7" ht="14.25" customHeight="1">
      <c r="A2643" s="8">
        <f t="shared" si="10"/>
        <v>0</v>
      </c>
      <c r="B2643" s="8"/>
      <c r="C2643" s="8"/>
      <c r="F2643" t="s">
        <v>578</v>
      </c>
      <c r="G2643">
        <v>63841000</v>
      </c>
    </row>
    <row r="2644" spans="1:7" ht="14.25" customHeight="1">
      <c r="A2644" s="8">
        <f t="shared" si="10"/>
        <v>172500</v>
      </c>
      <c r="B2644" s="8"/>
      <c r="C2644" s="8">
        <v>172500</v>
      </c>
      <c r="D2644">
        <v>785</v>
      </c>
      <c r="E2644" t="s">
        <v>587</v>
      </c>
      <c r="F2644" t="s">
        <v>1265</v>
      </c>
      <c r="G2644" s="9">
        <v>44893</v>
      </c>
    </row>
    <row r="2645" spans="1:7" ht="14.25" customHeight="1">
      <c r="A2645" s="8">
        <f t="shared" si="10"/>
        <v>115000</v>
      </c>
      <c r="B2645" s="8"/>
      <c r="C2645" s="8">
        <v>115000</v>
      </c>
      <c r="D2645">
        <v>787</v>
      </c>
      <c r="E2645" t="s">
        <v>587</v>
      </c>
      <c r="F2645" t="s">
        <v>1266</v>
      </c>
      <c r="G2645" s="9">
        <v>44893</v>
      </c>
    </row>
    <row r="2646" spans="1:7" ht="14.25" customHeight="1">
      <c r="A2646" s="8">
        <f t="shared" si="10"/>
        <v>115000</v>
      </c>
      <c r="B2646" s="8"/>
      <c r="C2646" s="8">
        <v>115000</v>
      </c>
      <c r="D2646">
        <v>784</v>
      </c>
      <c r="E2646" t="s">
        <v>587</v>
      </c>
      <c r="F2646" t="s">
        <v>1267</v>
      </c>
      <c r="G2646" s="9">
        <v>44893</v>
      </c>
    </row>
    <row r="2647" spans="1:7" ht="14.25" customHeight="1">
      <c r="A2647" s="8">
        <f t="shared" si="10"/>
        <v>17250</v>
      </c>
      <c r="B2647" s="8"/>
      <c r="C2647" s="8">
        <v>17250</v>
      </c>
      <c r="D2647">
        <v>257</v>
      </c>
      <c r="E2647" t="s">
        <v>667</v>
      </c>
      <c r="F2647" t="s">
        <v>1268</v>
      </c>
      <c r="G2647" s="9">
        <v>44893</v>
      </c>
    </row>
    <row r="2648" spans="1:7" ht="14.25" customHeight="1">
      <c r="A2648" s="8">
        <f t="shared" si="10"/>
        <v>-115000</v>
      </c>
      <c r="B2648" s="8">
        <v>115000</v>
      </c>
      <c r="C2648" s="8"/>
      <c r="D2648">
        <v>217</v>
      </c>
      <c r="E2648" t="s">
        <v>594</v>
      </c>
      <c r="F2648" t="s">
        <v>1269</v>
      </c>
      <c r="G2648" s="9">
        <v>44893</v>
      </c>
    </row>
    <row r="2649" spans="1:7" ht="14.25" customHeight="1">
      <c r="A2649" s="8">
        <f t="shared" si="10"/>
        <v>115000</v>
      </c>
      <c r="B2649" s="8"/>
      <c r="C2649" s="8">
        <v>115000</v>
      </c>
      <c r="D2649">
        <v>216</v>
      </c>
      <c r="E2649" t="s">
        <v>594</v>
      </c>
      <c r="F2649" t="s">
        <v>1269</v>
      </c>
      <c r="G2649" s="9">
        <v>44893</v>
      </c>
    </row>
    <row r="2650" spans="1:7" ht="14.25" customHeight="1">
      <c r="A2650" s="8">
        <f t="shared" si="10"/>
        <v>1627710</v>
      </c>
      <c r="B2650" s="8"/>
      <c r="C2650" s="8">
        <v>1627710</v>
      </c>
      <c r="D2650">
        <v>189</v>
      </c>
      <c r="E2650" t="s">
        <v>594</v>
      </c>
      <c r="F2650" t="s">
        <v>1270</v>
      </c>
      <c r="G2650" s="9">
        <v>44917</v>
      </c>
    </row>
    <row r="2651" spans="1:7" ht="14.25" customHeight="1">
      <c r="A2651" s="8">
        <f t="shared" si="10"/>
        <v>2047460</v>
      </c>
      <c r="B2651" s="8">
        <v>115000</v>
      </c>
      <c r="C2651" s="8">
        <v>2162460</v>
      </c>
    </row>
    <row r="2652" spans="1:7" ht="14.25" customHeight="1">
      <c r="A2652" s="8">
        <f t="shared" si="10"/>
        <v>0</v>
      </c>
      <c r="B2652" s="8"/>
      <c r="C2652" s="8"/>
      <c r="F2652" t="s">
        <v>1271</v>
      </c>
      <c r="G2652">
        <v>63842000</v>
      </c>
    </row>
    <row r="2653" spans="1:7" ht="14.25" customHeight="1">
      <c r="A2653" s="8">
        <f t="shared" si="10"/>
        <v>115000</v>
      </c>
      <c r="B2653" s="8"/>
      <c r="C2653" s="8">
        <v>115000</v>
      </c>
      <c r="D2653">
        <v>774</v>
      </c>
      <c r="E2653" t="s">
        <v>587</v>
      </c>
      <c r="F2653" t="s">
        <v>1272</v>
      </c>
      <c r="G2653" s="9">
        <v>44893</v>
      </c>
    </row>
    <row r="2654" spans="1:7" ht="14.25" customHeight="1">
      <c r="A2654" s="8">
        <f t="shared" si="10"/>
        <v>115000</v>
      </c>
      <c r="B2654" s="8"/>
      <c r="C2654" s="8">
        <v>115000</v>
      </c>
    </row>
    <row r="2655" spans="1:7" ht="14.25" customHeight="1">
      <c r="A2655" s="8">
        <f t="shared" si="10"/>
        <v>2162460</v>
      </c>
      <c r="B2655" s="8">
        <v>115000</v>
      </c>
      <c r="C2655" s="8">
        <v>2277460</v>
      </c>
      <c r="E2655">
        <v>4170401</v>
      </c>
      <c r="F2655" t="s">
        <v>462</v>
      </c>
      <c r="G2655" t="s">
        <v>581</v>
      </c>
    </row>
    <row r="2656" spans="1:7" ht="14.25" customHeight="1">
      <c r="A2656" s="8">
        <f t="shared" si="10"/>
        <v>0</v>
      </c>
      <c r="B2656" s="8"/>
      <c r="C2656" s="8"/>
      <c r="D2656" t="s">
        <v>463</v>
      </c>
      <c r="G2656">
        <v>4170402</v>
      </c>
    </row>
    <row r="2657" spans="1:7" ht="14.25" customHeight="1">
      <c r="A2657" s="8">
        <f t="shared" si="10"/>
        <v>0</v>
      </c>
      <c r="B2657" s="8"/>
      <c r="C2657" s="8"/>
      <c r="F2657" t="s">
        <v>778</v>
      </c>
      <c r="G2657">
        <v>60532000</v>
      </c>
    </row>
    <row r="2658" spans="1:7" ht="14.25" customHeight="1">
      <c r="A2658" s="8">
        <f t="shared" si="10"/>
        <v>57500</v>
      </c>
      <c r="B2658" s="8"/>
      <c r="C2658" s="8">
        <v>57500</v>
      </c>
      <c r="D2658">
        <v>787</v>
      </c>
      <c r="E2658" t="s">
        <v>587</v>
      </c>
      <c r="F2658" t="s">
        <v>1273</v>
      </c>
      <c r="G2658" s="9">
        <v>44893</v>
      </c>
    </row>
    <row r="2659" spans="1:7" ht="14.25" customHeight="1">
      <c r="A2659" s="8">
        <f t="shared" si="10"/>
        <v>57500</v>
      </c>
      <c r="B2659" s="8"/>
      <c r="C2659" s="8">
        <v>57500</v>
      </c>
      <c r="D2659">
        <v>784</v>
      </c>
      <c r="E2659" t="s">
        <v>587</v>
      </c>
      <c r="F2659" t="s">
        <v>1274</v>
      </c>
      <c r="G2659" s="9">
        <v>44893</v>
      </c>
    </row>
    <row r="2660" spans="1:7" ht="14.25" customHeight="1">
      <c r="A2660" s="8">
        <f t="shared" si="10"/>
        <v>-57500</v>
      </c>
      <c r="B2660" s="8">
        <v>57500</v>
      </c>
      <c r="C2660" s="8"/>
      <c r="D2660">
        <v>217</v>
      </c>
      <c r="E2660" t="s">
        <v>594</v>
      </c>
      <c r="F2660" t="s">
        <v>1269</v>
      </c>
      <c r="G2660" s="9">
        <v>44893</v>
      </c>
    </row>
    <row r="2661" spans="1:7" ht="14.25" customHeight="1">
      <c r="A2661" s="8">
        <f t="shared" si="10"/>
        <v>57500</v>
      </c>
      <c r="B2661" s="8"/>
      <c r="C2661" s="8">
        <v>57500</v>
      </c>
      <c r="D2661">
        <v>216</v>
      </c>
      <c r="E2661" t="s">
        <v>594</v>
      </c>
      <c r="F2661" t="s">
        <v>1269</v>
      </c>
      <c r="G2661" s="9">
        <v>44893</v>
      </c>
    </row>
    <row r="2662" spans="1:7" ht="14.25" customHeight="1">
      <c r="A2662" s="8">
        <f t="shared" si="10"/>
        <v>115000</v>
      </c>
      <c r="B2662" s="8"/>
      <c r="C2662" s="8">
        <v>115000</v>
      </c>
      <c r="D2662">
        <v>868</v>
      </c>
      <c r="E2662" t="s">
        <v>587</v>
      </c>
      <c r="F2662" t="s">
        <v>1275</v>
      </c>
      <c r="G2662" s="9">
        <v>44925</v>
      </c>
    </row>
    <row r="2663" spans="1:7" ht="14.25" customHeight="1">
      <c r="A2663" s="8">
        <f t="shared" si="10"/>
        <v>230000</v>
      </c>
      <c r="B2663" s="8">
        <v>57500</v>
      </c>
      <c r="C2663" s="8">
        <v>287500</v>
      </c>
    </row>
    <row r="2664" spans="1:7" ht="14.25" customHeight="1">
      <c r="A2664" s="8">
        <f t="shared" si="10"/>
        <v>0</v>
      </c>
      <c r="B2664" s="8"/>
      <c r="C2664" s="8"/>
      <c r="F2664" t="s">
        <v>590</v>
      </c>
      <c r="G2664">
        <v>61811000</v>
      </c>
    </row>
    <row r="2665" spans="1:7" ht="14.25" customHeight="1">
      <c r="A2665" s="8">
        <f t="shared" si="10"/>
        <v>483000</v>
      </c>
      <c r="B2665" s="8"/>
      <c r="C2665" s="8">
        <v>483000</v>
      </c>
      <c r="D2665">
        <v>261</v>
      </c>
      <c r="E2665" t="s">
        <v>667</v>
      </c>
      <c r="F2665" t="s">
        <v>1276</v>
      </c>
      <c r="G2665" s="9">
        <v>44896</v>
      </c>
    </row>
    <row r="2666" spans="1:7" ht="14.25" customHeight="1">
      <c r="A2666" s="8">
        <f t="shared" si="10"/>
        <v>483000</v>
      </c>
      <c r="B2666" s="8"/>
      <c r="C2666" s="8">
        <v>483000</v>
      </c>
    </row>
    <row r="2667" spans="1:7" ht="14.25" customHeight="1">
      <c r="A2667" s="8">
        <f t="shared" si="10"/>
        <v>713000</v>
      </c>
      <c r="B2667" s="8">
        <v>57500</v>
      </c>
      <c r="C2667" s="8">
        <v>770500</v>
      </c>
      <c r="E2667">
        <v>4170402</v>
      </c>
      <c r="F2667" t="s">
        <v>463</v>
      </c>
      <c r="G2667" t="s">
        <v>581</v>
      </c>
    </row>
    <row r="2668" spans="1:7" ht="14.25" customHeight="1">
      <c r="A2668" s="8">
        <f t="shared" si="10"/>
        <v>0</v>
      </c>
      <c r="B2668" s="8"/>
      <c r="C2668" s="8"/>
      <c r="D2668" t="s">
        <v>464</v>
      </c>
      <c r="G2668">
        <v>4170404</v>
      </c>
    </row>
    <row r="2669" spans="1:7" ht="14.25" customHeight="1">
      <c r="A2669" s="8">
        <f t="shared" si="10"/>
        <v>0</v>
      </c>
      <c r="B2669" s="8"/>
      <c r="C2669" s="8"/>
      <c r="F2669" t="s">
        <v>592</v>
      </c>
      <c r="G2669">
        <v>63833</v>
      </c>
    </row>
    <row r="2670" spans="1:7" ht="14.25" customHeight="1">
      <c r="A2670" s="8">
        <f t="shared" si="10"/>
        <v>4784</v>
      </c>
      <c r="B2670" s="8"/>
      <c r="C2670" s="8">
        <v>4784</v>
      </c>
      <c r="D2670">
        <v>249</v>
      </c>
      <c r="E2670" t="s">
        <v>667</v>
      </c>
      <c r="F2670" t="s">
        <v>1277</v>
      </c>
      <c r="G2670" s="9">
        <v>44874</v>
      </c>
    </row>
    <row r="2671" spans="1:7" ht="14.25" customHeight="1">
      <c r="A2671" s="8">
        <f t="shared" si="10"/>
        <v>908403</v>
      </c>
      <c r="B2671" s="8"/>
      <c r="C2671" s="8">
        <v>908403</v>
      </c>
      <c r="D2671">
        <v>395</v>
      </c>
      <c r="E2671" t="s">
        <v>579</v>
      </c>
      <c r="F2671" t="s">
        <v>1278</v>
      </c>
      <c r="G2671" s="9">
        <v>44914</v>
      </c>
    </row>
    <row r="2672" spans="1:7" ht="14.25" customHeight="1">
      <c r="A2672" s="8">
        <f t="shared" si="10"/>
        <v>177560</v>
      </c>
      <c r="B2672" s="8"/>
      <c r="C2672" s="8">
        <v>177560</v>
      </c>
      <c r="D2672">
        <v>418</v>
      </c>
      <c r="E2672" t="s">
        <v>579</v>
      </c>
      <c r="F2672" t="s">
        <v>1279</v>
      </c>
      <c r="G2672" s="9">
        <v>44918</v>
      </c>
    </row>
    <row r="2673" spans="1:7" ht="14.25" customHeight="1">
      <c r="A2673" s="8">
        <f t="shared" si="10"/>
        <v>1090747</v>
      </c>
      <c r="B2673" s="8"/>
      <c r="C2673" s="8">
        <v>1090747</v>
      </c>
    </row>
    <row r="2674" spans="1:7" ht="14.25" customHeight="1">
      <c r="A2674" s="8">
        <f t="shared" si="10"/>
        <v>1090747</v>
      </c>
      <c r="B2674" s="8"/>
      <c r="C2674" s="8">
        <v>1090747</v>
      </c>
      <c r="E2674">
        <v>4170404</v>
      </c>
      <c r="F2674" t="s">
        <v>464</v>
      </c>
      <c r="G2674" t="s">
        <v>581</v>
      </c>
    </row>
    <row r="2675" spans="1:7" ht="14.25" customHeight="1">
      <c r="A2675" s="8">
        <f t="shared" si="10"/>
        <v>0</v>
      </c>
      <c r="B2675" s="8"/>
      <c r="C2675" s="8"/>
      <c r="D2675" t="s">
        <v>465</v>
      </c>
      <c r="G2675">
        <v>4170405</v>
      </c>
    </row>
    <row r="2676" spans="1:7" ht="14.25" customHeight="1">
      <c r="A2676" s="8">
        <f t="shared" si="10"/>
        <v>0</v>
      </c>
      <c r="B2676" s="8"/>
      <c r="C2676" s="8"/>
      <c r="F2676" t="s">
        <v>582</v>
      </c>
      <c r="G2676">
        <v>63240000</v>
      </c>
    </row>
    <row r="2677" spans="1:7" ht="14.25" customHeight="1">
      <c r="A2677" s="8">
        <f t="shared" si="10"/>
        <v>273514</v>
      </c>
      <c r="B2677" s="8"/>
      <c r="C2677" s="8">
        <v>273514</v>
      </c>
      <c r="D2677">
        <v>388</v>
      </c>
      <c r="E2677" t="s">
        <v>579</v>
      </c>
      <c r="F2677" t="s">
        <v>1261</v>
      </c>
      <c r="G2677" s="9">
        <v>44904</v>
      </c>
    </row>
    <row r="2678" spans="1:7" ht="14.25" customHeight="1">
      <c r="A2678" s="8">
        <f t="shared" si="10"/>
        <v>273514</v>
      </c>
      <c r="B2678" s="8"/>
      <c r="C2678" s="8">
        <v>273514</v>
      </c>
    </row>
    <row r="2679" spans="1:7" ht="14.25" customHeight="1">
      <c r="A2679" s="8">
        <f t="shared" si="10"/>
        <v>273514</v>
      </c>
      <c r="B2679" s="8"/>
      <c r="C2679" s="8">
        <v>273514</v>
      </c>
      <c r="E2679">
        <v>4170405</v>
      </c>
      <c r="F2679" t="s">
        <v>465</v>
      </c>
      <c r="G2679" t="s">
        <v>581</v>
      </c>
    </row>
    <row r="2680" spans="1:7" ht="14.25" customHeight="1">
      <c r="A2680" s="8">
        <f t="shared" si="10"/>
        <v>0</v>
      </c>
      <c r="B2680" s="8"/>
      <c r="C2680" s="8"/>
      <c r="D2680" t="s">
        <v>466</v>
      </c>
      <c r="G2680">
        <v>4170421</v>
      </c>
    </row>
    <row r="2681" spans="1:7" ht="14.25" customHeight="1">
      <c r="A2681" s="8">
        <f t="shared" si="10"/>
        <v>0</v>
      </c>
      <c r="B2681" s="8"/>
      <c r="C2681" s="8"/>
      <c r="F2681" t="s">
        <v>584</v>
      </c>
      <c r="G2681">
        <v>70612000</v>
      </c>
    </row>
    <row r="2682" spans="1:7" ht="14.25" customHeight="1">
      <c r="A2682" s="8">
        <f t="shared" si="10"/>
        <v>-11844281</v>
      </c>
      <c r="B2682" s="8">
        <v>11844281</v>
      </c>
      <c r="C2682" s="8"/>
      <c r="D2682">
        <v>207</v>
      </c>
      <c r="E2682" t="s">
        <v>585</v>
      </c>
      <c r="F2682" t="s">
        <v>1280</v>
      </c>
      <c r="G2682" s="9">
        <v>44886</v>
      </c>
    </row>
    <row r="2683" spans="1:7" ht="14.25" customHeight="1">
      <c r="A2683" s="8">
        <f t="shared" si="10"/>
        <v>11844281</v>
      </c>
      <c r="B2683" s="8"/>
      <c r="C2683" s="8">
        <v>11844281</v>
      </c>
      <c r="D2683">
        <v>383</v>
      </c>
      <c r="E2683" t="s">
        <v>594</v>
      </c>
      <c r="F2683" t="s">
        <v>1281</v>
      </c>
      <c r="G2683" s="9">
        <v>44925</v>
      </c>
    </row>
    <row r="2684" spans="1:7" ht="14.25" customHeight="1">
      <c r="A2684" s="8">
        <f t="shared" si="10"/>
        <v>0</v>
      </c>
      <c r="B2684" s="8">
        <v>11844281</v>
      </c>
      <c r="C2684" s="8">
        <v>11844281</v>
      </c>
    </row>
    <row r="2685" spans="1:7" ht="14.25" customHeight="1">
      <c r="A2685" s="8">
        <f t="shared" si="10"/>
        <v>0</v>
      </c>
      <c r="B2685" s="8">
        <v>11844281</v>
      </c>
      <c r="C2685" s="8">
        <v>11844281</v>
      </c>
      <c r="E2685">
        <v>4170421</v>
      </c>
      <c r="F2685" t="s">
        <v>466</v>
      </c>
      <c r="G2685" t="s">
        <v>581</v>
      </c>
    </row>
    <row r="2686" spans="1:7" ht="14.25" customHeight="1">
      <c r="A2686" s="8">
        <f t="shared" si="10"/>
        <v>-42459485</v>
      </c>
      <c r="B2686" s="8">
        <v>176718524</v>
      </c>
      <c r="C2686" s="8">
        <v>134259039</v>
      </c>
      <c r="E2686">
        <v>41</v>
      </c>
      <c r="F2686" t="s">
        <v>467</v>
      </c>
      <c r="G2686" t="s">
        <v>581</v>
      </c>
    </row>
    <row r="2687" spans="1:7" ht="14.25" customHeight="1">
      <c r="A2687" s="8">
        <f t="shared" si="10"/>
        <v>0</v>
      </c>
      <c r="B2687" s="8"/>
      <c r="C2687" s="8"/>
      <c r="D2687" t="s">
        <v>468</v>
      </c>
      <c r="G2687">
        <v>9101010</v>
      </c>
    </row>
    <row r="2688" spans="1:7" ht="14.25" customHeight="1">
      <c r="A2688" s="8">
        <f t="shared" si="10"/>
        <v>0</v>
      </c>
      <c r="B2688" s="8"/>
      <c r="C2688" s="8"/>
      <c r="F2688" t="s">
        <v>1282</v>
      </c>
      <c r="G2688">
        <v>64130000</v>
      </c>
    </row>
    <row r="2689" spans="1:7" ht="14.25" customHeight="1">
      <c r="A2689" s="8">
        <f t="shared" si="10"/>
        <v>3322</v>
      </c>
      <c r="B2689" s="8"/>
      <c r="C2689" s="8">
        <v>3322</v>
      </c>
      <c r="D2689">
        <v>4</v>
      </c>
      <c r="E2689" t="s">
        <v>594</v>
      </c>
      <c r="F2689" t="s">
        <v>1283</v>
      </c>
      <c r="G2689" s="9">
        <v>44592</v>
      </c>
    </row>
    <row r="2690" spans="1:7" ht="14.25" customHeight="1">
      <c r="A2690" s="8">
        <f t="shared" si="10"/>
        <v>3355</v>
      </c>
      <c r="B2690" s="8"/>
      <c r="C2690" s="8">
        <v>3355</v>
      </c>
      <c r="D2690">
        <v>9</v>
      </c>
      <c r="E2690" t="s">
        <v>594</v>
      </c>
      <c r="F2690" t="s">
        <v>1284</v>
      </c>
      <c r="G2690" s="9">
        <v>44620</v>
      </c>
    </row>
    <row r="2691" spans="1:7" ht="14.25" customHeight="1">
      <c r="A2691" s="8">
        <f t="shared" si="10"/>
        <v>3355</v>
      </c>
      <c r="B2691" s="8"/>
      <c r="C2691" s="8">
        <v>3355</v>
      </c>
      <c r="D2691">
        <v>14</v>
      </c>
      <c r="E2691" t="s">
        <v>594</v>
      </c>
      <c r="F2691" t="s">
        <v>1285</v>
      </c>
      <c r="G2691" s="9">
        <v>44651</v>
      </c>
    </row>
    <row r="2692" spans="1:7" ht="14.25" customHeight="1">
      <c r="A2692" s="8">
        <f t="shared" si="10"/>
        <v>3355</v>
      </c>
      <c r="B2692" s="8"/>
      <c r="C2692" s="8">
        <v>3355</v>
      </c>
      <c r="D2692">
        <v>19</v>
      </c>
      <c r="E2692" t="s">
        <v>594</v>
      </c>
      <c r="F2692" t="s">
        <v>1286</v>
      </c>
      <c r="G2692" s="9">
        <v>44681</v>
      </c>
    </row>
    <row r="2693" spans="1:7" ht="14.25" customHeight="1">
      <c r="A2693" s="8">
        <f t="shared" si="10"/>
        <v>3355</v>
      </c>
      <c r="B2693" s="8"/>
      <c r="C2693" s="8">
        <v>3355</v>
      </c>
      <c r="D2693">
        <v>24</v>
      </c>
      <c r="E2693" t="s">
        <v>594</v>
      </c>
      <c r="F2693" t="s">
        <v>1287</v>
      </c>
      <c r="G2693" s="9">
        <v>44712</v>
      </c>
    </row>
    <row r="2694" spans="1:7" ht="14.25" customHeight="1">
      <c r="A2694" s="8">
        <f t="shared" si="10"/>
        <v>3020</v>
      </c>
      <c r="B2694" s="8"/>
      <c r="C2694" s="8">
        <v>3020</v>
      </c>
      <c r="D2694">
        <v>32</v>
      </c>
      <c r="E2694" t="s">
        <v>594</v>
      </c>
      <c r="F2694" t="s">
        <v>1288</v>
      </c>
      <c r="G2694" s="9">
        <v>44742</v>
      </c>
    </row>
    <row r="2695" spans="1:7" ht="14.25" customHeight="1">
      <c r="A2695" s="8">
        <f t="shared" si="10"/>
        <v>3734</v>
      </c>
      <c r="B2695" s="8"/>
      <c r="C2695" s="8">
        <v>3734</v>
      </c>
      <c r="D2695">
        <v>138</v>
      </c>
      <c r="E2695" t="s">
        <v>594</v>
      </c>
      <c r="F2695" t="s">
        <v>1289</v>
      </c>
      <c r="G2695" s="9">
        <v>44865</v>
      </c>
    </row>
    <row r="2696" spans="1:7" ht="14.25" customHeight="1">
      <c r="A2696" s="8">
        <f t="shared" si="10"/>
        <v>3734</v>
      </c>
      <c r="B2696" s="8"/>
      <c r="C2696" s="8">
        <v>3734</v>
      </c>
      <c r="D2696">
        <v>176</v>
      </c>
      <c r="E2696" t="s">
        <v>594</v>
      </c>
      <c r="F2696" t="s">
        <v>1290</v>
      </c>
      <c r="G2696" s="9">
        <v>44895</v>
      </c>
    </row>
    <row r="2697" spans="1:7" ht="14.25" customHeight="1">
      <c r="A2697" s="8">
        <f t="shared" si="10"/>
        <v>3948</v>
      </c>
      <c r="B2697" s="8"/>
      <c r="C2697" s="8">
        <v>3948</v>
      </c>
      <c r="D2697">
        <v>194</v>
      </c>
      <c r="E2697" t="s">
        <v>594</v>
      </c>
      <c r="F2697" t="s">
        <v>1291</v>
      </c>
      <c r="G2697" s="9">
        <v>44925</v>
      </c>
    </row>
    <row r="2698" spans="1:7" ht="14.25" customHeight="1">
      <c r="A2698" s="8">
        <f t="shared" si="10"/>
        <v>31176</v>
      </c>
      <c r="B2698" s="8"/>
      <c r="C2698" s="8">
        <v>31176</v>
      </c>
    </row>
    <row r="2699" spans="1:7" ht="14.25" customHeight="1">
      <c r="A2699" s="8">
        <f t="shared" si="10"/>
        <v>0</v>
      </c>
      <c r="B2699" s="8"/>
      <c r="C2699" s="8"/>
      <c r="F2699" t="s">
        <v>1292</v>
      </c>
      <c r="G2699">
        <v>64140000</v>
      </c>
    </row>
    <row r="2700" spans="1:7" ht="14.25" customHeight="1">
      <c r="A2700" s="8">
        <f t="shared" si="10"/>
        <v>1107</v>
      </c>
      <c r="B2700" s="8"/>
      <c r="C2700" s="8">
        <v>1107</v>
      </c>
      <c r="D2700">
        <v>4</v>
      </c>
      <c r="E2700" t="s">
        <v>594</v>
      </c>
      <c r="F2700" t="s">
        <v>1283</v>
      </c>
      <c r="G2700" s="9">
        <v>44592</v>
      </c>
    </row>
    <row r="2701" spans="1:7" ht="14.25" customHeight="1">
      <c r="A2701" s="8">
        <f t="shared" si="10"/>
        <v>1118</v>
      </c>
      <c r="B2701" s="8"/>
      <c r="C2701" s="8">
        <v>1118</v>
      </c>
      <c r="D2701">
        <v>9</v>
      </c>
      <c r="E2701" t="s">
        <v>594</v>
      </c>
      <c r="F2701" t="s">
        <v>1284</v>
      </c>
      <c r="G2701" s="9">
        <v>44620</v>
      </c>
    </row>
    <row r="2702" spans="1:7" ht="14.25" customHeight="1">
      <c r="A2702" s="8">
        <f t="shared" si="10"/>
        <v>1118</v>
      </c>
      <c r="B2702" s="8"/>
      <c r="C2702" s="8">
        <v>1118</v>
      </c>
      <c r="D2702">
        <v>14</v>
      </c>
      <c r="E2702" t="s">
        <v>594</v>
      </c>
      <c r="F2702" t="s">
        <v>1285</v>
      </c>
      <c r="G2702" s="9">
        <v>44651</v>
      </c>
    </row>
    <row r="2703" spans="1:7" ht="14.25" customHeight="1">
      <c r="A2703" s="8">
        <f t="shared" si="10"/>
        <v>1118</v>
      </c>
      <c r="B2703" s="8"/>
      <c r="C2703" s="8">
        <v>1118</v>
      </c>
      <c r="D2703">
        <v>19</v>
      </c>
      <c r="E2703" t="s">
        <v>594</v>
      </c>
      <c r="F2703" t="s">
        <v>1286</v>
      </c>
      <c r="G2703" s="9">
        <v>44681</v>
      </c>
    </row>
    <row r="2704" spans="1:7" ht="14.25" customHeight="1">
      <c r="A2704" s="8">
        <f t="shared" si="10"/>
        <v>1118</v>
      </c>
      <c r="B2704" s="8"/>
      <c r="C2704" s="8">
        <v>1118</v>
      </c>
      <c r="D2704">
        <v>24</v>
      </c>
      <c r="E2704" t="s">
        <v>594</v>
      </c>
      <c r="F2704" t="s">
        <v>1287</v>
      </c>
      <c r="G2704" s="9">
        <v>44712</v>
      </c>
    </row>
    <row r="2705" spans="1:7" ht="14.25" customHeight="1">
      <c r="A2705" s="8">
        <f t="shared" si="10"/>
        <v>1006</v>
      </c>
      <c r="B2705" s="8"/>
      <c r="C2705" s="8">
        <v>1006</v>
      </c>
      <c r="D2705">
        <v>32</v>
      </c>
      <c r="E2705" t="s">
        <v>594</v>
      </c>
      <c r="F2705" t="s">
        <v>1288</v>
      </c>
      <c r="G2705" s="9">
        <v>44742</v>
      </c>
    </row>
    <row r="2706" spans="1:7" ht="14.25" customHeight="1">
      <c r="A2706" s="8">
        <f t="shared" si="10"/>
        <v>1244</v>
      </c>
      <c r="B2706" s="8"/>
      <c r="C2706" s="8">
        <v>1244</v>
      </c>
      <c r="D2706">
        <v>138</v>
      </c>
      <c r="E2706" t="s">
        <v>594</v>
      </c>
      <c r="F2706" t="s">
        <v>1289</v>
      </c>
      <c r="G2706" s="9">
        <v>44865</v>
      </c>
    </row>
    <row r="2707" spans="1:7" ht="14.25" customHeight="1">
      <c r="A2707" s="8">
        <f t="shared" si="10"/>
        <v>1244</v>
      </c>
      <c r="B2707" s="8"/>
      <c r="C2707" s="8">
        <v>1244</v>
      </c>
      <c r="D2707">
        <v>176</v>
      </c>
      <c r="E2707" t="s">
        <v>594</v>
      </c>
      <c r="F2707" t="s">
        <v>1290</v>
      </c>
      <c r="G2707" s="9">
        <v>44895</v>
      </c>
    </row>
    <row r="2708" spans="1:7" ht="14.25" customHeight="1">
      <c r="A2708" s="8">
        <f t="shared" si="10"/>
        <v>1316</v>
      </c>
      <c r="B2708" s="8"/>
      <c r="C2708" s="8">
        <v>1316</v>
      </c>
      <c r="D2708">
        <v>194</v>
      </c>
      <c r="E2708" t="s">
        <v>594</v>
      </c>
      <c r="F2708" t="s">
        <v>1291</v>
      </c>
      <c r="G2708" s="9">
        <v>44925</v>
      </c>
    </row>
    <row r="2709" spans="1:7" ht="14.25" customHeight="1">
      <c r="A2709" s="8">
        <f t="shared" si="10"/>
        <v>10389</v>
      </c>
      <c r="B2709" s="8"/>
      <c r="C2709" s="8">
        <v>10389</v>
      </c>
    </row>
    <row r="2710" spans="1:7" ht="14.25" customHeight="1">
      <c r="A2710" s="8">
        <f t="shared" si="10"/>
        <v>0</v>
      </c>
      <c r="B2710" s="8"/>
      <c r="C2710" s="8"/>
      <c r="F2710" t="s">
        <v>1293</v>
      </c>
      <c r="G2710">
        <v>64150000</v>
      </c>
    </row>
    <row r="2711" spans="1:7" ht="14.25" customHeight="1">
      <c r="A2711" s="8">
        <f t="shared" si="10"/>
        <v>1662</v>
      </c>
      <c r="B2711" s="8"/>
      <c r="C2711" s="8">
        <v>1662</v>
      </c>
      <c r="D2711">
        <v>4</v>
      </c>
      <c r="E2711" t="s">
        <v>594</v>
      </c>
      <c r="F2711" t="s">
        <v>1283</v>
      </c>
      <c r="G2711" s="9">
        <v>44592</v>
      </c>
    </row>
    <row r="2712" spans="1:7" ht="14.25" customHeight="1">
      <c r="A2712" s="8">
        <f t="shared" si="10"/>
        <v>1678</v>
      </c>
      <c r="B2712" s="8"/>
      <c r="C2712" s="8">
        <v>1678</v>
      </c>
      <c r="D2712">
        <v>9</v>
      </c>
      <c r="E2712" t="s">
        <v>594</v>
      </c>
      <c r="F2712" t="s">
        <v>1284</v>
      </c>
      <c r="G2712" s="9">
        <v>44620</v>
      </c>
    </row>
    <row r="2713" spans="1:7" ht="14.25" customHeight="1">
      <c r="A2713" s="8">
        <f t="shared" si="10"/>
        <v>1678</v>
      </c>
      <c r="B2713" s="8"/>
      <c r="C2713" s="8">
        <v>1678</v>
      </c>
      <c r="D2713">
        <v>14</v>
      </c>
      <c r="E2713" t="s">
        <v>594</v>
      </c>
      <c r="F2713" t="s">
        <v>1285</v>
      </c>
      <c r="G2713" s="9">
        <v>44651</v>
      </c>
    </row>
    <row r="2714" spans="1:7" ht="14.25" customHeight="1">
      <c r="A2714" s="8">
        <f t="shared" si="10"/>
        <v>15757</v>
      </c>
      <c r="B2714" s="8"/>
      <c r="C2714" s="8">
        <v>15757</v>
      </c>
      <c r="D2714">
        <v>14</v>
      </c>
      <c r="E2714" t="s">
        <v>594</v>
      </c>
      <c r="F2714" t="s">
        <v>1285</v>
      </c>
      <c r="G2714" s="9">
        <v>44651</v>
      </c>
    </row>
    <row r="2715" spans="1:7" ht="14.25" customHeight="1">
      <c r="A2715" s="8">
        <f t="shared" si="10"/>
        <v>1678</v>
      </c>
      <c r="B2715" s="8"/>
      <c r="C2715" s="8">
        <v>1678</v>
      </c>
      <c r="D2715">
        <v>19</v>
      </c>
      <c r="E2715" t="s">
        <v>594</v>
      </c>
      <c r="F2715" t="s">
        <v>1286</v>
      </c>
      <c r="G2715" s="9">
        <v>44681</v>
      </c>
    </row>
    <row r="2716" spans="1:7" ht="14.25" customHeight="1">
      <c r="A2716" s="8">
        <f t="shared" si="10"/>
        <v>1678</v>
      </c>
      <c r="B2716" s="8"/>
      <c r="C2716" s="8">
        <v>1678</v>
      </c>
      <c r="D2716">
        <v>24</v>
      </c>
      <c r="E2716" t="s">
        <v>594</v>
      </c>
      <c r="F2716" t="s">
        <v>1287</v>
      </c>
      <c r="G2716" s="9">
        <v>44712</v>
      </c>
    </row>
    <row r="2717" spans="1:7" ht="14.25" customHeight="1">
      <c r="A2717" s="8">
        <f t="shared" si="10"/>
        <v>1510</v>
      </c>
      <c r="B2717" s="8"/>
      <c r="C2717" s="8">
        <v>1510</v>
      </c>
      <c r="D2717">
        <v>32</v>
      </c>
      <c r="E2717" t="s">
        <v>594</v>
      </c>
      <c r="F2717" t="s">
        <v>1288</v>
      </c>
      <c r="G2717" s="9">
        <v>44742</v>
      </c>
    </row>
    <row r="2718" spans="1:7" ht="14.25" customHeight="1">
      <c r="A2718" s="8">
        <f t="shared" si="10"/>
        <v>29565</v>
      </c>
      <c r="B2718" s="8"/>
      <c r="C2718" s="8">
        <v>29565</v>
      </c>
      <c r="D2718">
        <v>130</v>
      </c>
      <c r="E2718" t="s">
        <v>594</v>
      </c>
      <c r="F2718" t="s">
        <v>1294</v>
      </c>
      <c r="G2718" s="9">
        <v>44834</v>
      </c>
    </row>
    <row r="2719" spans="1:7" ht="14.25" customHeight="1">
      <c r="A2719" s="8">
        <f t="shared" si="10"/>
        <v>1866</v>
      </c>
      <c r="B2719" s="8"/>
      <c r="C2719" s="8">
        <v>1866</v>
      </c>
      <c r="D2719">
        <v>138</v>
      </c>
      <c r="E2719" t="s">
        <v>594</v>
      </c>
      <c r="F2719" t="s">
        <v>1289</v>
      </c>
      <c r="G2719" s="9">
        <v>44865</v>
      </c>
    </row>
    <row r="2720" spans="1:7" ht="14.25" customHeight="1">
      <c r="A2720" s="8">
        <f t="shared" si="10"/>
        <v>1866</v>
      </c>
      <c r="B2720" s="8"/>
      <c r="C2720" s="8">
        <v>1866</v>
      </c>
      <c r="D2720">
        <v>176</v>
      </c>
      <c r="E2720" t="s">
        <v>594</v>
      </c>
      <c r="F2720" t="s">
        <v>1290</v>
      </c>
      <c r="G2720" s="9">
        <v>44895</v>
      </c>
    </row>
    <row r="2721" spans="1:7" ht="14.25" customHeight="1">
      <c r="A2721" s="8">
        <f t="shared" si="10"/>
        <v>1975</v>
      </c>
      <c r="B2721" s="8"/>
      <c r="C2721" s="8">
        <v>1975</v>
      </c>
      <c r="D2721">
        <v>194</v>
      </c>
      <c r="E2721" t="s">
        <v>594</v>
      </c>
      <c r="F2721" t="s">
        <v>1291</v>
      </c>
      <c r="G2721" s="9">
        <v>44925</v>
      </c>
    </row>
    <row r="2722" spans="1:7" ht="14.25" customHeight="1">
      <c r="A2722" s="8">
        <f t="shared" si="10"/>
        <v>60913</v>
      </c>
      <c r="B2722" s="8"/>
      <c r="C2722" s="8">
        <v>60913</v>
      </c>
    </row>
    <row r="2723" spans="1:7" ht="14.25" customHeight="1">
      <c r="A2723" s="8">
        <f t="shared" si="10"/>
        <v>0</v>
      </c>
      <c r="B2723" s="8"/>
      <c r="C2723" s="8"/>
      <c r="F2723" t="s">
        <v>1295</v>
      </c>
      <c r="G2723">
        <v>66110000</v>
      </c>
    </row>
    <row r="2724" spans="1:7" ht="14.25" customHeight="1">
      <c r="A2724" s="8">
        <f t="shared" si="10"/>
        <v>276865</v>
      </c>
      <c r="B2724" s="8"/>
      <c r="C2724" s="8">
        <v>276865</v>
      </c>
      <c r="D2724">
        <v>1</v>
      </c>
      <c r="E2724" t="s">
        <v>594</v>
      </c>
      <c r="F2724" t="s">
        <v>1296</v>
      </c>
      <c r="G2724" s="9">
        <v>44592</v>
      </c>
    </row>
    <row r="2725" spans="1:7" ht="14.25" customHeight="1">
      <c r="A2725" s="8">
        <f t="shared" si="10"/>
        <v>447664</v>
      </c>
      <c r="B2725" s="8"/>
      <c r="C2725" s="8">
        <v>447664</v>
      </c>
      <c r="D2725">
        <v>6</v>
      </c>
      <c r="E2725" t="s">
        <v>594</v>
      </c>
      <c r="F2725" t="s">
        <v>1297</v>
      </c>
      <c r="G2725" s="9">
        <v>44620</v>
      </c>
    </row>
    <row r="2726" spans="1:7" ht="14.25" customHeight="1">
      <c r="A2726" s="8">
        <f t="shared" si="10"/>
        <v>279579</v>
      </c>
      <c r="B2726" s="8"/>
      <c r="C2726" s="8">
        <v>279579</v>
      </c>
      <c r="D2726">
        <v>11</v>
      </c>
      <c r="E2726" t="s">
        <v>594</v>
      </c>
      <c r="F2726" t="s">
        <v>1298</v>
      </c>
      <c r="G2726" s="9">
        <v>44651</v>
      </c>
    </row>
    <row r="2727" spans="1:7" ht="14.25" customHeight="1">
      <c r="A2727" s="8">
        <f t="shared" si="10"/>
        <v>279579</v>
      </c>
      <c r="B2727" s="8"/>
      <c r="C2727" s="8">
        <v>279579</v>
      </c>
      <c r="D2727">
        <v>16</v>
      </c>
      <c r="E2727" t="s">
        <v>594</v>
      </c>
      <c r="F2727" t="s">
        <v>1299</v>
      </c>
      <c r="G2727" s="9">
        <v>44681</v>
      </c>
    </row>
    <row r="2728" spans="1:7" ht="14.25" customHeight="1">
      <c r="A2728" s="8">
        <f t="shared" si="10"/>
        <v>279579</v>
      </c>
      <c r="B2728" s="8"/>
      <c r="C2728" s="8">
        <v>279579</v>
      </c>
      <c r="D2728">
        <v>21</v>
      </c>
      <c r="E2728" t="s">
        <v>594</v>
      </c>
      <c r="F2728" t="s">
        <v>1300</v>
      </c>
      <c r="G2728" s="9">
        <v>44712</v>
      </c>
    </row>
    <row r="2729" spans="1:7" ht="14.25" customHeight="1">
      <c r="A2729" s="8">
        <f t="shared" si="10"/>
        <v>251621</v>
      </c>
      <c r="B2729" s="8"/>
      <c r="C2729" s="8">
        <v>251621</v>
      </c>
      <c r="D2729">
        <v>29</v>
      </c>
      <c r="E2729" t="s">
        <v>594</v>
      </c>
      <c r="F2729" t="s">
        <v>1301</v>
      </c>
      <c r="G2729" s="9">
        <v>44742</v>
      </c>
    </row>
    <row r="2730" spans="1:7" ht="14.25" customHeight="1">
      <c r="A2730" s="8">
        <f t="shared" si="10"/>
        <v>311133</v>
      </c>
      <c r="B2730" s="8"/>
      <c r="C2730" s="8">
        <v>311133</v>
      </c>
      <c r="D2730">
        <v>135</v>
      </c>
      <c r="E2730" t="s">
        <v>594</v>
      </c>
      <c r="F2730" t="s">
        <v>1302</v>
      </c>
      <c r="G2730" s="9">
        <v>44865</v>
      </c>
    </row>
    <row r="2731" spans="1:7" ht="14.25" customHeight="1">
      <c r="A2731" s="8">
        <f t="shared" si="10"/>
        <v>311133</v>
      </c>
      <c r="B2731" s="8"/>
      <c r="C2731" s="8">
        <v>311133</v>
      </c>
      <c r="D2731">
        <v>173</v>
      </c>
      <c r="E2731" t="s">
        <v>594</v>
      </c>
      <c r="F2731" t="s">
        <v>1303</v>
      </c>
      <c r="G2731" s="9">
        <v>44895</v>
      </c>
    </row>
    <row r="2732" spans="1:7" ht="14.25" customHeight="1">
      <c r="A2732" s="8">
        <f t="shared" si="10"/>
        <v>328999</v>
      </c>
      <c r="B2732" s="8"/>
      <c r="C2732" s="8">
        <v>328999</v>
      </c>
      <c r="D2732">
        <v>191</v>
      </c>
      <c r="E2732" t="s">
        <v>594</v>
      </c>
      <c r="F2732" t="s">
        <v>1304</v>
      </c>
      <c r="G2732" s="9">
        <v>44925</v>
      </c>
    </row>
    <row r="2733" spans="1:7" ht="14.25" customHeight="1">
      <c r="A2733" s="8">
        <f t="shared" si="10"/>
        <v>2766150</v>
      </c>
      <c r="B2733" s="8"/>
      <c r="C2733" s="8">
        <v>2766150</v>
      </c>
    </row>
    <row r="2734" spans="1:7" ht="14.25" customHeight="1">
      <c r="A2734" s="8">
        <f t="shared" si="10"/>
        <v>0</v>
      </c>
      <c r="B2734" s="8"/>
      <c r="C2734" s="8"/>
      <c r="F2734" t="s">
        <v>1305</v>
      </c>
      <c r="G2734">
        <v>66340000</v>
      </c>
    </row>
    <row r="2735" spans="1:7" ht="14.25" customHeight="1">
      <c r="A2735" s="8">
        <f t="shared" si="10"/>
        <v>34500</v>
      </c>
      <c r="B2735" s="8"/>
      <c r="C2735" s="8">
        <v>34500</v>
      </c>
      <c r="D2735">
        <v>3</v>
      </c>
      <c r="E2735" t="s">
        <v>594</v>
      </c>
      <c r="F2735" t="s">
        <v>1306</v>
      </c>
      <c r="G2735" s="9">
        <v>44592</v>
      </c>
    </row>
    <row r="2736" spans="1:7" ht="14.25" customHeight="1">
      <c r="A2736" s="8">
        <f t="shared" si="10"/>
        <v>34500</v>
      </c>
      <c r="B2736" s="8"/>
      <c r="C2736" s="8">
        <v>34500</v>
      </c>
      <c r="D2736">
        <v>8</v>
      </c>
      <c r="E2736" t="s">
        <v>594</v>
      </c>
      <c r="F2736" t="s">
        <v>1307</v>
      </c>
      <c r="G2736" s="9">
        <v>44620</v>
      </c>
    </row>
    <row r="2737" spans="1:7" ht="14.25" customHeight="1">
      <c r="A2737" s="8">
        <f t="shared" si="10"/>
        <v>34500</v>
      </c>
      <c r="B2737" s="8"/>
      <c r="C2737" s="8">
        <v>34500</v>
      </c>
      <c r="D2737">
        <v>13</v>
      </c>
      <c r="E2737" t="s">
        <v>594</v>
      </c>
      <c r="F2737" t="s">
        <v>1308</v>
      </c>
      <c r="G2737" s="9">
        <v>44651</v>
      </c>
    </row>
    <row r="2738" spans="1:7" ht="14.25" customHeight="1">
      <c r="A2738" s="8">
        <f t="shared" si="10"/>
        <v>34500</v>
      </c>
      <c r="B2738" s="8"/>
      <c r="C2738" s="8">
        <v>34500</v>
      </c>
      <c r="D2738">
        <v>18</v>
      </c>
      <c r="E2738" t="s">
        <v>594</v>
      </c>
      <c r="F2738" t="s">
        <v>1309</v>
      </c>
      <c r="G2738" s="9">
        <v>44681</v>
      </c>
    </row>
    <row r="2739" spans="1:7" ht="14.25" customHeight="1">
      <c r="A2739" s="8">
        <f t="shared" si="10"/>
        <v>34500</v>
      </c>
      <c r="B2739" s="8"/>
      <c r="C2739" s="8">
        <v>34500</v>
      </c>
      <c r="D2739">
        <v>23</v>
      </c>
      <c r="E2739" t="s">
        <v>594</v>
      </c>
      <c r="F2739" t="s">
        <v>1310</v>
      </c>
      <c r="G2739" s="9">
        <v>44712</v>
      </c>
    </row>
    <row r="2740" spans="1:7" ht="14.25" customHeight="1">
      <c r="A2740" s="8">
        <f t="shared" si="10"/>
        <v>31050</v>
      </c>
      <c r="B2740" s="8"/>
      <c r="C2740" s="8">
        <v>31050</v>
      </c>
      <c r="D2740">
        <v>31</v>
      </c>
      <c r="E2740" t="s">
        <v>594</v>
      </c>
      <c r="F2740" t="s">
        <v>1311</v>
      </c>
      <c r="G2740" s="9">
        <v>44742</v>
      </c>
    </row>
    <row r="2741" spans="1:7" ht="14.25" customHeight="1">
      <c r="A2741" s="8">
        <f t="shared" si="10"/>
        <v>34500</v>
      </c>
      <c r="B2741" s="8"/>
      <c r="C2741" s="8">
        <v>34500</v>
      </c>
      <c r="D2741">
        <v>137</v>
      </c>
      <c r="E2741" t="s">
        <v>594</v>
      </c>
      <c r="F2741" t="s">
        <v>1312</v>
      </c>
      <c r="G2741" s="9">
        <v>44865</v>
      </c>
    </row>
    <row r="2742" spans="1:7" ht="14.25" customHeight="1">
      <c r="A2742" s="8">
        <f t="shared" si="10"/>
        <v>34500</v>
      </c>
      <c r="B2742" s="8"/>
      <c r="C2742" s="8">
        <v>34500</v>
      </c>
      <c r="D2742">
        <v>175</v>
      </c>
      <c r="E2742" t="s">
        <v>594</v>
      </c>
      <c r="F2742" t="s">
        <v>1313</v>
      </c>
      <c r="G2742" s="9">
        <v>44895</v>
      </c>
    </row>
    <row r="2743" spans="1:7" ht="14.25" customHeight="1">
      <c r="A2743" s="8">
        <f t="shared" si="10"/>
        <v>34500</v>
      </c>
      <c r="B2743" s="8"/>
      <c r="C2743" s="8">
        <v>34500</v>
      </c>
      <c r="D2743">
        <v>193</v>
      </c>
      <c r="E2743" t="s">
        <v>594</v>
      </c>
      <c r="F2743" t="s">
        <v>1314</v>
      </c>
      <c r="G2743" s="9">
        <v>44925</v>
      </c>
    </row>
    <row r="2744" spans="1:7" ht="14.25" customHeight="1">
      <c r="A2744" s="8">
        <f t="shared" si="10"/>
        <v>307050</v>
      </c>
      <c r="B2744" s="8"/>
      <c r="C2744" s="8">
        <v>307050</v>
      </c>
    </row>
    <row r="2745" spans="1:7" ht="14.25" customHeight="1">
      <c r="A2745" s="8">
        <f t="shared" si="10"/>
        <v>0</v>
      </c>
      <c r="B2745" s="8"/>
      <c r="C2745" s="8"/>
      <c r="F2745" t="s">
        <v>1315</v>
      </c>
      <c r="G2745">
        <v>66410000</v>
      </c>
    </row>
    <row r="2746" spans="1:7" ht="14.25" customHeight="1">
      <c r="A2746" s="8">
        <f t="shared" si="10"/>
        <v>21319</v>
      </c>
      <c r="B2746" s="8"/>
      <c r="C2746" s="8">
        <v>21319</v>
      </c>
      <c r="D2746">
        <v>5</v>
      </c>
      <c r="E2746" t="s">
        <v>594</v>
      </c>
      <c r="F2746" t="s">
        <v>1316</v>
      </c>
      <c r="G2746" s="9">
        <v>44592</v>
      </c>
    </row>
    <row r="2747" spans="1:7" ht="14.25" customHeight="1">
      <c r="A2747" s="8">
        <f t="shared" si="10"/>
        <v>21528</v>
      </c>
      <c r="B2747" s="8"/>
      <c r="C2747" s="8">
        <v>21528</v>
      </c>
      <c r="D2747">
        <v>10</v>
      </c>
      <c r="E2747" t="s">
        <v>594</v>
      </c>
      <c r="F2747" t="s">
        <v>1317</v>
      </c>
      <c r="G2747" s="9">
        <v>44620</v>
      </c>
    </row>
    <row r="2748" spans="1:7" ht="14.25" customHeight="1">
      <c r="A2748" s="8">
        <f t="shared" si="10"/>
        <v>21528</v>
      </c>
      <c r="B2748" s="8"/>
      <c r="C2748" s="8">
        <v>21528</v>
      </c>
      <c r="D2748">
        <v>15</v>
      </c>
      <c r="E2748" t="s">
        <v>594</v>
      </c>
      <c r="F2748" t="s">
        <v>1318</v>
      </c>
      <c r="G2748" s="9">
        <v>44651</v>
      </c>
    </row>
    <row r="2749" spans="1:7" ht="14.25" customHeight="1">
      <c r="A2749" s="8">
        <f t="shared" si="10"/>
        <v>21528</v>
      </c>
      <c r="B2749" s="8"/>
      <c r="C2749" s="8">
        <v>21528</v>
      </c>
      <c r="D2749">
        <v>20</v>
      </c>
      <c r="E2749" t="s">
        <v>594</v>
      </c>
      <c r="F2749" t="s">
        <v>1319</v>
      </c>
      <c r="G2749" s="9">
        <v>44681</v>
      </c>
    </row>
    <row r="2750" spans="1:7" ht="14.25" customHeight="1">
      <c r="A2750" s="8">
        <f t="shared" si="10"/>
        <v>21528</v>
      </c>
      <c r="B2750" s="8"/>
      <c r="C2750" s="8">
        <v>21528</v>
      </c>
      <c r="D2750">
        <v>25</v>
      </c>
      <c r="E2750" t="s">
        <v>594</v>
      </c>
      <c r="F2750" t="s">
        <v>1320</v>
      </c>
      <c r="G2750" s="9">
        <v>44712</v>
      </c>
    </row>
    <row r="2751" spans="1:7" ht="14.25" customHeight="1">
      <c r="A2751" s="8">
        <f t="shared" si="10"/>
        <v>19375</v>
      </c>
      <c r="B2751" s="8"/>
      <c r="C2751" s="8">
        <v>19375</v>
      </c>
      <c r="D2751">
        <v>33</v>
      </c>
      <c r="E2751" t="s">
        <v>594</v>
      </c>
      <c r="F2751" t="s">
        <v>1321</v>
      </c>
      <c r="G2751" s="9">
        <v>44742</v>
      </c>
    </row>
    <row r="2752" spans="1:7" ht="14.25" customHeight="1">
      <c r="A2752" s="8">
        <f t="shared" si="10"/>
        <v>23957</v>
      </c>
      <c r="B2752" s="8"/>
      <c r="C2752" s="8">
        <v>23957</v>
      </c>
      <c r="D2752">
        <v>139</v>
      </c>
      <c r="E2752" t="s">
        <v>594</v>
      </c>
      <c r="F2752" t="s">
        <v>1322</v>
      </c>
      <c r="G2752" s="9">
        <v>44865</v>
      </c>
    </row>
    <row r="2753" spans="1:7" ht="14.25" customHeight="1">
      <c r="A2753" s="8">
        <f t="shared" si="10"/>
        <v>23957</v>
      </c>
      <c r="B2753" s="8"/>
      <c r="C2753" s="8">
        <v>23957</v>
      </c>
      <c r="D2753">
        <v>177</v>
      </c>
      <c r="E2753" t="s">
        <v>594</v>
      </c>
      <c r="F2753" t="s">
        <v>1323</v>
      </c>
      <c r="G2753" s="9">
        <v>44895</v>
      </c>
    </row>
    <row r="2754" spans="1:7" ht="14.25" customHeight="1">
      <c r="A2754" s="8">
        <f t="shared" si="10"/>
        <v>25333</v>
      </c>
      <c r="B2754" s="8"/>
      <c r="C2754" s="8">
        <v>25333</v>
      </c>
      <c r="D2754">
        <v>195</v>
      </c>
      <c r="E2754" t="s">
        <v>594</v>
      </c>
      <c r="F2754" t="s">
        <v>1324</v>
      </c>
      <c r="G2754" s="9">
        <v>44925</v>
      </c>
    </row>
    <row r="2755" spans="1:7" ht="14.25" customHeight="1">
      <c r="A2755" s="8">
        <f t="shared" si="10"/>
        <v>200053</v>
      </c>
      <c r="B2755" s="8"/>
      <c r="C2755" s="8">
        <v>200053</v>
      </c>
    </row>
    <row r="2756" spans="1:7" ht="14.25" customHeight="1">
      <c r="A2756" s="8">
        <f t="shared" si="10"/>
        <v>3375732</v>
      </c>
      <c r="B2756" s="8"/>
      <c r="C2756" s="8">
        <v>3375732</v>
      </c>
      <c r="E2756">
        <v>9101010</v>
      </c>
      <c r="F2756" t="s">
        <v>468</v>
      </c>
      <c r="G2756" t="s">
        <v>581</v>
      </c>
    </row>
    <row r="2757" spans="1:7" ht="14.25" customHeight="1">
      <c r="A2757" s="8">
        <f t="shared" si="10"/>
        <v>0</v>
      </c>
      <c r="B2757" s="8"/>
      <c r="C2757" s="8"/>
      <c r="D2757" t="s">
        <v>469</v>
      </c>
      <c r="G2757">
        <v>9102010</v>
      </c>
    </row>
    <row r="2758" spans="1:7" ht="14.25" customHeight="1">
      <c r="A2758" s="8">
        <f t="shared" si="10"/>
        <v>0</v>
      </c>
      <c r="B2758" s="8"/>
      <c r="C2758" s="8"/>
      <c r="F2758" t="s">
        <v>1282</v>
      </c>
      <c r="G2758">
        <v>64130000</v>
      </c>
    </row>
    <row r="2759" spans="1:7" ht="14.25" customHeight="1">
      <c r="A2759" s="8">
        <f t="shared" si="10"/>
        <v>31441</v>
      </c>
      <c r="B2759" s="8"/>
      <c r="C2759" s="8">
        <v>31441</v>
      </c>
      <c r="D2759">
        <v>4</v>
      </c>
      <c r="E2759" t="s">
        <v>594</v>
      </c>
      <c r="F2759" t="s">
        <v>1283</v>
      </c>
      <c r="G2759" s="9">
        <v>44592</v>
      </c>
    </row>
    <row r="2760" spans="1:7" ht="14.25" customHeight="1">
      <c r="A2760" s="8">
        <f t="shared" si="10"/>
        <v>31516</v>
      </c>
      <c r="B2760" s="8"/>
      <c r="C2760" s="8">
        <v>31516</v>
      </c>
      <c r="D2760">
        <v>9</v>
      </c>
      <c r="E2760" t="s">
        <v>594</v>
      </c>
      <c r="F2760" t="s">
        <v>1284</v>
      </c>
      <c r="G2760" s="9">
        <v>44620</v>
      </c>
    </row>
    <row r="2761" spans="1:7" ht="14.25" customHeight="1">
      <c r="A2761" s="8">
        <f t="shared" si="10"/>
        <v>31516</v>
      </c>
      <c r="B2761" s="8"/>
      <c r="C2761" s="8">
        <v>31516</v>
      </c>
      <c r="D2761">
        <v>14</v>
      </c>
      <c r="E2761" t="s">
        <v>594</v>
      </c>
      <c r="F2761" t="s">
        <v>1285</v>
      </c>
      <c r="G2761" s="9">
        <v>44651</v>
      </c>
    </row>
    <row r="2762" spans="1:7" ht="14.25" customHeight="1">
      <c r="A2762" s="8">
        <f t="shared" si="10"/>
        <v>31516</v>
      </c>
      <c r="B2762" s="8"/>
      <c r="C2762" s="8">
        <v>31516</v>
      </c>
      <c r="D2762">
        <v>19</v>
      </c>
      <c r="E2762" t="s">
        <v>594</v>
      </c>
      <c r="F2762" t="s">
        <v>1286</v>
      </c>
      <c r="G2762" s="9">
        <v>44681</v>
      </c>
    </row>
    <row r="2763" spans="1:7" ht="14.25" customHeight="1">
      <c r="A2763" s="8">
        <f t="shared" si="10"/>
        <v>21567</v>
      </c>
      <c r="B2763" s="8"/>
      <c r="C2763" s="8">
        <v>21567</v>
      </c>
      <c r="D2763">
        <v>24</v>
      </c>
      <c r="E2763" t="s">
        <v>594</v>
      </c>
      <c r="F2763" t="s">
        <v>1287</v>
      </c>
      <c r="G2763" s="9">
        <v>44712</v>
      </c>
    </row>
    <row r="2764" spans="1:7" ht="14.25" customHeight="1">
      <c r="A2764" s="8">
        <f t="shared" si="10"/>
        <v>31516</v>
      </c>
      <c r="B2764" s="8"/>
      <c r="C2764" s="8">
        <v>31516</v>
      </c>
      <c r="D2764">
        <v>32</v>
      </c>
      <c r="E2764" t="s">
        <v>594</v>
      </c>
      <c r="F2764" t="s">
        <v>1288</v>
      </c>
      <c r="G2764" s="9">
        <v>44742</v>
      </c>
    </row>
    <row r="2765" spans="1:7" ht="14.25" customHeight="1">
      <c r="A2765" s="8">
        <f t="shared" si="10"/>
        <v>31693</v>
      </c>
      <c r="B2765" s="8"/>
      <c r="C2765" s="8">
        <v>31693</v>
      </c>
      <c r="D2765">
        <v>65</v>
      </c>
      <c r="E2765" t="s">
        <v>594</v>
      </c>
      <c r="F2765" t="s">
        <v>1325</v>
      </c>
      <c r="G2765" s="9">
        <v>44772</v>
      </c>
    </row>
    <row r="2766" spans="1:7" ht="14.25" customHeight="1">
      <c r="A2766" s="8">
        <f t="shared" si="10"/>
        <v>26780</v>
      </c>
      <c r="B2766" s="8"/>
      <c r="C2766" s="8">
        <v>26780</v>
      </c>
      <c r="D2766">
        <v>75</v>
      </c>
      <c r="E2766" t="s">
        <v>594</v>
      </c>
      <c r="F2766" t="s">
        <v>1326</v>
      </c>
      <c r="G2766" s="9">
        <v>44804</v>
      </c>
    </row>
    <row r="2767" spans="1:7" ht="14.25" customHeight="1">
      <c r="A2767" s="8">
        <f t="shared" si="10"/>
        <v>59131</v>
      </c>
      <c r="B2767" s="8"/>
      <c r="C2767" s="8">
        <v>59131</v>
      </c>
      <c r="D2767">
        <v>130</v>
      </c>
      <c r="E2767" t="s">
        <v>594</v>
      </c>
      <c r="F2767" t="s">
        <v>1294</v>
      </c>
      <c r="G2767" s="9">
        <v>44834</v>
      </c>
    </row>
    <row r="2768" spans="1:7" ht="14.25" customHeight="1">
      <c r="A2768" s="8">
        <f t="shared" si="10"/>
        <v>17789</v>
      </c>
      <c r="B2768" s="8"/>
      <c r="C2768" s="8">
        <v>17789</v>
      </c>
      <c r="D2768">
        <v>138</v>
      </c>
      <c r="E2768" t="s">
        <v>594</v>
      </c>
      <c r="F2768" t="s">
        <v>1289</v>
      </c>
      <c r="G2768" s="9">
        <v>44865</v>
      </c>
    </row>
    <row r="2769" spans="1:7" ht="14.25" customHeight="1">
      <c r="A2769" s="8">
        <f t="shared" si="10"/>
        <v>36066</v>
      </c>
      <c r="B2769" s="8"/>
      <c r="C2769" s="8">
        <v>36066</v>
      </c>
      <c r="D2769">
        <v>176</v>
      </c>
      <c r="E2769" t="s">
        <v>594</v>
      </c>
      <c r="F2769" t="s">
        <v>1290</v>
      </c>
      <c r="G2769" s="9">
        <v>44895</v>
      </c>
    </row>
    <row r="2770" spans="1:7" ht="14.25" customHeight="1">
      <c r="A2770" s="8">
        <f t="shared" si="10"/>
        <v>35383</v>
      </c>
      <c r="B2770" s="8"/>
      <c r="C2770" s="8">
        <v>35383</v>
      </c>
      <c r="D2770">
        <v>194</v>
      </c>
      <c r="E2770" t="s">
        <v>594</v>
      </c>
      <c r="F2770" t="s">
        <v>1291</v>
      </c>
      <c r="G2770" s="9">
        <v>44925</v>
      </c>
    </row>
    <row r="2771" spans="1:7" ht="14.25" customHeight="1">
      <c r="A2771" s="8">
        <f t="shared" si="10"/>
        <v>385914</v>
      </c>
      <c r="B2771" s="8"/>
      <c r="C2771" s="8">
        <v>385914</v>
      </c>
    </row>
    <row r="2772" spans="1:7" ht="14.25" customHeight="1">
      <c r="A2772" s="8">
        <f t="shared" si="10"/>
        <v>0</v>
      </c>
      <c r="B2772" s="8"/>
      <c r="C2772" s="8"/>
      <c r="F2772" t="s">
        <v>1292</v>
      </c>
      <c r="G2772">
        <v>64140000</v>
      </c>
    </row>
    <row r="2773" spans="1:7" ht="14.25" customHeight="1">
      <c r="A2773" s="8">
        <f t="shared" si="10"/>
        <v>10481</v>
      </c>
      <c r="B2773" s="8"/>
      <c r="C2773" s="8">
        <v>10481</v>
      </c>
      <c r="D2773">
        <v>4</v>
      </c>
      <c r="E2773" t="s">
        <v>594</v>
      </c>
      <c r="F2773" t="s">
        <v>1283</v>
      </c>
      <c r="G2773" s="9">
        <v>44592</v>
      </c>
    </row>
    <row r="2774" spans="1:7" ht="14.25" customHeight="1">
      <c r="A2774" s="8">
        <f t="shared" si="10"/>
        <v>10505</v>
      </c>
      <c r="B2774" s="8"/>
      <c r="C2774" s="8">
        <v>10505</v>
      </c>
      <c r="D2774">
        <v>9</v>
      </c>
      <c r="E2774" t="s">
        <v>594</v>
      </c>
      <c r="F2774" t="s">
        <v>1284</v>
      </c>
      <c r="G2774" s="9">
        <v>44620</v>
      </c>
    </row>
    <row r="2775" spans="1:7" ht="14.25" customHeight="1">
      <c r="A2775" s="8">
        <f t="shared" si="10"/>
        <v>10505</v>
      </c>
      <c r="B2775" s="8"/>
      <c r="C2775" s="8">
        <v>10505</v>
      </c>
      <c r="D2775">
        <v>14</v>
      </c>
      <c r="E2775" t="s">
        <v>594</v>
      </c>
      <c r="F2775" t="s">
        <v>1285</v>
      </c>
      <c r="G2775" s="9">
        <v>44651</v>
      </c>
    </row>
    <row r="2776" spans="1:7" ht="14.25" customHeight="1">
      <c r="A2776" s="8">
        <f t="shared" si="10"/>
        <v>10505</v>
      </c>
      <c r="B2776" s="8"/>
      <c r="C2776" s="8">
        <v>10505</v>
      </c>
      <c r="D2776">
        <v>19</v>
      </c>
      <c r="E2776" t="s">
        <v>594</v>
      </c>
      <c r="F2776" t="s">
        <v>1286</v>
      </c>
      <c r="G2776" s="9">
        <v>44681</v>
      </c>
    </row>
    <row r="2777" spans="1:7" ht="14.25" customHeight="1">
      <c r="A2777" s="8">
        <f t="shared" si="10"/>
        <v>7189</v>
      </c>
      <c r="B2777" s="8"/>
      <c r="C2777" s="8">
        <v>7189</v>
      </c>
      <c r="D2777">
        <v>24</v>
      </c>
      <c r="E2777" t="s">
        <v>594</v>
      </c>
      <c r="F2777" t="s">
        <v>1287</v>
      </c>
      <c r="G2777" s="9">
        <v>44712</v>
      </c>
    </row>
    <row r="2778" spans="1:7" ht="14.25" customHeight="1">
      <c r="A2778" s="8">
        <f t="shared" si="10"/>
        <v>10505</v>
      </c>
      <c r="B2778" s="8"/>
      <c r="C2778" s="8">
        <v>10505</v>
      </c>
      <c r="D2778">
        <v>32</v>
      </c>
      <c r="E2778" t="s">
        <v>594</v>
      </c>
      <c r="F2778" t="s">
        <v>1288</v>
      </c>
      <c r="G2778" s="9">
        <v>44742</v>
      </c>
    </row>
    <row r="2779" spans="1:7" ht="14.25" customHeight="1">
      <c r="A2779" s="8">
        <f t="shared" si="10"/>
        <v>10564</v>
      </c>
      <c r="B2779" s="8"/>
      <c r="C2779" s="8">
        <v>10564</v>
      </c>
      <c r="D2779">
        <v>65</v>
      </c>
      <c r="E2779" t="s">
        <v>594</v>
      </c>
      <c r="F2779" t="s">
        <v>1325</v>
      </c>
      <c r="G2779" s="9">
        <v>44772</v>
      </c>
    </row>
    <row r="2780" spans="1:7" ht="14.25" customHeight="1">
      <c r="A2780" s="8">
        <f t="shared" si="10"/>
        <v>8926</v>
      </c>
      <c r="B2780" s="8"/>
      <c r="C2780" s="8">
        <v>8926</v>
      </c>
      <c r="D2780">
        <v>75</v>
      </c>
      <c r="E2780" t="s">
        <v>594</v>
      </c>
      <c r="F2780" t="s">
        <v>1326</v>
      </c>
      <c r="G2780" s="9">
        <v>44804</v>
      </c>
    </row>
    <row r="2781" spans="1:7" ht="14.25" customHeight="1">
      <c r="A2781" s="8">
        <f t="shared" si="10"/>
        <v>19710</v>
      </c>
      <c r="B2781" s="8"/>
      <c r="C2781" s="8">
        <v>19710</v>
      </c>
      <c r="D2781">
        <v>130</v>
      </c>
      <c r="E2781" t="s">
        <v>594</v>
      </c>
      <c r="F2781" t="s">
        <v>1294</v>
      </c>
      <c r="G2781" s="9">
        <v>44834</v>
      </c>
    </row>
    <row r="2782" spans="1:7" ht="14.25" customHeight="1">
      <c r="A2782" s="8">
        <f t="shared" si="10"/>
        <v>5929</v>
      </c>
      <c r="B2782" s="8"/>
      <c r="C2782" s="8">
        <v>5929</v>
      </c>
      <c r="D2782">
        <v>138</v>
      </c>
      <c r="E2782" t="s">
        <v>594</v>
      </c>
      <c r="F2782" t="s">
        <v>1289</v>
      </c>
      <c r="G2782" s="9">
        <v>44865</v>
      </c>
    </row>
    <row r="2783" spans="1:7" ht="14.25" customHeight="1">
      <c r="A2783" s="8">
        <f t="shared" si="10"/>
        <v>12022</v>
      </c>
      <c r="B2783" s="8"/>
      <c r="C2783" s="8">
        <v>12022</v>
      </c>
      <c r="D2783">
        <v>176</v>
      </c>
      <c r="E2783" t="s">
        <v>594</v>
      </c>
      <c r="F2783" t="s">
        <v>1290</v>
      </c>
      <c r="G2783" s="9">
        <v>44895</v>
      </c>
    </row>
    <row r="2784" spans="1:7" ht="14.25" customHeight="1">
      <c r="A2784" s="8">
        <f t="shared" si="10"/>
        <v>11794</v>
      </c>
      <c r="B2784" s="8"/>
      <c r="C2784" s="8">
        <v>11794</v>
      </c>
      <c r="D2784">
        <v>194</v>
      </c>
      <c r="E2784" t="s">
        <v>594</v>
      </c>
      <c r="F2784" t="s">
        <v>1291</v>
      </c>
      <c r="G2784" s="9">
        <v>44925</v>
      </c>
    </row>
    <row r="2785" spans="1:7" ht="14.25" customHeight="1">
      <c r="A2785" s="8">
        <f t="shared" si="10"/>
        <v>128637</v>
      </c>
      <c r="B2785" s="8"/>
      <c r="C2785" s="8">
        <v>128637</v>
      </c>
    </row>
    <row r="2786" spans="1:7" ht="14.25" customHeight="1">
      <c r="A2786" s="8">
        <f t="shared" si="10"/>
        <v>0</v>
      </c>
      <c r="B2786" s="8"/>
      <c r="C2786" s="8"/>
      <c r="F2786" t="s">
        <v>1293</v>
      </c>
      <c r="G2786">
        <v>64150000</v>
      </c>
    </row>
    <row r="2787" spans="1:7" ht="14.25" customHeight="1">
      <c r="A2787" s="8">
        <f t="shared" si="10"/>
        <v>15720</v>
      </c>
      <c r="B2787" s="8"/>
      <c r="C2787" s="8">
        <v>15720</v>
      </c>
      <c r="D2787">
        <v>4</v>
      </c>
      <c r="E2787" t="s">
        <v>594</v>
      </c>
      <c r="F2787" t="s">
        <v>1283</v>
      </c>
      <c r="G2787" s="9">
        <v>44592</v>
      </c>
    </row>
    <row r="2788" spans="1:7" ht="14.25" customHeight="1">
      <c r="A2788" s="8">
        <f t="shared" si="10"/>
        <v>15757</v>
      </c>
      <c r="B2788" s="8"/>
      <c r="C2788" s="8">
        <v>15757</v>
      </c>
      <c r="D2788">
        <v>9</v>
      </c>
      <c r="E2788" t="s">
        <v>594</v>
      </c>
      <c r="F2788" t="s">
        <v>1284</v>
      </c>
      <c r="G2788" s="9">
        <v>44620</v>
      </c>
    </row>
    <row r="2789" spans="1:7" ht="14.25" customHeight="1">
      <c r="A2789" s="8">
        <f t="shared" si="10"/>
        <v>15757</v>
      </c>
      <c r="B2789" s="8"/>
      <c r="C2789" s="8">
        <v>15757</v>
      </c>
      <c r="D2789">
        <v>19</v>
      </c>
      <c r="E2789" t="s">
        <v>594</v>
      </c>
      <c r="F2789" t="s">
        <v>1286</v>
      </c>
      <c r="G2789" s="9">
        <v>44681</v>
      </c>
    </row>
    <row r="2790" spans="1:7" ht="14.25" customHeight="1">
      <c r="A2790" s="8">
        <f t="shared" si="10"/>
        <v>10784</v>
      </c>
      <c r="B2790" s="8"/>
      <c r="C2790" s="8">
        <v>10784</v>
      </c>
      <c r="D2790">
        <v>24</v>
      </c>
      <c r="E2790" t="s">
        <v>594</v>
      </c>
      <c r="F2790" t="s">
        <v>1287</v>
      </c>
      <c r="G2790" s="9">
        <v>44712</v>
      </c>
    </row>
    <row r="2791" spans="1:7" ht="14.25" customHeight="1">
      <c r="A2791" s="8">
        <f t="shared" si="10"/>
        <v>15757</v>
      </c>
      <c r="B2791" s="8"/>
      <c r="C2791" s="8">
        <v>15757</v>
      </c>
      <c r="D2791">
        <v>32</v>
      </c>
      <c r="E2791" t="s">
        <v>594</v>
      </c>
      <c r="F2791" t="s">
        <v>1288</v>
      </c>
      <c r="G2791" s="9">
        <v>44742</v>
      </c>
    </row>
    <row r="2792" spans="1:7" ht="14.25" customHeight="1">
      <c r="A2792" s="8">
        <f t="shared" si="10"/>
        <v>15846</v>
      </c>
      <c r="B2792" s="8"/>
      <c r="C2792" s="8">
        <v>15846</v>
      </c>
      <c r="D2792">
        <v>65</v>
      </c>
      <c r="E2792" t="s">
        <v>594</v>
      </c>
      <c r="F2792" t="s">
        <v>1325</v>
      </c>
      <c r="G2792" s="9">
        <v>44772</v>
      </c>
    </row>
    <row r="2793" spans="1:7" ht="14.25" customHeight="1">
      <c r="A2793" s="8">
        <f t="shared" si="10"/>
        <v>13391</v>
      </c>
      <c r="B2793" s="8"/>
      <c r="C2793" s="8">
        <v>13391</v>
      </c>
      <c r="D2793">
        <v>75</v>
      </c>
      <c r="E2793" t="s">
        <v>594</v>
      </c>
      <c r="F2793" t="s">
        <v>1326</v>
      </c>
      <c r="G2793" s="9">
        <v>44804</v>
      </c>
    </row>
    <row r="2794" spans="1:7" ht="14.25" customHeight="1">
      <c r="A2794" s="8">
        <f t="shared" si="10"/>
        <v>8895</v>
      </c>
      <c r="B2794" s="8"/>
      <c r="C2794" s="8">
        <v>8895</v>
      </c>
      <c r="D2794">
        <v>138</v>
      </c>
      <c r="E2794" t="s">
        <v>594</v>
      </c>
      <c r="F2794" t="s">
        <v>1289</v>
      </c>
      <c r="G2794" s="9">
        <v>44865</v>
      </c>
    </row>
    <row r="2795" spans="1:7" ht="14.25" customHeight="1">
      <c r="A2795" s="8">
        <f t="shared" si="10"/>
        <v>18033</v>
      </c>
      <c r="B2795" s="8"/>
      <c r="C2795" s="8">
        <v>18033</v>
      </c>
      <c r="D2795">
        <v>176</v>
      </c>
      <c r="E2795" t="s">
        <v>594</v>
      </c>
      <c r="F2795" t="s">
        <v>1290</v>
      </c>
      <c r="G2795" s="9">
        <v>44895</v>
      </c>
    </row>
    <row r="2796" spans="1:7" ht="14.25" customHeight="1">
      <c r="A2796" s="8">
        <f t="shared" si="10"/>
        <v>17692</v>
      </c>
      <c r="B2796" s="8"/>
      <c r="C2796" s="8">
        <v>17692</v>
      </c>
      <c r="D2796">
        <v>194</v>
      </c>
      <c r="E2796" t="s">
        <v>594</v>
      </c>
      <c r="F2796" t="s">
        <v>1291</v>
      </c>
      <c r="G2796" s="9">
        <v>44925</v>
      </c>
    </row>
    <row r="2797" spans="1:7" ht="14.25" customHeight="1">
      <c r="A2797" s="8">
        <f t="shared" si="10"/>
        <v>15784</v>
      </c>
      <c r="B2797" s="8"/>
      <c r="C2797" s="8">
        <v>15784</v>
      </c>
      <c r="D2797">
        <v>194</v>
      </c>
      <c r="E2797" t="s">
        <v>594</v>
      </c>
      <c r="F2797" t="s">
        <v>1291</v>
      </c>
      <c r="G2797" s="9">
        <v>44925</v>
      </c>
    </row>
    <row r="2798" spans="1:7" ht="14.25" customHeight="1">
      <c r="A2798" s="8">
        <f t="shared" si="10"/>
        <v>163416</v>
      </c>
      <c r="B2798" s="8"/>
      <c r="C2798" s="8">
        <v>163416</v>
      </c>
    </row>
    <row r="2799" spans="1:7" ht="14.25" customHeight="1">
      <c r="A2799" s="8">
        <f t="shared" si="10"/>
        <v>0</v>
      </c>
      <c r="B2799" s="8"/>
      <c r="C2799" s="8"/>
      <c r="F2799" t="s">
        <v>1295</v>
      </c>
      <c r="G2799">
        <v>66110000</v>
      </c>
    </row>
    <row r="2800" spans="1:7" ht="14.25" customHeight="1">
      <c r="A2800" s="8">
        <f t="shared" si="10"/>
        <v>2620193</v>
      </c>
      <c r="B2800" s="8"/>
      <c r="C2800" s="8">
        <v>2620193</v>
      </c>
      <c r="D2800">
        <v>1</v>
      </c>
      <c r="E2800" t="s">
        <v>594</v>
      </c>
      <c r="F2800" t="s">
        <v>1296</v>
      </c>
      <c r="G2800" s="9">
        <v>44592</v>
      </c>
    </row>
    <row r="2801" spans="1:7" ht="14.25" customHeight="1">
      <c r="A2801" s="8">
        <f t="shared" si="10"/>
        <v>3839324</v>
      </c>
      <c r="B2801" s="8"/>
      <c r="C2801" s="8">
        <v>3839324</v>
      </c>
      <c r="D2801">
        <v>6</v>
      </c>
      <c r="E2801" t="s">
        <v>594</v>
      </c>
      <c r="F2801" t="s">
        <v>1297</v>
      </c>
      <c r="G2801" s="9">
        <v>44620</v>
      </c>
    </row>
    <row r="2802" spans="1:7" ht="14.25" customHeight="1">
      <c r="A2802" s="8">
        <f t="shared" si="10"/>
        <v>2626280</v>
      </c>
      <c r="B2802" s="8"/>
      <c r="C2802" s="8">
        <v>2626280</v>
      </c>
      <c r="D2802">
        <v>11</v>
      </c>
      <c r="E2802" t="s">
        <v>594</v>
      </c>
      <c r="F2802" t="s">
        <v>1298</v>
      </c>
      <c r="G2802" s="9">
        <v>44651</v>
      </c>
    </row>
    <row r="2803" spans="1:7" ht="14.25" customHeight="1">
      <c r="A2803" s="8">
        <f t="shared" si="10"/>
        <v>2626280</v>
      </c>
      <c r="B2803" s="8"/>
      <c r="C2803" s="8">
        <v>2626280</v>
      </c>
      <c r="D2803">
        <v>16</v>
      </c>
      <c r="E2803" t="s">
        <v>594</v>
      </c>
      <c r="F2803" t="s">
        <v>1299</v>
      </c>
      <c r="G2803" s="9">
        <v>44681</v>
      </c>
    </row>
    <row r="2804" spans="1:7" ht="14.25" customHeight="1">
      <c r="A2804" s="8">
        <f t="shared" si="10"/>
        <v>1797284</v>
      </c>
      <c r="B2804" s="8"/>
      <c r="C2804" s="8">
        <v>1797284</v>
      </c>
      <c r="D2804">
        <v>21</v>
      </c>
      <c r="E2804" t="s">
        <v>594</v>
      </c>
      <c r="F2804" t="s">
        <v>1300</v>
      </c>
      <c r="G2804" s="9">
        <v>44712</v>
      </c>
    </row>
    <row r="2805" spans="1:7" ht="14.25" customHeight="1">
      <c r="A2805" s="8">
        <f t="shared" si="10"/>
        <v>2626280</v>
      </c>
      <c r="B2805" s="8"/>
      <c r="C2805" s="8">
        <v>2626280</v>
      </c>
      <c r="D2805">
        <v>29</v>
      </c>
      <c r="E2805" t="s">
        <v>594</v>
      </c>
      <c r="F2805" t="s">
        <v>1301</v>
      </c>
      <c r="G2805" s="9">
        <v>44742</v>
      </c>
    </row>
    <row r="2806" spans="1:7" ht="14.25" customHeight="1">
      <c r="A2806" s="8">
        <f t="shared" si="10"/>
        <v>2641044</v>
      </c>
      <c r="B2806" s="8"/>
      <c r="C2806" s="8">
        <v>2641044</v>
      </c>
      <c r="D2806">
        <v>62</v>
      </c>
      <c r="E2806" t="s">
        <v>594</v>
      </c>
      <c r="F2806" t="s">
        <v>1327</v>
      </c>
      <c r="G2806" s="9">
        <v>44772</v>
      </c>
    </row>
    <row r="2807" spans="1:7" ht="14.25" customHeight="1">
      <c r="A2807" s="8">
        <f t="shared" ref="A2807:A3061" si="11">C2807-B2807</f>
        <v>2231704</v>
      </c>
      <c r="B2807" s="8"/>
      <c r="C2807" s="8">
        <v>2231704</v>
      </c>
      <c r="D2807">
        <v>72</v>
      </c>
      <c r="E2807" t="s">
        <v>594</v>
      </c>
      <c r="F2807" t="s">
        <v>1328</v>
      </c>
      <c r="G2807" s="9">
        <v>44804</v>
      </c>
    </row>
    <row r="2808" spans="1:7" ht="14.25" customHeight="1">
      <c r="A2808" s="8">
        <f t="shared" si="11"/>
        <v>4927571</v>
      </c>
      <c r="B2808" s="8"/>
      <c r="C2808" s="8">
        <v>4927571</v>
      </c>
      <c r="D2808">
        <v>127</v>
      </c>
      <c r="E2808" t="s">
        <v>594</v>
      </c>
      <c r="F2808" t="s">
        <v>1329</v>
      </c>
      <c r="G2808" s="9">
        <v>44834</v>
      </c>
    </row>
    <row r="2809" spans="1:7" ht="14.25" customHeight="1">
      <c r="A2809" s="8">
        <f t="shared" si="11"/>
        <v>1482471</v>
      </c>
      <c r="B2809" s="8"/>
      <c r="C2809" s="8">
        <v>1482471</v>
      </c>
      <c r="D2809">
        <v>135</v>
      </c>
      <c r="E2809" t="s">
        <v>594</v>
      </c>
      <c r="F2809" t="s">
        <v>1302</v>
      </c>
      <c r="G2809" s="9">
        <v>44865</v>
      </c>
    </row>
    <row r="2810" spans="1:7" ht="14.25" customHeight="1">
      <c r="A2810" s="8">
        <f t="shared" si="11"/>
        <v>3005485</v>
      </c>
      <c r="B2810" s="8"/>
      <c r="C2810" s="8">
        <v>3005485</v>
      </c>
      <c r="D2810">
        <v>173</v>
      </c>
      <c r="E2810" t="s">
        <v>594</v>
      </c>
      <c r="F2810" t="s">
        <v>1303</v>
      </c>
      <c r="G2810" s="9">
        <v>44895</v>
      </c>
    </row>
    <row r="2811" spans="1:7" ht="14.25" customHeight="1">
      <c r="A2811" s="8">
        <f t="shared" si="11"/>
        <v>2948636</v>
      </c>
      <c r="B2811" s="8"/>
      <c r="C2811" s="8">
        <v>2948636</v>
      </c>
      <c r="D2811">
        <v>191</v>
      </c>
      <c r="E2811" t="s">
        <v>594</v>
      </c>
      <c r="F2811" t="s">
        <v>1304</v>
      </c>
      <c r="G2811" s="9">
        <v>44925</v>
      </c>
    </row>
    <row r="2812" spans="1:7" ht="14.25" customHeight="1">
      <c r="A2812" s="8">
        <f t="shared" si="11"/>
        <v>33372553</v>
      </c>
      <c r="B2812" s="8"/>
      <c r="C2812" s="8">
        <v>33372553</v>
      </c>
    </row>
    <row r="2813" spans="1:7" ht="14.25" customHeight="1">
      <c r="A2813" s="8">
        <f t="shared" si="11"/>
        <v>0</v>
      </c>
      <c r="B2813" s="8"/>
      <c r="C2813" s="8"/>
      <c r="F2813" t="s">
        <v>1330</v>
      </c>
      <c r="G2813">
        <v>66320000</v>
      </c>
    </row>
    <row r="2814" spans="1:7" ht="14.25" customHeight="1">
      <c r="A2814" s="8">
        <f t="shared" si="11"/>
        <v>189756</v>
      </c>
      <c r="B2814" s="8"/>
      <c r="C2814" s="8">
        <v>189756</v>
      </c>
      <c r="D2814">
        <v>2</v>
      </c>
      <c r="E2814" t="s">
        <v>594</v>
      </c>
      <c r="F2814" t="s">
        <v>1331</v>
      </c>
      <c r="G2814" s="9">
        <v>44592</v>
      </c>
    </row>
    <row r="2815" spans="1:7" ht="14.25" customHeight="1">
      <c r="A2815" s="8">
        <f t="shared" si="11"/>
        <v>189756</v>
      </c>
      <c r="B2815" s="8"/>
      <c r="C2815" s="8">
        <v>189756</v>
      </c>
      <c r="D2815">
        <v>7</v>
      </c>
      <c r="E2815" t="s">
        <v>594</v>
      </c>
      <c r="F2815" t="s">
        <v>1332</v>
      </c>
      <c r="G2815" s="9">
        <v>44620</v>
      </c>
    </row>
    <row r="2816" spans="1:7" ht="14.25" customHeight="1">
      <c r="A2816" s="8">
        <f t="shared" si="11"/>
        <v>189756</v>
      </c>
      <c r="B2816" s="8"/>
      <c r="C2816" s="8">
        <v>189756</v>
      </c>
      <c r="D2816">
        <v>12</v>
      </c>
      <c r="E2816" t="s">
        <v>594</v>
      </c>
      <c r="F2816" t="s">
        <v>1333</v>
      </c>
      <c r="G2816" s="9">
        <v>44651</v>
      </c>
    </row>
    <row r="2817" spans="1:7" ht="14.25" customHeight="1">
      <c r="A2817" s="8">
        <f t="shared" si="11"/>
        <v>189756</v>
      </c>
      <c r="B2817" s="8"/>
      <c r="C2817" s="8">
        <v>189756</v>
      </c>
      <c r="D2817">
        <v>17</v>
      </c>
      <c r="E2817" t="s">
        <v>594</v>
      </c>
      <c r="F2817" t="s">
        <v>1334</v>
      </c>
      <c r="G2817" s="9">
        <v>44681</v>
      </c>
    </row>
    <row r="2818" spans="1:7" ht="14.25" customHeight="1">
      <c r="A2818" s="8">
        <f t="shared" si="11"/>
        <v>122478</v>
      </c>
      <c r="B2818" s="8"/>
      <c r="C2818" s="8">
        <v>122478</v>
      </c>
      <c r="D2818">
        <v>22</v>
      </c>
      <c r="E2818" t="s">
        <v>594</v>
      </c>
      <c r="F2818" t="s">
        <v>1335</v>
      </c>
      <c r="G2818" s="9">
        <v>44712</v>
      </c>
    </row>
    <row r="2819" spans="1:7" ht="14.25" customHeight="1">
      <c r="A2819" s="8">
        <f t="shared" si="11"/>
        <v>189756</v>
      </c>
      <c r="B2819" s="8"/>
      <c r="C2819" s="8">
        <v>189756</v>
      </c>
      <c r="D2819">
        <v>30</v>
      </c>
      <c r="E2819" t="s">
        <v>594</v>
      </c>
      <c r="F2819" t="s">
        <v>1336</v>
      </c>
      <c r="G2819" s="9">
        <v>44742</v>
      </c>
    </row>
    <row r="2820" spans="1:7" ht="14.25" customHeight="1">
      <c r="A2820" s="8">
        <f t="shared" si="11"/>
        <v>189756</v>
      </c>
      <c r="B2820" s="8"/>
      <c r="C2820" s="8">
        <v>189756</v>
      </c>
      <c r="D2820">
        <v>63</v>
      </c>
      <c r="E2820" t="s">
        <v>594</v>
      </c>
      <c r="F2820" t="s">
        <v>1337</v>
      </c>
      <c r="G2820" s="9">
        <v>44772</v>
      </c>
    </row>
    <row r="2821" spans="1:7" ht="14.25" customHeight="1">
      <c r="A2821" s="8">
        <f t="shared" si="11"/>
        <v>157555</v>
      </c>
      <c r="B2821" s="8"/>
      <c r="C2821" s="8">
        <v>157555</v>
      </c>
      <c r="D2821">
        <v>73</v>
      </c>
      <c r="E2821" t="s">
        <v>594</v>
      </c>
      <c r="F2821" t="s">
        <v>1338</v>
      </c>
      <c r="G2821" s="9">
        <v>44804</v>
      </c>
    </row>
    <row r="2822" spans="1:7" ht="14.25" customHeight="1">
      <c r="A2822" s="8">
        <f t="shared" si="11"/>
        <v>160431</v>
      </c>
      <c r="B2822" s="8"/>
      <c r="C2822" s="8">
        <v>160431</v>
      </c>
      <c r="D2822">
        <v>128</v>
      </c>
      <c r="E2822" t="s">
        <v>594</v>
      </c>
      <c r="F2822" t="s">
        <v>1339</v>
      </c>
      <c r="G2822" s="9">
        <v>44834</v>
      </c>
    </row>
    <row r="2823" spans="1:7" ht="14.25" customHeight="1">
      <c r="A2823" s="8">
        <f t="shared" si="11"/>
        <v>110978</v>
      </c>
      <c r="B2823" s="8"/>
      <c r="C2823" s="8">
        <v>110978</v>
      </c>
      <c r="D2823">
        <v>136</v>
      </c>
      <c r="E2823" t="s">
        <v>594</v>
      </c>
      <c r="F2823" t="s">
        <v>1340</v>
      </c>
      <c r="G2823" s="9">
        <v>44865</v>
      </c>
    </row>
    <row r="2824" spans="1:7" ht="14.25" customHeight="1">
      <c r="A2824" s="8">
        <f t="shared" si="11"/>
        <v>221957</v>
      </c>
      <c r="B2824" s="8"/>
      <c r="C2824" s="8">
        <v>221957</v>
      </c>
      <c r="D2824">
        <v>174</v>
      </c>
      <c r="E2824" t="s">
        <v>594</v>
      </c>
      <c r="F2824" t="s">
        <v>1341</v>
      </c>
      <c r="G2824" s="9">
        <v>44895</v>
      </c>
    </row>
    <row r="2825" spans="1:7" ht="14.25" customHeight="1">
      <c r="A2825" s="8">
        <f t="shared" si="11"/>
        <v>189756</v>
      </c>
      <c r="B2825" s="8"/>
      <c r="C2825" s="8">
        <v>189756</v>
      </c>
      <c r="D2825">
        <v>192</v>
      </c>
      <c r="E2825" t="s">
        <v>594</v>
      </c>
      <c r="F2825" t="s">
        <v>1342</v>
      </c>
      <c r="G2825" s="9">
        <v>44925</v>
      </c>
    </row>
    <row r="2826" spans="1:7" ht="14.25" customHeight="1">
      <c r="A2826" s="8">
        <f t="shared" si="11"/>
        <v>2101689</v>
      </c>
      <c r="B2826" s="8"/>
      <c r="C2826" s="8">
        <v>2101689</v>
      </c>
    </row>
    <row r="2827" spans="1:7" ht="14.25" customHeight="1">
      <c r="A2827" s="8">
        <f t="shared" si="11"/>
        <v>0</v>
      </c>
      <c r="B2827" s="8"/>
      <c r="C2827" s="8"/>
      <c r="F2827" t="s">
        <v>1305</v>
      </c>
      <c r="G2827">
        <v>66340000</v>
      </c>
    </row>
    <row r="2828" spans="1:7" ht="14.25" customHeight="1">
      <c r="A2828" s="8">
        <f t="shared" si="11"/>
        <v>69000</v>
      </c>
      <c r="B2828" s="8"/>
      <c r="C2828" s="8">
        <v>69000</v>
      </c>
      <c r="D2828">
        <v>3</v>
      </c>
      <c r="E2828" t="s">
        <v>594</v>
      </c>
      <c r="F2828" t="s">
        <v>1306</v>
      </c>
      <c r="G2828" s="9">
        <v>44592</v>
      </c>
    </row>
    <row r="2829" spans="1:7" ht="14.25" customHeight="1">
      <c r="A2829" s="8">
        <f t="shared" si="11"/>
        <v>69000</v>
      </c>
      <c r="B2829" s="8"/>
      <c r="C2829" s="8">
        <v>69000</v>
      </c>
      <c r="D2829">
        <v>8</v>
      </c>
      <c r="E2829" t="s">
        <v>594</v>
      </c>
      <c r="F2829" t="s">
        <v>1307</v>
      </c>
      <c r="G2829" s="9">
        <v>44620</v>
      </c>
    </row>
    <row r="2830" spans="1:7" ht="14.25" customHeight="1">
      <c r="A2830" s="8">
        <f t="shared" si="11"/>
        <v>69000</v>
      </c>
      <c r="B2830" s="8"/>
      <c r="C2830" s="8">
        <v>69000</v>
      </c>
      <c r="D2830">
        <v>13</v>
      </c>
      <c r="E2830" t="s">
        <v>594</v>
      </c>
      <c r="F2830" t="s">
        <v>1308</v>
      </c>
      <c r="G2830" s="9">
        <v>44651</v>
      </c>
    </row>
    <row r="2831" spans="1:7" ht="14.25" customHeight="1">
      <c r="A2831" s="8">
        <f t="shared" si="11"/>
        <v>103500</v>
      </c>
      <c r="B2831" s="8"/>
      <c r="C2831" s="8">
        <v>103500</v>
      </c>
      <c r="D2831">
        <v>13</v>
      </c>
      <c r="E2831" t="s">
        <v>594</v>
      </c>
      <c r="F2831" t="s">
        <v>1308</v>
      </c>
      <c r="G2831" s="9">
        <v>44651</v>
      </c>
    </row>
    <row r="2832" spans="1:7" ht="14.25" customHeight="1">
      <c r="A2832" s="8">
        <f t="shared" si="11"/>
        <v>69000</v>
      </c>
      <c r="B2832" s="8"/>
      <c r="C2832" s="8">
        <v>69000</v>
      </c>
      <c r="D2832">
        <v>18</v>
      </c>
      <c r="E2832" t="s">
        <v>594</v>
      </c>
      <c r="F2832" t="s">
        <v>1309</v>
      </c>
      <c r="G2832" s="9">
        <v>44681</v>
      </c>
    </row>
    <row r="2833" spans="1:7" ht="14.25" customHeight="1">
      <c r="A2833" s="8">
        <f t="shared" si="11"/>
        <v>54050</v>
      </c>
      <c r="B2833" s="8"/>
      <c r="C2833" s="8">
        <v>54050</v>
      </c>
      <c r="D2833">
        <v>23</v>
      </c>
      <c r="E2833" t="s">
        <v>594</v>
      </c>
      <c r="F2833" t="s">
        <v>1310</v>
      </c>
      <c r="G2833" s="9">
        <v>44712</v>
      </c>
    </row>
    <row r="2834" spans="1:7" ht="14.25" customHeight="1">
      <c r="A2834" s="8">
        <f t="shared" si="11"/>
        <v>69000</v>
      </c>
      <c r="B2834" s="8"/>
      <c r="C2834" s="8">
        <v>69000</v>
      </c>
      <c r="D2834">
        <v>31</v>
      </c>
      <c r="E2834" t="s">
        <v>594</v>
      </c>
      <c r="F2834" t="s">
        <v>1311</v>
      </c>
      <c r="G2834" s="9">
        <v>44742</v>
      </c>
    </row>
    <row r="2835" spans="1:7" ht="14.25" customHeight="1">
      <c r="A2835" s="8">
        <f t="shared" si="11"/>
        <v>69000</v>
      </c>
      <c r="B2835" s="8"/>
      <c r="C2835" s="8">
        <v>69000</v>
      </c>
      <c r="D2835">
        <v>64</v>
      </c>
      <c r="E2835" t="s">
        <v>594</v>
      </c>
      <c r="F2835" t="s">
        <v>1343</v>
      </c>
      <c r="G2835" s="9">
        <v>44772</v>
      </c>
    </row>
    <row r="2836" spans="1:7" ht="14.25" customHeight="1">
      <c r="A2836" s="8">
        <f t="shared" si="11"/>
        <v>60950</v>
      </c>
      <c r="B2836" s="8"/>
      <c r="C2836" s="8">
        <v>60950</v>
      </c>
      <c r="D2836">
        <v>74</v>
      </c>
      <c r="E2836" t="s">
        <v>594</v>
      </c>
      <c r="F2836" t="s">
        <v>1344</v>
      </c>
      <c r="G2836" s="9">
        <v>44804</v>
      </c>
    </row>
    <row r="2837" spans="1:7" ht="14.25" customHeight="1">
      <c r="A2837" s="8">
        <f t="shared" si="11"/>
        <v>51750</v>
      </c>
      <c r="B2837" s="8"/>
      <c r="C2837" s="8">
        <v>51750</v>
      </c>
      <c r="D2837">
        <v>129</v>
      </c>
      <c r="E2837" t="s">
        <v>594</v>
      </c>
      <c r="F2837" t="s">
        <v>1345</v>
      </c>
      <c r="G2837" s="9">
        <v>44834</v>
      </c>
    </row>
    <row r="2838" spans="1:7" ht="14.25" customHeight="1">
      <c r="A2838" s="8">
        <f t="shared" si="11"/>
        <v>34500</v>
      </c>
      <c r="B2838" s="8"/>
      <c r="C2838" s="8">
        <v>34500</v>
      </c>
      <c r="D2838">
        <v>137</v>
      </c>
      <c r="E2838" t="s">
        <v>594</v>
      </c>
      <c r="F2838" t="s">
        <v>1312</v>
      </c>
      <c r="G2838" s="9">
        <v>44865</v>
      </c>
    </row>
    <row r="2839" spans="1:7" ht="14.25" customHeight="1">
      <c r="A2839" s="8">
        <f t="shared" si="11"/>
        <v>77050</v>
      </c>
      <c r="B2839" s="8"/>
      <c r="C2839" s="8">
        <v>77050</v>
      </c>
      <c r="D2839">
        <v>175</v>
      </c>
      <c r="E2839" t="s">
        <v>594</v>
      </c>
      <c r="F2839" t="s">
        <v>1313</v>
      </c>
      <c r="G2839" s="9">
        <v>44895</v>
      </c>
    </row>
    <row r="2840" spans="1:7" ht="14.25" customHeight="1">
      <c r="A2840" s="8">
        <f t="shared" si="11"/>
        <v>69000</v>
      </c>
      <c r="B2840" s="8"/>
      <c r="C2840" s="8">
        <v>69000</v>
      </c>
      <c r="D2840">
        <v>193</v>
      </c>
      <c r="E2840" t="s">
        <v>594</v>
      </c>
      <c r="F2840" t="s">
        <v>1314</v>
      </c>
      <c r="G2840" s="9">
        <v>44925</v>
      </c>
    </row>
    <row r="2841" spans="1:7" ht="14.25" customHeight="1">
      <c r="A2841" s="8">
        <f t="shared" si="11"/>
        <v>864800</v>
      </c>
      <c r="B2841" s="8"/>
      <c r="C2841" s="8">
        <v>864800</v>
      </c>
    </row>
    <row r="2842" spans="1:7" ht="14.25" customHeight="1">
      <c r="A2842" s="8">
        <f t="shared" si="11"/>
        <v>0</v>
      </c>
      <c r="B2842" s="8"/>
      <c r="C2842" s="8"/>
      <c r="F2842" t="s">
        <v>1315</v>
      </c>
      <c r="G2842">
        <v>66410000</v>
      </c>
    </row>
    <row r="2843" spans="1:7" ht="14.25" customHeight="1">
      <c r="A2843" s="8">
        <f t="shared" si="11"/>
        <v>215452</v>
      </c>
      <c r="B2843" s="8"/>
      <c r="C2843" s="8">
        <v>215452</v>
      </c>
      <c r="D2843">
        <v>5</v>
      </c>
      <c r="E2843" t="s">
        <v>594</v>
      </c>
      <c r="F2843" t="s">
        <v>1316</v>
      </c>
      <c r="G2843" s="9">
        <v>44592</v>
      </c>
    </row>
    <row r="2844" spans="1:7" ht="14.25" customHeight="1">
      <c r="A2844" s="8">
        <f t="shared" si="11"/>
        <v>215922</v>
      </c>
      <c r="B2844" s="8"/>
      <c r="C2844" s="8">
        <v>215922</v>
      </c>
      <c r="D2844">
        <v>10</v>
      </c>
      <c r="E2844" t="s">
        <v>594</v>
      </c>
      <c r="F2844" t="s">
        <v>1317</v>
      </c>
      <c r="G2844" s="9">
        <v>44620</v>
      </c>
    </row>
    <row r="2845" spans="1:7" ht="14.25" customHeight="1">
      <c r="A2845" s="8">
        <f t="shared" si="11"/>
        <v>215922</v>
      </c>
      <c r="B2845" s="8"/>
      <c r="C2845" s="8">
        <v>215922</v>
      </c>
      <c r="D2845">
        <v>15</v>
      </c>
      <c r="E2845" t="s">
        <v>594</v>
      </c>
      <c r="F2845" t="s">
        <v>1318</v>
      </c>
      <c r="G2845" s="9">
        <v>44651</v>
      </c>
    </row>
    <row r="2846" spans="1:7" ht="14.25" customHeight="1">
      <c r="A2846" s="8">
        <f t="shared" si="11"/>
        <v>215922</v>
      </c>
      <c r="B2846" s="8"/>
      <c r="C2846" s="8">
        <v>215922</v>
      </c>
      <c r="D2846">
        <v>20</v>
      </c>
      <c r="E2846" t="s">
        <v>594</v>
      </c>
      <c r="F2846" t="s">
        <v>1319</v>
      </c>
      <c r="G2846" s="9">
        <v>44681</v>
      </c>
    </row>
    <row r="2847" spans="1:7" ht="14.25" customHeight="1">
      <c r="A2847" s="8">
        <f t="shared" si="11"/>
        <v>160300</v>
      </c>
      <c r="B2847" s="8"/>
      <c r="C2847" s="8">
        <v>160300</v>
      </c>
      <c r="D2847">
        <v>25</v>
      </c>
      <c r="E2847" t="s">
        <v>594</v>
      </c>
      <c r="F2847" t="s">
        <v>1320</v>
      </c>
      <c r="G2847" s="9">
        <v>44712</v>
      </c>
    </row>
    <row r="2848" spans="1:7" ht="14.25" customHeight="1">
      <c r="A2848" s="8">
        <f t="shared" si="11"/>
        <v>215922</v>
      </c>
      <c r="B2848" s="8"/>
      <c r="C2848" s="8">
        <v>215922</v>
      </c>
      <c r="D2848">
        <v>33</v>
      </c>
      <c r="E2848" t="s">
        <v>594</v>
      </c>
      <c r="F2848" t="s">
        <v>1321</v>
      </c>
      <c r="G2848" s="9">
        <v>44742</v>
      </c>
    </row>
    <row r="2849" spans="1:7" ht="14.25" customHeight="1">
      <c r="A2849" s="8">
        <f t="shared" si="11"/>
        <v>215922</v>
      </c>
      <c r="B2849" s="8"/>
      <c r="C2849" s="8">
        <v>215922</v>
      </c>
      <c r="D2849">
        <v>66</v>
      </c>
      <c r="E2849" t="s">
        <v>594</v>
      </c>
      <c r="F2849" t="s">
        <v>1346</v>
      </c>
      <c r="G2849" s="9">
        <v>44772</v>
      </c>
    </row>
    <row r="2850" spans="1:7" ht="14.25" customHeight="1">
      <c r="A2850" s="8">
        <f t="shared" si="11"/>
        <v>196450</v>
      </c>
      <c r="B2850" s="8"/>
      <c r="C2850" s="8">
        <v>196450</v>
      </c>
      <c r="D2850">
        <v>76</v>
      </c>
      <c r="E2850" t="s">
        <v>594</v>
      </c>
      <c r="F2850" t="s">
        <v>1347</v>
      </c>
      <c r="G2850" s="9">
        <v>44804</v>
      </c>
    </row>
    <row r="2851" spans="1:7" ht="14.25" customHeight="1">
      <c r="A2851" s="8">
        <f t="shared" si="11"/>
        <v>246182</v>
      </c>
      <c r="B2851" s="8"/>
      <c r="C2851" s="8">
        <v>246182</v>
      </c>
      <c r="D2851">
        <v>131</v>
      </c>
      <c r="E2851" t="s">
        <v>594</v>
      </c>
      <c r="F2851" t="s">
        <v>1348</v>
      </c>
      <c r="G2851" s="9">
        <v>44834</v>
      </c>
    </row>
    <row r="2852" spans="1:7" ht="14.25" customHeight="1">
      <c r="A2852" s="8">
        <f t="shared" si="11"/>
        <v>131385</v>
      </c>
      <c r="B2852" s="8"/>
      <c r="C2852" s="8">
        <v>131385</v>
      </c>
      <c r="D2852">
        <v>139</v>
      </c>
      <c r="E2852" t="s">
        <v>594</v>
      </c>
      <c r="F2852" t="s">
        <v>1322</v>
      </c>
      <c r="G2852" s="9">
        <v>44865</v>
      </c>
    </row>
    <row r="2853" spans="1:7" ht="14.25" customHeight="1">
      <c r="A2853" s="8">
        <f t="shared" si="11"/>
        <v>217794</v>
      </c>
      <c r="B2853" s="8"/>
      <c r="C2853" s="8">
        <v>217794</v>
      </c>
      <c r="D2853">
        <v>177</v>
      </c>
      <c r="E2853" t="s">
        <v>594</v>
      </c>
      <c r="F2853" t="s">
        <v>1323</v>
      </c>
      <c r="G2853" s="9">
        <v>44895</v>
      </c>
    </row>
    <row r="2854" spans="1:7" ht="14.25" customHeight="1">
      <c r="A2854" s="8">
        <f t="shared" si="11"/>
        <v>225790</v>
      </c>
      <c r="B2854" s="8"/>
      <c r="C2854" s="8">
        <v>225790</v>
      </c>
      <c r="D2854">
        <v>195</v>
      </c>
      <c r="E2854" t="s">
        <v>594</v>
      </c>
      <c r="F2854" t="s">
        <v>1324</v>
      </c>
      <c r="G2854" s="9">
        <v>44925</v>
      </c>
    </row>
    <row r="2855" spans="1:7" ht="14.25" customHeight="1">
      <c r="A2855" s="8">
        <f t="shared" si="11"/>
        <v>2472961</v>
      </c>
      <c r="B2855" s="8"/>
      <c r="C2855" s="8">
        <v>2472961</v>
      </c>
    </row>
    <row r="2856" spans="1:7" ht="14.25" customHeight="1">
      <c r="A2856" s="8">
        <f t="shared" si="11"/>
        <v>39489970</v>
      </c>
      <c r="B2856" s="8"/>
      <c r="C2856" s="8">
        <v>39489970</v>
      </c>
      <c r="E2856">
        <v>9102010</v>
      </c>
      <c r="F2856" t="s">
        <v>469</v>
      </c>
      <c r="G2856" t="s">
        <v>581</v>
      </c>
    </row>
    <row r="2857" spans="1:7" ht="14.25" customHeight="1">
      <c r="A2857" s="8">
        <f t="shared" si="11"/>
        <v>0</v>
      </c>
      <c r="B2857" s="8"/>
      <c r="C2857" s="8"/>
      <c r="D2857" t="s">
        <v>470</v>
      </c>
      <c r="G2857">
        <v>9102011</v>
      </c>
    </row>
    <row r="2858" spans="1:7" ht="14.25" customHeight="1">
      <c r="A2858" s="8">
        <f t="shared" si="11"/>
        <v>0</v>
      </c>
      <c r="B2858" s="8"/>
      <c r="C2858" s="8"/>
      <c r="F2858" t="s">
        <v>1349</v>
      </c>
      <c r="G2858">
        <v>63300000</v>
      </c>
    </row>
    <row r="2859" spans="1:7" ht="14.25" customHeight="1">
      <c r="A2859" s="8">
        <f t="shared" si="11"/>
        <v>23000</v>
      </c>
      <c r="B2859" s="8"/>
      <c r="C2859" s="8">
        <v>23000</v>
      </c>
      <c r="D2859">
        <v>251</v>
      </c>
      <c r="E2859" t="s">
        <v>667</v>
      </c>
      <c r="F2859" t="s">
        <v>1350</v>
      </c>
      <c r="G2859" s="9">
        <v>44883</v>
      </c>
    </row>
    <row r="2860" spans="1:7" ht="14.25" customHeight="1">
      <c r="A2860" s="8">
        <f t="shared" si="11"/>
        <v>23000</v>
      </c>
      <c r="B2860" s="8"/>
      <c r="C2860" s="8">
        <v>23000</v>
      </c>
    </row>
    <row r="2861" spans="1:7" ht="14.25" customHeight="1">
      <c r="A2861" s="8">
        <f t="shared" si="11"/>
        <v>23000</v>
      </c>
      <c r="B2861" s="8"/>
      <c r="C2861" s="8">
        <v>23000</v>
      </c>
      <c r="E2861">
        <v>9102011</v>
      </c>
      <c r="F2861" t="s">
        <v>470</v>
      </c>
      <c r="G2861" t="s">
        <v>581</v>
      </c>
    </row>
    <row r="2862" spans="1:7" ht="14.25" customHeight="1">
      <c r="A2862" s="8">
        <f t="shared" si="11"/>
        <v>0</v>
      </c>
      <c r="B2862" s="8"/>
      <c r="C2862" s="8"/>
      <c r="D2862" t="s">
        <v>471</v>
      </c>
      <c r="G2862">
        <v>9103010</v>
      </c>
    </row>
    <row r="2863" spans="1:7" ht="14.25" customHeight="1">
      <c r="A2863" s="8">
        <f t="shared" si="11"/>
        <v>0</v>
      </c>
      <c r="B2863" s="8"/>
      <c r="C2863" s="8"/>
      <c r="F2863" t="s">
        <v>1282</v>
      </c>
      <c r="G2863">
        <v>64130000</v>
      </c>
    </row>
    <row r="2864" spans="1:7" ht="14.25" customHeight="1">
      <c r="A2864" s="8">
        <f t="shared" si="11"/>
        <v>1938</v>
      </c>
      <c r="B2864" s="8"/>
      <c r="C2864" s="8">
        <v>1938</v>
      </c>
      <c r="D2864">
        <v>4</v>
      </c>
      <c r="E2864" t="s">
        <v>594</v>
      </c>
      <c r="F2864" t="s">
        <v>1283</v>
      </c>
      <c r="G2864" s="9">
        <v>44592</v>
      </c>
    </row>
    <row r="2865" spans="1:7" ht="14.25" customHeight="1">
      <c r="A2865" s="8">
        <f t="shared" si="11"/>
        <v>1938</v>
      </c>
      <c r="B2865" s="8"/>
      <c r="C2865" s="8">
        <v>1938</v>
      </c>
      <c r="D2865">
        <v>9</v>
      </c>
      <c r="E2865" t="s">
        <v>594</v>
      </c>
      <c r="F2865" t="s">
        <v>1284</v>
      </c>
      <c r="G2865" s="9">
        <v>44620</v>
      </c>
    </row>
    <row r="2866" spans="1:7" ht="14.25" customHeight="1">
      <c r="A2866" s="8">
        <f t="shared" si="11"/>
        <v>1938</v>
      </c>
      <c r="B2866" s="8"/>
      <c r="C2866" s="8">
        <v>1938</v>
      </c>
      <c r="D2866">
        <v>14</v>
      </c>
      <c r="E2866" t="s">
        <v>594</v>
      </c>
      <c r="F2866" t="s">
        <v>1285</v>
      </c>
      <c r="G2866" s="9">
        <v>44651</v>
      </c>
    </row>
    <row r="2867" spans="1:7" ht="14.25" customHeight="1">
      <c r="A2867" s="8">
        <f t="shared" si="11"/>
        <v>2751</v>
      </c>
      <c r="B2867" s="8"/>
      <c r="C2867" s="8">
        <v>2751</v>
      </c>
      <c r="D2867">
        <v>19</v>
      </c>
      <c r="E2867" t="s">
        <v>594</v>
      </c>
      <c r="F2867" t="s">
        <v>1286</v>
      </c>
      <c r="G2867" s="9">
        <v>44681</v>
      </c>
    </row>
    <row r="2868" spans="1:7" ht="14.25" customHeight="1">
      <c r="A2868" s="8">
        <f t="shared" si="11"/>
        <v>1940</v>
      </c>
      <c r="B2868" s="8"/>
      <c r="C2868" s="8">
        <v>1940</v>
      </c>
      <c r="D2868">
        <v>24</v>
      </c>
      <c r="E2868" t="s">
        <v>594</v>
      </c>
      <c r="F2868" t="s">
        <v>1287</v>
      </c>
      <c r="G2868" s="9">
        <v>44712</v>
      </c>
    </row>
    <row r="2869" spans="1:7" ht="14.25" customHeight="1">
      <c r="A2869" s="8">
        <f t="shared" si="11"/>
        <v>2780</v>
      </c>
      <c r="B2869" s="8"/>
      <c r="C2869" s="8">
        <v>2780</v>
      </c>
      <c r="D2869">
        <v>32</v>
      </c>
      <c r="E2869" t="s">
        <v>594</v>
      </c>
      <c r="F2869" t="s">
        <v>1288</v>
      </c>
      <c r="G2869" s="9">
        <v>44742</v>
      </c>
    </row>
    <row r="2870" spans="1:7" ht="14.25" customHeight="1">
      <c r="A2870" s="8">
        <f t="shared" si="11"/>
        <v>2723</v>
      </c>
      <c r="B2870" s="8"/>
      <c r="C2870" s="8">
        <v>2723</v>
      </c>
      <c r="D2870">
        <v>65</v>
      </c>
      <c r="E2870" t="s">
        <v>594</v>
      </c>
      <c r="F2870" t="s">
        <v>1325</v>
      </c>
      <c r="G2870" s="9">
        <v>44772</v>
      </c>
    </row>
    <row r="2871" spans="1:7" ht="14.25" customHeight="1">
      <c r="A2871" s="8">
        <f t="shared" si="11"/>
        <v>1938</v>
      </c>
      <c r="B2871" s="8"/>
      <c r="C2871" s="8">
        <v>1938</v>
      </c>
      <c r="D2871">
        <v>75</v>
      </c>
      <c r="E2871" t="s">
        <v>594</v>
      </c>
      <c r="F2871" t="s">
        <v>1326</v>
      </c>
      <c r="G2871" s="9">
        <v>44804</v>
      </c>
    </row>
    <row r="2872" spans="1:7" ht="14.25" customHeight="1">
      <c r="A2872" s="8">
        <f t="shared" si="11"/>
        <v>3919</v>
      </c>
      <c r="B2872" s="8"/>
      <c r="C2872" s="8">
        <v>3919</v>
      </c>
      <c r="D2872">
        <v>130</v>
      </c>
      <c r="E2872" t="s">
        <v>594</v>
      </c>
      <c r="F2872" t="s">
        <v>1294</v>
      </c>
      <c r="G2872" s="9">
        <v>44834</v>
      </c>
    </row>
    <row r="2873" spans="1:7" ht="14.25" customHeight="1">
      <c r="A2873" s="8">
        <f t="shared" si="11"/>
        <v>521</v>
      </c>
      <c r="B2873" s="8"/>
      <c r="C2873" s="8">
        <v>521</v>
      </c>
      <c r="D2873">
        <v>138</v>
      </c>
      <c r="E2873" t="s">
        <v>594</v>
      </c>
      <c r="F2873" t="s">
        <v>1289</v>
      </c>
      <c r="G2873" s="9">
        <v>44865</v>
      </c>
    </row>
    <row r="2874" spans="1:7" ht="14.25" customHeight="1">
      <c r="A2874" s="8">
        <f t="shared" si="11"/>
        <v>1986</v>
      </c>
      <c r="B2874" s="8"/>
      <c r="C2874" s="8">
        <v>1986</v>
      </c>
      <c r="D2874">
        <v>176</v>
      </c>
      <c r="E2874" t="s">
        <v>594</v>
      </c>
      <c r="F2874" t="s">
        <v>1290</v>
      </c>
      <c r="G2874" s="9">
        <v>44895</v>
      </c>
    </row>
    <row r="2875" spans="1:7" ht="14.25" customHeight="1">
      <c r="A2875" s="8">
        <f t="shared" si="11"/>
        <v>4484</v>
      </c>
      <c r="B2875" s="8"/>
      <c r="C2875" s="8">
        <v>4484</v>
      </c>
      <c r="D2875">
        <v>194</v>
      </c>
      <c r="E2875" t="s">
        <v>594</v>
      </c>
      <c r="F2875" t="s">
        <v>1291</v>
      </c>
      <c r="G2875" s="9">
        <v>44925</v>
      </c>
    </row>
    <row r="2876" spans="1:7" ht="14.25" customHeight="1">
      <c r="A2876" s="8">
        <f t="shared" si="11"/>
        <v>28855</v>
      </c>
      <c r="B2876" s="8"/>
      <c r="C2876" s="8">
        <v>28855</v>
      </c>
    </row>
    <row r="2877" spans="1:7" ht="14.25" customHeight="1">
      <c r="A2877" s="8">
        <f t="shared" si="11"/>
        <v>0</v>
      </c>
      <c r="B2877" s="8"/>
      <c r="C2877" s="8"/>
      <c r="F2877" t="s">
        <v>1292</v>
      </c>
      <c r="G2877">
        <v>64140000</v>
      </c>
    </row>
    <row r="2878" spans="1:7" ht="14.25" customHeight="1">
      <c r="A2878" s="8">
        <f t="shared" si="11"/>
        <v>646</v>
      </c>
      <c r="B2878" s="8"/>
      <c r="C2878" s="8">
        <v>646</v>
      </c>
      <c r="D2878">
        <v>9</v>
      </c>
      <c r="E2878" t="s">
        <v>594</v>
      </c>
      <c r="F2878" t="s">
        <v>1284</v>
      </c>
      <c r="G2878" s="9">
        <v>44620</v>
      </c>
    </row>
    <row r="2879" spans="1:7" ht="14.25" customHeight="1">
      <c r="A2879" s="8">
        <f t="shared" si="11"/>
        <v>646</v>
      </c>
      <c r="B2879" s="8"/>
      <c r="C2879" s="8">
        <v>646</v>
      </c>
      <c r="D2879">
        <v>14</v>
      </c>
      <c r="E2879" t="s">
        <v>594</v>
      </c>
      <c r="F2879" t="s">
        <v>1285</v>
      </c>
      <c r="G2879" s="9">
        <v>44651</v>
      </c>
    </row>
    <row r="2880" spans="1:7" ht="14.25" customHeight="1">
      <c r="A2880" s="8">
        <f t="shared" si="11"/>
        <v>917</v>
      </c>
      <c r="B2880" s="8"/>
      <c r="C2880" s="8">
        <v>917</v>
      </c>
      <c r="D2880">
        <v>19</v>
      </c>
      <c r="E2880" t="s">
        <v>594</v>
      </c>
      <c r="F2880" t="s">
        <v>1286</v>
      </c>
      <c r="G2880" s="9">
        <v>44681</v>
      </c>
    </row>
    <row r="2881" spans="1:7" ht="14.25" customHeight="1">
      <c r="A2881" s="8">
        <f t="shared" si="11"/>
        <v>646</v>
      </c>
      <c r="B2881" s="8"/>
      <c r="C2881" s="8">
        <v>646</v>
      </c>
      <c r="D2881">
        <v>24</v>
      </c>
      <c r="E2881" t="s">
        <v>594</v>
      </c>
      <c r="F2881" t="s">
        <v>1287</v>
      </c>
      <c r="G2881" s="9">
        <v>44712</v>
      </c>
    </row>
    <row r="2882" spans="1:7" ht="14.25" customHeight="1">
      <c r="A2882" s="8">
        <f t="shared" si="11"/>
        <v>927</v>
      </c>
      <c r="B2882" s="8"/>
      <c r="C2882" s="8">
        <v>927</v>
      </c>
      <c r="D2882">
        <v>32</v>
      </c>
      <c r="E2882" t="s">
        <v>594</v>
      </c>
      <c r="F2882" t="s">
        <v>1288</v>
      </c>
      <c r="G2882" s="9">
        <v>44742</v>
      </c>
    </row>
    <row r="2883" spans="1:7" ht="14.25" customHeight="1">
      <c r="A2883" s="8">
        <f t="shared" si="11"/>
        <v>907</v>
      </c>
      <c r="B2883" s="8"/>
      <c r="C2883" s="8">
        <v>907</v>
      </c>
      <c r="D2883">
        <v>65</v>
      </c>
      <c r="E2883" t="s">
        <v>594</v>
      </c>
      <c r="F2883" t="s">
        <v>1325</v>
      </c>
      <c r="G2883" s="9">
        <v>44772</v>
      </c>
    </row>
    <row r="2884" spans="1:7" ht="14.25" customHeight="1">
      <c r="A2884" s="8">
        <f t="shared" si="11"/>
        <v>646</v>
      </c>
      <c r="B2884" s="8"/>
      <c r="C2884" s="8">
        <v>646</v>
      </c>
      <c r="D2884">
        <v>75</v>
      </c>
      <c r="E2884" t="s">
        <v>594</v>
      </c>
      <c r="F2884" t="s">
        <v>1326</v>
      </c>
      <c r="G2884" s="9">
        <v>44804</v>
      </c>
    </row>
    <row r="2885" spans="1:7" ht="14.25" customHeight="1">
      <c r="A2885" s="8">
        <f t="shared" si="11"/>
        <v>1306</v>
      </c>
      <c r="B2885" s="8"/>
      <c r="C2885" s="8">
        <v>1306</v>
      </c>
      <c r="D2885">
        <v>130</v>
      </c>
      <c r="E2885" t="s">
        <v>594</v>
      </c>
      <c r="F2885" t="s">
        <v>1294</v>
      </c>
      <c r="G2885" s="9">
        <v>44834</v>
      </c>
    </row>
    <row r="2886" spans="1:7" ht="14.25" customHeight="1">
      <c r="A2886" s="8">
        <f t="shared" si="11"/>
        <v>174</v>
      </c>
      <c r="B2886" s="8"/>
      <c r="C2886" s="8">
        <v>174</v>
      </c>
      <c r="D2886">
        <v>138</v>
      </c>
      <c r="E2886" t="s">
        <v>594</v>
      </c>
      <c r="F2886" t="s">
        <v>1289</v>
      </c>
      <c r="G2886" s="9">
        <v>44865</v>
      </c>
    </row>
    <row r="2887" spans="1:7" ht="14.25" customHeight="1">
      <c r="A2887" s="8">
        <f t="shared" si="11"/>
        <v>662</v>
      </c>
      <c r="B2887" s="8"/>
      <c r="C2887" s="8">
        <v>662</v>
      </c>
      <c r="D2887">
        <v>176</v>
      </c>
      <c r="E2887" t="s">
        <v>594</v>
      </c>
      <c r="F2887" t="s">
        <v>1290</v>
      </c>
      <c r="G2887" s="9">
        <v>44895</v>
      </c>
    </row>
    <row r="2888" spans="1:7" ht="14.25" customHeight="1">
      <c r="A2888" s="8">
        <f t="shared" si="11"/>
        <v>1495</v>
      </c>
      <c r="B2888" s="8"/>
      <c r="C2888" s="8">
        <v>1495</v>
      </c>
      <c r="D2888">
        <v>194</v>
      </c>
      <c r="E2888" t="s">
        <v>594</v>
      </c>
      <c r="F2888" t="s">
        <v>1291</v>
      </c>
      <c r="G2888" s="9">
        <v>44925</v>
      </c>
    </row>
    <row r="2889" spans="1:7" ht="14.25" customHeight="1">
      <c r="A2889" s="8">
        <f t="shared" si="11"/>
        <v>8973</v>
      </c>
      <c r="B2889" s="8"/>
      <c r="C2889" s="8">
        <v>8973</v>
      </c>
    </row>
    <row r="2890" spans="1:7" ht="14.25" customHeight="1">
      <c r="A2890" s="8">
        <f t="shared" si="11"/>
        <v>0</v>
      </c>
      <c r="B2890" s="8"/>
      <c r="C2890" s="8"/>
      <c r="F2890" t="s">
        <v>1293</v>
      </c>
      <c r="G2890">
        <v>64150000</v>
      </c>
    </row>
    <row r="2891" spans="1:7" ht="14.25" customHeight="1">
      <c r="A2891" s="8">
        <f t="shared" si="11"/>
        <v>968</v>
      </c>
      <c r="B2891" s="8"/>
      <c r="C2891" s="8">
        <v>968</v>
      </c>
      <c r="D2891">
        <v>4</v>
      </c>
      <c r="E2891" t="s">
        <v>594</v>
      </c>
      <c r="F2891" t="s">
        <v>1283</v>
      </c>
      <c r="G2891" s="9">
        <v>44592</v>
      </c>
    </row>
    <row r="2892" spans="1:7" ht="14.25" customHeight="1">
      <c r="A2892" s="8">
        <f t="shared" si="11"/>
        <v>968</v>
      </c>
      <c r="B2892" s="8"/>
      <c r="C2892" s="8">
        <v>968</v>
      </c>
      <c r="D2892">
        <v>9</v>
      </c>
      <c r="E2892" t="s">
        <v>594</v>
      </c>
      <c r="F2892" t="s">
        <v>1284</v>
      </c>
      <c r="G2892" s="9">
        <v>44620</v>
      </c>
    </row>
    <row r="2893" spans="1:7" ht="14.25" customHeight="1">
      <c r="A2893" s="8">
        <f t="shared" si="11"/>
        <v>968</v>
      </c>
      <c r="B2893" s="8"/>
      <c r="C2893" s="8">
        <v>968</v>
      </c>
      <c r="D2893">
        <v>14</v>
      </c>
      <c r="E2893" t="s">
        <v>594</v>
      </c>
      <c r="F2893" t="s">
        <v>1285</v>
      </c>
      <c r="G2893" s="9">
        <v>44651</v>
      </c>
    </row>
    <row r="2894" spans="1:7" ht="14.25" customHeight="1">
      <c r="A2894" s="8">
        <f t="shared" si="11"/>
        <v>1375</v>
      </c>
      <c r="B2894" s="8"/>
      <c r="C2894" s="8">
        <v>1375</v>
      </c>
      <c r="D2894">
        <v>19</v>
      </c>
      <c r="E2894" t="s">
        <v>594</v>
      </c>
      <c r="F2894" t="s">
        <v>1286</v>
      </c>
      <c r="G2894" s="9">
        <v>44681</v>
      </c>
    </row>
    <row r="2895" spans="1:7" ht="14.25" customHeight="1">
      <c r="A2895" s="8">
        <f t="shared" si="11"/>
        <v>969</v>
      </c>
      <c r="B2895" s="8"/>
      <c r="C2895" s="8">
        <v>969</v>
      </c>
      <c r="D2895">
        <v>24</v>
      </c>
      <c r="E2895" t="s">
        <v>594</v>
      </c>
      <c r="F2895" t="s">
        <v>1287</v>
      </c>
      <c r="G2895" s="9">
        <v>44712</v>
      </c>
    </row>
    <row r="2896" spans="1:7" ht="14.25" customHeight="1">
      <c r="A2896" s="8">
        <f t="shared" si="11"/>
        <v>1389</v>
      </c>
      <c r="B2896" s="8"/>
      <c r="C2896" s="8">
        <v>1389</v>
      </c>
      <c r="D2896">
        <v>32</v>
      </c>
      <c r="E2896" t="s">
        <v>594</v>
      </c>
      <c r="F2896" t="s">
        <v>1288</v>
      </c>
      <c r="G2896" s="9">
        <v>44742</v>
      </c>
    </row>
    <row r="2897" spans="1:7" ht="14.25" customHeight="1">
      <c r="A2897" s="8">
        <f t="shared" si="11"/>
        <v>1362</v>
      </c>
      <c r="B2897" s="8"/>
      <c r="C2897" s="8">
        <v>1362</v>
      </c>
      <c r="D2897">
        <v>65</v>
      </c>
      <c r="E2897" t="s">
        <v>594</v>
      </c>
      <c r="F2897" t="s">
        <v>1325</v>
      </c>
      <c r="G2897" s="9">
        <v>44772</v>
      </c>
    </row>
    <row r="2898" spans="1:7" ht="14.25" customHeight="1">
      <c r="A2898" s="8">
        <f t="shared" si="11"/>
        <v>968</v>
      </c>
      <c r="B2898" s="8"/>
      <c r="C2898" s="8">
        <v>968</v>
      </c>
      <c r="D2898">
        <v>75</v>
      </c>
      <c r="E2898" t="s">
        <v>594</v>
      </c>
      <c r="F2898" t="s">
        <v>1326</v>
      </c>
      <c r="G2898" s="9">
        <v>44804</v>
      </c>
    </row>
    <row r="2899" spans="1:7" ht="14.25" customHeight="1">
      <c r="A2899" s="8">
        <f t="shared" si="11"/>
        <v>1960</v>
      </c>
      <c r="B2899" s="8"/>
      <c r="C2899" s="8">
        <v>1960</v>
      </c>
      <c r="D2899">
        <v>130</v>
      </c>
      <c r="E2899" t="s">
        <v>594</v>
      </c>
      <c r="F2899" t="s">
        <v>1294</v>
      </c>
      <c r="G2899" s="9">
        <v>44834</v>
      </c>
    </row>
    <row r="2900" spans="1:7" ht="14.25" customHeight="1">
      <c r="A2900" s="8">
        <f t="shared" si="11"/>
        <v>261</v>
      </c>
      <c r="B2900" s="8"/>
      <c r="C2900" s="8">
        <v>261</v>
      </c>
      <c r="D2900">
        <v>138</v>
      </c>
      <c r="E2900" t="s">
        <v>594</v>
      </c>
      <c r="F2900" t="s">
        <v>1289</v>
      </c>
      <c r="G2900" s="9">
        <v>44865</v>
      </c>
    </row>
    <row r="2901" spans="1:7" ht="14.25" customHeight="1">
      <c r="A2901" s="8">
        <f t="shared" si="11"/>
        <v>992</v>
      </c>
      <c r="B2901" s="8"/>
      <c r="C2901" s="8">
        <v>992</v>
      </c>
      <c r="D2901">
        <v>176</v>
      </c>
      <c r="E2901" t="s">
        <v>594</v>
      </c>
      <c r="F2901" t="s">
        <v>1290</v>
      </c>
      <c r="G2901" s="9">
        <v>44895</v>
      </c>
    </row>
    <row r="2902" spans="1:7" ht="14.25" customHeight="1">
      <c r="A2902" s="8">
        <f t="shared" si="11"/>
        <v>2241</v>
      </c>
      <c r="B2902" s="8"/>
      <c r="C2902" s="8">
        <v>2241</v>
      </c>
      <c r="D2902">
        <v>194</v>
      </c>
      <c r="E2902" t="s">
        <v>594</v>
      </c>
      <c r="F2902" t="s">
        <v>1291</v>
      </c>
      <c r="G2902" s="9">
        <v>44925</v>
      </c>
    </row>
    <row r="2903" spans="1:7" ht="14.25" customHeight="1">
      <c r="A2903" s="8">
        <f t="shared" si="11"/>
        <v>14423</v>
      </c>
      <c r="B2903" s="8"/>
      <c r="C2903" s="8">
        <v>14423</v>
      </c>
    </row>
    <row r="2904" spans="1:7" ht="14.25" customHeight="1">
      <c r="A2904" s="8">
        <f t="shared" si="11"/>
        <v>0</v>
      </c>
      <c r="B2904" s="8"/>
      <c r="C2904" s="8"/>
      <c r="F2904" t="s">
        <v>1295</v>
      </c>
      <c r="G2904">
        <v>66110000</v>
      </c>
    </row>
    <row r="2905" spans="1:7" ht="14.25" customHeight="1">
      <c r="A2905" s="8">
        <f t="shared" si="11"/>
        <v>161442</v>
      </c>
      <c r="B2905" s="8"/>
      <c r="C2905" s="8">
        <v>161442</v>
      </c>
      <c r="D2905">
        <v>1</v>
      </c>
      <c r="E2905" t="s">
        <v>594</v>
      </c>
      <c r="F2905" t="s">
        <v>1296</v>
      </c>
      <c r="G2905" s="9">
        <v>44592</v>
      </c>
    </row>
    <row r="2906" spans="1:7" ht="14.25" customHeight="1">
      <c r="A2906" s="8">
        <f t="shared" si="11"/>
        <v>274556</v>
      </c>
      <c r="B2906" s="8"/>
      <c r="C2906" s="8">
        <v>274556</v>
      </c>
      <c r="D2906">
        <v>6</v>
      </c>
      <c r="E2906" t="s">
        <v>594</v>
      </c>
      <c r="F2906" t="s">
        <v>1297</v>
      </c>
      <c r="G2906" s="9">
        <v>44620</v>
      </c>
    </row>
    <row r="2907" spans="1:7" ht="14.25" customHeight="1">
      <c r="A2907" s="8">
        <f t="shared" si="11"/>
        <v>285784</v>
      </c>
      <c r="B2907" s="8"/>
      <c r="C2907" s="8">
        <v>285784</v>
      </c>
      <c r="D2907">
        <v>11</v>
      </c>
      <c r="E2907" t="s">
        <v>594</v>
      </c>
      <c r="F2907" t="s">
        <v>1298</v>
      </c>
      <c r="G2907" s="9">
        <v>44651</v>
      </c>
    </row>
    <row r="2908" spans="1:7" ht="14.25" customHeight="1">
      <c r="A2908" s="8">
        <f t="shared" si="11"/>
        <v>229274</v>
      </c>
      <c r="B2908" s="8"/>
      <c r="C2908" s="8">
        <v>229274</v>
      </c>
      <c r="D2908">
        <v>16</v>
      </c>
      <c r="E2908" t="s">
        <v>594</v>
      </c>
      <c r="F2908" t="s">
        <v>1299</v>
      </c>
      <c r="G2908" s="9">
        <v>44681</v>
      </c>
    </row>
    <row r="2909" spans="1:7" ht="14.25" customHeight="1">
      <c r="A2909" s="8">
        <f t="shared" si="11"/>
        <v>161654</v>
      </c>
      <c r="B2909" s="8"/>
      <c r="C2909" s="8">
        <v>161654</v>
      </c>
      <c r="D2909">
        <v>21</v>
      </c>
      <c r="E2909" t="s">
        <v>594</v>
      </c>
      <c r="F2909" t="s">
        <v>1300</v>
      </c>
      <c r="G2909" s="9">
        <v>44712</v>
      </c>
    </row>
    <row r="2910" spans="1:7" ht="14.25" customHeight="1">
      <c r="A2910" s="8">
        <f t="shared" si="11"/>
        <v>231613</v>
      </c>
      <c r="B2910" s="8"/>
      <c r="C2910" s="8">
        <v>231613</v>
      </c>
      <c r="D2910">
        <v>29</v>
      </c>
      <c r="E2910" t="s">
        <v>594</v>
      </c>
      <c r="F2910" t="s">
        <v>1301</v>
      </c>
      <c r="G2910" s="9">
        <v>44742</v>
      </c>
    </row>
    <row r="2911" spans="1:7" ht="14.25" customHeight="1">
      <c r="A2911" s="8">
        <f t="shared" si="11"/>
        <v>226935</v>
      </c>
      <c r="B2911" s="8"/>
      <c r="C2911" s="8">
        <v>226935</v>
      </c>
      <c r="D2911">
        <v>62</v>
      </c>
      <c r="E2911" t="s">
        <v>594</v>
      </c>
      <c r="F2911" t="s">
        <v>1327</v>
      </c>
      <c r="G2911" s="9">
        <v>44772</v>
      </c>
    </row>
    <row r="2912" spans="1:7" ht="14.25" customHeight="1">
      <c r="A2912" s="8">
        <f t="shared" si="11"/>
        <v>161442</v>
      </c>
      <c r="B2912" s="8"/>
      <c r="C2912" s="8">
        <v>161442</v>
      </c>
      <c r="D2912">
        <v>72</v>
      </c>
      <c r="E2912" t="s">
        <v>594</v>
      </c>
      <c r="F2912" t="s">
        <v>1328</v>
      </c>
      <c r="G2912" s="9">
        <v>44804</v>
      </c>
    </row>
    <row r="2913" spans="1:7" ht="14.25" customHeight="1">
      <c r="A2913" s="8">
        <f t="shared" si="11"/>
        <v>326598</v>
      </c>
      <c r="B2913" s="8"/>
      <c r="C2913" s="8">
        <v>326598</v>
      </c>
      <c r="D2913">
        <v>127</v>
      </c>
      <c r="E2913" t="s">
        <v>594</v>
      </c>
      <c r="F2913" t="s">
        <v>1329</v>
      </c>
      <c r="G2913" s="9">
        <v>44834</v>
      </c>
    </row>
    <row r="2914" spans="1:7" ht="14.25" customHeight="1">
      <c r="A2914" s="8">
        <f t="shared" si="11"/>
        <v>43438</v>
      </c>
      <c r="B2914" s="8"/>
      <c r="C2914" s="8">
        <v>43438</v>
      </c>
      <c r="D2914">
        <v>135</v>
      </c>
      <c r="E2914" t="s">
        <v>594</v>
      </c>
      <c r="F2914" t="s">
        <v>1302</v>
      </c>
      <c r="G2914" s="9">
        <v>44865</v>
      </c>
    </row>
    <row r="2915" spans="1:7" ht="14.25" customHeight="1">
      <c r="A2915" s="8">
        <f t="shared" si="11"/>
        <v>165472</v>
      </c>
      <c r="B2915" s="8"/>
      <c r="C2915" s="8">
        <v>165472</v>
      </c>
      <c r="D2915">
        <v>173</v>
      </c>
      <c r="E2915" t="s">
        <v>594</v>
      </c>
      <c r="F2915" t="s">
        <v>1303</v>
      </c>
      <c r="G2915" s="9">
        <v>44895</v>
      </c>
    </row>
    <row r="2916" spans="1:7" ht="14.25" customHeight="1">
      <c r="A2916" s="8">
        <f t="shared" si="11"/>
        <v>373620</v>
      </c>
      <c r="B2916" s="8"/>
      <c r="C2916" s="8">
        <v>373620</v>
      </c>
      <c r="D2916">
        <v>191</v>
      </c>
      <c r="E2916" t="s">
        <v>594</v>
      </c>
      <c r="F2916" t="s">
        <v>1304</v>
      </c>
      <c r="G2916" s="9">
        <v>44925</v>
      </c>
    </row>
    <row r="2917" spans="1:7" ht="14.25" customHeight="1">
      <c r="A2917" s="8">
        <f t="shared" si="11"/>
        <v>2641828</v>
      </c>
      <c r="B2917" s="8"/>
      <c r="C2917" s="8">
        <v>2641828</v>
      </c>
    </row>
    <row r="2918" spans="1:7" ht="14.25" customHeight="1">
      <c r="A2918" s="8">
        <f t="shared" si="11"/>
        <v>0</v>
      </c>
      <c r="B2918" s="8"/>
      <c r="C2918" s="8"/>
      <c r="F2918" t="s">
        <v>1351</v>
      </c>
      <c r="G2918">
        <v>66180000</v>
      </c>
    </row>
    <row r="2919" spans="1:7" ht="14.25" customHeight="1">
      <c r="A2919" s="8">
        <f t="shared" si="11"/>
        <v>97750</v>
      </c>
      <c r="B2919" s="8"/>
      <c r="C2919" s="8">
        <v>97750</v>
      </c>
      <c r="D2919">
        <v>62</v>
      </c>
      <c r="E2919" t="s">
        <v>667</v>
      </c>
      <c r="F2919" t="s">
        <v>1352</v>
      </c>
      <c r="G2919" s="9">
        <v>44657</v>
      </c>
    </row>
    <row r="2920" spans="1:7" ht="14.25" customHeight="1">
      <c r="A2920" s="8">
        <f t="shared" si="11"/>
        <v>97750</v>
      </c>
      <c r="B2920" s="8"/>
      <c r="C2920" s="8">
        <v>97750</v>
      </c>
    </row>
    <row r="2921" spans="1:7" ht="14.25" customHeight="1">
      <c r="A2921" s="8">
        <f t="shared" si="11"/>
        <v>0</v>
      </c>
      <c r="B2921" s="8"/>
      <c r="C2921" s="8"/>
      <c r="F2921" t="s">
        <v>1305</v>
      </c>
      <c r="G2921">
        <v>66340000</v>
      </c>
    </row>
    <row r="2922" spans="1:7" ht="14.25" customHeight="1">
      <c r="A2922" s="8">
        <f t="shared" si="11"/>
        <v>34500</v>
      </c>
      <c r="B2922" s="8"/>
      <c r="C2922" s="8">
        <v>34500</v>
      </c>
      <c r="D2922">
        <v>3</v>
      </c>
      <c r="E2922" t="s">
        <v>594</v>
      </c>
      <c r="F2922" t="s">
        <v>1306</v>
      </c>
      <c r="G2922" s="9">
        <v>44592</v>
      </c>
    </row>
    <row r="2923" spans="1:7" ht="14.25" customHeight="1">
      <c r="A2923" s="8">
        <f t="shared" si="11"/>
        <v>34500</v>
      </c>
      <c r="B2923" s="8"/>
      <c r="C2923" s="8">
        <v>34500</v>
      </c>
      <c r="D2923">
        <v>8</v>
      </c>
      <c r="E2923" t="s">
        <v>594</v>
      </c>
      <c r="F2923" t="s">
        <v>1307</v>
      </c>
      <c r="G2923" s="9">
        <v>44620</v>
      </c>
    </row>
    <row r="2924" spans="1:7" ht="14.25" customHeight="1">
      <c r="A2924" s="8">
        <f t="shared" si="11"/>
        <v>34500</v>
      </c>
      <c r="B2924" s="8"/>
      <c r="C2924" s="8">
        <v>34500</v>
      </c>
      <c r="D2924">
        <v>13</v>
      </c>
      <c r="E2924" t="s">
        <v>594</v>
      </c>
      <c r="F2924" t="s">
        <v>1308</v>
      </c>
      <c r="G2924" s="9">
        <v>44651</v>
      </c>
    </row>
    <row r="2925" spans="1:7" ht="14.25" customHeight="1">
      <c r="A2925" s="8">
        <f t="shared" si="11"/>
        <v>67850</v>
      </c>
      <c r="B2925" s="8"/>
      <c r="C2925" s="8">
        <v>67850</v>
      </c>
      <c r="D2925">
        <v>18</v>
      </c>
      <c r="E2925" t="s">
        <v>594</v>
      </c>
      <c r="F2925" t="s">
        <v>1309</v>
      </c>
      <c r="G2925" s="9">
        <v>44681</v>
      </c>
    </row>
    <row r="2926" spans="1:7" ht="14.25" customHeight="1">
      <c r="A2926" s="8">
        <f t="shared" si="11"/>
        <v>54050</v>
      </c>
      <c r="B2926" s="8"/>
      <c r="C2926" s="8">
        <v>54050</v>
      </c>
      <c r="D2926">
        <v>23</v>
      </c>
      <c r="E2926" t="s">
        <v>594</v>
      </c>
      <c r="F2926" t="s">
        <v>1310</v>
      </c>
      <c r="G2926" s="9">
        <v>44712</v>
      </c>
    </row>
    <row r="2927" spans="1:7" ht="14.25" customHeight="1">
      <c r="A2927" s="8">
        <f t="shared" si="11"/>
        <v>69000</v>
      </c>
      <c r="B2927" s="8"/>
      <c r="C2927" s="8">
        <v>69000</v>
      </c>
      <c r="D2927">
        <v>31</v>
      </c>
      <c r="E2927" t="s">
        <v>594</v>
      </c>
      <c r="F2927" t="s">
        <v>1311</v>
      </c>
      <c r="G2927" s="9">
        <v>44742</v>
      </c>
    </row>
    <row r="2928" spans="1:7" ht="14.25" customHeight="1">
      <c r="A2928" s="8">
        <f t="shared" si="11"/>
        <v>66700</v>
      </c>
      <c r="B2928" s="8"/>
      <c r="C2928" s="8">
        <v>66700</v>
      </c>
      <c r="D2928">
        <v>64</v>
      </c>
      <c r="E2928" t="s">
        <v>594</v>
      </c>
      <c r="F2928" t="s">
        <v>1343</v>
      </c>
      <c r="G2928" s="9">
        <v>44772</v>
      </c>
    </row>
    <row r="2929" spans="1:7" ht="14.25" customHeight="1">
      <c r="A2929" s="8">
        <f t="shared" si="11"/>
        <v>34500</v>
      </c>
      <c r="B2929" s="8"/>
      <c r="C2929" s="8">
        <v>34500</v>
      </c>
      <c r="D2929">
        <v>74</v>
      </c>
      <c r="E2929" t="s">
        <v>594</v>
      </c>
      <c r="F2929" t="s">
        <v>1344</v>
      </c>
      <c r="G2929" s="9">
        <v>44804</v>
      </c>
    </row>
    <row r="2930" spans="1:7" ht="14.25" customHeight="1">
      <c r="A2930" s="8">
        <f t="shared" si="11"/>
        <v>32200</v>
      </c>
      <c r="B2930" s="8"/>
      <c r="C2930" s="8">
        <v>32200</v>
      </c>
      <c r="D2930">
        <v>129</v>
      </c>
      <c r="E2930" t="s">
        <v>594</v>
      </c>
      <c r="F2930" t="s">
        <v>1345</v>
      </c>
      <c r="G2930" s="9">
        <v>44834</v>
      </c>
    </row>
    <row r="2931" spans="1:7" ht="14.25" customHeight="1">
      <c r="A2931" s="8">
        <f t="shared" si="11"/>
        <v>9200</v>
      </c>
      <c r="B2931" s="8"/>
      <c r="C2931" s="8">
        <v>9200</v>
      </c>
      <c r="D2931">
        <v>137</v>
      </c>
      <c r="E2931" t="s">
        <v>594</v>
      </c>
      <c r="F2931" t="s">
        <v>1312</v>
      </c>
      <c r="G2931" s="9">
        <v>44865</v>
      </c>
    </row>
    <row r="2932" spans="1:7" ht="14.25" customHeight="1">
      <c r="A2932" s="8">
        <f t="shared" si="11"/>
        <v>34500</v>
      </c>
      <c r="B2932" s="8"/>
      <c r="C2932" s="8">
        <v>34500</v>
      </c>
      <c r="D2932">
        <v>175</v>
      </c>
      <c r="E2932" t="s">
        <v>594</v>
      </c>
      <c r="F2932" t="s">
        <v>1313</v>
      </c>
      <c r="G2932" s="9">
        <v>44895</v>
      </c>
    </row>
    <row r="2933" spans="1:7" ht="14.25" customHeight="1">
      <c r="A2933" s="8">
        <f t="shared" si="11"/>
        <v>103500</v>
      </c>
      <c r="B2933" s="8"/>
      <c r="C2933" s="8">
        <v>103500</v>
      </c>
      <c r="D2933">
        <v>193</v>
      </c>
      <c r="E2933" t="s">
        <v>594</v>
      </c>
      <c r="F2933" t="s">
        <v>1314</v>
      </c>
      <c r="G2933" s="9">
        <v>44925</v>
      </c>
    </row>
    <row r="2934" spans="1:7" ht="14.25" customHeight="1">
      <c r="A2934" s="8">
        <f t="shared" si="11"/>
        <v>575000</v>
      </c>
      <c r="B2934" s="8"/>
      <c r="C2934" s="8">
        <v>575000</v>
      </c>
    </row>
    <row r="2935" spans="1:7" ht="14.25" customHeight="1">
      <c r="A2935" s="8">
        <f t="shared" si="11"/>
        <v>0</v>
      </c>
      <c r="B2935" s="8"/>
      <c r="C2935" s="8"/>
      <c r="F2935" t="s">
        <v>1315</v>
      </c>
      <c r="G2935">
        <v>66410000</v>
      </c>
    </row>
    <row r="2936" spans="1:7" ht="14.25" customHeight="1">
      <c r="A2936" s="8">
        <f t="shared" si="11"/>
        <v>12431</v>
      </c>
      <c r="B2936" s="8"/>
      <c r="C2936" s="8">
        <v>12431</v>
      </c>
      <c r="D2936">
        <v>5</v>
      </c>
      <c r="E2936" t="s">
        <v>594</v>
      </c>
      <c r="F2936" t="s">
        <v>1316</v>
      </c>
      <c r="G2936" s="9">
        <v>44592</v>
      </c>
    </row>
    <row r="2937" spans="1:7" ht="14.25" customHeight="1">
      <c r="A2937" s="8">
        <f t="shared" si="11"/>
        <v>12431</v>
      </c>
      <c r="B2937" s="8"/>
      <c r="C2937" s="8">
        <v>12431</v>
      </c>
      <c r="D2937">
        <v>10</v>
      </c>
      <c r="E2937" t="s">
        <v>594</v>
      </c>
      <c r="F2937" t="s">
        <v>1317</v>
      </c>
      <c r="G2937" s="9">
        <v>44620</v>
      </c>
    </row>
    <row r="2938" spans="1:7" ht="14.25" customHeight="1">
      <c r="A2938" s="8">
        <f t="shared" si="11"/>
        <v>12431</v>
      </c>
      <c r="B2938" s="8"/>
      <c r="C2938" s="8">
        <v>12431</v>
      </c>
      <c r="D2938">
        <v>15</v>
      </c>
      <c r="E2938" t="s">
        <v>594</v>
      </c>
      <c r="F2938" t="s">
        <v>1318</v>
      </c>
      <c r="G2938" s="9">
        <v>44651</v>
      </c>
    </row>
    <row r="2939" spans="1:7" ht="14.25" customHeight="1">
      <c r="A2939" s="8">
        <f t="shared" si="11"/>
        <v>17654</v>
      </c>
      <c r="B2939" s="8"/>
      <c r="C2939" s="8">
        <v>17654</v>
      </c>
      <c r="D2939">
        <v>20</v>
      </c>
      <c r="E2939" t="s">
        <v>594</v>
      </c>
      <c r="F2939" t="s">
        <v>1319</v>
      </c>
      <c r="G2939" s="9">
        <v>44681</v>
      </c>
    </row>
    <row r="2940" spans="1:7" ht="14.25" customHeight="1">
      <c r="A2940" s="8">
        <f t="shared" si="11"/>
        <v>12448</v>
      </c>
      <c r="B2940" s="8"/>
      <c r="C2940" s="8">
        <v>12448</v>
      </c>
      <c r="D2940">
        <v>25</v>
      </c>
      <c r="E2940" t="s">
        <v>594</v>
      </c>
      <c r="F2940" t="s">
        <v>1320</v>
      </c>
      <c r="G2940" s="9">
        <v>44712</v>
      </c>
    </row>
    <row r="2941" spans="1:7" ht="14.25" customHeight="1">
      <c r="A2941" s="8">
        <f t="shared" si="11"/>
        <v>17834</v>
      </c>
      <c r="B2941" s="8"/>
      <c r="C2941" s="8">
        <v>17834</v>
      </c>
      <c r="D2941">
        <v>33</v>
      </c>
      <c r="E2941" t="s">
        <v>594</v>
      </c>
      <c r="F2941" t="s">
        <v>1321</v>
      </c>
      <c r="G2941" s="9">
        <v>44742</v>
      </c>
    </row>
    <row r="2942" spans="1:7" ht="14.25" customHeight="1">
      <c r="A2942" s="8">
        <f t="shared" si="11"/>
        <v>17474</v>
      </c>
      <c r="B2942" s="8"/>
      <c r="C2942" s="8">
        <v>17474</v>
      </c>
      <c r="D2942">
        <v>66</v>
      </c>
      <c r="E2942" t="s">
        <v>594</v>
      </c>
      <c r="F2942" t="s">
        <v>1346</v>
      </c>
      <c r="G2942" s="9">
        <v>44772</v>
      </c>
    </row>
    <row r="2943" spans="1:7" ht="14.25" customHeight="1">
      <c r="A2943" s="8">
        <f t="shared" si="11"/>
        <v>12431</v>
      </c>
      <c r="B2943" s="8"/>
      <c r="C2943" s="8">
        <v>12431</v>
      </c>
      <c r="D2943">
        <v>76</v>
      </c>
      <c r="E2943" t="s">
        <v>594</v>
      </c>
      <c r="F2943" t="s">
        <v>1347</v>
      </c>
      <c r="G2943" s="9">
        <v>44804</v>
      </c>
    </row>
    <row r="2944" spans="1:7" ht="14.25" customHeight="1">
      <c r="A2944" s="8">
        <f t="shared" si="11"/>
        <v>25148</v>
      </c>
      <c r="B2944" s="8"/>
      <c r="C2944" s="8">
        <v>25148</v>
      </c>
      <c r="D2944">
        <v>131</v>
      </c>
      <c r="E2944" t="s">
        <v>594</v>
      </c>
      <c r="F2944" t="s">
        <v>1348</v>
      </c>
      <c r="G2944" s="9">
        <v>44834</v>
      </c>
    </row>
    <row r="2945" spans="1:7" ht="14.25" customHeight="1">
      <c r="A2945" s="8">
        <f t="shared" si="11"/>
        <v>3344</v>
      </c>
      <c r="B2945" s="8"/>
      <c r="C2945" s="8">
        <v>3344</v>
      </c>
      <c r="D2945">
        <v>139</v>
      </c>
      <c r="E2945" t="s">
        <v>594</v>
      </c>
      <c r="F2945" t="s">
        <v>1322</v>
      </c>
      <c r="G2945" s="9">
        <v>44865</v>
      </c>
    </row>
    <row r="2946" spans="1:7" ht="14.25" customHeight="1">
      <c r="A2946" s="8">
        <f t="shared" si="11"/>
        <v>12741</v>
      </c>
      <c r="B2946" s="8"/>
      <c r="C2946" s="8">
        <v>12741</v>
      </c>
      <c r="D2946">
        <v>177</v>
      </c>
      <c r="E2946" t="s">
        <v>594</v>
      </c>
      <c r="F2946" t="s">
        <v>1323</v>
      </c>
      <c r="G2946" s="9">
        <v>44895</v>
      </c>
    </row>
    <row r="2947" spans="1:7" ht="14.25" customHeight="1">
      <c r="A2947" s="8">
        <f t="shared" si="11"/>
        <v>28768</v>
      </c>
      <c r="B2947" s="8"/>
      <c r="C2947" s="8">
        <v>28768</v>
      </c>
      <c r="D2947">
        <v>195</v>
      </c>
      <c r="E2947" t="s">
        <v>594</v>
      </c>
      <c r="F2947" t="s">
        <v>1324</v>
      </c>
      <c r="G2947" s="9">
        <v>44925</v>
      </c>
    </row>
    <row r="2948" spans="1:7" ht="14.25" customHeight="1">
      <c r="A2948" s="8">
        <f t="shared" si="11"/>
        <v>185137</v>
      </c>
      <c r="B2948" s="8"/>
      <c r="C2948" s="8">
        <v>185137</v>
      </c>
    </row>
    <row r="2949" spans="1:7" ht="14.25" customHeight="1">
      <c r="A2949" s="8">
        <f t="shared" si="11"/>
        <v>3551967</v>
      </c>
      <c r="B2949" s="8"/>
      <c r="C2949" s="8">
        <v>3551967</v>
      </c>
      <c r="E2949">
        <v>9103010</v>
      </c>
      <c r="F2949" t="s">
        <v>471</v>
      </c>
      <c r="G2949" t="s">
        <v>581</v>
      </c>
    </row>
    <row r="2950" spans="1:7" ht="14.25" customHeight="1">
      <c r="A2950" s="8">
        <f t="shared" si="11"/>
        <v>0</v>
      </c>
      <c r="B2950" s="8"/>
      <c r="C2950" s="8"/>
      <c r="D2950" t="s">
        <v>472</v>
      </c>
      <c r="G2950">
        <v>9104002</v>
      </c>
    </row>
    <row r="2951" spans="1:7" ht="14.25" customHeight="1">
      <c r="A2951" s="8">
        <f t="shared" si="11"/>
        <v>0</v>
      </c>
      <c r="B2951" s="8"/>
      <c r="C2951" s="8"/>
      <c r="F2951" t="s">
        <v>1071</v>
      </c>
      <c r="G2951">
        <v>60530000</v>
      </c>
    </row>
    <row r="2952" spans="1:7" ht="14.25" customHeight="1">
      <c r="A2952" s="8">
        <f t="shared" si="11"/>
        <v>11500</v>
      </c>
      <c r="B2952" s="8"/>
      <c r="C2952" s="8">
        <v>11500</v>
      </c>
      <c r="D2952">
        <v>260</v>
      </c>
      <c r="E2952" t="s">
        <v>667</v>
      </c>
      <c r="F2952" t="s">
        <v>1353</v>
      </c>
      <c r="G2952" s="9">
        <v>44896</v>
      </c>
    </row>
    <row r="2953" spans="1:7" ht="14.25" customHeight="1">
      <c r="A2953" s="8">
        <f t="shared" si="11"/>
        <v>11500</v>
      </c>
      <c r="B2953" s="8"/>
      <c r="C2953" s="8">
        <v>11500</v>
      </c>
    </row>
    <row r="2954" spans="1:7" ht="14.25" customHeight="1">
      <c r="A2954" s="8">
        <f t="shared" si="11"/>
        <v>11500</v>
      </c>
      <c r="B2954" s="8"/>
      <c r="C2954" s="8">
        <v>11500</v>
      </c>
      <c r="E2954">
        <v>9104002</v>
      </c>
      <c r="F2954" t="s">
        <v>472</v>
      </c>
      <c r="G2954" t="s">
        <v>581</v>
      </c>
    </row>
    <row r="2955" spans="1:7" ht="14.25" customHeight="1">
      <c r="A2955" s="8">
        <f t="shared" si="11"/>
        <v>0</v>
      </c>
      <c r="B2955" s="8"/>
      <c r="C2955" s="8"/>
      <c r="D2955" t="s">
        <v>473</v>
      </c>
      <c r="G2955">
        <v>9104004</v>
      </c>
    </row>
    <row r="2956" spans="1:7" ht="14.25" customHeight="1">
      <c r="A2956" s="8">
        <f t="shared" si="11"/>
        <v>0</v>
      </c>
      <c r="B2956" s="8"/>
      <c r="C2956" s="8"/>
      <c r="F2956" t="s">
        <v>1235</v>
      </c>
      <c r="G2956">
        <v>6122000</v>
      </c>
    </row>
    <row r="2957" spans="1:7" ht="14.25" customHeight="1">
      <c r="A2957" s="8">
        <f t="shared" si="11"/>
        <v>274301</v>
      </c>
      <c r="B2957" s="8"/>
      <c r="C2957" s="8">
        <v>274301</v>
      </c>
      <c r="D2957">
        <v>320</v>
      </c>
      <c r="E2957" t="s">
        <v>579</v>
      </c>
      <c r="F2957" t="s">
        <v>1354</v>
      </c>
      <c r="G2957" s="9">
        <v>44846</v>
      </c>
    </row>
    <row r="2958" spans="1:7" ht="14.25" customHeight="1">
      <c r="A2958" s="8">
        <f t="shared" si="11"/>
        <v>274301</v>
      </c>
      <c r="B2958" s="8"/>
      <c r="C2958" s="8">
        <v>274301</v>
      </c>
    </row>
    <row r="2959" spans="1:7" ht="14.25" customHeight="1">
      <c r="A2959" s="8">
        <f t="shared" si="11"/>
        <v>0</v>
      </c>
      <c r="B2959" s="8"/>
      <c r="C2959" s="8"/>
      <c r="F2959" t="s">
        <v>1355</v>
      </c>
      <c r="G2959">
        <v>61800000</v>
      </c>
    </row>
    <row r="2960" spans="1:7" ht="14.25" customHeight="1">
      <c r="A2960" s="8">
        <f t="shared" si="11"/>
        <v>47150</v>
      </c>
      <c r="B2960" s="8"/>
      <c r="C2960" s="8">
        <v>47150</v>
      </c>
      <c r="D2960">
        <v>217</v>
      </c>
      <c r="E2960" t="s">
        <v>667</v>
      </c>
      <c r="F2960" t="s">
        <v>1356</v>
      </c>
      <c r="G2960" s="9">
        <v>44824</v>
      </c>
    </row>
    <row r="2961" spans="1:7" ht="14.25" customHeight="1">
      <c r="A2961" s="8">
        <f t="shared" si="11"/>
        <v>47150</v>
      </c>
      <c r="B2961" s="8"/>
      <c r="C2961" s="8">
        <v>47150</v>
      </c>
    </row>
    <row r="2962" spans="1:7" ht="14.25" customHeight="1">
      <c r="A2962" s="8">
        <f t="shared" si="11"/>
        <v>321451</v>
      </c>
      <c r="B2962" s="8"/>
      <c r="C2962" s="8">
        <v>321451</v>
      </c>
      <c r="E2962">
        <v>9104004</v>
      </c>
      <c r="F2962" t="s">
        <v>473</v>
      </c>
      <c r="G2962" t="s">
        <v>581</v>
      </c>
    </row>
    <row r="2963" spans="1:7" ht="14.25" customHeight="1">
      <c r="A2963" s="8">
        <f t="shared" si="11"/>
        <v>0</v>
      </c>
      <c r="B2963" s="8"/>
      <c r="C2963" s="8"/>
      <c r="D2963" t="s">
        <v>474</v>
      </c>
      <c r="G2963">
        <v>9104005</v>
      </c>
    </row>
    <row r="2964" spans="1:7" ht="14.25" customHeight="1">
      <c r="A2964" s="8">
        <f t="shared" si="11"/>
        <v>0</v>
      </c>
      <c r="B2964" s="8"/>
      <c r="C2964" s="8"/>
      <c r="F2964" t="s">
        <v>582</v>
      </c>
      <c r="G2964">
        <v>63240000</v>
      </c>
    </row>
    <row r="2965" spans="1:7" ht="14.25" customHeight="1">
      <c r="A2965" s="8">
        <f t="shared" si="11"/>
        <v>310811</v>
      </c>
      <c r="B2965" s="8"/>
      <c r="C2965" s="8">
        <v>310811</v>
      </c>
      <c r="D2965">
        <v>1</v>
      </c>
      <c r="E2965" t="s">
        <v>579</v>
      </c>
      <c r="F2965" t="s">
        <v>1357</v>
      </c>
      <c r="G2965" s="9">
        <v>44564</v>
      </c>
    </row>
    <row r="2966" spans="1:7" ht="14.25" customHeight="1">
      <c r="A2966" s="8">
        <f t="shared" si="11"/>
        <v>621000</v>
      </c>
      <c r="B2966" s="8"/>
      <c r="C2966" s="8">
        <v>621000</v>
      </c>
      <c r="D2966">
        <v>2</v>
      </c>
      <c r="E2966" t="s">
        <v>579</v>
      </c>
      <c r="F2966" t="s">
        <v>1358</v>
      </c>
      <c r="G2966" s="9">
        <v>44566</v>
      </c>
    </row>
    <row r="2967" spans="1:7" ht="14.25" customHeight="1">
      <c r="A2967" s="8">
        <f t="shared" si="11"/>
        <v>230000</v>
      </c>
      <c r="B2967" s="8"/>
      <c r="C2967" s="8">
        <v>230000</v>
      </c>
      <c r="D2967">
        <v>9</v>
      </c>
      <c r="E2967" t="s">
        <v>579</v>
      </c>
      <c r="F2967" t="s">
        <v>1359</v>
      </c>
      <c r="G2967" s="9">
        <v>44589</v>
      </c>
    </row>
    <row r="2968" spans="1:7" ht="14.25" customHeight="1">
      <c r="A2968" s="8">
        <f t="shared" si="11"/>
        <v>230000</v>
      </c>
      <c r="B2968" s="8"/>
      <c r="C2968" s="8">
        <v>230000</v>
      </c>
      <c r="D2968">
        <v>23</v>
      </c>
      <c r="E2968" t="s">
        <v>579</v>
      </c>
      <c r="F2968" t="s">
        <v>1360</v>
      </c>
      <c r="G2968" s="9">
        <v>44617</v>
      </c>
    </row>
    <row r="2969" spans="1:7" ht="14.25" customHeight="1">
      <c r="A2969" s="8">
        <f t="shared" si="11"/>
        <v>310811</v>
      </c>
      <c r="B2969" s="8"/>
      <c r="C2969" s="8">
        <v>310811</v>
      </c>
      <c r="D2969">
        <v>29</v>
      </c>
      <c r="E2969" t="s">
        <v>579</v>
      </c>
      <c r="F2969" t="s">
        <v>1361</v>
      </c>
      <c r="G2969" s="9">
        <v>44620</v>
      </c>
    </row>
    <row r="2970" spans="1:7" ht="14.25" customHeight="1">
      <c r="A2970" s="8">
        <f t="shared" si="11"/>
        <v>460000</v>
      </c>
      <c r="B2970" s="8"/>
      <c r="C2970" s="8">
        <v>460000</v>
      </c>
      <c r="D2970">
        <v>31</v>
      </c>
      <c r="E2970" t="s">
        <v>579</v>
      </c>
      <c r="F2970" t="s">
        <v>1362</v>
      </c>
      <c r="G2970" s="9">
        <v>44620</v>
      </c>
    </row>
    <row r="2971" spans="1:7" ht="14.25" customHeight="1">
      <c r="A2971" s="8">
        <f t="shared" si="11"/>
        <v>230000</v>
      </c>
      <c r="B2971" s="8"/>
      <c r="C2971" s="8">
        <v>230000</v>
      </c>
      <c r="D2971">
        <v>66</v>
      </c>
      <c r="E2971" t="s">
        <v>579</v>
      </c>
      <c r="F2971" t="s">
        <v>1363</v>
      </c>
      <c r="G2971" s="9">
        <v>44648</v>
      </c>
    </row>
    <row r="2972" spans="1:7" ht="14.25" customHeight="1">
      <c r="A2972" s="8">
        <f t="shared" si="11"/>
        <v>310811</v>
      </c>
      <c r="B2972" s="8"/>
      <c r="C2972" s="8">
        <v>310811</v>
      </c>
      <c r="D2972">
        <v>72</v>
      </c>
      <c r="E2972" t="s">
        <v>579</v>
      </c>
      <c r="F2972" t="s">
        <v>1364</v>
      </c>
      <c r="G2972" s="9">
        <v>44650</v>
      </c>
    </row>
    <row r="2973" spans="1:7" ht="14.25" customHeight="1">
      <c r="A2973" s="8">
        <f t="shared" si="11"/>
        <v>310811</v>
      </c>
      <c r="B2973" s="8"/>
      <c r="C2973" s="8">
        <v>310811</v>
      </c>
      <c r="D2973">
        <v>106</v>
      </c>
      <c r="E2973" t="s">
        <v>579</v>
      </c>
      <c r="F2973" t="s">
        <v>1365</v>
      </c>
      <c r="G2973" s="9">
        <v>44680</v>
      </c>
    </row>
    <row r="2974" spans="1:7" ht="14.25" customHeight="1">
      <c r="A2974" s="8">
        <f t="shared" si="11"/>
        <v>230000</v>
      </c>
      <c r="B2974" s="8"/>
      <c r="C2974" s="8">
        <v>230000</v>
      </c>
      <c r="D2974">
        <v>117</v>
      </c>
      <c r="E2974" t="s">
        <v>579</v>
      </c>
      <c r="F2974" t="s">
        <v>1366</v>
      </c>
      <c r="G2974" s="9">
        <v>44686</v>
      </c>
    </row>
    <row r="2975" spans="1:7" ht="14.25" customHeight="1">
      <c r="A2975" s="8">
        <f t="shared" si="11"/>
        <v>310811</v>
      </c>
      <c r="B2975" s="8"/>
      <c r="C2975" s="8">
        <v>310811</v>
      </c>
      <c r="D2975">
        <v>148</v>
      </c>
      <c r="E2975" t="s">
        <v>579</v>
      </c>
      <c r="F2975" t="s">
        <v>1367</v>
      </c>
      <c r="G2975" s="9">
        <v>44711</v>
      </c>
    </row>
    <row r="2976" spans="1:7" ht="14.25" customHeight="1">
      <c r="A2976" s="8">
        <f t="shared" si="11"/>
        <v>230000</v>
      </c>
      <c r="B2976" s="8"/>
      <c r="C2976" s="8">
        <v>230000</v>
      </c>
      <c r="D2976">
        <v>177</v>
      </c>
      <c r="E2976" t="s">
        <v>579</v>
      </c>
      <c r="F2976" t="s">
        <v>1368</v>
      </c>
      <c r="G2976" s="9">
        <v>44729</v>
      </c>
    </row>
    <row r="2977" spans="1:7" ht="14.25" customHeight="1">
      <c r="A2977" s="8">
        <f t="shared" si="11"/>
        <v>310811</v>
      </c>
      <c r="B2977" s="8"/>
      <c r="C2977" s="8">
        <v>310811</v>
      </c>
      <c r="D2977">
        <v>208</v>
      </c>
      <c r="E2977" t="s">
        <v>579</v>
      </c>
      <c r="F2977" t="s">
        <v>1369</v>
      </c>
      <c r="G2977" s="9">
        <v>44739</v>
      </c>
    </row>
    <row r="2978" spans="1:7" ht="14.25" customHeight="1">
      <c r="A2978" s="8">
        <f t="shared" si="11"/>
        <v>402500</v>
      </c>
      <c r="B2978" s="8"/>
      <c r="C2978" s="8">
        <v>402500</v>
      </c>
      <c r="D2978">
        <v>203</v>
      </c>
      <c r="E2978" t="s">
        <v>579</v>
      </c>
      <c r="F2978" t="s">
        <v>1370</v>
      </c>
      <c r="G2978" s="9">
        <v>44742</v>
      </c>
    </row>
    <row r="2979" spans="1:7" ht="14.25" customHeight="1">
      <c r="A2979" s="8">
        <f t="shared" si="11"/>
        <v>310811</v>
      </c>
      <c r="B2979" s="8"/>
      <c r="C2979" s="8">
        <v>310811</v>
      </c>
      <c r="D2979">
        <v>205</v>
      </c>
      <c r="E2979" t="s">
        <v>579</v>
      </c>
      <c r="F2979" t="s">
        <v>1371</v>
      </c>
      <c r="G2979" s="9">
        <v>44742</v>
      </c>
    </row>
    <row r="2980" spans="1:7" ht="14.25" customHeight="1">
      <c r="A2980" s="8">
        <f t="shared" si="11"/>
        <v>1461864</v>
      </c>
      <c r="B2980" s="8"/>
      <c r="C2980" s="8">
        <v>1461864</v>
      </c>
      <c r="D2980">
        <v>225</v>
      </c>
      <c r="E2980" t="s">
        <v>579</v>
      </c>
      <c r="F2980" t="s">
        <v>1372</v>
      </c>
      <c r="G2980" s="9">
        <v>44743</v>
      </c>
    </row>
    <row r="2981" spans="1:7" ht="14.25" customHeight="1">
      <c r="A2981" s="8">
        <f t="shared" si="11"/>
        <v>310811</v>
      </c>
      <c r="B2981" s="8"/>
      <c r="C2981" s="8">
        <v>310811</v>
      </c>
      <c r="D2981">
        <v>244</v>
      </c>
      <c r="E2981" t="s">
        <v>579</v>
      </c>
      <c r="F2981" t="s">
        <v>1373</v>
      </c>
      <c r="G2981" s="9">
        <v>44770</v>
      </c>
    </row>
    <row r="2982" spans="1:7" ht="14.25" customHeight="1">
      <c r="A2982" s="8">
        <f t="shared" si="11"/>
        <v>402500</v>
      </c>
      <c r="B2982" s="8"/>
      <c r="C2982" s="8">
        <v>402500</v>
      </c>
      <c r="D2982">
        <v>245</v>
      </c>
      <c r="E2982" t="s">
        <v>579</v>
      </c>
      <c r="F2982" t="s">
        <v>1374</v>
      </c>
      <c r="G2982" s="9">
        <v>44770</v>
      </c>
    </row>
    <row r="2983" spans="1:7" ht="14.25" customHeight="1">
      <c r="A2983" s="8">
        <f t="shared" si="11"/>
        <v>230000</v>
      </c>
      <c r="B2983" s="8"/>
      <c r="C2983" s="8">
        <v>230000</v>
      </c>
      <c r="D2983">
        <v>265</v>
      </c>
      <c r="E2983" t="s">
        <v>579</v>
      </c>
      <c r="F2983" t="s">
        <v>1375</v>
      </c>
      <c r="G2983" s="9">
        <v>44796</v>
      </c>
    </row>
    <row r="2984" spans="1:7" ht="14.25" customHeight="1">
      <c r="A2984" s="8">
        <f t="shared" si="11"/>
        <v>402500</v>
      </c>
      <c r="B2984" s="8"/>
      <c r="C2984" s="8">
        <v>402500</v>
      </c>
      <c r="D2984">
        <v>267</v>
      </c>
      <c r="E2984" t="s">
        <v>579</v>
      </c>
      <c r="F2984" t="s">
        <v>1376</v>
      </c>
      <c r="G2984" s="9">
        <v>44802</v>
      </c>
    </row>
    <row r="2985" spans="1:7" ht="14.25" customHeight="1">
      <c r="A2985" s="8">
        <f t="shared" si="11"/>
        <v>322000</v>
      </c>
      <c r="B2985" s="8"/>
      <c r="C2985" s="8">
        <v>322000</v>
      </c>
      <c r="D2985">
        <v>270</v>
      </c>
      <c r="E2985" t="s">
        <v>579</v>
      </c>
      <c r="F2985" t="s">
        <v>1377</v>
      </c>
      <c r="G2985" s="9">
        <v>44804</v>
      </c>
    </row>
    <row r="2986" spans="1:7" ht="14.25" customHeight="1">
      <c r="A2986" s="8">
        <f t="shared" si="11"/>
        <v>310811</v>
      </c>
      <c r="B2986" s="8"/>
      <c r="C2986" s="8">
        <v>310811</v>
      </c>
      <c r="D2986">
        <v>289</v>
      </c>
      <c r="E2986" t="s">
        <v>579</v>
      </c>
      <c r="F2986" t="s">
        <v>1378</v>
      </c>
      <c r="G2986" s="9">
        <v>44804</v>
      </c>
    </row>
    <row r="2987" spans="1:7" ht="14.25" customHeight="1">
      <c r="A2987" s="8">
        <f t="shared" si="11"/>
        <v>517500</v>
      </c>
      <c r="B2987" s="8"/>
      <c r="C2987" s="8">
        <v>517500</v>
      </c>
      <c r="D2987">
        <v>303</v>
      </c>
      <c r="E2987" t="s">
        <v>579</v>
      </c>
      <c r="F2987" t="s">
        <v>1379</v>
      </c>
      <c r="G2987" s="9">
        <v>44832</v>
      </c>
    </row>
    <row r="2988" spans="1:7" ht="14.25" customHeight="1">
      <c r="A2988" s="8">
        <f t="shared" si="11"/>
        <v>310811</v>
      </c>
      <c r="B2988" s="8"/>
      <c r="C2988" s="8">
        <v>310811</v>
      </c>
      <c r="D2988">
        <v>317</v>
      </c>
      <c r="E2988" t="s">
        <v>579</v>
      </c>
      <c r="F2988" t="s">
        <v>1380</v>
      </c>
      <c r="G2988" s="9">
        <v>44835</v>
      </c>
    </row>
    <row r="2989" spans="1:7" ht="14.25" customHeight="1">
      <c r="A2989" s="8">
        <f t="shared" si="11"/>
        <v>402500</v>
      </c>
      <c r="B2989" s="8"/>
      <c r="C2989" s="8">
        <v>402500</v>
      </c>
      <c r="D2989">
        <v>341</v>
      </c>
      <c r="E2989" t="s">
        <v>579</v>
      </c>
      <c r="F2989" t="s">
        <v>1381</v>
      </c>
      <c r="G2989" s="9">
        <v>44862</v>
      </c>
    </row>
    <row r="2990" spans="1:7" ht="14.25" customHeight="1">
      <c r="A2990" s="8">
        <f t="shared" si="11"/>
        <v>310811</v>
      </c>
      <c r="B2990" s="8"/>
      <c r="C2990" s="8">
        <v>310811</v>
      </c>
      <c r="D2990">
        <v>345</v>
      </c>
      <c r="E2990" t="s">
        <v>579</v>
      </c>
      <c r="F2990" t="s">
        <v>1381</v>
      </c>
      <c r="G2990" s="9">
        <v>44865</v>
      </c>
    </row>
    <row r="2991" spans="1:7" ht="14.25" customHeight="1">
      <c r="A2991" s="8">
        <f t="shared" si="11"/>
        <v>402500</v>
      </c>
      <c r="B2991" s="8"/>
      <c r="C2991" s="8">
        <v>402500</v>
      </c>
      <c r="D2991">
        <v>344</v>
      </c>
      <c r="E2991" t="s">
        <v>579</v>
      </c>
      <c r="F2991" t="s">
        <v>1382</v>
      </c>
      <c r="G2991" s="9">
        <v>44865</v>
      </c>
    </row>
    <row r="2992" spans="1:7" ht="14.25" customHeight="1">
      <c r="A2992" s="8">
        <f t="shared" si="11"/>
        <v>373750</v>
      </c>
      <c r="B2992" s="8"/>
      <c r="C2992" s="8">
        <v>373750</v>
      </c>
      <c r="D2992">
        <v>349</v>
      </c>
      <c r="E2992" t="s">
        <v>579</v>
      </c>
      <c r="F2992" t="s">
        <v>1383</v>
      </c>
      <c r="G2992" s="9">
        <v>44867</v>
      </c>
    </row>
    <row r="2993" spans="1:7" ht="14.25" customHeight="1">
      <c r="A2993" s="8">
        <f t="shared" si="11"/>
        <v>402500</v>
      </c>
      <c r="B2993" s="8"/>
      <c r="C2993" s="8">
        <v>402500</v>
      </c>
      <c r="D2993">
        <v>383</v>
      </c>
      <c r="E2993" t="s">
        <v>579</v>
      </c>
      <c r="F2993" t="s">
        <v>1384</v>
      </c>
      <c r="G2993" s="9">
        <v>44895</v>
      </c>
    </row>
    <row r="2994" spans="1:7" ht="14.25" customHeight="1">
      <c r="A2994" s="8">
        <f t="shared" si="11"/>
        <v>310811</v>
      </c>
      <c r="B2994" s="8"/>
      <c r="C2994" s="8">
        <v>310811</v>
      </c>
      <c r="D2994">
        <v>384</v>
      </c>
      <c r="E2994" t="s">
        <v>579</v>
      </c>
      <c r="F2994" t="s">
        <v>1385</v>
      </c>
      <c r="G2994" s="9">
        <v>44895</v>
      </c>
    </row>
    <row r="2995" spans="1:7" ht="14.25" customHeight="1">
      <c r="A2995" s="8">
        <f t="shared" si="11"/>
        <v>373750</v>
      </c>
      <c r="B2995" s="8"/>
      <c r="C2995" s="8">
        <v>373750</v>
      </c>
      <c r="D2995">
        <v>389</v>
      </c>
      <c r="E2995" t="s">
        <v>579</v>
      </c>
      <c r="F2995" t="s">
        <v>1386</v>
      </c>
      <c r="G2995" s="9">
        <v>44897</v>
      </c>
    </row>
    <row r="2996" spans="1:7" ht="14.25" customHeight="1">
      <c r="A2996" s="8">
        <f t="shared" si="11"/>
        <v>373750</v>
      </c>
      <c r="B2996" s="8"/>
      <c r="C2996" s="8">
        <v>373750</v>
      </c>
      <c r="D2996">
        <v>421</v>
      </c>
      <c r="E2996" t="s">
        <v>579</v>
      </c>
      <c r="F2996" t="s">
        <v>1387</v>
      </c>
      <c r="G2996" s="9">
        <v>44918</v>
      </c>
    </row>
    <row r="2997" spans="1:7" ht="14.25" customHeight="1">
      <c r="A2997" s="8">
        <f t="shared" si="11"/>
        <v>310811</v>
      </c>
      <c r="B2997" s="8"/>
      <c r="C2997" s="8">
        <v>310811</v>
      </c>
      <c r="D2997">
        <v>437</v>
      </c>
      <c r="E2997" t="s">
        <v>579</v>
      </c>
      <c r="F2997" t="s">
        <v>1388</v>
      </c>
      <c r="G2997" s="9">
        <v>44925</v>
      </c>
    </row>
    <row r="2998" spans="1:7" ht="14.25" customHeight="1">
      <c r="A2998" s="8">
        <f t="shared" si="11"/>
        <v>402500</v>
      </c>
      <c r="B2998" s="8"/>
      <c r="C2998" s="8">
        <v>402500</v>
      </c>
      <c r="D2998">
        <v>439</v>
      </c>
      <c r="E2998" t="s">
        <v>579</v>
      </c>
      <c r="F2998" t="s">
        <v>1389</v>
      </c>
      <c r="G2998" s="9">
        <v>44925</v>
      </c>
    </row>
    <row r="2999" spans="1:7" ht="14.25" customHeight="1">
      <c r="A2999" s="8">
        <f t="shared" si="11"/>
        <v>12741650</v>
      </c>
      <c r="B2999" s="8"/>
      <c r="C2999" s="8">
        <v>12741650</v>
      </c>
    </row>
    <row r="3000" spans="1:7" ht="14.25" customHeight="1">
      <c r="A3000" s="8">
        <f t="shared" si="11"/>
        <v>0</v>
      </c>
      <c r="B3000" s="8"/>
      <c r="C3000" s="8"/>
      <c r="F3000" t="s">
        <v>1351</v>
      </c>
      <c r="G3000">
        <v>66180000</v>
      </c>
    </row>
    <row r="3001" spans="1:7" ht="14.25" customHeight="1">
      <c r="A3001" s="8">
        <f t="shared" si="11"/>
        <v>92000</v>
      </c>
      <c r="B3001" s="8"/>
      <c r="C3001" s="8">
        <v>92000</v>
      </c>
      <c r="D3001">
        <v>8</v>
      </c>
      <c r="E3001" t="s">
        <v>587</v>
      </c>
      <c r="F3001" t="s">
        <v>1390</v>
      </c>
      <c r="G3001" s="9">
        <v>44622</v>
      </c>
    </row>
    <row r="3002" spans="1:7" ht="14.25" customHeight="1">
      <c r="A3002" s="8">
        <f t="shared" si="11"/>
        <v>172500</v>
      </c>
      <c r="B3002" s="8"/>
      <c r="C3002" s="8">
        <v>172500</v>
      </c>
      <c r="D3002">
        <v>125</v>
      </c>
      <c r="E3002" t="s">
        <v>587</v>
      </c>
      <c r="F3002" t="s">
        <v>1391</v>
      </c>
      <c r="G3002" s="9">
        <v>44678</v>
      </c>
    </row>
    <row r="3003" spans="1:7" ht="14.25" customHeight="1">
      <c r="A3003" s="8">
        <f t="shared" si="11"/>
        <v>172500</v>
      </c>
      <c r="B3003" s="8"/>
      <c r="C3003" s="8">
        <v>172500</v>
      </c>
      <c r="D3003">
        <v>155</v>
      </c>
      <c r="E3003" t="s">
        <v>587</v>
      </c>
      <c r="F3003" t="s">
        <v>1392</v>
      </c>
      <c r="G3003" s="9">
        <v>44711</v>
      </c>
    </row>
    <row r="3004" spans="1:7" ht="14.25" customHeight="1">
      <c r="A3004" s="8">
        <f t="shared" si="11"/>
        <v>172500</v>
      </c>
      <c r="B3004" s="8"/>
      <c r="C3004" s="8">
        <v>172500</v>
      </c>
      <c r="D3004">
        <v>220</v>
      </c>
      <c r="E3004" t="s">
        <v>587</v>
      </c>
      <c r="F3004" t="s">
        <v>1393</v>
      </c>
      <c r="G3004" s="9">
        <v>44742</v>
      </c>
    </row>
    <row r="3005" spans="1:7" ht="14.25" customHeight="1">
      <c r="A3005" s="8">
        <f t="shared" si="11"/>
        <v>172500</v>
      </c>
      <c r="B3005" s="8"/>
      <c r="C3005" s="8">
        <v>172500</v>
      </c>
      <c r="D3005">
        <v>49</v>
      </c>
      <c r="E3005" t="s">
        <v>1126</v>
      </c>
      <c r="F3005" t="s">
        <v>1394</v>
      </c>
      <c r="G3005" s="9">
        <v>44768</v>
      </c>
    </row>
    <row r="3006" spans="1:7" ht="14.25" customHeight="1">
      <c r="A3006" s="8">
        <f t="shared" si="11"/>
        <v>172500</v>
      </c>
      <c r="B3006" s="8"/>
      <c r="C3006" s="8">
        <v>172500</v>
      </c>
      <c r="D3006">
        <v>376</v>
      </c>
      <c r="E3006" t="s">
        <v>587</v>
      </c>
      <c r="F3006" t="s">
        <v>1395</v>
      </c>
      <c r="G3006" s="9">
        <v>44811</v>
      </c>
    </row>
    <row r="3007" spans="1:7" ht="14.25" customHeight="1">
      <c r="A3007" s="8">
        <f t="shared" si="11"/>
        <v>172500</v>
      </c>
      <c r="B3007" s="8"/>
      <c r="C3007" s="8">
        <v>172500</v>
      </c>
      <c r="D3007">
        <v>418</v>
      </c>
      <c r="E3007" t="s">
        <v>587</v>
      </c>
      <c r="F3007" t="s">
        <v>1396</v>
      </c>
      <c r="G3007" s="9">
        <v>44831</v>
      </c>
    </row>
    <row r="3008" spans="1:7" ht="14.25" customHeight="1">
      <c r="A3008" s="8">
        <f t="shared" si="11"/>
        <v>1127000</v>
      </c>
      <c r="B3008" s="8"/>
      <c r="C3008" s="8">
        <v>1127000</v>
      </c>
    </row>
    <row r="3009" spans="1:7" ht="14.25" customHeight="1">
      <c r="A3009" s="8">
        <f t="shared" si="11"/>
        <v>13868650</v>
      </c>
      <c r="B3009" s="8"/>
      <c r="C3009" s="8">
        <v>13868650</v>
      </c>
      <c r="E3009">
        <v>9104005</v>
      </c>
      <c r="F3009" t="s">
        <v>474</v>
      </c>
      <c r="G3009" t="s">
        <v>581</v>
      </c>
    </row>
    <row r="3010" spans="1:7" ht="14.25" customHeight="1">
      <c r="A3010" s="8">
        <f t="shared" si="11"/>
        <v>0</v>
      </c>
      <c r="B3010" s="8"/>
      <c r="C3010" s="8"/>
      <c r="D3010" t="s">
        <v>475</v>
      </c>
      <c r="G3010">
        <v>9104006</v>
      </c>
    </row>
    <row r="3011" spans="1:7" ht="14.25" customHeight="1">
      <c r="A3011" s="8">
        <f t="shared" si="11"/>
        <v>0</v>
      </c>
      <c r="B3011" s="8"/>
      <c r="C3011" s="8"/>
      <c r="F3011" t="s">
        <v>1397</v>
      </c>
      <c r="G3011">
        <v>62410000</v>
      </c>
    </row>
    <row r="3012" spans="1:7" ht="14.25" customHeight="1">
      <c r="A3012" s="8">
        <f t="shared" si="11"/>
        <v>92000</v>
      </c>
      <c r="B3012" s="8"/>
      <c r="C3012" s="8">
        <v>92000</v>
      </c>
      <c r="D3012">
        <v>116</v>
      </c>
      <c r="E3012" t="s">
        <v>579</v>
      </c>
      <c r="F3012" t="s">
        <v>1398</v>
      </c>
      <c r="G3012" s="9">
        <v>44686</v>
      </c>
    </row>
    <row r="3013" spans="1:7" ht="14.25" customHeight="1">
      <c r="A3013" s="8">
        <f t="shared" si="11"/>
        <v>92000</v>
      </c>
      <c r="B3013" s="8"/>
      <c r="C3013" s="8">
        <v>92000</v>
      </c>
    </row>
    <row r="3014" spans="1:7" ht="14.25" customHeight="1">
      <c r="A3014" s="8">
        <f t="shared" si="11"/>
        <v>0</v>
      </c>
      <c r="B3014" s="8"/>
      <c r="C3014" s="8"/>
      <c r="F3014" t="s">
        <v>1399</v>
      </c>
      <c r="G3014">
        <v>62480000</v>
      </c>
    </row>
    <row r="3015" spans="1:7" ht="14.25" customHeight="1">
      <c r="A3015" s="8">
        <f t="shared" si="11"/>
        <v>21850</v>
      </c>
      <c r="B3015" s="8"/>
      <c r="C3015" s="8">
        <v>21850</v>
      </c>
      <c r="D3015">
        <v>35</v>
      </c>
      <c r="E3015" t="s">
        <v>667</v>
      </c>
      <c r="F3015" t="s">
        <v>1400</v>
      </c>
      <c r="G3015" s="9">
        <v>44621</v>
      </c>
    </row>
    <row r="3016" spans="1:7" ht="14.25" customHeight="1">
      <c r="A3016" s="8">
        <f t="shared" si="11"/>
        <v>572552</v>
      </c>
      <c r="B3016" s="8"/>
      <c r="C3016" s="8">
        <v>572552</v>
      </c>
      <c r="D3016">
        <v>46</v>
      </c>
      <c r="E3016" t="s">
        <v>579</v>
      </c>
      <c r="F3016" t="s">
        <v>1401</v>
      </c>
      <c r="G3016" s="9">
        <v>44630</v>
      </c>
    </row>
    <row r="3017" spans="1:7" ht="14.25" customHeight="1">
      <c r="A3017" s="8">
        <f t="shared" si="11"/>
        <v>10350</v>
      </c>
      <c r="B3017" s="8"/>
      <c r="C3017" s="8">
        <v>10350</v>
      </c>
      <c r="D3017">
        <v>109</v>
      </c>
      <c r="E3017" t="s">
        <v>667</v>
      </c>
      <c r="F3017" t="s">
        <v>1402</v>
      </c>
      <c r="G3017" s="9">
        <v>44724</v>
      </c>
    </row>
    <row r="3018" spans="1:7" ht="14.25" customHeight="1">
      <c r="A3018" s="8">
        <f t="shared" si="11"/>
        <v>604752</v>
      </c>
      <c r="B3018" s="8"/>
      <c r="C3018" s="8">
        <v>604752</v>
      </c>
    </row>
    <row r="3019" spans="1:7" ht="14.25" customHeight="1">
      <c r="A3019" s="8">
        <f t="shared" si="11"/>
        <v>696752</v>
      </c>
      <c r="B3019" s="8"/>
      <c r="C3019" s="8">
        <v>696752</v>
      </c>
      <c r="E3019">
        <v>9104006</v>
      </c>
      <c r="F3019" t="s">
        <v>475</v>
      </c>
      <c r="G3019" t="s">
        <v>581</v>
      </c>
    </row>
    <row r="3020" spans="1:7" ht="14.25" customHeight="1">
      <c r="A3020" s="8">
        <f t="shared" si="11"/>
        <v>0</v>
      </c>
      <c r="B3020" s="8"/>
      <c r="C3020" s="8"/>
      <c r="D3020" t="s">
        <v>476</v>
      </c>
      <c r="G3020">
        <v>9104009</v>
      </c>
    </row>
    <row r="3021" spans="1:7" ht="14.25" customHeight="1">
      <c r="A3021" s="8">
        <f t="shared" si="11"/>
        <v>0</v>
      </c>
      <c r="B3021" s="8"/>
      <c r="C3021" s="8"/>
      <c r="F3021" t="s">
        <v>1403</v>
      </c>
      <c r="G3021">
        <v>62810000</v>
      </c>
    </row>
    <row r="3022" spans="1:7" ht="14.25" customHeight="1">
      <c r="A3022" s="8">
        <f t="shared" si="11"/>
        <v>19491</v>
      </c>
      <c r="B3022" s="8"/>
      <c r="C3022" s="8">
        <v>19491</v>
      </c>
      <c r="D3022">
        <v>5</v>
      </c>
      <c r="E3022" t="s">
        <v>579</v>
      </c>
      <c r="F3022" t="s">
        <v>1404</v>
      </c>
      <c r="G3022" s="9">
        <v>44574</v>
      </c>
    </row>
    <row r="3023" spans="1:7" ht="14.25" customHeight="1">
      <c r="A3023" s="8">
        <f t="shared" si="11"/>
        <v>2437</v>
      </c>
      <c r="B3023" s="8"/>
      <c r="C3023" s="8">
        <v>2437</v>
      </c>
      <c r="D3023">
        <v>5</v>
      </c>
      <c r="E3023" t="s">
        <v>579</v>
      </c>
      <c r="F3023" t="s">
        <v>1404</v>
      </c>
      <c r="G3023" s="9">
        <v>44574</v>
      </c>
    </row>
    <row r="3024" spans="1:7" ht="14.25" customHeight="1">
      <c r="A3024" s="8">
        <f t="shared" si="11"/>
        <v>4873</v>
      </c>
      <c r="B3024" s="8"/>
      <c r="C3024" s="8">
        <v>4873</v>
      </c>
      <c r="D3024">
        <v>5</v>
      </c>
      <c r="E3024" t="s">
        <v>579</v>
      </c>
      <c r="F3024" t="s">
        <v>1404</v>
      </c>
      <c r="G3024" s="9">
        <v>44574</v>
      </c>
    </row>
    <row r="3025" spans="1:7" ht="14.25" customHeight="1">
      <c r="A3025" s="8">
        <f t="shared" si="11"/>
        <v>9746</v>
      </c>
      <c r="B3025" s="8"/>
      <c r="C3025" s="8">
        <v>9746</v>
      </c>
      <c r="D3025">
        <v>5</v>
      </c>
      <c r="E3025" t="s">
        <v>579</v>
      </c>
      <c r="F3025" t="s">
        <v>1404</v>
      </c>
      <c r="G3025" s="9">
        <v>44574</v>
      </c>
    </row>
    <row r="3026" spans="1:7" ht="14.25" customHeight="1">
      <c r="A3026" s="8">
        <f t="shared" si="11"/>
        <v>19491</v>
      </c>
      <c r="B3026" s="8"/>
      <c r="C3026" s="8">
        <v>19491</v>
      </c>
      <c r="D3026">
        <v>21</v>
      </c>
      <c r="E3026" t="s">
        <v>579</v>
      </c>
      <c r="F3026" t="s">
        <v>1405</v>
      </c>
      <c r="G3026" s="9">
        <v>44614</v>
      </c>
    </row>
    <row r="3027" spans="1:7" ht="14.25" customHeight="1">
      <c r="A3027" s="8">
        <f t="shared" si="11"/>
        <v>2437</v>
      </c>
      <c r="B3027" s="8"/>
      <c r="C3027" s="8">
        <v>2437</v>
      </c>
      <c r="D3027">
        <v>21</v>
      </c>
      <c r="E3027" t="s">
        <v>579</v>
      </c>
      <c r="F3027" t="s">
        <v>1405</v>
      </c>
      <c r="G3027" s="9">
        <v>44614</v>
      </c>
    </row>
    <row r="3028" spans="1:7" ht="14.25" customHeight="1">
      <c r="A3028" s="8">
        <f t="shared" si="11"/>
        <v>9746</v>
      </c>
      <c r="B3028" s="8"/>
      <c r="C3028" s="8">
        <v>9746</v>
      </c>
      <c r="D3028">
        <v>21</v>
      </c>
      <c r="E3028" t="s">
        <v>579</v>
      </c>
      <c r="F3028" t="s">
        <v>1405</v>
      </c>
      <c r="G3028" s="9">
        <v>44614</v>
      </c>
    </row>
    <row r="3029" spans="1:7" ht="14.25" customHeight="1">
      <c r="A3029" s="8">
        <f t="shared" si="11"/>
        <v>4873</v>
      </c>
      <c r="B3029" s="8"/>
      <c r="C3029" s="8">
        <v>4873</v>
      </c>
      <c r="D3029">
        <v>21</v>
      </c>
      <c r="E3029" t="s">
        <v>579</v>
      </c>
      <c r="F3029" t="s">
        <v>1405</v>
      </c>
      <c r="G3029" s="9">
        <v>44614</v>
      </c>
    </row>
    <row r="3030" spans="1:7" ht="14.25" customHeight="1">
      <c r="A3030" s="8">
        <f t="shared" si="11"/>
        <v>19491</v>
      </c>
      <c r="B3030" s="8"/>
      <c r="C3030" s="8">
        <v>19491</v>
      </c>
      <c r="D3030">
        <v>38</v>
      </c>
      <c r="E3030" t="s">
        <v>579</v>
      </c>
      <c r="F3030" t="s">
        <v>1406</v>
      </c>
      <c r="G3030" s="9">
        <v>44621</v>
      </c>
    </row>
    <row r="3031" spans="1:7" ht="14.25" customHeight="1">
      <c r="A3031" s="8">
        <f t="shared" si="11"/>
        <v>2437</v>
      </c>
      <c r="B3031" s="8"/>
      <c r="C3031" s="8">
        <v>2437</v>
      </c>
      <c r="D3031">
        <v>38</v>
      </c>
      <c r="E3031" t="s">
        <v>579</v>
      </c>
      <c r="F3031" t="s">
        <v>1406</v>
      </c>
      <c r="G3031" s="9">
        <v>44621</v>
      </c>
    </row>
    <row r="3032" spans="1:7" ht="14.25" customHeight="1">
      <c r="A3032" s="8">
        <f t="shared" si="11"/>
        <v>9746</v>
      </c>
      <c r="B3032" s="8"/>
      <c r="C3032" s="8">
        <v>9746</v>
      </c>
      <c r="D3032">
        <v>38</v>
      </c>
      <c r="E3032" t="s">
        <v>579</v>
      </c>
      <c r="F3032" t="s">
        <v>1406</v>
      </c>
      <c r="G3032" s="9">
        <v>44621</v>
      </c>
    </row>
    <row r="3033" spans="1:7" ht="14.25" customHeight="1">
      <c r="A3033" s="8">
        <f t="shared" si="11"/>
        <v>4873</v>
      </c>
      <c r="B3033" s="8"/>
      <c r="C3033" s="8">
        <v>4873</v>
      </c>
      <c r="D3033">
        <v>38</v>
      </c>
      <c r="E3033" t="s">
        <v>579</v>
      </c>
      <c r="F3033" t="s">
        <v>1406</v>
      </c>
      <c r="G3033" s="9">
        <v>44621</v>
      </c>
    </row>
    <row r="3034" spans="1:7" ht="14.25" customHeight="1">
      <c r="A3034" s="8">
        <f t="shared" si="11"/>
        <v>19491</v>
      </c>
      <c r="B3034" s="8"/>
      <c r="C3034" s="8">
        <v>19491</v>
      </c>
      <c r="D3034">
        <v>99</v>
      </c>
      <c r="E3034" t="s">
        <v>579</v>
      </c>
      <c r="F3034" t="s">
        <v>1407</v>
      </c>
      <c r="G3034" s="9">
        <v>44666</v>
      </c>
    </row>
    <row r="3035" spans="1:7" ht="14.25" customHeight="1">
      <c r="A3035" s="8">
        <f t="shared" si="11"/>
        <v>2437</v>
      </c>
      <c r="B3035" s="8"/>
      <c r="C3035" s="8">
        <v>2437</v>
      </c>
      <c r="D3035">
        <v>99</v>
      </c>
      <c r="E3035" t="s">
        <v>579</v>
      </c>
      <c r="F3035" t="s">
        <v>1407</v>
      </c>
      <c r="G3035" s="9">
        <v>44666</v>
      </c>
    </row>
    <row r="3036" spans="1:7" ht="14.25" customHeight="1">
      <c r="A3036" s="8">
        <f t="shared" si="11"/>
        <v>9746</v>
      </c>
      <c r="B3036" s="8"/>
      <c r="C3036" s="8">
        <v>9746</v>
      </c>
      <c r="D3036">
        <v>99</v>
      </c>
      <c r="E3036" t="s">
        <v>579</v>
      </c>
      <c r="F3036" t="s">
        <v>1407</v>
      </c>
      <c r="G3036" s="9">
        <v>44666</v>
      </c>
    </row>
    <row r="3037" spans="1:7" ht="14.25" customHeight="1">
      <c r="A3037" s="8">
        <f t="shared" si="11"/>
        <v>4873</v>
      </c>
      <c r="B3037" s="8"/>
      <c r="C3037" s="8">
        <v>4873</v>
      </c>
      <c r="D3037">
        <v>99</v>
      </c>
      <c r="E3037" t="s">
        <v>579</v>
      </c>
      <c r="F3037" t="s">
        <v>1407</v>
      </c>
      <c r="G3037" s="9">
        <v>44666</v>
      </c>
    </row>
    <row r="3038" spans="1:7" ht="14.25" customHeight="1">
      <c r="A3038" s="8">
        <f t="shared" si="11"/>
        <v>4873</v>
      </c>
      <c r="B3038" s="8"/>
      <c r="C3038" s="8">
        <v>4873</v>
      </c>
      <c r="D3038">
        <v>99</v>
      </c>
      <c r="E3038" t="s">
        <v>579</v>
      </c>
      <c r="F3038" t="s">
        <v>1407</v>
      </c>
      <c r="G3038" s="9">
        <v>44666</v>
      </c>
    </row>
    <row r="3039" spans="1:7" ht="14.25" customHeight="1">
      <c r="A3039" s="8">
        <f t="shared" si="11"/>
        <v>5750</v>
      </c>
      <c r="B3039" s="8"/>
      <c r="C3039" s="8">
        <v>5750</v>
      </c>
      <c r="D3039">
        <v>86</v>
      </c>
      <c r="E3039" t="s">
        <v>667</v>
      </c>
      <c r="F3039" t="s">
        <v>1408</v>
      </c>
      <c r="G3039" s="9">
        <v>44694</v>
      </c>
    </row>
    <row r="3040" spans="1:7" ht="14.25" customHeight="1">
      <c r="A3040" s="8">
        <f t="shared" si="11"/>
        <v>19491</v>
      </c>
      <c r="B3040" s="8"/>
      <c r="C3040" s="8">
        <v>19491</v>
      </c>
      <c r="D3040">
        <v>133</v>
      </c>
      <c r="E3040" t="s">
        <v>579</v>
      </c>
      <c r="F3040" t="s">
        <v>1409</v>
      </c>
      <c r="G3040" s="9">
        <v>44694</v>
      </c>
    </row>
    <row r="3041" spans="1:7" ht="14.25" customHeight="1">
      <c r="A3041" s="8">
        <f t="shared" si="11"/>
        <v>2437</v>
      </c>
      <c r="B3041" s="8"/>
      <c r="C3041" s="8">
        <v>2437</v>
      </c>
      <c r="D3041">
        <v>133</v>
      </c>
      <c r="E3041" t="s">
        <v>579</v>
      </c>
      <c r="F3041" t="s">
        <v>1409</v>
      </c>
      <c r="G3041" s="9">
        <v>44694</v>
      </c>
    </row>
    <row r="3042" spans="1:7" ht="14.25" customHeight="1">
      <c r="A3042" s="8">
        <f t="shared" si="11"/>
        <v>9746</v>
      </c>
      <c r="B3042" s="8"/>
      <c r="C3042" s="8">
        <v>9746</v>
      </c>
      <c r="D3042">
        <v>133</v>
      </c>
      <c r="E3042" t="s">
        <v>579</v>
      </c>
      <c r="F3042" t="s">
        <v>1409</v>
      </c>
      <c r="G3042" s="9">
        <v>44694</v>
      </c>
    </row>
    <row r="3043" spans="1:7" ht="14.25" customHeight="1">
      <c r="A3043" s="8">
        <f t="shared" si="11"/>
        <v>4873</v>
      </c>
      <c r="B3043" s="8"/>
      <c r="C3043" s="8">
        <v>4873</v>
      </c>
      <c r="D3043">
        <v>133</v>
      </c>
      <c r="E3043" t="s">
        <v>579</v>
      </c>
      <c r="F3043" t="s">
        <v>1409</v>
      </c>
      <c r="G3043" s="9">
        <v>44694</v>
      </c>
    </row>
    <row r="3044" spans="1:7" ht="14.25" customHeight="1">
      <c r="A3044" s="8">
        <f t="shared" si="11"/>
        <v>19491</v>
      </c>
      <c r="B3044" s="8"/>
      <c r="C3044" s="8">
        <v>19491</v>
      </c>
      <c r="D3044">
        <v>168</v>
      </c>
      <c r="E3044" t="s">
        <v>579</v>
      </c>
      <c r="F3044" t="s">
        <v>1410</v>
      </c>
      <c r="G3044" s="9">
        <v>44722</v>
      </c>
    </row>
    <row r="3045" spans="1:7" ht="14.25" customHeight="1">
      <c r="A3045" s="8">
        <f t="shared" si="11"/>
        <v>2437</v>
      </c>
      <c r="B3045" s="8"/>
      <c r="C3045" s="8">
        <v>2437</v>
      </c>
      <c r="D3045">
        <v>168</v>
      </c>
      <c r="E3045" t="s">
        <v>579</v>
      </c>
      <c r="F3045" t="s">
        <v>1410</v>
      </c>
      <c r="G3045" s="9">
        <v>44722</v>
      </c>
    </row>
    <row r="3046" spans="1:7" ht="14.25" customHeight="1">
      <c r="A3046" s="8">
        <f t="shared" si="11"/>
        <v>9746</v>
      </c>
      <c r="B3046" s="8"/>
      <c r="C3046" s="8">
        <v>9746</v>
      </c>
      <c r="D3046">
        <v>168</v>
      </c>
      <c r="E3046" t="s">
        <v>579</v>
      </c>
      <c r="F3046" t="s">
        <v>1410</v>
      </c>
      <c r="G3046" s="9">
        <v>44722</v>
      </c>
    </row>
    <row r="3047" spans="1:7" ht="14.25" customHeight="1">
      <c r="A3047" s="8">
        <f t="shared" si="11"/>
        <v>4873</v>
      </c>
      <c r="B3047" s="8"/>
      <c r="C3047" s="8">
        <v>4873</v>
      </c>
      <c r="D3047">
        <v>168</v>
      </c>
      <c r="E3047" t="s">
        <v>579</v>
      </c>
      <c r="F3047" t="s">
        <v>1410</v>
      </c>
      <c r="G3047" s="9">
        <v>44722</v>
      </c>
    </row>
    <row r="3048" spans="1:7" ht="14.25" customHeight="1">
      <c r="A3048" s="8">
        <f t="shared" si="11"/>
        <v>19491</v>
      </c>
      <c r="B3048" s="8"/>
      <c r="C3048" s="8">
        <v>19491</v>
      </c>
      <c r="D3048">
        <v>239</v>
      </c>
      <c r="E3048" t="s">
        <v>579</v>
      </c>
      <c r="F3048" t="s">
        <v>1411</v>
      </c>
      <c r="G3048" s="9">
        <v>44755</v>
      </c>
    </row>
    <row r="3049" spans="1:7" ht="14.25" customHeight="1">
      <c r="A3049" s="8">
        <f t="shared" si="11"/>
        <v>2437</v>
      </c>
      <c r="B3049" s="8"/>
      <c r="C3049" s="8">
        <v>2437</v>
      </c>
      <c r="D3049">
        <v>239</v>
      </c>
      <c r="E3049" t="s">
        <v>579</v>
      </c>
      <c r="F3049" t="s">
        <v>1411</v>
      </c>
      <c r="G3049" s="9">
        <v>44755</v>
      </c>
    </row>
    <row r="3050" spans="1:7" ht="14.25" customHeight="1">
      <c r="A3050" s="8">
        <f t="shared" si="11"/>
        <v>9746</v>
      </c>
      <c r="B3050" s="8"/>
      <c r="C3050" s="8">
        <v>9746</v>
      </c>
      <c r="D3050">
        <v>239</v>
      </c>
      <c r="E3050" t="s">
        <v>579</v>
      </c>
      <c r="F3050" t="s">
        <v>1411</v>
      </c>
      <c r="G3050" s="9">
        <v>44755</v>
      </c>
    </row>
    <row r="3051" spans="1:7" ht="14.25" customHeight="1">
      <c r="A3051" s="8">
        <f t="shared" si="11"/>
        <v>4873</v>
      </c>
      <c r="B3051" s="8"/>
      <c r="C3051" s="8">
        <v>4873</v>
      </c>
      <c r="D3051">
        <v>239</v>
      </c>
      <c r="E3051" t="s">
        <v>579</v>
      </c>
      <c r="F3051" t="s">
        <v>1411</v>
      </c>
      <c r="G3051" s="9">
        <v>44755</v>
      </c>
    </row>
    <row r="3052" spans="1:7" ht="14.25" customHeight="1">
      <c r="A3052" s="8">
        <f t="shared" si="11"/>
        <v>17571</v>
      </c>
      <c r="B3052" s="8"/>
      <c r="C3052" s="8">
        <v>17571</v>
      </c>
      <c r="D3052">
        <v>405</v>
      </c>
      <c r="E3052" t="s">
        <v>587</v>
      </c>
      <c r="F3052" t="s">
        <v>1412</v>
      </c>
      <c r="G3052" s="9">
        <v>44824</v>
      </c>
    </row>
    <row r="3053" spans="1:7" ht="14.25" customHeight="1">
      <c r="A3053" s="8">
        <f t="shared" si="11"/>
        <v>19491</v>
      </c>
      <c r="B3053" s="8"/>
      <c r="C3053" s="8">
        <v>19491</v>
      </c>
      <c r="D3053">
        <v>319</v>
      </c>
      <c r="E3053" t="s">
        <v>579</v>
      </c>
      <c r="F3053" t="s">
        <v>1413</v>
      </c>
      <c r="G3053" s="9">
        <v>44845</v>
      </c>
    </row>
    <row r="3054" spans="1:7" ht="14.25" customHeight="1">
      <c r="A3054" s="8">
        <f t="shared" si="11"/>
        <v>2437</v>
      </c>
      <c r="B3054" s="8"/>
      <c r="C3054" s="8">
        <v>2437</v>
      </c>
      <c r="D3054">
        <v>319</v>
      </c>
      <c r="E3054" t="s">
        <v>579</v>
      </c>
      <c r="F3054" t="s">
        <v>1413</v>
      </c>
      <c r="G3054" s="9">
        <v>44845</v>
      </c>
    </row>
    <row r="3055" spans="1:7" ht="14.25" customHeight="1">
      <c r="A3055" s="8">
        <f t="shared" si="11"/>
        <v>9746</v>
      </c>
      <c r="B3055" s="8"/>
      <c r="C3055" s="8">
        <v>9746</v>
      </c>
      <c r="D3055">
        <v>319</v>
      </c>
      <c r="E3055" t="s">
        <v>579</v>
      </c>
      <c r="F3055" t="s">
        <v>1413</v>
      </c>
      <c r="G3055" s="9">
        <v>44845</v>
      </c>
    </row>
    <row r="3056" spans="1:7" ht="14.25" customHeight="1">
      <c r="A3056" s="8">
        <f t="shared" si="11"/>
        <v>4873</v>
      </c>
      <c r="B3056" s="8"/>
      <c r="C3056" s="8">
        <v>4873</v>
      </c>
      <c r="D3056">
        <v>319</v>
      </c>
      <c r="E3056" t="s">
        <v>579</v>
      </c>
      <c r="F3056" t="s">
        <v>1413</v>
      </c>
      <c r="G3056" s="9">
        <v>44845</v>
      </c>
    </row>
    <row r="3057" spans="1:7" ht="14.25" customHeight="1">
      <c r="A3057" s="8">
        <f t="shared" si="11"/>
        <v>19491</v>
      </c>
      <c r="B3057" s="8"/>
      <c r="C3057" s="8">
        <v>19491</v>
      </c>
      <c r="D3057">
        <v>339</v>
      </c>
      <c r="E3057" t="s">
        <v>579</v>
      </c>
      <c r="F3057" t="s">
        <v>1414</v>
      </c>
      <c r="G3057" s="9">
        <v>44865</v>
      </c>
    </row>
    <row r="3058" spans="1:7" ht="14.25" customHeight="1">
      <c r="A3058" s="8">
        <f t="shared" si="11"/>
        <v>2437</v>
      </c>
      <c r="B3058" s="8"/>
      <c r="C3058" s="8">
        <v>2437</v>
      </c>
      <c r="D3058">
        <v>339</v>
      </c>
      <c r="E3058" t="s">
        <v>579</v>
      </c>
      <c r="F3058" t="s">
        <v>1414</v>
      </c>
      <c r="G3058" s="9">
        <v>44865</v>
      </c>
    </row>
    <row r="3059" spans="1:7" ht="14.25" customHeight="1">
      <c r="A3059" s="8">
        <f t="shared" si="11"/>
        <v>9746</v>
      </c>
      <c r="B3059" s="8"/>
      <c r="C3059" s="8">
        <v>9746</v>
      </c>
      <c r="D3059">
        <v>339</v>
      </c>
      <c r="E3059" t="s">
        <v>579</v>
      </c>
      <c r="F3059" t="s">
        <v>1414</v>
      </c>
      <c r="G3059" s="9">
        <v>44865</v>
      </c>
    </row>
    <row r="3060" spans="1:7" ht="14.25" customHeight="1">
      <c r="A3060" s="8">
        <f t="shared" si="11"/>
        <v>4873</v>
      </c>
      <c r="B3060" s="8"/>
      <c r="C3060" s="8">
        <v>4873</v>
      </c>
      <c r="D3060">
        <v>339</v>
      </c>
      <c r="E3060" t="s">
        <v>579</v>
      </c>
      <c r="F3060" t="s">
        <v>1414</v>
      </c>
      <c r="G3060" s="9">
        <v>44865</v>
      </c>
    </row>
    <row r="3061" spans="1:7" ht="14.25" customHeight="1">
      <c r="A3061" s="8">
        <f t="shared" si="11"/>
        <v>19491</v>
      </c>
      <c r="B3061" s="8"/>
      <c r="C3061" s="8">
        <v>19491</v>
      </c>
      <c r="D3061">
        <v>340</v>
      </c>
      <c r="E3061" t="s">
        <v>579</v>
      </c>
      <c r="F3061" t="s">
        <v>1415</v>
      </c>
      <c r="G3061" s="9">
        <v>44865</v>
      </c>
    </row>
    <row r="3062" spans="1:7" ht="14.25" customHeight="1">
      <c r="A3062" s="8">
        <f t="shared" ref="A3062:A3316" si="12">C3062-B3062</f>
        <v>2437</v>
      </c>
      <c r="B3062" s="8"/>
      <c r="C3062" s="8">
        <v>2437</v>
      </c>
      <c r="D3062">
        <v>340</v>
      </c>
      <c r="E3062" t="s">
        <v>579</v>
      </c>
      <c r="F3062" t="s">
        <v>1415</v>
      </c>
      <c r="G3062" s="9">
        <v>44865</v>
      </c>
    </row>
    <row r="3063" spans="1:7" ht="14.25" customHeight="1">
      <c r="A3063" s="8">
        <f t="shared" si="12"/>
        <v>9746</v>
      </c>
      <c r="B3063" s="8"/>
      <c r="C3063" s="8">
        <v>9746</v>
      </c>
      <c r="D3063">
        <v>340</v>
      </c>
      <c r="E3063" t="s">
        <v>579</v>
      </c>
      <c r="F3063" t="s">
        <v>1415</v>
      </c>
      <c r="G3063" s="9">
        <v>44865</v>
      </c>
    </row>
    <row r="3064" spans="1:7" ht="14.25" customHeight="1">
      <c r="A3064" s="8">
        <f t="shared" si="12"/>
        <v>4873</v>
      </c>
      <c r="B3064" s="8"/>
      <c r="C3064" s="8">
        <v>4873</v>
      </c>
      <c r="D3064">
        <v>340</v>
      </c>
      <c r="E3064" t="s">
        <v>579</v>
      </c>
      <c r="F3064" t="s">
        <v>1415</v>
      </c>
      <c r="G3064" s="9">
        <v>44865</v>
      </c>
    </row>
    <row r="3065" spans="1:7" ht="14.25" customHeight="1">
      <c r="A3065" s="8">
        <f t="shared" si="12"/>
        <v>19491</v>
      </c>
      <c r="B3065" s="8"/>
      <c r="C3065" s="8">
        <v>19491</v>
      </c>
      <c r="D3065">
        <v>367</v>
      </c>
      <c r="E3065" t="s">
        <v>579</v>
      </c>
      <c r="F3065" t="s">
        <v>1416</v>
      </c>
      <c r="G3065" s="9">
        <v>44882</v>
      </c>
    </row>
    <row r="3066" spans="1:7" ht="14.25" customHeight="1">
      <c r="A3066" s="8">
        <f t="shared" si="12"/>
        <v>2437</v>
      </c>
      <c r="B3066" s="8"/>
      <c r="C3066" s="8">
        <v>2437</v>
      </c>
      <c r="D3066">
        <v>367</v>
      </c>
      <c r="E3066" t="s">
        <v>579</v>
      </c>
      <c r="F3066" t="s">
        <v>1416</v>
      </c>
      <c r="G3066" s="9">
        <v>44882</v>
      </c>
    </row>
    <row r="3067" spans="1:7" ht="14.25" customHeight="1">
      <c r="A3067" s="8">
        <f t="shared" si="12"/>
        <v>9746</v>
      </c>
      <c r="B3067" s="8"/>
      <c r="C3067" s="8">
        <v>9746</v>
      </c>
      <c r="D3067">
        <v>367</v>
      </c>
      <c r="E3067" t="s">
        <v>579</v>
      </c>
      <c r="F3067" t="s">
        <v>1416</v>
      </c>
      <c r="G3067" s="9">
        <v>44882</v>
      </c>
    </row>
    <row r="3068" spans="1:7" ht="14.25" customHeight="1">
      <c r="A3068" s="8">
        <f t="shared" si="12"/>
        <v>4873</v>
      </c>
      <c r="B3068" s="8"/>
      <c r="C3068" s="8">
        <v>4873</v>
      </c>
      <c r="D3068">
        <v>367</v>
      </c>
      <c r="E3068" t="s">
        <v>579</v>
      </c>
      <c r="F3068" t="s">
        <v>1416</v>
      </c>
      <c r="G3068" s="9">
        <v>44882</v>
      </c>
    </row>
    <row r="3069" spans="1:7" ht="14.25" customHeight="1">
      <c r="A3069" s="8">
        <f t="shared" si="12"/>
        <v>19491</v>
      </c>
      <c r="B3069" s="8"/>
      <c r="C3069" s="8">
        <v>19491</v>
      </c>
      <c r="D3069">
        <v>411</v>
      </c>
      <c r="E3069" t="s">
        <v>579</v>
      </c>
      <c r="F3069" t="s">
        <v>1417</v>
      </c>
      <c r="G3069" s="9">
        <v>44908</v>
      </c>
    </row>
    <row r="3070" spans="1:7" ht="14.25" customHeight="1">
      <c r="A3070" s="8">
        <f t="shared" si="12"/>
        <v>2437</v>
      </c>
      <c r="B3070" s="8"/>
      <c r="C3070" s="8">
        <v>2437</v>
      </c>
      <c r="D3070">
        <v>411</v>
      </c>
      <c r="E3070" t="s">
        <v>579</v>
      </c>
      <c r="F3070" t="s">
        <v>1417</v>
      </c>
      <c r="G3070" s="9">
        <v>44908</v>
      </c>
    </row>
    <row r="3071" spans="1:7" ht="14.25" customHeight="1">
      <c r="A3071" s="8">
        <f t="shared" si="12"/>
        <v>9746</v>
      </c>
      <c r="B3071" s="8"/>
      <c r="C3071" s="8">
        <v>9746</v>
      </c>
      <c r="D3071">
        <v>411</v>
      </c>
      <c r="E3071" t="s">
        <v>579</v>
      </c>
      <c r="F3071" t="s">
        <v>1417</v>
      </c>
      <c r="G3071" s="9">
        <v>44908</v>
      </c>
    </row>
    <row r="3072" spans="1:7" ht="14.25" customHeight="1">
      <c r="A3072" s="8">
        <f t="shared" si="12"/>
        <v>4873</v>
      </c>
      <c r="B3072" s="8"/>
      <c r="C3072" s="8">
        <v>4873</v>
      </c>
      <c r="D3072">
        <v>411</v>
      </c>
      <c r="E3072" t="s">
        <v>579</v>
      </c>
      <c r="F3072" t="s">
        <v>1417</v>
      </c>
      <c r="G3072" s="9">
        <v>44908</v>
      </c>
    </row>
    <row r="3073" spans="1:7" ht="14.25" customHeight="1">
      <c r="A3073" s="8">
        <f t="shared" si="12"/>
        <v>21358</v>
      </c>
      <c r="B3073" s="8"/>
      <c r="C3073" s="8">
        <v>21358</v>
      </c>
      <c r="D3073">
        <v>423</v>
      </c>
      <c r="E3073" t="s">
        <v>579</v>
      </c>
      <c r="F3073" t="s">
        <v>1418</v>
      </c>
      <c r="G3073" s="9">
        <v>44918</v>
      </c>
    </row>
    <row r="3074" spans="1:7" ht="14.25" customHeight="1">
      <c r="A3074" s="8">
        <f t="shared" si="12"/>
        <v>13685</v>
      </c>
      <c r="B3074" s="8"/>
      <c r="C3074" s="8">
        <v>13685</v>
      </c>
      <c r="D3074">
        <v>423</v>
      </c>
      <c r="E3074" t="s">
        <v>579</v>
      </c>
      <c r="F3074" t="s">
        <v>1418</v>
      </c>
      <c r="G3074" s="9">
        <v>44918</v>
      </c>
    </row>
    <row r="3075" spans="1:7" ht="14.25" customHeight="1">
      <c r="A3075" s="8">
        <f t="shared" si="12"/>
        <v>9746</v>
      </c>
      <c r="B3075" s="8"/>
      <c r="C3075" s="8">
        <v>9746</v>
      </c>
      <c r="D3075">
        <v>423</v>
      </c>
      <c r="E3075" t="s">
        <v>579</v>
      </c>
      <c r="F3075" t="s">
        <v>1418</v>
      </c>
      <c r="G3075" s="9">
        <v>44918</v>
      </c>
    </row>
    <row r="3076" spans="1:7" ht="14.25" customHeight="1">
      <c r="A3076" s="8">
        <f t="shared" si="12"/>
        <v>5463</v>
      </c>
      <c r="B3076" s="8"/>
      <c r="C3076" s="8">
        <v>5463</v>
      </c>
      <c r="D3076">
        <v>278</v>
      </c>
      <c r="E3076" t="s">
        <v>667</v>
      </c>
      <c r="F3076" t="s">
        <v>1419</v>
      </c>
      <c r="G3076" s="9">
        <v>44924</v>
      </c>
    </row>
    <row r="3077" spans="1:7" ht="14.25" customHeight="1">
      <c r="A3077" s="8">
        <f t="shared" si="12"/>
        <v>517009</v>
      </c>
      <c r="B3077" s="8"/>
      <c r="C3077" s="8">
        <v>517009</v>
      </c>
    </row>
    <row r="3078" spans="1:7" ht="14.25" customHeight="1">
      <c r="A3078" s="8">
        <f t="shared" si="12"/>
        <v>0</v>
      </c>
      <c r="B3078" s="8"/>
      <c r="C3078" s="8"/>
      <c r="F3078" t="s">
        <v>1262</v>
      </c>
      <c r="G3078">
        <v>62881000</v>
      </c>
    </row>
    <row r="3079" spans="1:7" ht="14.25" customHeight="1">
      <c r="A3079" s="8">
        <f t="shared" si="12"/>
        <v>23000</v>
      </c>
      <c r="B3079" s="8"/>
      <c r="C3079" s="8">
        <v>23000</v>
      </c>
      <c r="D3079">
        <v>4</v>
      </c>
      <c r="E3079" t="s">
        <v>667</v>
      </c>
      <c r="F3079" t="s">
        <v>1420</v>
      </c>
      <c r="G3079" s="9">
        <v>44568</v>
      </c>
    </row>
    <row r="3080" spans="1:7" ht="14.25" customHeight="1">
      <c r="A3080" s="8">
        <f t="shared" si="12"/>
        <v>19493</v>
      </c>
      <c r="B3080" s="8"/>
      <c r="C3080" s="8">
        <v>19493</v>
      </c>
      <c r="D3080">
        <v>11</v>
      </c>
      <c r="E3080" t="s">
        <v>579</v>
      </c>
      <c r="F3080" t="s">
        <v>1421</v>
      </c>
      <c r="G3080" s="9">
        <v>44592</v>
      </c>
    </row>
    <row r="3081" spans="1:7" ht="14.25" customHeight="1">
      <c r="A3081" s="8">
        <f t="shared" si="12"/>
        <v>14619</v>
      </c>
      <c r="B3081" s="8"/>
      <c r="C3081" s="8">
        <v>14619</v>
      </c>
      <c r="D3081">
        <v>11</v>
      </c>
      <c r="E3081" t="s">
        <v>579</v>
      </c>
      <c r="F3081" t="s">
        <v>1421</v>
      </c>
      <c r="G3081" s="9">
        <v>44592</v>
      </c>
    </row>
    <row r="3082" spans="1:7" ht="14.25" customHeight="1">
      <c r="A3082" s="8">
        <f t="shared" si="12"/>
        <v>37950</v>
      </c>
      <c r="B3082" s="8"/>
      <c r="C3082" s="8">
        <v>37950</v>
      </c>
      <c r="D3082">
        <v>25</v>
      </c>
      <c r="E3082" t="s">
        <v>667</v>
      </c>
      <c r="F3082" t="s">
        <v>1422</v>
      </c>
      <c r="G3082" s="9">
        <v>44601</v>
      </c>
    </row>
    <row r="3083" spans="1:7" ht="14.25" customHeight="1">
      <c r="A3083" s="8">
        <f t="shared" si="12"/>
        <v>9746</v>
      </c>
      <c r="B3083" s="8"/>
      <c r="C3083" s="8">
        <v>9746</v>
      </c>
      <c r="D3083">
        <v>24</v>
      </c>
      <c r="E3083" t="s">
        <v>579</v>
      </c>
      <c r="F3083" t="s">
        <v>1423</v>
      </c>
      <c r="G3083" s="9">
        <v>44617</v>
      </c>
    </row>
    <row r="3084" spans="1:7" ht="14.25" customHeight="1">
      <c r="A3084" s="8">
        <f t="shared" si="12"/>
        <v>13685</v>
      </c>
      <c r="B3084" s="8"/>
      <c r="C3084" s="8">
        <v>13685</v>
      </c>
      <c r="D3084">
        <v>24</v>
      </c>
      <c r="E3084" t="s">
        <v>579</v>
      </c>
      <c r="F3084" t="s">
        <v>1423</v>
      </c>
      <c r="G3084" s="9">
        <v>44617</v>
      </c>
    </row>
    <row r="3085" spans="1:7" ht="14.25" customHeight="1">
      <c r="A3085" s="8">
        <f t="shared" si="12"/>
        <v>35075</v>
      </c>
      <c r="B3085" s="8"/>
      <c r="C3085" s="8">
        <v>35075</v>
      </c>
      <c r="D3085">
        <v>38</v>
      </c>
      <c r="E3085" t="s">
        <v>667</v>
      </c>
      <c r="F3085" t="s">
        <v>1424</v>
      </c>
      <c r="G3085" s="9">
        <v>44624</v>
      </c>
    </row>
    <row r="3086" spans="1:7" ht="14.25" customHeight="1">
      <c r="A3086" s="8">
        <f t="shared" si="12"/>
        <v>39100</v>
      </c>
      <c r="B3086" s="8"/>
      <c r="C3086" s="8">
        <v>39100</v>
      </c>
      <c r="D3086">
        <v>48</v>
      </c>
      <c r="E3086" t="s">
        <v>667</v>
      </c>
      <c r="F3086" t="s">
        <v>1425</v>
      </c>
      <c r="G3086" s="9">
        <v>44644</v>
      </c>
    </row>
    <row r="3087" spans="1:7" ht="14.25" customHeight="1">
      <c r="A3087" s="8">
        <f t="shared" si="12"/>
        <v>9746</v>
      </c>
      <c r="B3087" s="8"/>
      <c r="C3087" s="8">
        <v>9746</v>
      </c>
      <c r="D3087">
        <v>74</v>
      </c>
      <c r="E3087" t="s">
        <v>579</v>
      </c>
      <c r="F3087" t="s">
        <v>1426</v>
      </c>
      <c r="G3087" s="9">
        <v>44651</v>
      </c>
    </row>
    <row r="3088" spans="1:7" ht="14.25" customHeight="1">
      <c r="A3088" s="8">
        <f t="shared" si="12"/>
        <v>19488</v>
      </c>
      <c r="B3088" s="8"/>
      <c r="C3088" s="8">
        <v>19488</v>
      </c>
      <c r="D3088">
        <v>74</v>
      </c>
      <c r="E3088" t="s">
        <v>579</v>
      </c>
      <c r="F3088" t="s">
        <v>1426</v>
      </c>
      <c r="G3088" s="9">
        <v>44651</v>
      </c>
    </row>
    <row r="3089" spans="1:7" ht="14.25" customHeight="1">
      <c r="A3089" s="8">
        <f t="shared" si="12"/>
        <v>9746</v>
      </c>
      <c r="B3089" s="8"/>
      <c r="C3089" s="8">
        <v>9746</v>
      </c>
      <c r="D3089">
        <v>111</v>
      </c>
      <c r="E3089" t="s">
        <v>579</v>
      </c>
      <c r="F3089" t="s">
        <v>1427</v>
      </c>
      <c r="G3089" s="9">
        <v>44684</v>
      </c>
    </row>
    <row r="3090" spans="1:7" ht="14.25" customHeight="1">
      <c r="A3090" s="8">
        <f t="shared" si="12"/>
        <v>13685</v>
      </c>
      <c r="B3090" s="8"/>
      <c r="C3090" s="8">
        <v>13685</v>
      </c>
      <c r="D3090">
        <v>111</v>
      </c>
      <c r="E3090" t="s">
        <v>579</v>
      </c>
      <c r="F3090" t="s">
        <v>1427</v>
      </c>
      <c r="G3090" s="9">
        <v>44684</v>
      </c>
    </row>
    <row r="3091" spans="1:7" ht="14.25" customHeight="1">
      <c r="A3091" s="8">
        <f t="shared" si="12"/>
        <v>40250</v>
      </c>
      <c r="B3091" s="8"/>
      <c r="C3091" s="8">
        <v>40250</v>
      </c>
      <c r="D3091">
        <v>88</v>
      </c>
      <c r="E3091" t="s">
        <v>667</v>
      </c>
      <c r="F3091" t="s">
        <v>1428</v>
      </c>
      <c r="G3091" s="9">
        <v>44698</v>
      </c>
    </row>
    <row r="3092" spans="1:7" ht="14.25" customHeight="1">
      <c r="A3092" s="8">
        <f t="shared" si="12"/>
        <v>9746</v>
      </c>
      <c r="B3092" s="8"/>
      <c r="C3092" s="8">
        <v>9746</v>
      </c>
      <c r="D3092">
        <v>162</v>
      </c>
      <c r="E3092" t="s">
        <v>579</v>
      </c>
      <c r="F3092" t="s">
        <v>1429</v>
      </c>
      <c r="G3092" s="9">
        <v>44715</v>
      </c>
    </row>
    <row r="3093" spans="1:7" ht="14.25" customHeight="1">
      <c r="A3093" s="8">
        <f t="shared" si="12"/>
        <v>13685</v>
      </c>
      <c r="B3093" s="8"/>
      <c r="C3093" s="8">
        <v>13685</v>
      </c>
      <c r="D3093">
        <v>162</v>
      </c>
      <c r="E3093" t="s">
        <v>579</v>
      </c>
      <c r="F3093" t="s">
        <v>1429</v>
      </c>
      <c r="G3093" s="9">
        <v>44715</v>
      </c>
    </row>
    <row r="3094" spans="1:7" ht="14.25" customHeight="1">
      <c r="A3094" s="8">
        <f t="shared" si="12"/>
        <v>38244</v>
      </c>
      <c r="B3094" s="8"/>
      <c r="C3094" s="8">
        <v>38244</v>
      </c>
      <c r="D3094">
        <v>129</v>
      </c>
      <c r="E3094" t="s">
        <v>667</v>
      </c>
      <c r="F3094" t="s">
        <v>1430</v>
      </c>
      <c r="G3094" s="9">
        <v>44733</v>
      </c>
    </row>
    <row r="3095" spans="1:7" ht="14.25" customHeight="1">
      <c r="A3095" s="8">
        <f t="shared" si="12"/>
        <v>39100</v>
      </c>
      <c r="B3095" s="8"/>
      <c r="C3095" s="8">
        <v>39100</v>
      </c>
      <c r="D3095">
        <v>212</v>
      </c>
      <c r="E3095" t="s">
        <v>587</v>
      </c>
      <c r="F3095" t="s">
        <v>1431</v>
      </c>
      <c r="G3095" s="9">
        <v>44736</v>
      </c>
    </row>
    <row r="3096" spans="1:7" ht="14.25" customHeight="1">
      <c r="A3096" s="8">
        <f t="shared" si="12"/>
        <v>21354</v>
      </c>
      <c r="B3096" s="8"/>
      <c r="C3096" s="8">
        <v>21354</v>
      </c>
      <c r="D3096">
        <v>227</v>
      </c>
      <c r="E3096" t="s">
        <v>579</v>
      </c>
      <c r="F3096" t="s">
        <v>1432</v>
      </c>
      <c r="G3096" s="9">
        <v>44743</v>
      </c>
    </row>
    <row r="3097" spans="1:7" ht="14.25" customHeight="1">
      <c r="A3097" s="8">
        <f t="shared" si="12"/>
        <v>13685</v>
      </c>
      <c r="B3097" s="8"/>
      <c r="C3097" s="8">
        <v>13685</v>
      </c>
      <c r="D3097">
        <v>227</v>
      </c>
      <c r="E3097" t="s">
        <v>579</v>
      </c>
      <c r="F3097" t="s">
        <v>1432</v>
      </c>
      <c r="G3097" s="9">
        <v>44743</v>
      </c>
    </row>
    <row r="3098" spans="1:7" ht="14.25" customHeight="1">
      <c r="A3098" s="8">
        <f t="shared" si="12"/>
        <v>9746</v>
      </c>
      <c r="B3098" s="8"/>
      <c r="C3098" s="8">
        <v>9746</v>
      </c>
      <c r="D3098">
        <v>227</v>
      </c>
      <c r="E3098" t="s">
        <v>579</v>
      </c>
      <c r="F3098" t="s">
        <v>1432</v>
      </c>
      <c r="G3098" s="9">
        <v>44743</v>
      </c>
    </row>
    <row r="3099" spans="1:7" ht="14.25" customHeight="1">
      <c r="A3099" s="8">
        <f t="shared" si="12"/>
        <v>39100</v>
      </c>
      <c r="B3099" s="8"/>
      <c r="C3099" s="8">
        <v>39100</v>
      </c>
      <c r="D3099">
        <v>38</v>
      </c>
      <c r="E3099" t="s">
        <v>1126</v>
      </c>
      <c r="F3099" t="s">
        <v>1433</v>
      </c>
      <c r="G3099" s="9">
        <v>44768</v>
      </c>
    </row>
    <row r="3100" spans="1:7" ht="14.25" customHeight="1">
      <c r="A3100" s="8">
        <f t="shared" si="12"/>
        <v>21354</v>
      </c>
      <c r="B3100" s="8"/>
      <c r="C3100" s="8">
        <v>21354</v>
      </c>
      <c r="D3100">
        <v>241</v>
      </c>
      <c r="E3100" t="s">
        <v>579</v>
      </c>
      <c r="F3100" t="s">
        <v>1434</v>
      </c>
      <c r="G3100" s="9">
        <v>44769</v>
      </c>
    </row>
    <row r="3101" spans="1:7" ht="14.25" customHeight="1">
      <c r="A3101" s="8">
        <f t="shared" si="12"/>
        <v>13685</v>
      </c>
      <c r="B3101" s="8"/>
      <c r="C3101" s="8">
        <v>13685</v>
      </c>
      <c r="D3101">
        <v>241</v>
      </c>
      <c r="E3101" t="s">
        <v>579</v>
      </c>
      <c r="F3101" t="s">
        <v>1434</v>
      </c>
      <c r="G3101" s="9">
        <v>44769</v>
      </c>
    </row>
    <row r="3102" spans="1:7" ht="14.25" customHeight="1">
      <c r="A3102" s="8">
        <f t="shared" si="12"/>
        <v>9746</v>
      </c>
      <c r="B3102" s="8"/>
      <c r="C3102" s="8">
        <v>9746</v>
      </c>
      <c r="D3102">
        <v>241</v>
      </c>
      <c r="E3102" t="s">
        <v>579</v>
      </c>
      <c r="F3102" t="s">
        <v>1434</v>
      </c>
      <c r="G3102" s="9">
        <v>44769</v>
      </c>
    </row>
    <row r="3103" spans="1:7" ht="14.25" customHeight="1">
      <c r="A3103" s="8">
        <f t="shared" si="12"/>
        <v>17250</v>
      </c>
      <c r="B3103" s="8"/>
      <c r="C3103" s="8">
        <v>17250</v>
      </c>
      <c r="D3103">
        <v>178</v>
      </c>
      <c r="E3103" t="s">
        <v>667</v>
      </c>
      <c r="F3103" t="s">
        <v>1435</v>
      </c>
      <c r="G3103" s="9">
        <v>44791</v>
      </c>
    </row>
    <row r="3104" spans="1:7" ht="14.25" customHeight="1">
      <c r="A3104" s="8">
        <f t="shared" si="12"/>
        <v>39100</v>
      </c>
      <c r="B3104" s="8"/>
      <c r="C3104" s="8">
        <v>39100</v>
      </c>
      <c r="D3104">
        <v>357</v>
      </c>
      <c r="E3104" t="s">
        <v>587</v>
      </c>
      <c r="F3104" t="s">
        <v>1436</v>
      </c>
      <c r="G3104" s="9">
        <v>44802</v>
      </c>
    </row>
    <row r="3105" spans="1:7" ht="14.25" customHeight="1">
      <c r="A3105" s="8">
        <f t="shared" si="12"/>
        <v>19181</v>
      </c>
      <c r="B3105" s="8"/>
      <c r="C3105" s="8">
        <v>19181</v>
      </c>
      <c r="D3105">
        <v>281</v>
      </c>
      <c r="E3105" t="s">
        <v>579</v>
      </c>
      <c r="F3105" t="s">
        <v>1437</v>
      </c>
      <c r="G3105" s="9">
        <v>44809</v>
      </c>
    </row>
    <row r="3106" spans="1:7" ht="14.25" customHeight="1">
      <c r="A3106" s="8">
        <f t="shared" si="12"/>
        <v>13685</v>
      </c>
      <c r="B3106" s="8"/>
      <c r="C3106" s="8">
        <v>13685</v>
      </c>
      <c r="D3106">
        <v>281</v>
      </c>
      <c r="E3106" t="s">
        <v>579</v>
      </c>
      <c r="F3106" t="s">
        <v>1437</v>
      </c>
      <c r="G3106" s="9">
        <v>44809</v>
      </c>
    </row>
    <row r="3107" spans="1:7" ht="14.25" customHeight="1">
      <c r="A3107" s="8">
        <f t="shared" si="12"/>
        <v>10057</v>
      </c>
      <c r="B3107" s="8"/>
      <c r="C3107" s="8">
        <v>10057</v>
      </c>
      <c r="D3107">
        <v>281</v>
      </c>
      <c r="E3107" t="s">
        <v>579</v>
      </c>
      <c r="F3107" t="s">
        <v>1437</v>
      </c>
      <c r="G3107" s="9">
        <v>44809</v>
      </c>
    </row>
    <row r="3108" spans="1:7" ht="14.25" customHeight="1">
      <c r="A3108" s="8">
        <f t="shared" si="12"/>
        <v>106737</v>
      </c>
      <c r="B3108" s="8"/>
      <c r="C3108" s="8">
        <v>106737</v>
      </c>
      <c r="D3108">
        <v>302</v>
      </c>
      <c r="E3108" t="s">
        <v>579</v>
      </c>
      <c r="F3108" t="s">
        <v>1438</v>
      </c>
      <c r="G3108" s="9">
        <v>44827</v>
      </c>
    </row>
    <row r="3109" spans="1:7" ht="14.25" customHeight="1">
      <c r="A3109" s="8">
        <f t="shared" si="12"/>
        <v>39100</v>
      </c>
      <c r="B3109" s="8"/>
      <c r="C3109" s="8">
        <v>39100</v>
      </c>
      <c r="D3109">
        <v>409</v>
      </c>
      <c r="E3109" t="s">
        <v>587</v>
      </c>
      <c r="F3109" t="s">
        <v>1439</v>
      </c>
      <c r="G3109" s="9">
        <v>44830</v>
      </c>
    </row>
    <row r="3110" spans="1:7" ht="14.25" customHeight="1">
      <c r="A3110" s="8">
        <f t="shared" si="12"/>
        <v>21358</v>
      </c>
      <c r="B3110" s="8"/>
      <c r="C3110" s="8">
        <v>21358</v>
      </c>
      <c r="D3110">
        <v>309</v>
      </c>
      <c r="E3110" t="s">
        <v>579</v>
      </c>
      <c r="F3110" t="s">
        <v>1440</v>
      </c>
      <c r="G3110" s="9">
        <v>44834</v>
      </c>
    </row>
    <row r="3111" spans="1:7" ht="14.25" customHeight="1">
      <c r="A3111" s="8">
        <f t="shared" si="12"/>
        <v>13685</v>
      </c>
      <c r="B3111" s="8"/>
      <c r="C3111" s="8">
        <v>13685</v>
      </c>
      <c r="D3111">
        <v>309</v>
      </c>
      <c r="E3111" t="s">
        <v>579</v>
      </c>
      <c r="F3111" t="s">
        <v>1440</v>
      </c>
      <c r="G3111" s="9">
        <v>44834</v>
      </c>
    </row>
    <row r="3112" spans="1:7" ht="14.25" customHeight="1">
      <c r="A3112" s="8">
        <f t="shared" si="12"/>
        <v>9746</v>
      </c>
      <c r="B3112" s="8"/>
      <c r="C3112" s="8">
        <v>9746</v>
      </c>
      <c r="D3112">
        <v>309</v>
      </c>
      <c r="E3112" t="s">
        <v>579</v>
      </c>
      <c r="F3112" t="s">
        <v>1440</v>
      </c>
      <c r="G3112" s="9">
        <v>44834</v>
      </c>
    </row>
    <row r="3113" spans="1:7" ht="14.25" customHeight="1">
      <c r="A3113" s="8">
        <f t="shared" si="12"/>
        <v>39100</v>
      </c>
      <c r="B3113" s="8"/>
      <c r="C3113" s="8">
        <v>39100</v>
      </c>
      <c r="D3113">
        <v>447</v>
      </c>
      <c r="E3113" t="s">
        <v>587</v>
      </c>
      <c r="F3113" t="s">
        <v>1441</v>
      </c>
      <c r="G3113" s="9">
        <v>44859</v>
      </c>
    </row>
    <row r="3114" spans="1:7" ht="14.25" customHeight="1">
      <c r="A3114" s="8">
        <f t="shared" si="12"/>
        <v>11500</v>
      </c>
      <c r="B3114" s="8"/>
      <c r="C3114" s="8">
        <v>11500</v>
      </c>
      <c r="D3114">
        <v>243</v>
      </c>
      <c r="E3114" t="s">
        <v>667</v>
      </c>
      <c r="F3114" t="s">
        <v>1442</v>
      </c>
      <c r="G3114" s="9">
        <v>44861</v>
      </c>
    </row>
    <row r="3115" spans="1:7" ht="14.25" customHeight="1">
      <c r="A3115" s="8">
        <f t="shared" si="12"/>
        <v>210220</v>
      </c>
      <c r="B3115" s="8"/>
      <c r="C3115" s="8">
        <v>210220</v>
      </c>
      <c r="D3115">
        <v>150</v>
      </c>
      <c r="E3115" t="s">
        <v>594</v>
      </c>
      <c r="F3115" t="s">
        <v>1443</v>
      </c>
      <c r="G3115" s="9">
        <v>44862</v>
      </c>
    </row>
    <row r="3116" spans="1:7" ht="14.25" customHeight="1">
      <c r="A3116" s="8">
        <f t="shared" si="12"/>
        <v>21358</v>
      </c>
      <c r="B3116" s="8"/>
      <c r="C3116" s="8">
        <v>21358</v>
      </c>
      <c r="D3116">
        <v>362</v>
      </c>
      <c r="E3116" t="s">
        <v>579</v>
      </c>
      <c r="F3116" t="s">
        <v>1444</v>
      </c>
      <c r="G3116" s="9">
        <v>44874</v>
      </c>
    </row>
    <row r="3117" spans="1:7" ht="14.25" customHeight="1">
      <c r="A3117" s="8">
        <f t="shared" si="12"/>
        <v>13685</v>
      </c>
      <c r="B3117" s="8"/>
      <c r="C3117" s="8">
        <v>13685</v>
      </c>
      <c r="D3117">
        <v>362</v>
      </c>
      <c r="E3117" t="s">
        <v>579</v>
      </c>
      <c r="F3117" t="s">
        <v>1444</v>
      </c>
      <c r="G3117" s="9">
        <v>44874</v>
      </c>
    </row>
    <row r="3118" spans="1:7" ht="14.25" customHeight="1">
      <c r="A3118" s="8">
        <f t="shared" si="12"/>
        <v>9746</v>
      </c>
      <c r="B3118" s="8"/>
      <c r="C3118" s="8">
        <v>9746</v>
      </c>
      <c r="D3118">
        <v>362</v>
      </c>
      <c r="E3118" t="s">
        <v>579</v>
      </c>
      <c r="F3118" t="s">
        <v>1444</v>
      </c>
      <c r="G3118" s="9">
        <v>44874</v>
      </c>
    </row>
    <row r="3119" spans="1:7" ht="14.25" customHeight="1">
      <c r="A3119" s="8">
        <f t="shared" si="12"/>
        <v>39100</v>
      </c>
      <c r="B3119" s="8"/>
      <c r="C3119" s="8">
        <v>39100</v>
      </c>
      <c r="D3119">
        <v>781</v>
      </c>
      <c r="E3119" t="s">
        <v>587</v>
      </c>
      <c r="F3119" t="s">
        <v>1445</v>
      </c>
      <c r="G3119" s="9">
        <v>44893</v>
      </c>
    </row>
    <row r="3120" spans="1:7" ht="14.25" customHeight="1">
      <c r="A3120" s="8">
        <f t="shared" si="12"/>
        <v>1149638</v>
      </c>
      <c r="B3120" s="8"/>
      <c r="C3120" s="8">
        <v>1149638</v>
      </c>
    </row>
    <row r="3121" spans="1:7" ht="14.25" customHeight="1">
      <c r="A3121" s="8">
        <f t="shared" si="12"/>
        <v>1666647</v>
      </c>
      <c r="B3121" s="8"/>
      <c r="C3121" s="8">
        <v>1666647</v>
      </c>
      <c r="E3121">
        <v>9104009</v>
      </c>
      <c r="F3121" t="s">
        <v>476</v>
      </c>
      <c r="G3121" t="s">
        <v>581</v>
      </c>
    </row>
    <row r="3122" spans="1:7" ht="14.25" customHeight="1">
      <c r="A3122" s="8">
        <f t="shared" si="12"/>
        <v>0</v>
      </c>
      <c r="B3122" s="8"/>
      <c r="C3122" s="8"/>
      <c r="D3122" t="s">
        <v>477</v>
      </c>
      <c r="G3122">
        <v>9104011</v>
      </c>
    </row>
    <row r="3123" spans="1:7" ht="14.25" customHeight="1">
      <c r="A3123" s="8">
        <f t="shared" si="12"/>
        <v>0</v>
      </c>
      <c r="B3123" s="8"/>
      <c r="C3123" s="8"/>
      <c r="F3123" t="s">
        <v>1446</v>
      </c>
      <c r="G3123">
        <v>6254000</v>
      </c>
    </row>
    <row r="3124" spans="1:7" ht="14.25" customHeight="1">
      <c r="A3124" s="8">
        <f t="shared" si="12"/>
        <v>56390</v>
      </c>
      <c r="B3124" s="8"/>
      <c r="C3124" s="8">
        <v>56390</v>
      </c>
      <c r="D3124">
        <v>216</v>
      </c>
      <c r="E3124" t="s">
        <v>579</v>
      </c>
      <c r="F3124" t="s">
        <v>1447</v>
      </c>
      <c r="G3124" s="9">
        <v>44743</v>
      </c>
    </row>
    <row r="3125" spans="1:7" ht="14.25" customHeight="1">
      <c r="A3125" s="8">
        <f t="shared" si="12"/>
        <v>44183</v>
      </c>
      <c r="B3125" s="8"/>
      <c r="C3125" s="8">
        <v>44183</v>
      </c>
      <c r="D3125">
        <v>216</v>
      </c>
      <c r="E3125" t="s">
        <v>579</v>
      </c>
      <c r="F3125" t="s">
        <v>1447</v>
      </c>
      <c r="G3125" s="9">
        <v>44743</v>
      </c>
    </row>
    <row r="3126" spans="1:7" ht="14.25" customHeight="1">
      <c r="A3126" s="8">
        <f t="shared" si="12"/>
        <v>115767</v>
      </c>
      <c r="B3126" s="8"/>
      <c r="C3126" s="8">
        <v>115767</v>
      </c>
      <c r="D3126">
        <v>431</v>
      </c>
      <c r="E3126" t="s">
        <v>579</v>
      </c>
      <c r="F3126" t="s">
        <v>1448</v>
      </c>
      <c r="G3126" s="9">
        <v>44924</v>
      </c>
    </row>
    <row r="3127" spans="1:7" ht="14.25" customHeight="1">
      <c r="A3127" s="8">
        <f t="shared" si="12"/>
        <v>115767</v>
      </c>
      <c r="B3127" s="8"/>
      <c r="C3127" s="8">
        <v>115767</v>
      </c>
      <c r="D3127">
        <v>431</v>
      </c>
      <c r="E3127" t="s">
        <v>579</v>
      </c>
      <c r="F3127" t="s">
        <v>1448</v>
      </c>
      <c r="G3127" s="9">
        <v>44924</v>
      </c>
    </row>
    <row r="3128" spans="1:7" ht="14.25" customHeight="1">
      <c r="A3128" s="8">
        <f t="shared" si="12"/>
        <v>472262</v>
      </c>
      <c r="B3128" s="8"/>
      <c r="C3128" s="8">
        <v>472262</v>
      </c>
      <c r="D3128">
        <v>431</v>
      </c>
      <c r="E3128" t="s">
        <v>579</v>
      </c>
      <c r="F3128" t="s">
        <v>1448</v>
      </c>
      <c r="G3128" s="9">
        <v>44924</v>
      </c>
    </row>
    <row r="3129" spans="1:7" ht="14.25" customHeight="1">
      <c r="A3129" s="8">
        <f t="shared" si="12"/>
        <v>804370</v>
      </c>
      <c r="B3129" s="8"/>
      <c r="C3129" s="8">
        <v>804370</v>
      </c>
    </row>
    <row r="3130" spans="1:7" ht="14.25" customHeight="1">
      <c r="A3130" s="8">
        <f t="shared" si="12"/>
        <v>0</v>
      </c>
      <c r="B3130" s="8"/>
      <c r="C3130" s="8"/>
      <c r="F3130" t="s">
        <v>1449</v>
      </c>
      <c r="G3130">
        <v>62580000</v>
      </c>
    </row>
    <row r="3131" spans="1:7" ht="14.25" customHeight="1">
      <c r="A3131" s="8">
        <f t="shared" si="12"/>
        <v>40825</v>
      </c>
      <c r="B3131" s="8"/>
      <c r="C3131" s="8">
        <v>40825</v>
      </c>
      <c r="D3131">
        <v>380</v>
      </c>
      <c r="E3131" t="s">
        <v>579</v>
      </c>
      <c r="F3131" t="s">
        <v>1450</v>
      </c>
      <c r="G3131" s="9">
        <v>44889</v>
      </c>
    </row>
    <row r="3132" spans="1:7" ht="14.25" customHeight="1">
      <c r="A3132" s="8">
        <f t="shared" si="12"/>
        <v>50453</v>
      </c>
      <c r="B3132" s="8"/>
      <c r="C3132" s="8">
        <v>50453</v>
      </c>
      <c r="D3132">
        <v>380</v>
      </c>
      <c r="E3132" t="s">
        <v>579</v>
      </c>
      <c r="F3132" t="s">
        <v>1450</v>
      </c>
      <c r="G3132" s="9">
        <v>44889</v>
      </c>
    </row>
    <row r="3133" spans="1:7" ht="14.25" customHeight="1">
      <c r="A3133" s="8">
        <f t="shared" si="12"/>
        <v>91278</v>
      </c>
      <c r="B3133" s="8"/>
      <c r="C3133" s="8">
        <v>91278</v>
      </c>
    </row>
    <row r="3134" spans="1:7" ht="14.25" customHeight="1">
      <c r="A3134" s="8">
        <f t="shared" si="12"/>
        <v>0</v>
      </c>
      <c r="B3134" s="8"/>
      <c r="C3134" s="8"/>
      <c r="F3134" t="s">
        <v>1451</v>
      </c>
      <c r="G3134">
        <v>62581000</v>
      </c>
    </row>
    <row r="3135" spans="1:7" ht="14.25" customHeight="1">
      <c r="A3135" s="8">
        <f t="shared" si="12"/>
        <v>128800</v>
      </c>
      <c r="B3135" s="8"/>
      <c r="C3135" s="8">
        <v>128800</v>
      </c>
      <c r="D3135">
        <v>98</v>
      </c>
      <c r="E3135" t="s">
        <v>579</v>
      </c>
      <c r="F3135" t="s">
        <v>1452</v>
      </c>
      <c r="G3135" s="9">
        <v>44663</v>
      </c>
    </row>
    <row r="3136" spans="1:7" ht="14.25" customHeight="1">
      <c r="A3136" s="8">
        <f t="shared" si="12"/>
        <v>128800</v>
      </c>
      <c r="B3136" s="8"/>
      <c r="C3136" s="8">
        <v>128800</v>
      </c>
    </row>
    <row r="3137" spans="1:7" ht="14.25" customHeight="1">
      <c r="A3137" s="8">
        <f t="shared" si="12"/>
        <v>0</v>
      </c>
      <c r="B3137" s="8"/>
      <c r="C3137" s="8"/>
      <c r="F3137" t="s">
        <v>1349</v>
      </c>
      <c r="G3137">
        <v>63300000</v>
      </c>
    </row>
    <row r="3138" spans="1:7" ht="14.25" customHeight="1">
      <c r="A3138" s="8">
        <f t="shared" si="12"/>
        <v>1150000</v>
      </c>
      <c r="B3138" s="8"/>
      <c r="C3138" s="8">
        <v>1150000</v>
      </c>
      <c r="D3138">
        <v>449</v>
      </c>
      <c r="E3138" t="s">
        <v>579</v>
      </c>
      <c r="F3138" t="s">
        <v>1453</v>
      </c>
      <c r="G3138" s="9">
        <v>44926</v>
      </c>
    </row>
    <row r="3139" spans="1:7" ht="14.25" customHeight="1">
      <c r="A3139" s="8">
        <f t="shared" si="12"/>
        <v>1150000</v>
      </c>
      <c r="B3139" s="8"/>
      <c r="C3139" s="8">
        <v>1150000</v>
      </c>
    </row>
    <row r="3140" spans="1:7" ht="14.25" customHeight="1">
      <c r="A3140" s="8">
        <f t="shared" si="12"/>
        <v>0</v>
      </c>
      <c r="B3140" s="8"/>
      <c r="C3140" s="8"/>
      <c r="F3140" t="s">
        <v>1454</v>
      </c>
      <c r="G3140">
        <v>66850000</v>
      </c>
    </row>
    <row r="3141" spans="1:7" ht="14.25" customHeight="1">
      <c r="A3141" s="8">
        <f t="shared" si="12"/>
        <v>455014</v>
      </c>
      <c r="B3141" s="8"/>
      <c r="C3141" s="8">
        <v>455014</v>
      </c>
      <c r="D3141">
        <v>220</v>
      </c>
      <c r="E3141" t="s">
        <v>579</v>
      </c>
      <c r="F3141" t="s">
        <v>1455</v>
      </c>
      <c r="G3141" s="9">
        <v>44743</v>
      </c>
    </row>
    <row r="3142" spans="1:7" ht="14.25" customHeight="1">
      <c r="A3142" s="8">
        <f t="shared" si="12"/>
        <v>25775</v>
      </c>
      <c r="B3142" s="8"/>
      <c r="C3142" s="8">
        <v>25775</v>
      </c>
      <c r="D3142">
        <v>220</v>
      </c>
      <c r="E3142" t="s">
        <v>579</v>
      </c>
      <c r="F3142" t="s">
        <v>1455</v>
      </c>
      <c r="G3142" s="9">
        <v>44743</v>
      </c>
    </row>
    <row r="3143" spans="1:7" ht="14.25" customHeight="1">
      <c r="A3143" s="8">
        <f t="shared" si="12"/>
        <v>429237</v>
      </c>
      <c r="B3143" s="8"/>
      <c r="C3143" s="8">
        <v>429237</v>
      </c>
      <c r="D3143">
        <v>220</v>
      </c>
      <c r="E3143" t="s">
        <v>579</v>
      </c>
      <c r="F3143" t="s">
        <v>1455</v>
      </c>
      <c r="G3143" s="9">
        <v>44743</v>
      </c>
    </row>
    <row r="3144" spans="1:7" ht="14.25" customHeight="1">
      <c r="A3144" s="8">
        <f t="shared" si="12"/>
        <v>1410910</v>
      </c>
      <c r="B3144" s="8"/>
      <c r="C3144" s="8">
        <v>1410910</v>
      </c>
      <c r="D3144">
        <v>217</v>
      </c>
      <c r="E3144" t="s">
        <v>579</v>
      </c>
      <c r="F3144" t="s">
        <v>1456</v>
      </c>
      <c r="G3144" s="9">
        <v>44743</v>
      </c>
    </row>
    <row r="3145" spans="1:7" ht="14.25" customHeight="1">
      <c r="A3145" s="8">
        <f t="shared" si="12"/>
        <v>2320936</v>
      </c>
      <c r="B3145" s="8"/>
      <c r="C3145" s="8">
        <v>2320936</v>
      </c>
    </row>
    <row r="3146" spans="1:7" ht="14.25" customHeight="1">
      <c r="A3146" s="8">
        <f t="shared" si="12"/>
        <v>4495383</v>
      </c>
      <c r="B3146" s="8"/>
      <c r="C3146" s="8">
        <v>4495383</v>
      </c>
      <c r="E3146">
        <v>9104011</v>
      </c>
      <c r="F3146" t="s">
        <v>477</v>
      </c>
      <c r="G3146" t="s">
        <v>581</v>
      </c>
    </row>
    <row r="3147" spans="1:7" ht="14.25" customHeight="1">
      <c r="A3147" s="8">
        <f t="shared" si="12"/>
        <v>0</v>
      </c>
      <c r="B3147" s="8"/>
      <c r="C3147" s="8"/>
      <c r="D3147" t="s">
        <v>478</v>
      </c>
      <c r="G3147">
        <v>9104013</v>
      </c>
    </row>
    <row r="3148" spans="1:7" ht="14.25" customHeight="1">
      <c r="A3148" s="8">
        <f t="shared" si="12"/>
        <v>0</v>
      </c>
      <c r="B3148" s="8"/>
      <c r="C3148" s="8"/>
      <c r="F3148" t="s">
        <v>953</v>
      </c>
      <c r="G3148">
        <v>61812000</v>
      </c>
    </row>
    <row r="3149" spans="1:7" ht="14.25" customHeight="1">
      <c r="A3149" s="8">
        <f t="shared" si="12"/>
        <v>424350</v>
      </c>
      <c r="B3149" s="8"/>
      <c r="C3149" s="8">
        <v>424350</v>
      </c>
      <c r="D3149">
        <v>182</v>
      </c>
      <c r="E3149" t="s">
        <v>579</v>
      </c>
      <c r="F3149" t="s">
        <v>1457</v>
      </c>
      <c r="G3149" s="9">
        <v>44714</v>
      </c>
    </row>
    <row r="3150" spans="1:7" ht="14.25" customHeight="1">
      <c r="A3150" s="8">
        <f t="shared" si="12"/>
        <v>35650</v>
      </c>
      <c r="B3150" s="8"/>
      <c r="C3150" s="8">
        <v>35650</v>
      </c>
      <c r="D3150">
        <v>129</v>
      </c>
      <c r="E3150" t="s">
        <v>667</v>
      </c>
      <c r="F3150" t="s">
        <v>1430</v>
      </c>
      <c r="G3150" s="9">
        <v>44733</v>
      </c>
    </row>
    <row r="3151" spans="1:7" ht="14.25" customHeight="1">
      <c r="A3151" s="8">
        <f t="shared" si="12"/>
        <v>460000</v>
      </c>
      <c r="B3151" s="8"/>
      <c r="C3151" s="8">
        <v>460000</v>
      </c>
    </row>
    <row r="3152" spans="1:7" ht="14.25" customHeight="1">
      <c r="A3152" s="8">
        <f t="shared" si="12"/>
        <v>0</v>
      </c>
      <c r="B3152" s="8"/>
      <c r="C3152" s="8"/>
      <c r="F3152" t="s">
        <v>1458</v>
      </c>
      <c r="G3152">
        <v>62700000</v>
      </c>
    </row>
    <row r="3153" spans="1:7" ht="14.25" customHeight="1">
      <c r="A3153" s="8">
        <f t="shared" si="12"/>
        <v>477250</v>
      </c>
      <c r="B3153" s="8"/>
      <c r="C3153" s="8">
        <v>477250</v>
      </c>
      <c r="D3153">
        <v>404</v>
      </c>
      <c r="E3153" t="s">
        <v>579</v>
      </c>
      <c r="F3153" t="s">
        <v>1459</v>
      </c>
      <c r="G3153" s="9">
        <v>44903</v>
      </c>
    </row>
    <row r="3154" spans="1:7" ht="14.25" customHeight="1">
      <c r="A3154" s="8">
        <f t="shared" si="12"/>
        <v>477250</v>
      </c>
      <c r="B3154" s="8"/>
      <c r="C3154" s="8">
        <v>477250</v>
      </c>
    </row>
    <row r="3155" spans="1:7" ht="14.25" customHeight="1">
      <c r="A3155" s="8">
        <f t="shared" si="12"/>
        <v>0</v>
      </c>
      <c r="B3155" s="8"/>
      <c r="C3155" s="8"/>
      <c r="F3155" t="s">
        <v>1460</v>
      </c>
      <c r="G3155">
        <v>62720000</v>
      </c>
    </row>
    <row r="3156" spans="1:7" ht="14.25" customHeight="1">
      <c r="A3156" s="8">
        <f t="shared" si="12"/>
        <v>57500</v>
      </c>
      <c r="B3156" s="8"/>
      <c r="C3156" s="8">
        <v>57500</v>
      </c>
      <c r="D3156">
        <v>36</v>
      </c>
      <c r="E3156" t="s">
        <v>579</v>
      </c>
      <c r="F3156" t="s">
        <v>1461</v>
      </c>
      <c r="G3156" s="9">
        <v>44606</v>
      </c>
    </row>
    <row r="3157" spans="1:7" ht="14.25" customHeight="1">
      <c r="A3157" s="8">
        <f t="shared" si="12"/>
        <v>713000</v>
      </c>
      <c r="B3157" s="8"/>
      <c r="C3157" s="8">
        <v>713000</v>
      </c>
      <c r="D3157">
        <v>405</v>
      </c>
      <c r="E3157" t="s">
        <v>579</v>
      </c>
      <c r="F3157" t="s">
        <v>1462</v>
      </c>
      <c r="G3157" s="9">
        <v>44903</v>
      </c>
    </row>
    <row r="3158" spans="1:7" ht="14.25" customHeight="1">
      <c r="A3158" s="8">
        <f t="shared" si="12"/>
        <v>770500</v>
      </c>
      <c r="B3158" s="8"/>
      <c r="C3158" s="8">
        <v>770500</v>
      </c>
    </row>
    <row r="3159" spans="1:7" ht="14.25" customHeight="1">
      <c r="A3159" s="8">
        <f t="shared" si="12"/>
        <v>0</v>
      </c>
      <c r="B3159" s="8"/>
      <c r="C3159" s="8"/>
      <c r="F3159" t="s">
        <v>1463</v>
      </c>
      <c r="G3159">
        <v>62760000</v>
      </c>
    </row>
    <row r="3160" spans="1:7" ht="14.25" customHeight="1">
      <c r="A3160" s="8">
        <f t="shared" si="12"/>
        <v>345000</v>
      </c>
      <c r="B3160" s="8"/>
      <c r="C3160" s="8">
        <v>345000</v>
      </c>
      <c r="D3160">
        <v>3</v>
      </c>
      <c r="E3160" t="s">
        <v>579</v>
      </c>
      <c r="F3160" t="s">
        <v>1464</v>
      </c>
      <c r="G3160" s="9">
        <v>44571</v>
      </c>
    </row>
    <row r="3161" spans="1:7" ht="14.25" customHeight="1">
      <c r="A3161" s="8">
        <f t="shared" si="12"/>
        <v>86250</v>
      </c>
      <c r="B3161" s="8"/>
      <c r="C3161" s="8">
        <v>86250</v>
      </c>
      <c r="D3161">
        <v>22</v>
      </c>
      <c r="E3161" t="s">
        <v>667</v>
      </c>
      <c r="F3161" t="s">
        <v>1465</v>
      </c>
      <c r="G3161" s="9">
        <v>44610</v>
      </c>
    </row>
    <row r="3162" spans="1:7" ht="14.25" customHeight="1">
      <c r="A3162" s="8">
        <f t="shared" si="12"/>
        <v>184000</v>
      </c>
      <c r="B3162" s="8"/>
      <c r="C3162" s="8">
        <v>184000</v>
      </c>
      <c r="D3162">
        <v>69</v>
      </c>
      <c r="E3162" t="s">
        <v>667</v>
      </c>
      <c r="F3162" t="s">
        <v>1466</v>
      </c>
      <c r="G3162" s="9">
        <v>44666</v>
      </c>
    </row>
    <row r="3163" spans="1:7" ht="14.25" customHeight="1">
      <c r="A3163" s="8">
        <f t="shared" si="12"/>
        <v>103500</v>
      </c>
      <c r="B3163" s="8"/>
      <c r="C3163" s="8">
        <v>103500</v>
      </c>
      <c r="D3163">
        <v>98</v>
      </c>
      <c r="E3163" t="s">
        <v>667</v>
      </c>
      <c r="F3163" t="s">
        <v>1467</v>
      </c>
      <c r="G3163" s="9">
        <v>44709</v>
      </c>
    </row>
    <row r="3164" spans="1:7" ht="14.25" customHeight="1">
      <c r="A3164" s="8">
        <f t="shared" si="12"/>
        <v>718750</v>
      </c>
      <c r="B3164" s="8"/>
      <c r="C3164" s="8">
        <v>718750</v>
      </c>
    </row>
    <row r="3165" spans="1:7" ht="14.25" customHeight="1">
      <c r="A3165" s="8">
        <f t="shared" si="12"/>
        <v>0</v>
      </c>
      <c r="B3165" s="8"/>
      <c r="C3165" s="8"/>
      <c r="F3165" t="s">
        <v>592</v>
      </c>
      <c r="G3165">
        <v>63833</v>
      </c>
    </row>
    <row r="3166" spans="1:7" ht="14.25" customHeight="1">
      <c r="A3166" s="8">
        <f t="shared" si="12"/>
        <v>48875</v>
      </c>
      <c r="B3166" s="8"/>
      <c r="C3166" s="8">
        <v>48875</v>
      </c>
      <c r="D3166">
        <v>129</v>
      </c>
      <c r="E3166" t="s">
        <v>667</v>
      </c>
      <c r="F3166" t="s">
        <v>1430</v>
      </c>
      <c r="G3166" s="9">
        <v>44733</v>
      </c>
    </row>
    <row r="3167" spans="1:7" ht="14.25" customHeight="1">
      <c r="A3167" s="8">
        <f t="shared" si="12"/>
        <v>48875</v>
      </c>
      <c r="B3167" s="8"/>
      <c r="C3167" s="8">
        <v>48875</v>
      </c>
    </row>
    <row r="3168" spans="1:7" ht="14.25" customHeight="1">
      <c r="A3168" s="8">
        <f t="shared" si="12"/>
        <v>0</v>
      </c>
      <c r="B3168" s="8"/>
      <c r="C3168" s="8"/>
      <c r="F3168" t="s">
        <v>1271</v>
      </c>
      <c r="G3168">
        <v>63842000</v>
      </c>
    </row>
    <row r="3169" spans="1:7" ht="14.25" customHeight="1">
      <c r="A3169" s="8">
        <f t="shared" si="12"/>
        <v>460000</v>
      </c>
      <c r="B3169" s="8"/>
      <c r="C3169" s="8">
        <v>460000</v>
      </c>
      <c r="D3169">
        <v>9</v>
      </c>
      <c r="E3169" t="s">
        <v>1126</v>
      </c>
      <c r="F3169" t="s">
        <v>1468</v>
      </c>
      <c r="G3169" s="9">
        <v>44711</v>
      </c>
    </row>
    <row r="3170" spans="1:7" ht="14.25" customHeight="1">
      <c r="A3170" s="8">
        <f t="shared" si="12"/>
        <v>46000</v>
      </c>
      <c r="B3170" s="8"/>
      <c r="C3170" s="8">
        <v>46000</v>
      </c>
      <c r="D3170">
        <v>134</v>
      </c>
      <c r="E3170" t="s">
        <v>667</v>
      </c>
      <c r="F3170" t="s">
        <v>1469</v>
      </c>
      <c r="G3170" s="9">
        <v>44743</v>
      </c>
    </row>
    <row r="3171" spans="1:7" ht="14.25" customHeight="1">
      <c r="A3171" s="8">
        <f t="shared" si="12"/>
        <v>506000</v>
      </c>
      <c r="B3171" s="8"/>
      <c r="C3171" s="8">
        <v>506000</v>
      </c>
    </row>
    <row r="3172" spans="1:7" ht="14.25" customHeight="1">
      <c r="A3172" s="8">
        <f t="shared" si="12"/>
        <v>0</v>
      </c>
      <c r="B3172" s="8"/>
      <c r="C3172" s="8"/>
      <c r="F3172" t="s">
        <v>1470</v>
      </c>
      <c r="G3172">
        <v>65820000</v>
      </c>
    </row>
    <row r="3173" spans="1:7" ht="14.25" customHeight="1">
      <c r="A3173" s="8">
        <f t="shared" si="12"/>
        <v>100625</v>
      </c>
      <c r="B3173" s="8"/>
      <c r="C3173" s="8">
        <v>100625</v>
      </c>
      <c r="D3173">
        <v>24</v>
      </c>
      <c r="E3173" t="s">
        <v>667</v>
      </c>
      <c r="F3173" t="s">
        <v>1471</v>
      </c>
      <c r="G3173" s="9">
        <v>44601</v>
      </c>
    </row>
    <row r="3174" spans="1:7" ht="14.25" customHeight="1">
      <c r="A3174" s="8">
        <f t="shared" si="12"/>
        <v>34500</v>
      </c>
      <c r="B3174" s="8"/>
      <c r="C3174" s="8">
        <v>34500</v>
      </c>
      <c r="D3174">
        <v>13</v>
      </c>
      <c r="E3174" t="s">
        <v>667</v>
      </c>
      <c r="F3174" t="s">
        <v>1472</v>
      </c>
      <c r="G3174" s="9">
        <v>44606</v>
      </c>
    </row>
    <row r="3175" spans="1:7" ht="14.25" customHeight="1">
      <c r="A3175" s="8">
        <f t="shared" si="12"/>
        <v>105455</v>
      </c>
      <c r="B3175" s="8"/>
      <c r="C3175" s="8">
        <v>105455</v>
      </c>
      <c r="D3175">
        <v>31</v>
      </c>
      <c r="E3175" t="s">
        <v>667</v>
      </c>
      <c r="F3175" t="s">
        <v>1473</v>
      </c>
      <c r="G3175" s="9">
        <v>44616</v>
      </c>
    </row>
    <row r="3176" spans="1:7" ht="14.25" customHeight="1">
      <c r="A3176" s="8">
        <f t="shared" si="12"/>
        <v>240580</v>
      </c>
      <c r="B3176" s="8"/>
      <c r="C3176" s="8">
        <v>240580</v>
      </c>
    </row>
    <row r="3177" spans="1:7" ht="14.25" customHeight="1">
      <c r="A3177" s="8">
        <f t="shared" si="12"/>
        <v>3221955</v>
      </c>
      <c r="B3177" s="8"/>
      <c r="C3177" s="8">
        <v>3221955</v>
      </c>
      <c r="E3177">
        <v>9104013</v>
      </c>
      <c r="F3177" t="s">
        <v>478</v>
      </c>
      <c r="G3177" t="s">
        <v>581</v>
      </c>
    </row>
    <row r="3178" spans="1:7" ht="14.25" customHeight="1">
      <c r="A3178" s="8">
        <f t="shared" si="12"/>
        <v>0</v>
      </c>
      <c r="B3178" s="8"/>
      <c r="C3178" s="8"/>
      <c r="D3178" t="s">
        <v>479</v>
      </c>
      <c r="G3178">
        <v>9104014</v>
      </c>
    </row>
    <row r="3179" spans="1:7" ht="14.25" customHeight="1">
      <c r="A3179" s="8">
        <f t="shared" si="12"/>
        <v>0</v>
      </c>
      <c r="B3179" s="8"/>
      <c r="C3179" s="8"/>
      <c r="F3179" t="s">
        <v>1474</v>
      </c>
      <c r="G3179">
        <v>62650000</v>
      </c>
    </row>
    <row r="3180" spans="1:7" ht="14.25" customHeight="1">
      <c r="A3180" s="8">
        <f t="shared" si="12"/>
        <v>12765</v>
      </c>
      <c r="B3180" s="8"/>
      <c r="C3180" s="8">
        <v>12765</v>
      </c>
      <c r="D3180">
        <v>44</v>
      </c>
      <c r="E3180" t="s">
        <v>667</v>
      </c>
      <c r="F3180" t="s">
        <v>1475</v>
      </c>
      <c r="G3180" s="9">
        <v>44641</v>
      </c>
    </row>
    <row r="3181" spans="1:7" ht="14.25" customHeight="1">
      <c r="A3181" s="8">
        <f t="shared" si="12"/>
        <v>34500</v>
      </c>
      <c r="B3181" s="8"/>
      <c r="C3181" s="8">
        <v>34500</v>
      </c>
      <c r="D3181">
        <v>63</v>
      </c>
      <c r="E3181" t="s">
        <v>667</v>
      </c>
      <c r="F3181" t="s">
        <v>1476</v>
      </c>
      <c r="G3181" s="9">
        <v>44658</v>
      </c>
    </row>
    <row r="3182" spans="1:7" ht="14.25" customHeight="1">
      <c r="A3182" s="8">
        <f t="shared" si="12"/>
        <v>14375</v>
      </c>
      <c r="B3182" s="8"/>
      <c r="C3182" s="8">
        <v>14375</v>
      </c>
      <c r="D3182">
        <v>65</v>
      </c>
      <c r="E3182" t="s">
        <v>667</v>
      </c>
      <c r="F3182" t="s">
        <v>1477</v>
      </c>
      <c r="G3182" s="9">
        <v>44664</v>
      </c>
    </row>
    <row r="3183" spans="1:7" ht="14.25" customHeight="1">
      <c r="A3183" s="8">
        <f t="shared" si="12"/>
        <v>17250</v>
      </c>
      <c r="B3183" s="8"/>
      <c r="C3183" s="8">
        <v>17250</v>
      </c>
      <c r="D3183">
        <v>68</v>
      </c>
      <c r="E3183" t="s">
        <v>667</v>
      </c>
      <c r="F3183" t="s">
        <v>1478</v>
      </c>
      <c r="G3183" s="9">
        <v>44665</v>
      </c>
    </row>
    <row r="3184" spans="1:7" ht="14.25" customHeight="1">
      <c r="A3184" s="8">
        <f t="shared" si="12"/>
        <v>11500</v>
      </c>
      <c r="B3184" s="8"/>
      <c r="C3184" s="8">
        <v>11500</v>
      </c>
      <c r="D3184">
        <v>80</v>
      </c>
      <c r="E3184" t="s">
        <v>667</v>
      </c>
      <c r="F3184" t="s">
        <v>1479</v>
      </c>
      <c r="G3184" s="9">
        <v>44680</v>
      </c>
    </row>
    <row r="3185" spans="1:7" ht="14.25" customHeight="1">
      <c r="A3185" s="8">
        <f t="shared" si="12"/>
        <v>5750</v>
      </c>
      <c r="B3185" s="8"/>
      <c r="C3185" s="8">
        <v>5750</v>
      </c>
      <c r="D3185">
        <v>126</v>
      </c>
      <c r="E3185" t="s">
        <v>667</v>
      </c>
      <c r="F3185" t="s">
        <v>1480</v>
      </c>
      <c r="G3185" s="9">
        <v>44735</v>
      </c>
    </row>
    <row r="3186" spans="1:7" ht="14.25" customHeight="1">
      <c r="A3186" s="8">
        <f t="shared" si="12"/>
        <v>23115</v>
      </c>
      <c r="B3186" s="8"/>
      <c r="C3186" s="8">
        <v>23115</v>
      </c>
      <c r="D3186">
        <v>194</v>
      </c>
      <c r="E3186" t="s">
        <v>667</v>
      </c>
      <c r="F3186" t="s">
        <v>1481</v>
      </c>
      <c r="G3186" s="9">
        <v>44806</v>
      </c>
    </row>
    <row r="3187" spans="1:7" ht="14.25" customHeight="1">
      <c r="A3187" s="8">
        <f t="shared" si="12"/>
        <v>119255</v>
      </c>
      <c r="B3187" s="8"/>
      <c r="C3187" s="8">
        <v>119255</v>
      </c>
    </row>
    <row r="3188" spans="1:7" ht="14.25" customHeight="1">
      <c r="A3188" s="8">
        <f t="shared" si="12"/>
        <v>0</v>
      </c>
      <c r="B3188" s="8"/>
      <c r="C3188" s="8"/>
      <c r="F3188" t="s">
        <v>1482</v>
      </c>
      <c r="G3188">
        <v>62660000</v>
      </c>
    </row>
    <row r="3189" spans="1:7" ht="14.25" customHeight="1">
      <c r="A3189" s="8">
        <f t="shared" si="12"/>
        <v>115000</v>
      </c>
      <c r="B3189" s="8"/>
      <c r="C3189" s="8">
        <v>115000</v>
      </c>
      <c r="D3189">
        <v>8</v>
      </c>
      <c r="E3189" t="s">
        <v>579</v>
      </c>
      <c r="F3189" t="s">
        <v>1483</v>
      </c>
      <c r="G3189" s="9">
        <v>44580</v>
      </c>
    </row>
    <row r="3190" spans="1:7" ht="14.25" customHeight="1">
      <c r="A3190" s="8">
        <f t="shared" si="12"/>
        <v>115000</v>
      </c>
      <c r="B3190" s="8"/>
      <c r="C3190" s="8">
        <v>115000</v>
      </c>
    </row>
    <row r="3191" spans="1:7" ht="14.25" customHeight="1">
      <c r="A3191" s="8">
        <f t="shared" si="12"/>
        <v>0</v>
      </c>
      <c r="B3191" s="8"/>
      <c r="C3191" s="8"/>
      <c r="F3191" t="s">
        <v>582</v>
      </c>
      <c r="G3191">
        <v>63240000</v>
      </c>
    </row>
    <row r="3192" spans="1:7" ht="14.25" customHeight="1">
      <c r="A3192" s="8">
        <f t="shared" si="12"/>
        <v>690000</v>
      </c>
      <c r="B3192" s="8"/>
      <c r="C3192" s="8">
        <v>690000</v>
      </c>
      <c r="D3192">
        <v>381</v>
      </c>
      <c r="E3192" t="s">
        <v>579</v>
      </c>
      <c r="F3192" t="s">
        <v>1484</v>
      </c>
      <c r="G3192" s="9">
        <v>44889</v>
      </c>
    </row>
    <row r="3193" spans="1:7" ht="14.25" customHeight="1">
      <c r="A3193" s="8">
        <f t="shared" si="12"/>
        <v>690000</v>
      </c>
      <c r="B3193" s="8"/>
      <c r="C3193" s="8">
        <v>690000</v>
      </c>
    </row>
    <row r="3194" spans="1:7" ht="14.25" customHeight="1">
      <c r="A3194" s="8">
        <f t="shared" si="12"/>
        <v>0</v>
      </c>
      <c r="B3194" s="8"/>
      <c r="C3194" s="8"/>
      <c r="F3194" t="s">
        <v>1485</v>
      </c>
      <c r="G3194">
        <v>63510000</v>
      </c>
    </row>
    <row r="3195" spans="1:7" ht="14.25" customHeight="1">
      <c r="A3195" s="8">
        <f t="shared" si="12"/>
        <v>1150000</v>
      </c>
      <c r="B3195" s="8"/>
      <c r="C3195" s="8">
        <v>1150000</v>
      </c>
      <c r="D3195">
        <v>75</v>
      </c>
      <c r="E3195" t="s">
        <v>579</v>
      </c>
      <c r="F3195" t="s">
        <v>1486</v>
      </c>
      <c r="G3195" s="9">
        <v>44651</v>
      </c>
    </row>
    <row r="3196" spans="1:7" ht="14.25" customHeight="1">
      <c r="A3196" s="8">
        <f t="shared" si="12"/>
        <v>1437500</v>
      </c>
      <c r="B3196" s="8"/>
      <c r="C3196" s="8">
        <v>1437500</v>
      </c>
      <c r="D3196">
        <v>172</v>
      </c>
      <c r="E3196" t="s">
        <v>579</v>
      </c>
      <c r="F3196" t="s">
        <v>1487</v>
      </c>
      <c r="G3196" s="9">
        <v>44725</v>
      </c>
    </row>
    <row r="3197" spans="1:7" ht="14.25" customHeight="1">
      <c r="A3197" s="8">
        <f t="shared" si="12"/>
        <v>2587500</v>
      </c>
      <c r="B3197" s="8"/>
      <c r="C3197" s="8">
        <v>2587500</v>
      </c>
    </row>
    <row r="3198" spans="1:7" ht="14.25" customHeight="1">
      <c r="A3198" s="8">
        <f t="shared" si="12"/>
        <v>0</v>
      </c>
      <c r="B3198" s="8"/>
      <c r="C3198" s="8"/>
      <c r="F3198" t="s">
        <v>1488</v>
      </c>
      <c r="G3198">
        <v>6463</v>
      </c>
    </row>
    <row r="3199" spans="1:7" ht="14.25" customHeight="1">
      <c r="A3199" s="8">
        <f t="shared" si="12"/>
        <v>11500</v>
      </c>
      <c r="B3199" s="8"/>
      <c r="C3199" s="8">
        <v>11500</v>
      </c>
      <c r="D3199">
        <v>219</v>
      </c>
      <c r="E3199" t="s">
        <v>667</v>
      </c>
      <c r="F3199" t="s">
        <v>1489</v>
      </c>
      <c r="G3199" s="9">
        <v>44831</v>
      </c>
    </row>
    <row r="3200" spans="1:7" ht="14.25" customHeight="1">
      <c r="A3200" s="8">
        <f t="shared" si="12"/>
        <v>2300</v>
      </c>
      <c r="B3200" s="8"/>
      <c r="C3200" s="8">
        <v>2300</v>
      </c>
      <c r="D3200">
        <v>221</v>
      </c>
      <c r="E3200" t="s">
        <v>667</v>
      </c>
      <c r="F3200" t="s">
        <v>1490</v>
      </c>
      <c r="G3200" s="9">
        <v>44831</v>
      </c>
    </row>
    <row r="3201" spans="1:7" ht="14.25" customHeight="1">
      <c r="A3201" s="8">
        <f t="shared" si="12"/>
        <v>13800</v>
      </c>
      <c r="B3201" s="8"/>
      <c r="C3201" s="8">
        <v>13800</v>
      </c>
    </row>
    <row r="3202" spans="1:7" ht="14.25" customHeight="1">
      <c r="A3202" s="8">
        <f t="shared" si="12"/>
        <v>3525555</v>
      </c>
      <c r="B3202" s="8"/>
      <c r="C3202" s="8">
        <v>3525555</v>
      </c>
      <c r="E3202">
        <v>9104014</v>
      </c>
      <c r="F3202" t="s">
        <v>479</v>
      </c>
      <c r="G3202" t="s">
        <v>581</v>
      </c>
    </row>
    <row r="3203" spans="1:7" ht="14.25" customHeight="1">
      <c r="A3203" s="8">
        <f t="shared" si="12"/>
        <v>0</v>
      </c>
      <c r="B3203" s="8"/>
      <c r="C3203" s="8"/>
      <c r="D3203" t="s">
        <v>480</v>
      </c>
      <c r="G3203">
        <v>9104015</v>
      </c>
    </row>
    <row r="3204" spans="1:7" ht="14.25" customHeight="1">
      <c r="A3204" s="8">
        <f t="shared" si="12"/>
        <v>0</v>
      </c>
      <c r="B3204" s="8"/>
      <c r="C3204" s="8"/>
      <c r="F3204" t="s">
        <v>1491</v>
      </c>
      <c r="G3204">
        <v>60470000</v>
      </c>
    </row>
    <row r="3205" spans="1:7" ht="14.25" customHeight="1">
      <c r="A3205" s="8">
        <f t="shared" si="12"/>
        <v>1294</v>
      </c>
      <c r="B3205" s="8"/>
      <c r="C3205" s="8">
        <v>1294</v>
      </c>
      <c r="D3205">
        <v>119</v>
      </c>
      <c r="E3205" t="s">
        <v>667</v>
      </c>
      <c r="F3205" t="s">
        <v>1492</v>
      </c>
      <c r="G3205" s="9">
        <v>44732</v>
      </c>
    </row>
    <row r="3206" spans="1:7" ht="14.25" customHeight="1">
      <c r="A3206" s="8">
        <f t="shared" si="12"/>
        <v>1294</v>
      </c>
      <c r="B3206" s="8"/>
      <c r="C3206" s="8">
        <v>1294</v>
      </c>
    </row>
    <row r="3207" spans="1:7" ht="14.25" customHeight="1">
      <c r="A3207" s="8">
        <f t="shared" si="12"/>
        <v>0</v>
      </c>
      <c r="B3207" s="8"/>
      <c r="C3207" s="8"/>
      <c r="F3207" t="s">
        <v>1172</v>
      </c>
      <c r="G3207">
        <v>60550000</v>
      </c>
    </row>
    <row r="3208" spans="1:7" ht="14.25" customHeight="1">
      <c r="A3208" s="8">
        <f t="shared" si="12"/>
        <v>1150</v>
      </c>
      <c r="B3208" s="8"/>
      <c r="C3208" s="8">
        <v>1150</v>
      </c>
      <c r="D3208">
        <v>97</v>
      </c>
      <c r="E3208" t="s">
        <v>667</v>
      </c>
      <c r="F3208" t="s">
        <v>1493</v>
      </c>
      <c r="G3208" s="9">
        <v>44708</v>
      </c>
    </row>
    <row r="3209" spans="1:7" ht="14.25" customHeight="1">
      <c r="A3209" s="8">
        <f t="shared" si="12"/>
        <v>51750</v>
      </c>
      <c r="B3209" s="8"/>
      <c r="C3209" s="8">
        <v>51750</v>
      </c>
      <c r="D3209">
        <v>173</v>
      </c>
      <c r="E3209" t="s">
        <v>579</v>
      </c>
      <c r="F3209" t="s">
        <v>1494</v>
      </c>
      <c r="G3209" s="9">
        <v>44725</v>
      </c>
    </row>
    <row r="3210" spans="1:7" ht="14.25" customHeight="1">
      <c r="A3210" s="8">
        <f t="shared" si="12"/>
        <v>46403</v>
      </c>
      <c r="B3210" s="8"/>
      <c r="C3210" s="8">
        <v>46403</v>
      </c>
      <c r="D3210">
        <v>178</v>
      </c>
      <c r="E3210" t="s">
        <v>579</v>
      </c>
      <c r="F3210" t="s">
        <v>1495</v>
      </c>
      <c r="G3210" s="9">
        <v>44729</v>
      </c>
    </row>
    <row r="3211" spans="1:7" ht="14.25" customHeight="1">
      <c r="A3211" s="8">
        <f t="shared" si="12"/>
        <v>176123</v>
      </c>
      <c r="B3211" s="8"/>
      <c r="C3211" s="8">
        <v>176123</v>
      </c>
      <c r="D3211">
        <v>266</v>
      </c>
      <c r="E3211" t="s">
        <v>579</v>
      </c>
      <c r="F3211" t="s">
        <v>1496</v>
      </c>
      <c r="G3211" s="9">
        <v>44796</v>
      </c>
    </row>
    <row r="3212" spans="1:7" ht="14.25" customHeight="1">
      <c r="A3212" s="8">
        <f t="shared" si="12"/>
        <v>3450</v>
      </c>
      <c r="B3212" s="8"/>
      <c r="C3212" s="8">
        <v>3450</v>
      </c>
      <c r="D3212">
        <v>245</v>
      </c>
      <c r="E3212" t="s">
        <v>667</v>
      </c>
      <c r="F3212" t="s">
        <v>1497</v>
      </c>
      <c r="G3212" s="9">
        <v>44867</v>
      </c>
    </row>
    <row r="3213" spans="1:7" ht="14.25" customHeight="1">
      <c r="A3213" s="8">
        <f t="shared" si="12"/>
        <v>278875</v>
      </c>
      <c r="B3213" s="8"/>
      <c r="C3213" s="8">
        <v>278875</v>
      </c>
    </row>
    <row r="3214" spans="1:7" ht="14.25" customHeight="1">
      <c r="A3214" s="8">
        <f t="shared" si="12"/>
        <v>0</v>
      </c>
      <c r="B3214" s="8"/>
      <c r="C3214" s="8"/>
      <c r="F3214" t="s">
        <v>1498</v>
      </c>
      <c r="G3214">
        <v>60560000</v>
      </c>
    </row>
    <row r="3215" spans="1:7" ht="14.25" customHeight="1">
      <c r="A3215" s="8">
        <f t="shared" si="12"/>
        <v>11500</v>
      </c>
      <c r="B3215" s="8"/>
      <c r="C3215" s="8">
        <v>11500</v>
      </c>
      <c r="D3215">
        <v>167</v>
      </c>
      <c r="E3215" t="s">
        <v>579</v>
      </c>
      <c r="F3215" t="s">
        <v>1499</v>
      </c>
      <c r="G3215" s="9">
        <v>44720</v>
      </c>
    </row>
    <row r="3216" spans="1:7" ht="14.25" customHeight="1">
      <c r="A3216" s="8">
        <f t="shared" si="12"/>
        <v>4600</v>
      </c>
      <c r="B3216" s="8"/>
      <c r="C3216" s="8">
        <v>4600</v>
      </c>
      <c r="D3216">
        <v>147</v>
      </c>
      <c r="E3216" t="s">
        <v>667</v>
      </c>
      <c r="F3216" t="s">
        <v>1500</v>
      </c>
      <c r="G3216" s="9">
        <v>44761</v>
      </c>
    </row>
    <row r="3217" spans="1:7" ht="14.25" customHeight="1">
      <c r="A3217" s="8">
        <f t="shared" si="12"/>
        <v>93150</v>
      </c>
      <c r="B3217" s="8"/>
      <c r="C3217" s="8">
        <v>93150</v>
      </c>
      <c r="D3217">
        <v>263</v>
      </c>
      <c r="E3217" t="s">
        <v>579</v>
      </c>
      <c r="F3217" t="s">
        <v>1501</v>
      </c>
      <c r="G3217" s="9">
        <v>44790</v>
      </c>
    </row>
    <row r="3218" spans="1:7" ht="14.25" customHeight="1">
      <c r="A3218" s="8">
        <f t="shared" si="12"/>
        <v>19550</v>
      </c>
      <c r="B3218" s="8"/>
      <c r="C3218" s="8">
        <v>19550</v>
      </c>
      <c r="D3218">
        <v>419</v>
      </c>
      <c r="E3218" t="s">
        <v>579</v>
      </c>
      <c r="F3218" t="s">
        <v>1502</v>
      </c>
      <c r="G3218" s="9">
        <v>44918</v>
      </c>
    </row>
    <row r="3219" spans="1:7" ht="14.25" customHeight="1">
      <c r="A3219" s="8">
        <f t="shared" si="12"/>
        <v>128800</v>
      </c>
      <c r="B3219" s="8"/>
      <c r="C3219" s="8">
        <v>128800</v>
      </c>
    </row>
    <row r="3220" spans="1:7" ht="14.25" customHeight="1">
      <c r="A3220" s="8">
        <f t="shared" si="12"/>
        <v>0</v>
      </c>
      <c r="B3220" s="8"/>
      <c r="C3220" s="8"/>
      <c r="F3220" t="s">
        <v>953</v>
      </c>
      <c r="G3220">
        <v>61812000</v>
      </c>
    </row>
    <row r="3221" spans="1:7" ht="14.25" customHeight="1">
      <c r="A3221" s="8">
        <f t="shared" si="12"/>
        <v>5750</v>
      </c>
      <c r="B3221" s="8"/>
      <c r="C3221" s="8">
        <v>5750</v>
      </c>
      <c r="D3221">
        <v>257</v>
      </c>
      <c r="E3221" t="s">
        <v>667</v>
      </c>
      <c r="F3221" t="s">
        <v>1503</v>
      </c>
      <c r="G3221" s="9">
        <v>44893</v>
      </c>
    </row>
    <row r="3222" spans="1:7" ht="14.25" customHeight="1">
      <c r="A3222" s="8">
        <f t="shared" si="12"/>
        <v>5750</v>
      </c>
      <c r="B3222" s="8"/>
      <c r="C3222" s="8">
        <v>5750</v>
      </c>
    </row>
    <row r="3223" spans="1:7" ht="14.25" customHeight="1">
      <c r="A3223" s="8">
        <f t="shared" si="12"/>
        <v>0</v>
      </c>
      <c r="B3223" s="8"/>
      <c r="C3223" s="8"/>
      <c r="F3223" t="s">
        <v>1504</v>
      </c>
      <c r="G3223">
        <v>61830000</v>
      </c>
    </row>
    <row r="3224" spans="1:7" ht="14.25" customHeight="1">
      <c r="A3224" s="8">
        <f t="shared" si="12"/>
        <v>5750</v>
      </c>
      <c r="B3224" s="8"/>
      <c r="C3224" s="8">
        <v>5750</v>
      </c>
      <c r="D3224">
        <v>52</v>
      </c>
      <c r="E3224" t="s">
        <v>667</v>
      </c>
      <c r="F3224" t="s">
        <v>1505</v>
      </c>
      <c r="G3224" s="9">
        <v>44648</v>
      </c>
    </row>
    <row r="3225" spans="1:7" ht="14.25" customHeight="1">
      <c r="A3225" s="8">
        <f t="shared" si="12"/>
        <v>1150</v>
      </c>
      <c r="B3225" s="8"/>
      <c r="C3225" s="8">
        <v>1150</v>
      </c>
      <c r="D3225">
        <v>64</v>
      </c>
      <c r="E3225" t="s">
        <v>667</v>
      </c>
      <c r="F3225" t="s">
        <v>1506</v>
      </c>
      <c r="G3225" s="9">
        <v>44663</v>
      </c>
    </row>
    <row r="3226" spans="1:7" ht="14.25" customHeight="1">
      <c r="A3226" s="8">
        <f t="shared" si="12"/>
        <v>5750</v>
      </c>
      <c r="B3226" s="8"/>
      <c r="C3226" s="8">
        <v>5750</v>
      </c>
      <c r="D3226">
        <v>67</v>
      </c>
      <c r="E3226" t="s">
        <v>667</v>
      </c>
      <c r="F3226" t="s">
        <v>1507</v>
      </c>
      <c r="G3226" s="9">
        <v>44665</v>
      </c>
    </row>
    <row r="3227" spans="1:7" ht="14.25" customHeight="1">
      <c r="A3227" s="8">
        <f t="shared" si="12"/>
        <v>3450</v>
      </c>
      <c r="B3227" s="8"/>
      <c r="C3227" s="8">
        <v>3450</v>
      </c>
      <c r="D3227">
        <v>101</v>
      </c>
      <c r="E3227" t="s">
        <v>667</v>
      </c>
      <c r="F3227" t="s">
        <v>1508</v>
      </c>
      <c r="G3227" s="9">
        <v>44715</v>
      </c>
    </row>
    <row r="3228" spans="1:7" ht="14.25" customHeight="1">
      <c r="A3228" s="8">
        <f t="shared" si="12"/>
        <v>5750</v>
      </c>
      <c r="B3228" s="8"/>
      <c r="C3228" s="8">
        <v>5750</v>
      </c>
      <c r="D3228">
        <v>131</v>
      </c>
      <c r="E3228" t="s">
        <v>667</v>
      </c>
      <c r="F3228" t="s">
        <v>1509</v>
      </c>
      <c r="G3228" s="9">
        <v>44739</v>
      </c>
    </row>
    <row r="3229" spans="1:7" ht="14.25" customHeight="1">
      <c r="A3229" s="8">
        <f t="shared" si="12"/>
        <v>5750</v>
      </c>
      <c r="B3229" s="8"/>
      <c r="C3229" s="8">
        <v>5750</v>
      </c>
      <c r="D3229">
        <v>176</v>
      </c>
      <c r="E3229" t="s">
        <v>667</v>
      </c>
      <c r="F3229" t="s">
        <v>1510</v>
      </c>
      <c r="G3229" s="9">
        <v>44791</v>
      </c>
    </row>
    <row r="3230" spans="1:7" ht="14.25" customHeight="1">
      <c r="A3230" s="8">
        <f t="shared" si="12"/>
        <v>1150</v>
      </c>
      <c r="B3230" s="8"/>
      <c r="C3230" s="8">
        <v>1150</v>
      </c>
      <c r="D3230">
        <v>215</v>
      </c>
      <c r="E3230" t="s">
        <v>667</v>
      </c>
      <c r="F3230" t="s">
        <v>1511</v>
      </c>
      <c r="G3230" s="9">
        <v>44823</v>
      </c>
    </row>
    <row r="3231" spans="1:7" ht="14.25" customHeight="1">
      <c r="A3231" s="8">
        <f t="shared" si="12"/>
        <v>5750</v>
      </c>
      <c r="B3231" s="8"/>
      <c r="C3231" s="8">
        <v>5750</v>
      </c>
      <c r="D3231">
        <v>220</v>
      </c>
      <c r="E3231" t="s">
        <v>667</v>
      </c>
      <c r="F3231" t="s">
        <v>1512</v>
      </c>
      <c r="G3231" s="9">
        <v>44831</v>
      </c>
    </row>
    <row r="3232" spans="1:7" ht="14.25" customHeight="1">
      <c r="A3232" s="8">
        <f t="shared" si="12"/>
        <v>5520</v>
      </c>
      <c r="B3232" s="8"/>
      <c r="C3232" s="8">
        <v>5520</v>
      </c>
      <c r="D3232">
        <v>255</v>
      </c>
      <c r="E3232" t="s">
        <v>667</v>
      </c>
      <c r="F3232" t="s">
        <v>1513</v>
      </c>
      <c r="G3232" s="9">
        <v>44889</v>
      </c>
    </row>
    <row r="3233" spans="1:7" ht="14.25" customHeight="1">
      <c r="A3233" s="8">
        <f t="shared" si="12"/>
        <v>40020</v>
      </c>
      <c r="B3233" s="8"/>
      <c r="C3233" s="8">
        <v>40020</v>
      </c>
    </row>
    <row r="3234" spans="1:7" ht="14.25" customHeight="1">
      <c r="A3234" s="8">
        <f t="shared" si="12"/>
        <v>0</v>
      </c>
      <c r="B3234" s="8"/>
      <c r="C3234" s="8"/>
      <c r="F3234" t="s">
        <v>1514</v>
      </c>
      <c r="G3234">
        <v>63831000</v>
      </c>
    </row>
    <row r="3235" spans="1:7" ht="14.25" customHeight="1">
      <c r="A3235" s="8">
        <f t="shared" si="12"/>
        <v>465848</v>
      </c>
      <c r="B3235" s="8"/>
      <c r="C3235" s="8">
        <v>465848</v>
      </c>
      <c r="D3235">
        <v>10</v>
      </c>
      <c r="E3235" t="s">
        <v>579</v>
      </c>
      <c r="F3235" t="s">
        <v>1515</v>
      </c>
      <c r="G3235" s="9">
        <v>44589</v>
      </c>
    </row>
    <row r="3236" spans="1:7" ht="14.25" customHeight="1">
      <c r="A3236" s="8">
        <f t="shared" si="12"/>
        <v>17020</v>
      </c>
      <c r="B3236" s="8"/>
      <c r="C3236" s="8">
        <v>17020</v>
      </c>
      <c r="D3236">
        <v>46</v>
      </c>
      <c r="E3236" t="s">
        <v>667</v>
      </c>
      <c r="F3236" t="s">
        <v>1516</v>
      </c>
      <c r="G3236" s="9">
        <v>44643</v>
      </c>
    </row>
    <row r="3237" spans="1:7" ht="14.25" customHeight="1">
      <c r="A3237" s="8">
        <f t="shared" si="12"/>
        <v>3450</v>
      </c>
      <c r="B3237" s="8"/>
      <c r="C3237" s="8">
        <v>3450</v>
      </c>
      <c r="D3237">
        <v>102</v>
      </c>
      <c r="E3237" t="s">
        <v>667</v>
      </c>
      <c r="F3237" t="s">
        <v>1517</v>
      </c>
      <c r="G3237" s="9">
        <v>44719</v>
      </c>
    </row>
    <row r="3238" spans="1:7" ht="14.25" customHeight="1">
      <c r="A3238" s="8">
        <f t="shared" si="12"/>
        <v>486318</v>
      </c>
      <c r="B3238" s="8"/>
      <c r="C3238" s="8">
        <v>486318</v>
      </c>
    </row>
    <row r="3239" spans="1:7" ht="14.25" customHeight="1">
      <c r="A3239" s="8">
        <f t="shared" si="12"/>
        <v>0</v>
      </c>
      <c r="B3239" s="8"/>
      <c r="C3239" s="8"/>
      <c r="F3239" t="s">
        <v>592</v>
      </c>
      <c r="G3239">
        <v>63833</v>
      </c>
    </row>
    <row r="3240" spans="1:7" ht="14.25" customHeight="1">
      <c r="A3240" s="8">
        <f t="shared" si="12"/>
        <v>5750</v>
      </c>
      <c r="B3240" s="8"/>
      <c r="C3240" s="8">
        <v>5750</v>
      </c>
      <c r="D3240">
        <v>2</v>
      </c>
      <c r="E3240" t="s">
        <v>667</v>
      </c>
      <c r="F3240" t="s">
        <v>1518</v>
      </c>
      <c r="G3240" s="9">
        <v>44566</v>
      </c>
    </row>
    <row r="3241" spans="1:7" ht="14.25" customHeight="1">
      <c r="A3241" s="8">
        <f t="shared" si="12"/>
        <v>4600</v>
      </c>
      <c r="B3241" s="8"/>
      <c r="C3241" s="8">
        <v>4600</v>
      </c>
      <c r="D3241">
        <v>10</v>
      </c>
      <c r="E3241" t="s">
        <v>667</v>
      </c>
      <c r="F3241" t="s">
        <v>1519</v>
      </c>
      <c r="G3241" s="9">
        <v>44587</v>
      </c>
    </row>
    <row r="3242" spans="1:7" ht="14.25" customHeight="1">
      <c r="A3242" s="8">
        <f t="shared" si="12"/>
        <v>4600</v>
      </c>
      <c r="B3242" s="8"/>
      <c r="C3242" s="8">
        <v>4600</v>
      </c>
      <c r="D3242">
        <v>14</v>
      </c>
      <c r="E3242" t="s">
        <v>667</v>
      </c>
      <c r="F3242" t="s">
        <v>1520</v>
      </c>
      <c r="G3242" s="9">
        <v>44606</v>
      </c>
    </row>
    <row r="3243" spans="1:7" ht="14.25" customHeight="1">
      <c r="A3243" s="8">
        <f t="shared" si="12"/>
        <v>26019</v>
      </c>
      <c r="B3243" s="8"/>
      <c r="C3243" s="8">
        <v>26019</v>
      </c>
      <c r="D3243">
        <v>34</v>
      </c>
      <c r="E3243" t="s">
        <v>667</v>
      </c>
      <c r="F3243" t="s">
        <v>1521</v>
      </c>
      <c r="G3243" s="9">
        <v>44620</v>
      </c>
    </row>
    <row r="3244" spans="1:7" ht="14.25" customHeight="1">
      <c r="A3244" s="8">
        <f t="shared" si="12"/>
        <v>14386</v>
      </c>
      <c r="B3244" s="8"/>
      <c r="C3244" s="8">
        <v>14386</v>
      </c>
      <c r="D3244">
        <v>37</v>
      </c>
      <c r="E3244" t="s">
        <v>667</v>
      </c>
      <c r="F3244" t="s">
        <v>1522</v>
      </c>
      <c r="G3244" s="9">
        <v>44624</v>
      </c>
    </row>
    <row r="3245" spans="1:7" ht="14.25" customHeight="1">
      <c r="A3245" s="8">
        <f t="shared" si="12"/>
        <v>22495</v>
      </c>
      <c r="B3245" s="8"/>
      <c r="C3245" s="8">
        <v>22495</v>
      </c>
      <c r="D3245">
        <v>57</v>
      </c>
      <c r="E3245" t="s">
        <v>667</v>
      </c>
      <c r="F3245" t="s">
        <v>1523</v>
      </c>
      <c r="G3245" s="9">
        <v>44624</v>
      </c>
    </row>
    <row r="3246" spans="1:7" ht="14.25" customHeight="1">
      <c r="A3246" s="8">
        <f t="shared" si="12"/>
        <v>57356</v>
      </c>
      <c r="B3246" s="8"/>
      <c r="C3246" s="8">
        <v>57356</v>
      </c>
      <c r="D3246">
        <v>56</v>
      </c>
      <c r="E3246" t="s">
        <v>667</v>
      </c>
      <c r="F3246" t="s">
        <v>1524</v>
      </c>
      <c r="G3246" s="9">
        <v>44628</v>
      </c>
    </row>
    <row r="3247" spans="1:7" ht="14.25" customHeight="1">
      <c r="A3247" s="8">
        <f t="shared" si="12"/>
        <v>3680</v>
      </c>
      <c r="B3247" s="8"/>
      <c r="C3247" s="8">
        <v>3680</v>
      </c>
      <c r="D3247">
        <v>55</v>
      </c>
      <c r="E3247" t="s">
        <v>667</v>
      </c>
      <c r="F3247" t="s">
        <v>1525</v>
      </c>
      <c r="G3247" s="9">
        <v>44635</v>
      </c>
    </row>
    <row r="3248" spans="1:7" ht="14.25" customHeight="1">
      <c r="A3248" s="8">
        <f t="shared" si="12"/>
        <v>1955</v>
      </c>
      <c r="B3248" s="8"/>
      <c r="C3248" s="8">
        <v>1955</v>
      </c>
      <c r="D3248">
        <v>54</v>
      </c>
      <c r="E3248" t="s">
        <v>667</v>
      </c>
      <c r="F3248" t="s">
        <v>1526</v>
      </c>
      <c r="G3248" s="9">
        <v>44636</v>
      </c>
    </row>
    <row r="3249" spans="1:7" ht="14.25" customHeight="1">
      <c r="A3249" s="8">
        <f t="shared" si="12"/>
        <v>6900</v>
      </c>
      <c r="B3249" s="8"/>
      <c r="C3249" s="8">
        <v>6900</v>
      </c>
      <c r="D3249">
        <v>50</v>
      </c>
      <c r="E3249" t="s">
        <v>667</v>
      </c>
      <c r="F3249" t="s">
        <v>1527</v>
      </c>
      <c r="G3249" s="9">
        <v>44644</v>
      </c>
    </row>
    <row r="3250" spans="1:7" ht="14.25" customHeight="1">
      <c r="A3250" s="8">
        <f t="shared" si="12"/>
        <v>1955</v>
      </c>
      <c r="B3250" s="8"/>
      <c r="C3250" s="8">
        <v>1955</v>
      </c>
      <c r="D3250">
        <v>59</v>
      </c>
      <c r="E3250" t="s">
        <v>667</v>
      </c>
      <c r="F3250" t="s">
        <v>1528</v>
      </c>
      <c r="G3250" s="9">
        <v>44652</v>
      </c>
    </row>
    <row r="3251" spans="1:7" ht="14.25" customHeight="1">
      <c r="A3251" s="8">
        <f t="shared" si="12"/>
        <v>3680</v>
      </c>
      <c r="B3251" s="8"/>
      <c r="C3251" s="8">
        <v>3680</v>
      </c>
      <c r="D3251">
        <v>59</v>
      </c>
      <c r="E3251" t="s">
        <v>667</v>
      </c>
      <c r="F3251" t="s">
        <v>1529</v>
      </c>
      <c r="G3251" s="9">
        <v>44652</v>
      </c>
    </row>
    <row r="3252" spans="1:7" ht="14.25" customHeight="1">
      <c r="A3252" s="8">
        <f t="shared" si="12"/>
        <v>3680</v>
      </c>
      <c r="B3252" s="8"/>
      <c r="C3252" s="8">
        <v>3680</v>
      </c>
      <c r="D3252">
        <v>71</v>
      </c>
      <c r="E3252" t="s">
        <v>667</v>
      </c>
      <c r="F3252" t="s">
        <v>1530</v>
      </c>
      <c r="G3252" s="9">
        <v>44672</v>
      </c>
    </row>
    <row r="3253" spans="1:7" ht="14.25" customHeight="1">
      <c r="A3253" s="8">
        <f t="shared" si="12"/>
        <v>3047</v>
      </c>
      <c r="B3253" s="8"/>
      <c r="C3253" s="8">
        <v>3047</v>
      </c>
      <c r="D3253">
        <v>71</v>
      </c>
      <c r="E3253" t="s">
        <v>667</v>
      </c>
      <c r="F3253" t="s">
        <v>1531</v>
      </c>
      <c r="G3253" s="9">
        <v>44672</v>
      </c>
    </row>
    <row r="3254" spans="1:7" ht="14.25" customHeight="1">
      <c r="A3254" s="8">
        <f t="shared" si="12"/>
        <v>1472</v>
      </c>
      <c r="B3254" s="8"/>
      <c r="C3254" s="8">
        <v>1472</v>
      </c>
      <c r="D3254">
        <v>91</v>
      </c>
      <c r="E3254" t="s">
        <v>667</v>
      </c>
      <c r="F3254" t="s">
        <v>1532</v>
      </c>
      <c r="G3254" s="9">
        <v>44700</v>
      </c>
    </row>
    <row r="3255" spans="1:7" ht="14.25" customHeight="1">
      <c r="A3255" s="8">
        <f t="shared" si="12"/>
        <v>4807</v>
      </c>
      <c r="B3255" s="8"/>
      <c r="C3255" s="8">
        <v>4807</v>
      </c>
      <c r="D3255">
        <v>93</v>
      </c>
      <c r="E3255" t="s">
        <v>667</v>
      </c>
      <c r="F3255" t="s">
        <v>1533</v>
      </c>
      <c r="G3255" s="9">
        <v>44701</v>
      </c>
    </row>
    <row r="3256" spans="1:7" ht="14.25" customHeight="1">
      <c r="A3256" s="8">
        <f t="shared" si="12"/>
        <v>3881</v>
      </c>
      <c r="B3256" s="8"/>
      <c r="C3256" s="8">
        <v>3881</v>
      </c>
      <c r="D3256">
        <v>112</v>
      </c>
      <c r="E3256" t="s">
        <v>667</v>
      </c>
      <c r="F3256" t="s">
        <v>1534</v>
      </c>
      <c r="G3256" s="9">
        <v>44727</v>
      </c>
    </row>
    <row r="3257" spans="1:7" ht="14.25" customHeight="1">
      <c r="A3257" s="8">
        <f t="shared" si="12"/>
        <v>4025</v>
      </c>
      <c r="B3257" s="8"/>
      <c r="C3257" s="8">
        <v>4025</v>
      </c>
      <c r="D3257">
        <v>113</v>
      </c>
      <c r="E3257" t="s">
        <v>667</v>
      </c>
      <c r="F3257" t="s">
        <v>1535</v>
      </c>
      <c r="G3257" s="9">
        <v>44727</v>
      </c>
    </row>
    <row r="3258" spans="1:7" ht="14.25" customHeight="1">
      <c r="A3258" s="8">
        <f t="shared" si="12"/>
        <v>2300</v>
      </c>
      <c r="B3258" s="8"/>
      <c r="C3258" s="8">
        <v>2300</v>
      </c>
      <c r="D3258">
        <v>121</v>
      </c>
      <c r="E3258" t="s">
        <v>667</v>
      </c>
      <c r="F3258" t="s">
        <v>1536</v>
      </c>
      <c r="G3258" s="9">
        <v>44732</v>
      </c>
    </row>
    <row r="3259" spans="1:7" ht="14.25" customHeight="1">
      <c r="A3259" s="8">
        <f t="shared" si="12"/>
        <v>3881</v>
      </c>
      <c r="B3259" s="8"/>
      <c r="C3259" s="8">
        <v>3881</v>
      </c>
      <c r="D3259">
        <v>130</v>
      </c>
      <c r="E3259" t="s">
        <v>667</v>
      </c>
      <c r="F3259" t="s">
        <v>1537</v>
      </c>
      <c r="G3259" s="9">
        <v>44739</v>
      </c>
    </row>
    <row r="3260" spans="1:7" ht="14.25" customHeight="1">
      <c r="A3260" s="8">
        <f t="shared" si="12"/>
        <v>27600</v>
      </c>
      <c r="B3260" s="8"/>
      <c r="C3260" s="8">
        <v>27600</v>
      </c>
      <c r="D3260">
        <v>152</v>
      </c>
      <c r="E3260" t="s">
        <v>667</v>
      </c>
      <c r="F3260" t="s">
        <v>1538</v>
      </c>
      <c r="G3260" s="9">
        <v>44761</v>
      </c>
    </row>
    <row r="3261" spans="1:7" ht="14.25" customHeight="1">
      <c r="A3261" s="8">
        <f t="shared" si="12"/>
        <v>14662</v>
      </c>
      <c r="B3261" s="8"/>
      <c r="C3261" s="8">
        <v>14662</v>
      </c>
      <c r="D3261">
        <v>163</v>
      </c>
      <c r="E3261" t="s">
        <v>667</v>
      </c>
      <c r="F3261" t="s">
        <v>1539</v>
      </c>
      <c r="G3261" s="9">
        <v>44783</v>
      </c>
    </row>
    <row r="3262" spans="1:7" ht="14.25" customHeight="1">
      <c r="A3262" s="8">
        <f t="shared" si="12"/>
        <v>1035</v>
      </c>
      <c r="B3262" s="8"/>
      <c r="C3262" s="8">
        <v>1035</v>
      </c>
      <c r="D3262">
        <v>161</v>
      </c>
      <c r="E3262" t="s">
        <v>667</v>
      </c>
      <c r="F3262" t="s">
        <v>1540</v>
      </c>
      <c r="G3262" s="9">
        <v>44783</v>
      </c>
    </row>
    <row r="3263" spans="1:7" ht="14.25" customHeight="1">
      <c r="A3263" s="8">
        <f t="shared" si="12"/>
        <v>17250</v>
      </c>
      <c r="B3263" s="8"/>
      <c r="C3263" s="8">
        <v>17250</v>
      </c>
      <c r="D3263">
        <v>164</v>
      </c>
      <c r="E3263" t="s">
        <v>667</v>
      </c>
      <c r="F3263" t="s">
        <v>1541</v>
      </c>
      <c r="G3263" s="9">
        <v>44784</v>
      </c>
    </row>
    <row r="3264" spans="1:7" ht="14.25" customHeight="1">
      <c r="A3264" s="8">
        <f t="shared" si="12"/>
        <v>11213</v>
      </c>
      <c r="B3264" s="8"/>
      <c r="C3264" s="8">
        <v>11213</v>
      </c>
      <c r="D3264">
        <v>165</v>
      </c>
      <c r="E3264" t="s">
        <v>667</v>
      </c>
      <c r="F3264" t="s">
        <v>1542</v>
      </c>
      <c r="G3264" s="9">
        <v>44784</v>
      </c>
    </row>
    <row r="3265" spans="1:7" ht="14.25" customHeight="1">
      <c r="A3265" s="8">
        <f t="shared" si="12"/>
        <v>2329</v>
      </c>
      <c r="B3265" s="8"/>
      <c r="C3265" s="8">
        <v>2329</v>
      </c>
      <c r="D3265">
        <v>174</v>
      </c>
      <c r="E3265" t="s">
        <v>667</v>
      </c>
      <c r="F3265" t="s">
        <v>1543</v>
      </c>
      <c r="G3265" s="9">
        <v>44790</v>
      </c>
    </row>
    <row r="3266" spans="1:7" ht="14.25" customHeight="1">
      <c r="A3266" s="8">
        <f t="shared" si="12"/>
        <v>1035</v>
      </c>
      <c r="B3266" s="8"/>
      <c r="C3266" s="8">
        <v>1035</v>
      </c>
      <c r="D3266">
        <v>183</v>
      </c>
      <c r="E3266" t="s">
        <v>667</v>
      </c>
      <c r="F3266" t="s">
        <v>1544</v>
      </c>
      <c r="G3266" s="9">
        <v>44802</v>
      </c>
    </row>
    <row r="3267" spans="1:7" ht="14.25" customHeight="1">
      <c r="A3267" s="8">
        <f t="shared" si="12"/>
        <v>6900</v>
      </c>
      <c r="B3267" s="8"/>
      <c r="C3267" s="8">
        <v>6900</v>
      </c>
      <c r="D3267">
        <v>190</v>
      </c>
      <c r="E3267" t="s">
        <v>667</v>
      </c>
      <c r="F3267" t="s">
        <v>1545</v>
      </c>
      <c r="G3267" s="9">
        <v>44803</v>
      </c>
    </row>
    <row r="3268" spans="1:7" ht="14.25" customHeight="1">
      <c r="A3268" s="8">
        <f t="shared" si="12"/>
        <v>14950</v>
      </c>
      <c r="B3268" s="8"/>
      <c r="C3268" s="8">
        <v>14950</v>
      </c>
      <c r="D3268">
        <v>203</v>
      </c>
      <c r="E3268" t="s">
        <v>667</v>
      </c>
      <c r="F3268" t="s">
        <v>1546</v>
      </c>
      <c r="G3268" s="9">
        <v>44811</v>
      </c>
    </row>
    <row r="3269" spans="1:7" ht="14.25" customHeight="1">
      <c r="A3269" s="8">
        <f t="shared" si="12"/>
        <v>87458</v>
      </c>
      <c r="B3269" s="8"/>
      <c r="C3269" s="8">
        <v>87458</v>
      </c>
      <c r="D3269">
        <v>107</v>
      </c>
      <c r="E3269" t="s">
        <v>594</v>
      </c>
      <c r="F3269" t="s">
        <v>1547</v>
      </c>
      <c r="G3269" s="9">
        <v>44812</v>
      </c>
    </row>
    <row r="3270" spans="1:7" ht="14.25" customHeight="1">
      <c r="A3270" s="8">
        <f t="shared" si="12"/>
        <v>207000</v>
      </c>
      <c r="B3270" s="8"/>
      <c r="C3270" s="8">
        <v>207000</v>
      </c>
      <c r="D3270">
        <v>290</v>
      </c>
      <c r="E3270" t="s">
        <v>579</v>
      </c>
      <c r="F3270" t="s">
        <v>1548</v>
      </c>
      <c r="G3270" s="9">
        <v>44820</v>
      </c>
    </row>
    <row r="3271" spans="1:7" ht="14.25" customHeight="1">
      <c r="A3271" s="8">
        <f t="shared" si="12"/>
        <v>6900</v>
      </c>
      <c r="B3271" s="8"/>
      <c r="C3271" s="8">
        <v>6900</v>
      </c>
      <c r="D3271">
        <v>216</v>
      </c>
      <c r="E3271" t="s">
        <v>667</v>
      </c>
      <c r="F3271" t="s">
        <v>1549</v>
      </c>
      <c r="G3271" s="9">
        <v>44824</v>
      </c>
    </row>
    <row r="3272" spans="1:7" ht="14.25" customHeight="1">
      <c r="A3272" s="8">
        <f t="shared" si="12"/>
        <v>25300</v>
      </c>
      <c r="B3272" s="8"/>
      <c r="C3272" s="8">
        <v>25300</v>
      </c>
      <c r="D3272">
        <v>236</v>
      </c>
      <c r="E3272" t="s">
        <v>667</v>
      </c>
      <c r="F3272" t="s">
        <v>1550</v>
      </c>
      <c r="G3272" s="9">
        <v>44854</v>
      </c>
    </row>
    <row r="3273" spans="1:7" ht="14.25" customHeight="1">
      <c r="A3273" s="8">
        <f t="shared" si="12"/>
        <v>6670</v>
      </c>
      <c r="B3273" s="8"/>
      <c r="C3273" s="8">
        <v>6670</v>
      </c>
      <c r="D3273">
        <v>237</v>
      </c>
      <c r="E3273" t="s">
        <v>667</v>
      </c>
      <c r="F3273" t="s">
        <v>1551</v>
      </c>
      <c r="G3273" s="9">
        <v>44854</v>
      </c>
    </row>
    <row r="3274" spans="1:7" ht="14.25" customHeight="1">
      <c r="A3274" s="8">
        <f t="shared" si="12"/>
        <v>655500</v>
      </c>
      <c r="B3274" s="8"/>
      <c r="C3274" s="8">
        <v>655500</v>
      </c>
      <c r="D3274">
        <v>430</v>
      </c>
      <c r="E3274" t="s">
        <v>579</v>
      </c>
      <c r="F3274" t="s">
        <v>1552</v>
      </c>
      <c r="G3274" s="9">
        <v>44923</v>
      </c>
    </row>
    <row r="3275" spans="1:7" ht="14.25" customHeight="1">
      <c r="A3275" s="8">
        <f t="shared" si="12"/>
        <v>208380</v>
      </c>
      <c r="B3275" s="8"/>
      <c r="C3275" s="8">
        <v>208380</v>
      </c>
      <c r="D3275">
        <v>432</v>
      </c>
      <c r="E3275" t="s">
        <v>579</v>
      </c>
      <c r="F3275" t="s">
        <v>1553</v>
      </c>
      <c r="G3275" s="9">
        <v>44925</v>
      </c>
    </row>
    <row r="3276" spans="1:7" ht="14.25" customHeight="1">
      <c r="A3276" s="8">
        <f t="shared" si="12"/>
        <v>1474652</v>
      </c>
      <c r="B3276" s="8"/>
      <c r="C3276" s="8">
        <v>1474652</v>
      </c>
    </row>
    <row r="3277" spans="1:7" ht="14.25" customHeight="1">
      <c r="A3277" s="8">
        <f t="shared" si="12"/>
        <v>2415708</v>
      </c>
      <c r="B3277" s="8"/>
      <c r="C3277" s="8">
        <v>2415708</v>
      </c>
      <c r="E3277">
        <v>9104015</v>
      </c>
      <c r="F3277" t="s">
        <v>480</v>
      </c>
      <c r="G3277" t="s">
        <v>581</v>
      </c>
    </row>
    <row r="3278" spans="1:7" ht="14.25" customHeight="1">
      <c r="A3278" s="8">
        <f t="shared" si="12"/>
        <v>0</v>
      </c>
      <c r="B3278" s="8"/>
      <c r="C3278" s="8"/>
      <c r="D3278" t="s">
        <v>481</v>
      </c>
      <c r="G3278">
        <v>9104016</v>
      </c>
    </row>
    <row r="3279" spans="1:7" ht="14.25" customHeight="1">
      <c r="A3279" s="8">
        <f t="shared" si="12"/>
        <v>0</v>
      </c>
      <c r="B3279" s="8"/>
      <c r="C3279" s="8"/>
      <c r="F3279" t="s">
        <v>1202</v>
      </c>
      <c r="G3279">
        <v>63180000</v>
      </c>
    </row>
    <row r="3280" spans="1:7" ht="14.25" customHeight="1">
      <c r="A3280" s="8">
        <f t="shared" si="12"/>
        <v>63842</v>
      </c>
      <c r="B3280" s="8"/>
      <c r="C3280" s="8">
        <v>63842</v>
      </c>
      <c r="D3280">
        <v>514</v>
      </c>
      <c r="E3280" t="s">
        <v>587</v>
      </c>
      <c r="F3280" t="s">
        <v>1554</v>
      </c>
      <c r="G3280" s="9">
        <v>44607</v>
      </c>
    </row>
    <row r="3281" spans="1:7" ht="14.25" customHeight="1">
      <c r="A3281" s="8">
        <f t="shared" si="12"/>
        <v>10120</v>
      </c>
      <c r="B3281" s="8"/>
      <c r="C3281" s="8">
        <v>10120</v>
      </c>
      <c r="D3281">
        <v>656</v>
      </c>
      <c r="E3281" t="s">
        <v>587</v>
      </c>
      <c r="F3281" t="s">
        <v>1555</v>
      </c>
      <c r="G3281" s="9">
        <v>44741</v>
      </c>
    </row>
    <row r="3282" spans="1:7" ht="14.25" customHeight="1">
      <c r="A3282" s="8">
        <f t="shared" si="12"/>
        <v>11234</v>
      </c>
      <c r="B3282" s="8"/>
      <c r="C3282" s="8">
        <v>11234</v>
      </c>
      <c r="D3282">
        <v>657</v>
      </c>
      <c r="E3282" t="s">
        <v>587</v>
      </c>
      <c r="F3282" t="s">
        <v>1556</v>
      </c>
      <c r="G3282" s="9">
        <v>44742</v>
      </c>
    </row>
    <row r="3283" spans="1:7" ht="14.25" customHeight="1">
      <c r="A3283" s="8">
        <f t="shared" si="12"/>
        <v>25300</v>
      </c>
      <c r="B3283" s="8"/>
      <c r="C3283" s="8">
        <v>25300</v>
      </c>
      <c r="D3283">
        <v>658</v>
      </c>
      <c r="E3283" t="s">
        <v>587</v>
      </c>
      <c r="F3283" t="s">
        <v>1557</v>
      </c>
      <c r="G3283" s="9">
        <v>44742</v>
      </c>
    </row>
    <row r="3284" spans="1:7" ht="14.25" customHeight="1">
      <c r="A3284" s="8">
        <f t="shared" si="12"/>
        <v>6900</v>
      </c>
      <c r="B3284" s="8"/>
      <c r="C3284" s="8">
        <v>6900</v>
      </c>
      <c r="D3284">
        <v>830</v>
      </c>
      <c r="E3284" t="s">
        <v>587</v>
      </c>
      <c r="F3284" t="s">
        <v>1558</v>
      </c>
      <c r="G3284" s="9">
        <v>44881</v>
      </c>
    </row>
    <row r="3285" spans="1:7" ht="14.25" customHeight="1">
      <c r="A3285" s="8">
        <f t="shared" si="12"/>
        <v>117397</v>
      </c>
      <c r="B3285" s="8"/>
      <c r="C3285" s="8">
        <v>117397</v>
      </c>
    </row>
    <row r="3286" spans="1:7" ht="14.25" customHeight="1">
      <c r="A3286" s="8">
        <f t="shared" si="12"/>
        <v>0</v>
      </c>
      <c r="B3286" s="8"/>
      <c r="C3286" s="8"/>
      <c r="F3286" t="s">
        <v>1559</v>
      </c>
      <c r="G3286">
        <v>63181000</v>
      </c>
    </row>
    <row r="3287" spans="1:7" ht="14.25" customHeight="1">
      <c r="A3287" s="8">
        <f t="shared" si="12"/>
        <v>345</v>
      </c>
      <c r="B3287" s="8"/>
      <c r="C3287" s="8">
        <v>345</v>
      </c>
      <c r="D3287">
        <v>273</v>
      </c>
      <c r="E3287" t="s">
        <v>587</v>
      </c>
      <c r="F3287" t="s">
        <v>1560</v>
      </c>
      <c r="G3287" s="9">
        <v>44580</v>
      </c>
    </row>
    <row r="3288" spans="1:7" ht="14.25" customHeight="1">
      <c r="A3288" s="8">
        <f t="shared" si="12"/>
        <v>35</v>
      </c>
      <c r="B3288" s="8"/>
      <c r="C3288" s="8">
        <v>35</v>
      </c>
      <c r="D3288">
        <v>275</v>
      </c>
      <c r="E3288" t="s">
        <v>587</v>
      </c>
      <c r="F3288" t="s">
        <v>1561</v>
      </c>
      <c r="G3288" s="9">
        <v>44580</v>
      </c>
    </row>
    <row r="3289" spans="1:7" ht="14.25" customHeight="1">
      <c r="A3289" s="8">
        <f t="shared" si="12"/>
        <v>345</v>
      </c>
      <c r="B3289" s="8"/>
      <c r="C3289" s="8">
        <v>345</v>
      </c>
      <c r="D3289">
        <v>282</v>
      </c>
      <c r="E3289" t="s">
        <v>587</v>
      </c>
      <c r="F3289" t="s">
        <v>1562</v>
      </c>
      <c r="G3289" s="9">
        <v>44580</v>
      </c>
    </row>
    <row r="3290" spans="1:7" ht="14.25" customHeight="1">
      <c r="A3290" s="8">
        <f t="shared" si="12"/>
        <v>35</v>
      </c>
      <c r="B3290" s="8"/>
      <c r="C3290" s="8">
        <v>35</v>
      </c>
      <c r="D3290">
        <v>284</v>
      </c>
      <c r="E3290" t="s">
        <v>587</v>
      </c>
      <c r="F3290" t="s">
        <v>1563</v>
      </c>
      <c r="G3290" s="9">
        <v>44580</v>
      </c>
    </row>
    <row r="3291" spans="1:7" ht="14.25" customHeight="1">
      <c r="A3291" s="8">
        <f t="shared" si="12"/>
        <v>35</v>
      </c>
      <c r="B3291" s="8"/>
      <c r="C3291" s="8">
        <v>35</v>
      </c>
      <c r="D3291">
        <v>297</v>
      </c>
      <c r="E3291" t="s">
        <v>587</v>
      </c>
      <c r="F3291" t="s">
        <v>1564</v>
      </c>
      <c r="G3291" s="9">
        <v>44580</v>
      </c>
    </row>
    <row r="3292" spans="1:7" ht="14.25" customHeight="1">
      <c r="A3292" s="8">
        <f t="shared" si="12"/>
        <v>16655</v>
      </c>
      <c r="B3292" s="8"/>
      <c r="C3292" s="8">
        <v>16655</v>
      </c>
      <c r="D3292">
        <v>492</v>
      </c>
      <c r="E3292" t="s">
        <v>587</v>
      </c>
      <c r="F3292" t="s">
        <v>1565</v>
      </c>
      <c r="G3292" s="9">
        <v>44592</v>
      </c>
    </row>
    <row r="3293" spans="1:7" ht="14.25" customHeight="1">
      <c r="A3293" s="8">
        <f t="shared" si="12"/>
        <v>345</v>
      </c>
      <c r="B3293" s="8"/>
      <c r="C3293" s="8">
        <v>345</v>
      </c>
      <c r="D3293">
        <v>318</v>
      </c>
      <c r="E3293" t="s">
        <v>587</v>
      </c>
      <c r="F3293" t="s">
        <v>1566</v>
      </c>
      <c r="G3293" s="9">
        <v>44593</v>
      </c>
    </row>
    <row r="3294" spans="1:7" ht="14.25" customHeight="1">
      <c r="A3294" s="8">
        <f t="shared" si="12"/>
        <v>35</v>
      </c>
      <c r="B3294" s="8"/>
      <c r="C3294" s="8">
        <v>35</v>
      </c>
      <c r="D3294">
        <v>320</v>
      </c>
      <c r="E3294" t="s">
        <v>587</v>
      </c>
      <c r="F3294" t="s">
        <v>1567</v>
      </c>
      <c r="G3294" s="9">
        <v>44593</v>
      </c>
    </row>
    <row r="3295" spans="1:7" ht="14.25" customHeight="1">
      <c r="A3295" s="8">
        <f t="shared" si="12"/>
        <v>345</v>
      </c>
      <c r="B3295" s="8"/>
      <c r="C3295" s="8">
        <v>345</v>
      </c>
      <c r="D3295">
        <v>321</v>
      </c>
      <c r="E3295" t="s">
        <v>587</v>
      </c>
      <c r="F3295" t="s">
        <v>1568</v>
      </c>
      <c r="G3295" s="9">
        <v>44593</v>
      </c>
    </row>
    <row r="3296" spans="1:7" ht="14.25" customHeight="1">
      <c r="A3296" s="8">
        <f t="shared" si="12"/>
        <v>35</v>
      </c>
      <c r="B3296" s="8"/>
      <c r="C3296" s="8">
        <v>35</v>
      </c>
      <c r="D3296">
        <v>323</v>
      </c>
      <c r="E3296" t="s">
        <v>587</v>
      </c>
      <c r="F3296" t="s">
        <v>1568</v>
      </c>
      <c r="G3296" s="9">
        <v>44593</v>
      </c>
    </row>
    <row r="3297" spans="1:7" ht="14.25" customHeight="1">
      <c r="A3297" s="8">
        <f t="shared" si="12"/>
        <v>35</v>
      </c>
      <c r="B3297" s="8"/>
      <c r="C3297" s="8">
        <v>35</v>
      </c>
      <c r="D3297">
        <v>324</v>
      </c>
      <c r="E3297" t="s">
        <v>587</v>
      </c>
      <c r="F3297" t="s">
        <v>1569</v>
      </c>
      <c r="G3297" s="9">
        <v>44593</v>
      </c>
    </row>
    <row r="3298" spans="1:7" ht="14.25" customHeight="1">
      <c r="A3298" s="8">
        <f t="shared" si="12"/>
        <v>1139</v>
      </c>
      <c r="B3298" s="8"/>
      <c r="C3298" s="8">
        <v>1139</v>
      </c>
      <c r="D3298">
        <v>499</v>
      </c>
      <c r="E3298" t="s">
        <v>587</v>
      </c>
      <c r="F3298" t="s">
        <v>1570</v>
      </c>
      <c r="G3298" s="9">
        <v>44593</v>
      </c>
    </row>
    <row r="3299" spans="1:7" ht="14.25" customHeight="1">
      <c r="A3299" s="8">
        <f t="shared" si="12"/>
        <v>759</v>
      </c>
      <c r="B3299" s="8"/>
      <c r="C3299" s="8">
        <v>759</v>
      </c>
      <c r="D3299">
        <v>502</v>
      </c>
      <c r="E3299" t="s">
        <v>587</v>
      </c>
      <c r="F3299" t="s">
        <v>1570</v>
      </c>
      <c r="G3299" s="9">
        <v>44593</v>
      </c>
    </row>
    <row r="3300" spans="1:7" ht="14.25" customHeight="1">
      <c r="A3300" s="8">
        <f t="shared" si="12"/>
        <v>379</v>
      </c>
      <c r="B3300" s="8"/>
      <c r="C3300" s="8">
        <v>379</v>
      </c>
      <c r="D3300">
        <v>513</v>
      </c>
      <c r="E3300" t="s">
        <v>587</v>
      </c>
      <c r="F3300" t="s">
        <v>1571</v>
      </c>
      <c r="G3300" s="9">
        <v>44607</v>
      </c>
    </row>
    <row r="3301" spans="1:7" ht="14.25" customHeight="1">
      <c r="A3301" s="8">
        <f t="shared" si="12"/>
        <v>16067</v>
      </c>
      <c r="B3301" s="8"/>
      <c r="C3301" s="8">
        <v>16067</v>
      </c>
      <c r="D3301">
        <v>520</v>
      </c>
      <c r="E3301" t="s">
        <v>587</v>
      </c>
      <c r="F3301" t="s">
        <v>1572</v>
      </c>
      <c r="G3301" s="9">
        <v>44620</v>
      </c>
    </row>
    <row r="3302" spans="1:7" ht="14.25" customHeight="1">
      <c r="A3302" s="8">
        <f t="shared" si="12"/>
        <v>25300</v>
      </c>
      <c r="B3302" s="8"/>
      <c r="C3302" s="8">
        <v>25300</v>
      </c>
      <c r="D3302">
        <v>521</v>
      </c>
      <c r="E3302" t="s">
        <v>587</v>
      </c>
      <c r="F3302" t="s">
        <v>1573</v>
      </c>
      <c r="G3302" s="9">
        <v>44620</v>
      </c>
    </row>
    <row r="3303" spans="1:7" ht="14.25" customHeight="1">
      <c r="A3303" s="8">
        <f t="shared" si="12"/>
        <v>25300</v>
      </c>
      <c r="B3303" s="8"/>
      <c r="C3303" s="8">
        <v>25300</v>
      </c>
      <c r="D3303">
        <v>580</v>
      </c>
      <c r="E3303" t="s">
        <v>587</v>
      </c>
      <c r="F3303" t="s">
        <v>1574</v>
      </c>
      <c r="G3303" s="9">
        <v>44651</v>
      </c>
    </row>
    <row r="3304" spans="1:7" ht="14.25" customHeight="1">
      <c r="A3304" s="8">
        <f t="shared" si="12"/>
        <v>20616</v>
      </c>
      <c r="B3304" s="8"/>
      <c r="C3304" s="8">
        <v>20616</v>
      </c>
      <c r="D3304">
        <v>581</v>
      </c>
      <c r="E3304" t="s">
        <v>587</v>
      </c>
      <c r="F3304" t="s">
        <v>1575</v>
      </c>
      <c r="G3304" s="9">
        <v>44651</v>
      </c>
    </row>
    <row r="3305" spans="1:7" ht="14.25" customHeight="1">
      <c r="A3305" s="8">
        <f t="shared" si="12"/>
        <v>5060</v>
      </c>
      <c r="B3305" s="8"/>
      <c r="C3305" s="8">
        <v>5060</v>
      </c>
      <c r="D3305">
        <v>603</v>
      </c>
      <c r="E3305" t="s">
        <v>587</v>
      </c>
      <c r="F3305" t="s">
        <v>1576</v>
      </c>
      <c r="G3305" s="9">
        <v>44678</v>
      </c>
    </row>
    <row r="3306" spans="1:7" ht="14.25" customHeight="1">
      <c r="A3306" s="8">
        <f t="shared" si="12"/>
        <v>19466</v>
      </c>
      <c r="B3306" s="8"/>
      <c r="C3306" s="8">
        <v>19466</v>
      </c>
      <c r="D3306">
        <v>605</v>
      </c>
      <c r="E3306" t="s">
        <v>587</v>
      </c>
      <c r="F3306" t="s">
        <v>1575</v>
      </c>
      <c r="G3306" s="9">
        <v>44680</v>
      </c>
    </row>
    <row r="3307" spans="1:7" ht="14.25" customHeight="1">
      <c r="A3307" s="8">
        <f t="shared" si="12"/>
        <v>25300</v>
      </c>
      <c r="B3307" s="8"/>
      <c r="C3307" s="8">
        <v>25300</v>
      </c>
      <c r="D3307">
        <v>606</v>
      </c>
      <c r="E3307" t="s">
        <v>587</v>
      </c>
      <c r="F3307" t="s">
        <v>1577</v>
      </c>
      <c r="G3307" s="9">
        <v>44680</v>
      </c>
    </row>
    <row r="3308" spans="1:7" ht="14.25" customHeight="1">
      <c r="A3308" s="8">
        <f t="shared" si="12"/>
        <v>16952</v>
      </c>
      <c r="B3308" s="8"/>
      <c r="C3308" s="8">
        <v>16952</v>
      </c>
      <c r="D3308">
        <v>645</v>
      </c>
      <c r="E3308" t="s">
        <v>587</v>
      </c>
      <c r="F3308" t="s">
        <v>1578</v>
      </c>
      <c r="G3308" s="9">
        <v>44712</v>
      </c>
    </row>
    <row r="3309" spans="1:7" ht="14.25" customHeight="1">
      <c r="A3309" s="8">
        <f t="shared" si="12"/>
        <v>25300</v>
      </c>
      <c r="B3309" s="8"/>
      <c r="C3309" s="8">
        <v>25300</v>
      </c>
      <c r="D3309">
        <v>646</v>
      </c>
      <c r="E3309" t="s">
        <v>587</v>
      </c>
      <c r="F3309" t="s">
        <v>1579</v>
      </c>
      <c r="G3309" s="9">
        <v>44712</v>
      </c>
    </row>
    <row r="3310" spans="1:7" ht="14.25" customHeight="1">
      <c r="A3310" s="8">
        <f t="shared" si="12"/>
        <v>379</v>
      </c>
      <c r="B3310" s="8"/>
      <c r="C3310" s="8">
        <v>379</v>
      </c>
      <c r="D3310">
        <v>651</v>
      </c>
      <c r="E3310" t="s">
        <v>587</v>
      </c>
      <c r="F3310" t="s">
        <v>1580</v>
      </c>
      <c r="G3310" s="9">
        <v>44727</v>
      </c>
    </row>
    <row r="3311" spans="1:7" ht="14.25" customHeight="1">
      <c r="A3311" s="8">
        <f t="shared" si="12"/>
        <v>379</v>
      </c>
      <c r="B3311" s="8"/>
      <c r="C3311" s="8">
        <v>379</v>
      </c>
      <c r="D3311">
        <v>679</v>
      </c>
      <c r="E3311" t="s">
        <v>587</v>
      </c>
      <c r="F3311" t="s">
        <v>1581</v>
      </c>
      <c r="G3311" s="9">
        <v>44749</v>
      </c>
    </row>
    <row r="3312" spans="1:7" ht="14.25" customHeight="1">
      <c r="A3312" s="8">
        <f t="shared" si="12"/>
        <v>10120</v>
      </c>
      <c r="B3312" s="8"/>
      <c r="C3312" s="8">
        <v>10120</v>
      </c>
      <c r="D3312">
        <v>693</v>
      </c>
      <c r="E3312" t="s">
        <v>587</v>
      </c>
      <c r="F3312" t="s">
        <v>1582</v>
      </c>
      <c r="G3312" s="9">
        <v>44771</v>
      </c>
    </row>
    <row r="3313" spans="1:7" ht="14.25" customHeight="1">
      <c r="A3313" s="8">
        <f t="shared" si="12"/>
        <v>19406</v>
      </c>
      <c r="B3313" s="8"/>
      <c r="C3313" s="8">
        <v>19406</v>
      </c>
      <c r="D3313">
        <v>694</v>
      </c>
      <c r="E3313" t="s">
        <v>587</v>
      </c>
      <c r="F3313" t="s">
        <v>1556</v>
      </c>
      <c r="G3313" s="9">
        <v>44771</v>
      </c>
    </row>
    <row r="3314" spans="1:7" ht="14.25" customHeight="1">
      <c r="A3314" s="8">
        <f t="shared" si="12"/>
        <v>25300</v>
      </c>
      <c r="B3314" s="8"/>
      <c r="C3314" s="8">
        <v>25300</v>
      </c>
      <c r="D3314">
        <v>695</v>
      </c>
      <c r="E3314" t="s">
        <v>587</v>
      </c>
      <c r="F3314" t="s">
        <v>1557</v>
      </c>
      <c r="G3314" s="9">
        <v>44771</v>
      </c>
    </row>
    <row r="3315" spans="1:7" ht="14.25" customHeight="1">
      <c r="A3315" s="8">
        <f t="shared" si="12"/>
        <v>7544</v>
      </c>
      <c r="B3315" s="8"/>
      <c r="C3315" s="8">
        <v>7544</v>
      </c>
      <c r="D3315">
        <v>723</v>
      </c>
      <c r="E3315" t="s">
        <v>587</v>
      </c>
      <c r="F3315" t="s">
        <v>1583</v>
      </c>
      <c r="G3315" s="9">
        <v>44811</v>
      </c>
    </row>
    <row r="3316" spans="1:7" ht="14.25" customHeight="1">
      <c r="A3316" s="8">
        <f t="shared" si="12"/>
        <v>10120</v>
      </c>
      <c r="B3316" s="8"/>
      <c r="C3316" s="8">
        <v>10120</v>
      </c>
      <c r="D3316">
        <v>744</v>
      </c>
      <c r="E3316" t="s">
        <v>587</v>
      </c>
      <c r="F3316" t="s">
        <v>1584</v>
      </c>
      <c r="G3316" s="9">
        <v>44834</v>
      </c>
    </row>
    <row r="3317" spans="1:7" ht="14.25" customHeight="1">
      <c r="A3317" s="8">
        <f t="shared" ref="A3317:A3571" si="13">C3317-B3317</f>
        <v>21805</v>
      </c>
      <c r="B3317" s="8"/>
      <c r="C3317" s="8">
        <v>21805</v>
      </c>
      <c r="D3317">
        <v>745</v>
      </c>
      <c r="E3317" t="s">
        <v>587</v>
      </c>
      <c r="F3317" t="s">
        <v>1585</v>
      </c>
      <c r="G3317" s="9">
        <v>44834</v>
      </c>
    </row>
    <row r="3318" spans="1:7" ht="14.25" customHeight="1">
      <c r="A3318" s="8">
        <f t="shared" si="13"/>
        <v>25300</v>
      </c>
      <c r="B3318" s="8"/>
      <c r="C3318" s="8">
        <v>25300</v>
      </c>
      <c r="D3318">
        <v>746</v>
      </c>
      <c r="E3318" t="s">
        <v>587</v>
      </c>
      <c r="F3318" t="s">
        <v>1586</v>
      </c>
      <c r="G3318" s="9">
        <v>44834</v>
      </c>
    </row>
    <row r="3319" spans="1:7" ht="14.25" customHeight="1">
      <c r="A3319" s="8">
        <f t="shared" si="13"/>
        <v>10120</v>
      </c>
      <c r="B3319" s="8"/>
      <c r="C3319" s="8">
        <v>10120</v>
      </c>
      <c r="D3319">
        <v>839</v>
      </c>
      <c r="E3319" t="s">
        <v>587</v>
      </c>
      <c r="F3319" t="s">
        <v>1587</v>
      </c>
      <c r="G3319" s="9">
        <v>44894</v>
      </c>
    </row>
    <row r="3320" spans="1:7" ht="14.25" customHeight="1">
      <c r="A3320" s="8">
        <f t="shared" si="13"/>
        <v>22218</v>
      </c>
      <c r="B3320" s="8"/>
      <c r="C3320" s="8">
        <v>22218</v>
      </c>
      <c r="D3320">
        <v>840</v>
      </c>
      <c r="E3320" t="s">
        <v>587</v>
      </c>
      <c r="F3320" t="s">
        <v>1588</v>
      </c>
      <c r="G3320" s="9">
        <v>44895</v>
      </c>
    </row>
    <row r="3321" spans="1:7" ht="14.25" customHeight="1">
      <c r="A3321" s="8">
        <f t="shared" si="13"/>
        <v>4148</v>
      </c>
      <c r="B3321" s="8"/>
      <c r="C3321" s="8">
        <v>4148</v>
      </c>
      <c r="D3321">
        <v>841</v>
      </c>
      <c r="E3321" t="s">
        <v>587</v>
      </c>
      <c r="F3321" t="s">
        <v>1589</v>
      </c>
      <c r="G3321" s="9">
        <v>44895</v>
      </c>
    </row>
    <row r="3322" spans="1:7" ht="14.25" customHeight="1">
      <c r="A3322" s="8">
        <f t="shared" si="13"/>
        <v>6553</v>
      </c>
      <c r="B3322" s="8"/>
      <c r="C3322" s="8">
        <v>6553</v>
      </c>
      <c r="D3322">
        <v>842</v>
      </c>
      <c r="E3322" t="s">
        <v>587</v>
      </c>
      <c r="F3322" t="s">
        <v>1590</v>
      </c>
      <c r="G3322" s="9">
        <v>44895</v>
      </c>
    </row>
    <row r="3323" spans="1:7" ht="14.25" customHeight="1">
      <c r="A3323" s="8">
        <f t="shared" si="13"/>
        <v>25300</v>
      </c>
      <c r="B3323" s="8"/>
      <c r="C3323" s="8">
        <v>25300</v>
      </c>
      <c r="D3323">
        <v>843</v>
      </c>
      <c r="E3323" t="s">
        <v>587</v>
      </c>
      <c r="F3323" t="s">
        <v>1591</v>
      </c>
      <c r="G3323" s="9">
        <v>44895</v>
      </c>
    </row>
    <row r="3324" spans="1:7" ht="14.25" customHeight="1">
      <c r="A3324" s="8">
        <f t="shared" si="13"/>
        <v>379</v>
      </c>
      <c r="B3324" s="8"/>
      <c r="C3324" s="8">
        <v>379</v>
      </c>
      <c r="D3324">
        <v>869</v>
      </c>
      <c r="E3324" t="s">
        <v>587</v>
      </c>
      <c r="F3324" t="s">
        <v>1592</v>
      </c>
      <c r="G3324" s="9">
        <v>44900</v>
      </c>
    </row>
    <row r="3325" spans="1:7" ht="14.25" customHeight="1">
      <c r="A3325" s="8">
        <f t="shared" si="13"/>
        <v>379</v>
      </c>
      <c r="B3325" s="8"/>
      <c r="C3325" s="8">
        <v>379</v>
      </c>
      <c r="D3325">
        <v>877</v>
      </c>
      <c r="E3325" t="s">
        <v>587</v>
      </c>
      <c r="F3325" t="s">
        <v>1593</v>
      </c>
      <c r="G3325" s="9">
        <v>44900</v>
      </c>
    </row>
    <row r="3326" spans="1:7" ht="14.25" customHeight="1">
      <c r="A3326" s="8">
        <f t="shared" si="13"/>
        <v>379</v>
      </c>
      <c r="B3326" s="8"/>
      <c r="C3326" s="8">
        <v>379</v>
      </c>
      <c r="D3326">
        <v>882</v>
      </c>
      <c r="E3326" t="s">
        <v>587</v>
      </c>
      <c r="F3326" t="s">
        <v>1571</v>
      </c>
      <c r="G3326" s="9">
        <v>44900</v>
      </c>
    </row>
    <row r="3327" spans="1:7" ht="14.25" customHeight="1">
      <c r="A3327" s="8">
        <f t="shared" si="13"/>
        <v>379</v>
      </c>
      <c r="B3327" s="8"/>
      <c r="C3327" s="8">
        <v>379</v>
      </c>
      <c r="D3327">
        <v>886</v>
      </c>
      <c r="E3327" t="s">
        <v>587</v>
      </c>
      <c r="F3327" t="s">
        <v>1571</v>
      </c>
      <c r="G3327" s="9">
        <v>44900</v>
      </c>
    </row>
    <row r="3328" spans="1:7" ht="14.25" customHeight="1">
      <c r="A3328" s="8">
        <f t="shared" si="13"/>
        <v>379</v>
      </c>
      <c r="B3328" s="8"/>
      <c r="C3328" s="8">
        <v>379</v>
      </c>
      <c r="D3328">
        <v>894</v>
      </c>
      <c r="E3328" t="s">
        <v>587</v>
      </c>
      <c r="F3328" t="s">
        <v>1594</v>
      </c>
      <c r="G3328" s="9">
        <v>44900</v>
      </c>
    </row>
    <row r="3329" spans="1:7" ht="14.25" customHeight="1">
      <c r="A3329" s="8">
        <f t="shared" si="13"/>
        <v>379</v>
      </c>
      <c r="B3329" s="8"/>
      <c r="C3329" s="8">
        <v>379</v>
      </c>
      <c r="D3329">
        <v>902</v>
      </c>
      <c r="E3329" t="s">
        <v>587</v>
      </c>
      <c r="F3329" t="s">
        <v>1571</v>
      </c>
      <c r="G3329" s="9">
        <v>44903</v>
      </c>
    </row>
    <row r="3330" spans="1:7" ht="14.25" customHeight="1">
      <c r="A3330" s="8">
        <f t="shared" si="13"/>
        <v>379</v>
      </c>
      <c r="B3330" s="8"/>
      <c r="C3330" s="8">
        <v>379</v>
      </c>
      <c r="D3330">
        <v>911</v>
      </c>
      <c r="E3330" t="s">
        <v>587</v>
      </c>
      <c r="F3330" t="s">
        <v>1595</v>
      </c>
      <c r="G3330" s="9">
        <v>44914</v>
      </c>
    </row>
    <row r="3331" spans="1:7" ht="14.25" customHeight="1">
      <c r="A3331" s="8">
        <f t="shared" si="13"/>
        <v>379</v>
      </c>
      <c r="B3331" s="8"/>
      <c r="C3331" s="8">
        <v>379</v>
      </c>
      <c r="D3331">
        <v>923</v>
      </c>
      <c r="E3331" t="s">
        <v>587</v>
      </c>
      <c r="F3331" t="s">
        <v>1596</v>
      </c>
      <c r="G3331" s="9">
        <v>44914</v>
      </c>
    </row>
    <row r="3332" spans="1:7" ht="14.25" customHeight="1">
      <c r="A3332" s="8">
        <f t="shared" si="13"/>
        <v>379</v>
      </c>
      <c r="B3332" s="8"/>
      <c r="C3332" s="8">
        <v>379</v>
      </c>
      <c r="D3332">
        <v>927</v>
      </c>
      <c r="E3332" t="s">
        <v>587</v>
      </c>
      <c r="F3332" t="s">
        <v>1596</v>
      </c>
      <c r="G3332" s="9">
        <v>44914</v>
      </c>
    </row>
    <row r="3333" spans="1:7" ht="14.25" customHeight="1">
      <c r="A3333" s="8">
        <f t="shared" si="13"/>
        <v>379</v>
      </c>
      <c r="B3333" s="8"/>
      <c r="C3333" s="8">
        <v>379</v>
      </c>
      <c r="D3333">
        <v>929</v>
      </c>
      <c r="E3333" t="s">
        <v>587</v>
      </c>
      <c r="F3333" t="s">
        <v>1595</v>
      </c>
      <c r="G3333" s="9">
        <v>44914</v>
      </c>
    </row>
    <row r="3334" spans="1:7" ht="14.25" customHeight="1">
      <c r="A3334" s="8">
        <f t="shared" si="13"/>
        <v>379</v>
      </c>
      <c r="B3334" s="8"/>
      <c r="C3334" s="8">
        <v>379</v>
      </c>
      <c r="D3334">
        <v>941</v>
      </c>
      <c r="E3334" t="s">
        <v>587</v>
      </c>
      <c r="F3334" t="s">
        <v>1595</v>
      </c>
      <c r="G3334" s="9">
        <v>44914</v>
      </c>
    </row>
    <row r="3335" spans="1:7" ht="14.25" customHeight="1">
      <c r="A3335" s="8">
        <f t="shared" si="13"/>
        <v>20240</v>
      </c>
      <c r="B3335" s="8"/>
      <c r="C3335" s="8">
        <v>20240</v>
      </c>
      <c r="D3335">
        <v>952</v>
      </c>
      <c r="E3335" t="s">
        <v>587</v>
      </c>
      <c r="F3335" t="s">
        <v>1597</v>
      </c>
      <c r="G3335" s="9">
        <v>44918</v>
      </c>
    </row>
    <row r="3336" spans="1:7" ht="14.25" customHeight="1">
      <c r="A3336" s="8">
        <f t="shared" si="13"/>
        <v>37170</v>
      </c>
      <c r="B3336" s="8"/>
      <c r="C3336" s="8">
        <v>37170</v>
      </c>
      <c r="D3336">
        <v>953</v>
      </c>
      <c r="E3336" t="s">
        <v>587</v>
      </c>
      <c r="F3336" t="s">
        <v>1598</v>
      </c>
      <c r="G3336" s="9">
        <v>44925</v>
      </c>
    </row>
    <row r="3337" spans="1:7" ht="14.25" customHeight="1">
      <c r="A3337" s="8">
        <f t="shared" si="13"/>
        <v>25300</v>
      </c>
      <c r="B3337" s="8"/>
      <c r="C3337" s="8">
        <v>25300</v>
      </c>
      <c r="D3337">
        <v>954</v>
      </c>
      <c r="E3337" t="s">
        <v>587</v>
      </c>
      <c r="F3337" t="s">
        <v>1599</v>
      </c>
      <c r="G3337" s="9">
        <v>44925</v>
      </c>
    </row>
    <row r="3338" spans="1:7" ht="14.25" customHeight="1">
      <c r="A3338" s="8">
        <f t="shared" si="13"/>
        <v>475458</v>
      </c>
      <c r="B3338" s="8"/>
      <c r="C3338" s="8">
        <v>475458</v>
      </c>
    </row>
    <row r="3339" spans="1:7" ht="14.25" customHeight="1">
      <c r="A3339" s="8">
        <f t="shared" si="13"/>
        <v>592855</v>
      </c>
      <c r="B3339" s="8"/>
      <c r="C3339" s="8">
        <v>592855</v>
      </c>
      <c r="E3339">
        <v>9104016</v>
      </c>
      <c r="F3339" t="s">
        <v>481</v>
      </c>
      <c r="G3339" t="s">
        <v>581</v>
      </c>
    </row>
    <row r="3340" spans="1:7" ht="14.25" customHeight="1">
      <c r="A3340" s="8">
        <f t="shared" si="13"/>
        <v>0</v>
      </c>
      <c r="B3340" s="8"/>
      <c r="C3340" s="8"/>
      <c r="D3340" t="s">
        <v>482</v>
      </c>
      <c r="G3340">
        <v>9104019</v>
      </c>
    </row>
    <row r="3341" spans="1:7" ht="14.25" customHeight="1">
      <c r="A3341" s="8">
        <f t="shared" si="13"/>
        <v>0</v>
      </c>
      <c r="B3341" s="8"/>
      <c r="C3341" s="8"/>
      <c r="F3341" t="s">
        <v>1470</v>
      </c>
      <c r="G3341">
        <v>65820000</v>
      </c>
    </row>
    <row r="3342" spans="1:7" ht="14.25" customHeight="1">
      <c r="A3342" s="8">
        <f t="shared" si="13"/>
        <v>57500</v>
      </c>
      <c r="B3342" s="8"/>
      <c r="C3342" s="8">
        <v>57500</v>
      </c>
      <c r="D3342">
        <v>92</v>
      </c>
      <c r="E3342" t="s">
        <v>667</v>
      </c>
      <c r="F3342" t="s">
        <v>1600</v>
      </c>
      <c r="G3342" s="9">
        <v>44701</v>
      </c>
    </row>
    <row r="3343" spans="1:7" ht="14.25" customHeight="1">
      <c r="A3343" s="8">
        <f t="shared" si="13"/>
        <v>57500</v>
      </c>
      <c r="B3343" s="8"/>
      <c r="C3343" s="8">
        <v>57500</v>
      </c>
      <c r="D3343">
        <v>115</v>
      </c>
      <c r="E3343" t="s">
        <v>667</v>
      </c>
      <c r="F3343" t="s">
        <v>1601</v>
      </c>
      <c r="G3343" s="9">
        <v>44729</v>
      </c>
    </row>
    <row r="3344" spans="1:7" ht="14.25" customHeight="1">
      <c r="A3344" s="8">
        <f t="shared" si="13"/>
        <v>57500</v>
      </c>
      <c r="B3344" s="8"/>
      <c r="C3344" s="8">
        <v>57500</v>
      </c>
      <c r="D3344">
        <v>345</v>
      </c>
      <c r="E3344" t="s">
        <v>587</v>
      </c>
      <c r="F3344" t="s">
        <v>1602</v>
      </c>
      <c r="G3344" s="9">
        <v>44784</v>
      </c>
    </row>
    <row r="3345" spans="1:7" ht="14.25" customHeight="1">
      <c r="A3345" s="8">
        <f t="shared" si="13"/>
        <v>57500</v>
      </c>
      <c r="B3345" s="8"/>
      <c r="C3345" s="8">
        <v>57500</v>
      </c>
      <c r="D3345">
        <v>202</v>
      </c>
      <c r="E3345" t="s">
        <v>667</v>
      </c>
      <c r="F3345" t="s">
        <v>1603</v>
      </c>
      <c r="G3345" s="9">
        <v>44811</v>
      </c>
    </row>
    <row r="3346" spans="1:7" ht="14.25" customHeight="1">
      <c r="A3346" s="8">
        <f t="shared" si="13"/>
        <v>68966</v>
      </c>
      <c r="B3346" s="8"/>
      <c r="C3346" s="8">
        <v>68966</v>
      </c>
      <c r="D3346">
        <v>201</v>
      </c>
      <c r="E3346" t="s">
        <v>667</v>
      </c>
      <c r="F3346" t="s">
        <v>1604</v>
      </c>
      <c r="G3346" s="9">
        <v>44813</v>
      </c>
    </row>
    <row r="3347" spans="1:7" ht="14.25" customHeight="1">
      <c r="A3347" s="8">
        <f t="shared" si="13"/>
        <v>345000</v>
      </c>
      <c r="B3347" s="8"/>
      <c r="C3347" s="8">
        <v>345000</v>
      </c>
      <c r="D3347">
        <v>799</v>
      </c>
      <c r="E3347" t="s">
        <v>587</v>
      </c>
      <c r="F3347" t="s">
        <v>1605</v>
      </c>
      <c r="G3347" s="9">
        <v>44897</v>
      </c>
    </row>
    <row r="3348" spans="1:7" ht="14.25" customHeight="1">
      <c r="A3348" s="8">
        <f t="shared" si="13"/>
        <v>-276000</v>
      </c>
      <c r="B3348" s="8">
        <v>276000</v>
      </c>
      <c r="C3348" s="8"/>
      <c r="D3348">
        <v>120392</v>
      </c>
      <c r="E3348" t="s">
        <v>587</v>
      </c>
      <c r="F3348" t="s">
        <v>1606</v>
      </c>
      <c r="G3348" s="9">
        <v>44925</v>
      </c>
    </row>
    <row r="3349" spans="1:7" ht="14.25" customHeight="1">
      <c r="A3349" s="8">
        <f t="shared" si="13"/>
        <v>367966</v>
      </c>
      <c r="B3349" s="8">
        <v>276000</v>
      </c>
      <c r="C3349" s="8">
        <v>643966</v>
      </c>
    </row>
    <row r="3350" spans="1:7" ht="14.25" customHeight="1">
      <c r="A3350" s="8">
        <f t="shared" si="13"/>
        <v>0</v>
      </c>
      <c r="B3350" s="8"/>
      <c r="C3350" s="8"/>
      <c r="F3350" t="s">
        <v>1607</v>
      </c>
      <c r="G3350">
        <v>65890</v>
      </c>
    </row>
    <row r="3351" spans="1:7" ht="14.25" customHeight="1">
      <c r="A3351" s="8">
        <f t="shared" si="13"/>
        <v>41904</v>
      </c>
      <c r="B3351" s="8"/>
      <c r="C3351" s="8">
        <v>41904</v>
      </c>
      <c r="D3351">
        <v>172</v>
      </c>
      <c r="E3351" t="s">
        <v>587</v>
      </c>
      <c r="F3351" t="s">
        <v>1608</v>
      </c>
      <c r="G3351" s="9">
        <v>44722</v>
      </c>
    </row>
    <row r="3352" spans="1:7" ht="14.25" customHeight="1">
      <c r="A3352" s="8">
        <f t="shared" si="13"/>
        <v>41904</v>
      </c>
      <c r="B3352" s="8"/>
      <c r="C3352" s="8">
        <v>41904</v>
      </c>
    </row>
    <row r="3353" spans="1:7" ht="14.25" customHeight="1">
      <c r="A3353" s="8">
        <f t="shared" si="13"/>
        <v>409869</v>
      </c>
      <c r="B3353" s="8">
        <v>276000</v>
      </c>
      <c r="C3353" s="8">
        <v>685869</v>
      </c>
      <c r="E3353">
        <v>9104019</v>
      </c>
      <c r="F3353" t="s">
        <v>482</v>
      </c>
      <c r="G3353" t="s">
        <v>581</v>
      </c>
    </row>
    <row r="3354" spans="1:7" ht="14.25" customHeight="1">
      <c r="A3354" s="8">
        <f t="shared" si="13"/>
        <v>0</v>
      </c>
      <c r="B3354" s="8"/>
      <c r="C3354" s="8"/>
      <c r="D3354" t="s">
        <v>483</v>
      </c>
      <c r="G3354">
        <v>9104021</v>
      </c>
    </row>
    <row r="3355" spans="1:7" ht="14.25" customHeight="1">
      <c r="A3355" s="8">
        <f t="shared" si="13"/>
        <v>0</v>
      </c>
      <c r="B3355" s="8"/>
      <c r="C3355" s="8"/>
      <c r="F3355" t="s">
        <v>584</v>
      </c>
      <c r="G3355">
        <v>70612000</v>
      </c>
    </row>
    <row r="3356" spans="1:7" ht="14.25" customHeight="1">
      <c r="A3356" s="8">
        <f t="shared" si="13"/>
        <v>-5750000</v>
      </c>
      <c r="B3356" s="8">
        <v>5750000</v>
      </c>
      <c r="C3356" s="8"/>
      <c r="D3356">
        <v>202</v>
      </c>
      <c r="E3356" t="s">
        <v>585</v>
      </c>
      <c r="F3356" t="s">
        <v>1609</v>
      </c>
      <c r="G3356" s="9">
        <v>44868</v>
      </c>
    </row>
    <row r="3357" spans="1:7" ht="14.25" customHeight="1">
      <c r="A3357" s="8">
        <f t="shared" si="13"/>
        <v>5750000</v>
      </c>
      <c r="B3357" s="8"/>
      <c r="C3357" s="8">
        <v>5750000</v>
      </c>
      <c r="D3357">
        <v>242</v>
      </c>
      <c r="E3357" t="s">
        <v>594</v>
      </c>
      <c r="F3357" t="s">
        <v>1610</v>
      </c>
      <c r="G3357" s="9">
        <v>44925</v>
      </c>
    </row>
    <row r="3358" spans="1:7" ht="14.25" customHeight="1">
      <c r="A3358" s="8">
        <f t="shared" si="13"/>
        <v>0</v>
      </c>
      <c r="B3358" s="8">
        <v>5750000</v>
      </c>
      <c r="C3358" s="8">
        <v>5750000</v>
      </c>
    </row>
    <row r="3359" spans="1:7" ht="14.25" customHeight="1">
      <c r="A3359" s="8">
        <f t="shared" si="13"/>
        <v>0</v>
      </c>
      <c r="B3359" s="8">
        <v>5750000</v>
      </c>
      <c r="C3359" s="8">
        <v>5750000</v>
      </c>
      <c r="E3359">
        <v>9104021</v>
      </c>
      <c r="F3359" t="s">
        <v>483</v>
      </c>
      <c r="G3359" t="s">
        <v>581</v>
      </c>
    </row>
    <row r="3360" spans="1:7" ht="14.25" customHeight="1">
      <c r="A3360" s="8">
        <f t="shared" si="13"/>
        <v>31226326</v>
      </c>
      <c r="B3360" s="8">
        <v>6026000</v>
      </c>
      <c r="C3360" s="8">
        <v>37252326</v>
      </c>
      <c r="E3360">
        <v>91040</v>
      </c>
      <c r="F3360" t="s">
        <v>484</v>
      </c>
      <c r="G3360" t="s">
        <v>581</v>
      </c>
    </row>
    <row r="3361" spans="1:7" ht="14.25" customHeight="1">
      <c r="A3361" s="8">
        <f t="shared" si="13"/>
        <v>0</v>
      </c>
      <c r="B3361" s="8"/>
      <c r="C3361" s="8"/>
      <c r="D3361" t="s">
        <v>485</v>
      </c>
      <c r="G3361">
        <v>9105108</v>
      </c>
    </row>
    <row r="3362" spans="1:7" ht="14.25" customHeight="1">
      <c r="A3362" s="8">
        <f t="shared" si="13"/>
        <v>0</v>
      </c>
      <c r="B3362" s="8"/>
      <c r="C3362" s="8"/>
      <c r="F3362" t="s">
        <v>1611</v>
      </c>
      <c r="G3362">
        <v>60412000</v>
      </c>
    </row>
    <row r="3363" spans="1:7" ht="14.25" customHeight="1">
      <c r="A3363" s="8">
        <f t="shared" si="13"/>
        <v>219767</v>
      </c>
      <c r="B3363" s="8"/>
      <c r="C3363" s="8">
        <v>219767</v>
      </c>
      <c r="D3363">
        <v>361</v>
      </c>
      <c r="E3363" t="s">
        <v>579</v>
      </c>
      <c r="F3363" t="s">
        <v>1612</v>
      </c>
      <c r="G3363" s="9">
        <v>44873</v>
      </c>
    </row>
    <row r="3364" spans="1:7" ht="14.25" customHeight="1">
      <c r="A3364" s="8">
        <f t="shared" si="13"/>
        <v>219767</v>
      </c>
      <c r="B3364" s="8"/>
      <c r="C3364" s="8">
        <v>219767</v>
      </c>
    </row>
    <row r="3365" spans="1:7" ht="14.25" customHeight="1">
      <c r="A3365" s="8">
        <f t="shared" si="13"/>
        <v>0</v>
      </c>
      <c r="B3365" s="8"/>
      <c r="C3365" s="8"/>
      <c r="F3365" t="s">
        <v>1194</v>
      </c>
      <c r="G3365">
        <v>60531000</v>
      </c>
    </row>
    <row r="3366" spans="1:7" ht="14.25" customHeight="1">
      <c r="A3366" s="8">
        <f t="shared" si="13"/>
        <v>172500</v>
      </c>
      <c r="B3366" s="8"/>
      <c r="C3366" s="8">
        <v>172500</v>
      </c>
      <c r="D3366">
        <v>53</v>
      </c>
      <c r="E3366" t="s">
        <v>587</v>
      </c>
      <c r="F3366" t="s">
        <v>1613</v>
      </c>
      <c r="G3366" s="9">
        <v>44616</v>
      </c>
    </row>
    <row r="3367" spans="1:7" ht="14.25" customHeight="1">
      <c r="A3367" s="8">
        <f t="shared" si="13"/>
        <v>172500</v>
      </c>
      <c r="B3367" s="8"/>
      <c r="C3367" s="8">
        <v>172500</v>
      </c>
      <c r="D3367">
        <v>55</v>
      </c>
      <c r="E3367" t="s">
        <v>587</v>
      </c>
      <c r="F3367" t="s">
        <v>1614</v>
      </c>
      <c r="G3367" s="9">
        <v>44644</v>
      </c>
    </row>
    <row r="3368" spans="1:7" ht="14.25" customHeight="1">
      <c r="A3368" s="8">
        <f t="shared" si="13"/>
        <v>172500</v>
      </c>
      <c r="B3368" s="8"/>
      <c r="C3368" s="8">
        <v>172500</v>
      </c>
      <c r="D3368">
        <v>105</v>
      </c>
      <c r="E3368" t="s">
        <v>587</v>
      </c>
      <c r="F3368" t="s">
        <v>1615</v>
      </c>
      <c r="G3368" s="9">
        <v>44676</v>
      </c>
    </row>
    <row r="3369" spans="1:7" ht="14.25" customHeight="1">
      <c r="A3369" s="8">
        <f t="shared" si="13"/>
        <v>172500</v>
      </c>
      <c r="B3369" s="8"/>
      <c r="C3369" s="8">
        <v>172500</v>
      </c>
      <c r="D3369">
        <v>171</v>
      </c>
      <c r="E3369" t="s">
        <v>587</v>
      </c>
      <c r="F3369" t="s">
        <v>1616</v>
      </c>
      <c r="G3369" s="9">
        <v>44722</v>
      </c>
    </row>
    <row r="3370" spans="1:7" ht="14.25" customHeight="1">
      <c r="A3370" s="8">
        <f t="shared" si="13"/>
        <v>172500</v>
      </c>
      <c r="B3370" s="8"/>
      <c r="C3370" s="8">
        <v>172500</v>
      </c>
      <c r="D3370">
        <v>251</v>
      </c>
      <c r="E3370" t="s">
        <v>587</v>
      </c>
      <c r="F3370" t="s">
        <v>1617</v>
      </c>
      <c r="G3370" s="9">
        <v>44746</v>
      </c>
    </row>
    <row r="3371" spans="1:7" ht="14.25" customHeight="1">
      <c r="A3371" s="8">
        <f t="shared" si="13"/>
        <v>172500</v>
      </c>
      <c r="B3371" s="8"/>
      <c r="C3371" s="8">
        <v>172500</v>
      </c>
      <c r="D3371">
        <v>45</v>
      </c>
      <c r="E3371" t="s">
        <v>1126</v>
      </c>
      <c r="F3371" t="s">
        <v>1618</v>
      </c>
      <c r="G3371" s="9">
        <v>44768</v>
      </c>
    </row>
    <row r="3372" spans="1:7" ht="14.25" customHeight="1">
      <c r="A3372" s="8">
        <f t="shared" si="13"/>
        <v>172500</v>
      </c>
      <c r="B3372" s="8"/>
      <c r="C3372" s="8">
        <v>172500</v>
      </c>
      <c r="D3372">
        <v>362</v>
      </c>
      <c r="E3372" t="s">
        <v>587</v>
      </c>
      <c r="F3372" t="s">
        <v>1619</v>
      </c>
      <c r="G3372" s="9">
        <v>44804</v>
      </c>
    </row>
    <row r="3373" spans="1:7" ht="14.25" customHeight="1">
      <c r="A3373" s="8">
        <f t="shared" si="13"/>
        <v>172500</v>
      </c>
      <c r="B3373" s="8"/>
      <c r="C3373" s="8">
        <v>172500</v>
      </c>
      <c r="D3373">
        <v>434</v>
      </c>
      <c r="E3373" t="s">
        <v>587</v>
      </c>
      <c r="F3373" t="s">
        <v>1620</v>
      </c>
      <c r="G3373" s="9">
        <v>44830</v>
      </c>
    </row>
    <row r="3374" spans="1:7" ht="14.25" customHeight="1">
      <c r="A3374" s="8">
        <f t="shared" si="13"/>
        <v>172500</v>
      </c>
      <c r="B3374" s="8"/>
      <c r="C3374" s="8">
        <v>172500</v>
      </c>
      <c r="D3374">
        <v>446</v>
      </c>
      <c r="E3374" t="s">
        <v>587</v>
      </c>
      <c r="F3374" t="s">
        <v>1621</v>
      </c>
      <c r="G3374" s="9">
        <v>44859</v>
      </c>
    </row>
    <row r="3375" spans="1:7" ht="14.25" customHeight="1">
      <c r="A3375" s="8">
        <f t="shared" si="13"/>
        <v>115000</v>
      </c>
      <c r="B3375" s="8"/>
      <c r="C3375" s="8">
        <v>115000</v>
      </c>
      <c r="D3375">
        <v>774</v>
      </c>
      <c r="E3375" t="s">
        <v>587</v>
      </c>
      <c r="F3375" t="s">
        <v>1622</v>
      </c>
      <c r="G3375" s="9">
        <v>44893</v>
      </c>
    </row>
    <row r="3376" spans="1:7" ht="14.25" customHeight="1">
      <c r="A3376" s="8">
        <f t="shared" si="13"/>
        <v>172500</v>
      </c>
      <c r="B3376" s="8"/>
      <c r="C3376" s="8">
        <v>172500</v>
      </c>
      <c r="D3376">
        <v>783</v>
      </c>
      <c r="E3376" t="s">
        <v>587</v>
      </c>
      <c r="F3376" t="s">
        <v>1623</v>
      </c>
      <c r="G3376" s="9">
        <v>44893</v>
      </c>
    </row>
    <row r="3377" spans="1:7" ht="14.25" customHeight="1">
      <c r="A3377" s="8">
        <f t="shared" si="13"/>
        <v>172500</v>
      </c>
      <c r="B3377" s="8"/>
      <c r="C3377" s="8">
        <v>172500</v>
      </c>
      <c r="D3377">
        <v>384</v>
      </c>
      <c r="E3377" t="s">
        <v>594</v>
      </c>
      <c r="F3377" t="s">
        <v>1624</v>
      </c>
      <c r="G3377" s="9">
        <v>44925</v>
      </c>
    </row>
    <row r="3378" spans="1:7" ht="14.25" customHeight="1">
      <c r="A3378" s="8">
        <f t="shared" si="13"/>
        <v>46000</v>
      </c>
      <c r="B3378" s="8"/>
      <c r="C3378" s="8">
        <v>46000</v>
      </c>
      <c r="D3378">
        <v>384</v>
      </c>
      <c r="E3378" t="s">
        <v>594</v>
      </c>
      <c r="F3378" t="s">
        <v>1625</v>
      </c>
      <c r="G3378" s="9">
        <v>44925</v>
      </c>
    </row>
    <row r="3379" spans="1:7" ht="14.25" customHeight="1">
      <c r="A3379" s="8">
        <f t="shared" si="13"/>
        <v>2058500</v>
      </c>
      <c r="B3379" s="8"/>
      <c r="C3379" s="8">
        <v>2058500</v>
      </c>
    </row>
    <row r="3380" spans="1:7" ht="14.25" customHeight="1">
      <c r="A3380" s="8">
        <f t="shared" si="13"/>
        <v>0</v>
      </c>
      <c r="B3380" s="8"/>
      <c r="C3380" s="8"/>
      <c r="F3380" t="s">
        <v>1626</v>
      </c>
      <c r="G3380">
        <v>62430000</v>
      </c>
    </row>
    <row r="3381" spans="1:7" ht="14.25" customHeight="1">
      <c r="A3381" s="8">
        <f t="shared" si="13"/>
        <v>217020</v>
      </c>
      <c r="B3381" s="8"/>
      <c r="C3381" s="8">
        <v>217020</v>
      </c>
      <c r="D3381">
        <v>12</v>
      </c>
      <c r="E3381" t="s">
        <v>579</v>
      </c>
      <c r="F3381" t="s">
        <v>1627</v>
      </c>
      <c r="G3381" s="9">
        <v>44592</v>
      </c>
    </row>
    <row r="3382" spans="1:7" ht="14.25" customHeight="1">
      <c r="A3382" s="8">
        <f t="shared" si="13"/>
        <v>2875</v>
      </c>
      <c r="B3382" s="8"/>
      <c r="C3382" s="8">
        <v>2875</v>
      </c>
      <c r="D3382">
        <v>39</v>
      </c>
      <c r="E3382" t="s">
        <v>667</v>
      </c>
      <c r="F3382" t="s">
        <v>1628</v>
      </c>
      <c r="G3382" s="9">
        <v>44627</v>
      </c>
    </row>
    <row r="3383" spans="1:7" ht="14.25" customHeight="1">
      <c r="A3383" s="8">
        <f t="shared" si="13"/>
        <v>77967</v>
      </c>
      <c r="B3383" s="8"/>
      <c r="C3383" s="8">
        <v>77967</v>
      </c>
      <c r="D3383">
        <v>44</v>
      </c>
      <c r="E3383" t="s">
        <v>579</v>
      </c>
      <c r="F3383" t="s">
        <v>1629</v>
      </c>
      <c r="G3383" s="9">
        <v>44629</v>
      </c>
    </row>
    <row r="3384" spans="1:7" ht="14.25" customHeight="1">
      <c r="A3384" s="8">
        <f t="shared" si="13"/>
        <v>195147</v>
      </c>
      <c r="B3384" s="8"/>
      <c r="C3384" s="8">
        <v>195147</v>
      </c>
      <c r="D3384">
        <v>57</v>
      </c>
      <c r="E3384" t="s">
        <v>579</v>
      </c>
      <c r="F3384" t="s">
        <v>1630</v>
      </c>
      <c r="G3384" s="9">
        <v>44643</v>
      </c>
    </row>
    <row r="3385" spans="1:7" ht="14.25" customHeight="1">
      <c r="A3385" s="8">
        <f t="shared" si="13"/>
        <v>2300</v>
      </c>
      <c r="B3385" s="8"/>
      <c r="C3385" s="8">
        <v>2300</v>
      </c>
      <c r="D3385">
        <v>78</v>
      </c>
      <c r="E3385" t="s">
        <v>667</v>
      </c>
      <c r="F3385" t="s">
        <v>1631</v>
      </c>
      <c r="G3385" s="9">
        <v>44680</v>
      </c>
    </row>
    <row r="3386" spans="1:7" ht="14.25" customHeight="1">
      <c r="A3386" s="8">
        <f t="shared" si="13"/>
        <v>2875</v>
      </c>
      <c r="B3386" s="8"/>
      <c r="C3386" s="8">
        <v>2875</v>
      </c>
      <c r="D3386">
        <v>157</v>
      </c>
      <c r="E3386" t="s">
        <v>667</v>
      </c>
      <c r="F3386" t="s">
        <v>1632</v>
      </c>
      <c r="G3386" s="9">
        <v>44775</v>
      </c>
    </row>
    <row r="3387" spans="1:7" ht="14.25" customHeight="1">
      <c r="A3387" s="8">
        <f t="shared" si="13"/>
        <v>2875</v>
      </c>
      <c r="B3387" s="8"/>
      <c r="C3387" s="8">
        <v>2875</v>
      </c>
      <c r="D3387">
        <v>167</v>
      </c>
      <c r="E3387" t="s">
        <v>667</v>
      </c>
      <c r="F3387" t="s">
        <v>1633</v>
      </c>
      <c r="G3387" s="9">
        <v>44789</v>
      </c>
    </row>
    <row r="3388" spans="1:7" ht="14.25" customHeight="1">
      <c r="A3388" s="8">
        <f t="shared" si="13"/>
        <v>4600</v>
      </c>
      <c r="B3388" s="8"/>
      <c r="C3388" s="8">
        <v>4600</v>
      </c>
      <c r="D3388">
        <v>173</v>
      </c>
      <c r="E3388" t="s">
        <v>667</v>
      </c>
      <c r="F3388" t="s">
        <v>1634</v>
      </c>
      <c r="G3388" s="9">
        <v>44790</v>
      </c>
    </row>
    <row r="3389" spans="1:7" ht="14.25" customHeight="1">
      <c r="A3389" s="8">
        <f t="shared" si="13"/>
        <v>2875</v>
      </c>
      <c r="B3389" s="8"/>
      <c r="C3389" s="8">
        <v>2875</v>
      </c>
      <c r="D3389">
        <v>180</v>
      </c>
      <c r="E3389" t="s">
        <v>667</v>
      </c>
      <c r="F3389" t="s">
        <v>1635</v>
      </c>
      <c r="G3389" s="9">
        <v>44795</v>
      </c>
    </row>
    <row r="3390" spans="1:7" ht="14.25" customHeight="1">
      <c r="A3390" s="8">
        <f t="shared" si="13"/>
        <v>2875</v>
      </c>
      <c r="B3390" s="8"/>
      <c r="C3390" s="8">
        <v>2875</v>
      </c>
      <c r="D3390">
        <v>189</v>
      </c>
      <c r="E3390" t="s">
        <v>667</v>
      </c>
      <c r="F3390" t="s">
        <v>1636</v>
      </c>
      <c r="G3390" s="9">
        <v>44803</v>
      </c>
    </row>
    <row r="3391" spans="1:7" ht="14.25" customHeight="1">
      <c r="A3391" s="8">
        <f t="shared" si="13"/>
        <v>2875</v>
      </c>
      <c r="B3391" s="8"/>
      <c r="C3391" s="8">
        <v>2875</v>
      </c>
      <c r="D3391">
        <v>197</v>
      </c>
      <c r="E3391" t="s">
        <v>667</v>
      </c>
      <c r="F3391" t="s">
        <v>1637</v>
      </c>
      <c r="G3391" s="9">
        <v>44809</v>
      </c>
    </row>
    <row r="3392" spans="1:7" ht="14.25" customHeight="1">
      <c r="A3392" s="8">
        <f t="shared" si="13"/>
        <v>28750</v>
      </c>
      <c r="B3392" s="8"/>
      <c r="C3392" s="8">
        <v>28750</v>
      </c>
      <c r="D3392">
        <v>204</v>
      </c>
      <c r="E3392" t="s">
        <v>667</v>
      </c>
      <c r="F3392" t="s">
        <v>1638</v>
      </c>
      <c r="G3392" s="9">
        <v>44823</v>
      </c>
    </row>
    <row r="3393" spans="1:7" ht="14.25" customHeight="1">
      <c r="A3393" s="8">
        <f t="shared" si="13"/>
        <v>2875</v>
      </c>
      <c r="B3393" s="8"/>
      <c r="C3393" s="8">
        <v>2875</v>
      </c>
      <c r="D3393">
        <v>218</v>
      </c>
      <c r="E3393" t="s">
        <v>667</v>
      </c>
      <c r="F3393" t="s">
        <v>1639</v>
      </c>
      <c r="G3393" s="9">
        <v>44825</v>
      </c>
    </row>
    <row r="3394" spans="1:7" ht="14.25" customHeight="1">
      <c r="A3394" s="8">
        <f t="shared" si="13"/>
        <v>2875</v>
      </c>
      <c r="B3394" s="8"/>
      <c r="C3394" s="8">
        <v>2875</v>
      </c>
      <c r="D3394">
        <v>240</v>
      </c>
      <c r="E3394" t="s">
        <v>667</v>
      </c>
      <c r="F3394" t="s">
        <v>1640</v>
      </c>
      <c r="G3394" s="9">
        <v>44858</v>
      </c>
    </row>
    <row r="3395" spans="1:7" ht="14.25" customHeight="1">
      <c r="A3395" s="8">
        <f t="shared" si="13"/>
        <v>268715</v>
      </c>
      <c r="B3395" s="8"/>
      <c r="C3395" s="8">
        <v>268715</v>
      </c>
      <c r="D3395">
        <v>407</v>
      </c>
      <c r="E3395" t="s">
        <v>579</v>
      </c>
      <c r="F3395" t="s">
        <v>1641</v>
      </c>
      <c r="G3395" s="9">
        <v>44903</v>
      </c>
    </row>
    <row r="3396" spans="1:7" ht="14.25" customHeight="1">
      <c r="A3396" s="8">
        <f t="shared" si="13"/>
        <v>51750</v>
      </c>
      <c r="B3396" s="8"/>
      <c r="C3396" s="8">
        <v>51750</v>
      </c>
      <c r="D3396">
        <v>282</v>
      </c>
      <c r="E3396" t="s">
        <v>667</v>
      </c>
      <c r="F3396" t="s">
        <v>1642</v>
      </c>
      <c r="G3396" s="9">
        <v>44924</v>
      </c>
    </row>
    <row r="3397" spans="1:7" ht="14.25" customHeight="1">
      <c r="A3397" s="8">
        <f t="shared" si="13"/>
        <v>869248</v>
      </c>
      <c r="B3397" s="8"/>
      <c r="C3397" s="8">
        <v>869248</v>
      </c>
    </row>
    <row r="3398" spans="1:7" ht="14.25" customHeight="1">
      <c r="A3398" s="8">
        <f t="shared" si="13"/>
        <v>0</v>
      </c>
      <c r="B3398" s="8"/>
      <c r="C3398" s="8"/>
      <c r="F3398" t="s">
        <v>1643</v>
      </c>
      <c r="G3398">
        <v>62520000</v>
      </c>
    </row>
    <row r="3399" spans="1:7" ht="14.25" customHeight="1">
      <c r="A3399" s="8">
        <f t="shared" si="13"/>
        <v>1216706</v>
      </c>
      <c r="B3399" s="8"/>
      <c r="C3399" s="8">
        <v>1216706</v>
      </c>
      <c r="D3399">
        <v>14</v>
      </c>
      <c r="E3399" t="s">
        <v>579</v>
      </c>
      <c r="F3399" t="s">
        <v>1644</v>
      </c>
      <c r="G3399" s="9">
        <v>44563</v>
      </c>
    </row>
    <row r="3400" spans="1:7" ht="14.25" customHeight="1">
      <c r="A3400" s="8">
        <f t="shared" si="13"/>
        <v>1216706</v>
      </c>
      <c r="B3400" s="8"/>
      <c r="C3400" s="8">
        <v>1216706</v>
      </c>
    </row>
    <row r="3401" spans="1:7" ht="14.25" customHeight="1">
      <c r="A3401" s="8">
        <f t="shared" si="13"/>
        <v>4364221</v>
      </c>
      <c r="B3401" s="8"/>
      <c r="C3401" s="8">
        <v>4364221</v>
      </c>
      <c r="E3401">
        <v>9105108</v>
      </c>
      <c r="F3401" t="s">
        <v>485</v>
      </c>
      <c r="G3401" t="s">
        <v>581</v>
      </c>
    </row>
    <row r="3402" spans="1:7" ht="14.25" customHeight="1">
      <c r="A3402" s="8">
        <f t="shared" si="13"/>
        <v>0</v>
      </c>
      <c r="B3402" s="8"/>
      <c r="C3402" s="8"/>
      <c r="D3402" t="s">
        <v>486</v>
      </c>
      <c r="G3402">
        <v>9106005</v>
      </c>
    </row>
    <row r="3403" spans="1:7" ht="14.25" customHeight="1">
      <c r="A3403" s="8">
        <f t="shared" si="13"/>
        <v>0</v>
      </c>
      <c r="B3403" s="8"/>
      <c r="C3403" s="8"/>
      <c r="F3403" t="s">
        <v>582</v>
      </c>
      <c r="G3403">
        <v>63240000</v>
      </c>
    </row>
    <row r="3404" spans="1:7" ht="14.25" customHeight="1">
      <c r="A3404" s="8">
        <f t="shared" si="13"/>
        <v>402500</v>
      </c>
      <c r="B3404" s="8"/>
      <c r="C3404" s="8">
        <v>402500</v>
      </c>
      <c r="D3404">
        <v>141</v>
      </c>
      <c r="E3404" t="s">
        <v>579</v>
      </c>
      <c r="F3404" t="s">
        <v>1645</v>
      </c>
      <c r="G3404" s="9">
        <v>44704</v>
      </c>
    </row>
    <row r="3405" spans="1:7" ht="14.25" customHeight="1">
      <c r="A3405" s="8">
        <f t="shared" si="13"/>
        <v>402500</v>
      </c>
      <c r="B3405" s="8"/>
      <c r="C3405" s="8">
        <v>402500</v>
      </c>
      <c r="D3405">
        <v>150</v>
      </c>
      <c r="E3405" t="s">
        <v>579</v>
      </c>
      <c r="F3405" t="s">
        <v>1646</v>
      </c>
      <c r="G3405" s="9">
        <v>44712</v>
      </c>
    </row>
    <row r="3406" spans="1:7" ht="14.25" customHeight="1">
      <c r="A3406" s="8">
        <f t="shared" si="13"/>
        <v>805000</v>
      </c>
      <c r="B3406" s="8"/>
      <c r="C3406" s="8">
        <v>805000</v>
      </c>
    </row>
    <row r="3407" spans="1:7" ht="14.25" customHeight="1">
      <c r="A3407" s="8">
        <f t="shared" si="13"/>
        <v>805000</v>
      </c>
      <c r="B3407" s="8"/>
      <c r="C3407" s="8">
        <v>805000</v>
      </c>
      <c r="E3407">
        <v>9106005</v>
      </c>
      <c r="F3407" t="s">
        <v>486</v>
      </c>
      <c r="G3407" t="s">
        <v>581</v>
      </c>
    </row>
    <row r="3408" spans="1:7" ht="14.25" customHeight="1">
      <c r="A3408" s="8">
        <f t="shared" si="13"/>
        <v>82836216</v>
      </c>
      <c r="B3408" s="8">
        <v>6026000</v>
      </c>
      <c r="C3408" s="8">
        <v>88862216</v>
      </c>
      <c r="E3408">
        <v>91</v>
      </c>
      <c r="F3408" t="s">
        <v>487</v>
      </c>
      <c r="G3408" t="s">
        <v>581</v>
      </c>
    </row>
    <row r="3409" spans="1:7" ht="14.25" customHeight="1">
      <c r="A3409" s="8">
        <f t="shared" si="13"/>
        <v>0</v>
      </c>
      <c r="B3409" s="8"/>
      <c r="C3409" s="8"/>
      <c r="D3409" t="s">
        <v>488</v>
      </c>
      <c r="G3409">
        <v>9201010</v>
      </c>
    </row>
    <row r="3410" spans="1:7" ht="14.25" customHeight="1">
      <c r="A3410" s="8">
        <f t="shared" si="13"/>
        <v>0</v>
      </c>
      <c r="B3410" s="8"/>
      <c r="C3410" s="8"/>
      <c r="F3410" t="s">
        <v>1282</v>
      </c>
      <c r="G3410">
        <v>64130000</v>
      </c>
    </row>
    <row r="3411" spans="1:7" ht="14.25" customHeight="1">
      <c r="A3411" s="8">
        <f t="shared" si="13"/>
        <v>7642</v>
      </c>
      <c r="B3411" s="8"/>
      <c r="C3411" s="8">
        <v>7642</v>
      </c>
      <c r="D3411">
        <v>4</v>
      </c>
      <c r="E3411" t="s">
        <v>594</v>
      </c>
      <c r="F3411" t="s">
        <v>1283</v>
      </c>
      <c r="G3411" s="9">
        <v>44592</v>
      </c>
    </row>
    <row r="3412" spans="1:7" ht="14.25" customHeight="1">
      <c r="A3412" s="8">
        <f t="shared" si="13"/>
        <v>7802</v>
      </c>
      <c r="B3412" s="8"/>
      <c r="C3412" s="8">
        <v>7802</v>
      </c>
      <c r="D3412">
        <v>9</v>
      </c>
      <c r="E3412" t="s">
        <v>594</v>
      </c>
      <c r="F3412" t="s">
        <v>1284</v>
      </c>
      <c r="G3412" s="9">
        <v>44620</v>
      </c>
    </row>
    <row r="3413" spans="1:7" ht="14.25" customHeight="1">
      <c r="A3413" s="8">
        <f t="shared" si="13"/>
        <v>6212</v>
      </c>
      <c r="B3413" s="8"/>
      <c r="C3413" s="8">
        <v>6212</v>
      </c>
      <c r="D3413">
        <v>14</v>
      </c>
      <c r="E3413" t="s">
        <v>594</v>
      </c>
      <c r="F3413" t="s">
        <v>1285</v>
      </c>
      <c r="G3413" s="9">
        <v>44651</v>
      </c>
    </row>
    <row r="3414" spans="1:7" ht="14.25" customHeight="1">
      <c r="A3414" s="8">
        <f t="shared" si="13"/>
        <v>3036</v>
      </c>
      <c r="B3414" s="8"/>
      <c r="C3414" s="8">
        <v>3036</v>
      </c>
      <c r="D3414">
        <v>19</v>
      </c>
      <c r="E3414" t="s">
        <v>594</v>
      </c>
      <c r="F3414" t="s">
        <v>1286</v>
      </c>
      <c r="G3414" s="9">
        <v>44681</v>
      </c>
    </row>
    <row r="3415" spans="1:7" ht="14.25" customHeight="1">
      <c r="A3415" s="8">
        <f t="shared" si="13"/>
        <v>3036</v>
      </c>
      <c r="B3415" s="8"/>
      <c r="C3415" s="8">
        <v>3036</v>
      </c>
      <c r="D3415">
        <v>24</v>
      </c>
      <c r="E3415" t="s">
        <v>594</v>
      </c>
      <c r="F3415" t="s">
        <v>1287</v>
      </c>
      <c r="G3415" s="9">
        <v>44712</v>
      </c>
    </row>
    <row r="3416" spans="1:7" ht="14.25" customHeight="1">
      <c r="A3416" s="8">
        <f t="shared" si="13"/>
        <v>5419</v>
      </c>
      <c r="B3416" s="8"/>
      <c r="C3416" s="8">
        <v>5419</v>
      </c>
      <c r="D3416">
        <v>32</v>
      </c>
      <c r="E3416" t="s">
        <v>594</v>
      </c>
      <c r="F3416" t="s">
        <v>1288</v>
      </c>
      <c r="G3416" s="9">
        <v>44742</v>
      </c>
    </row>
    <row r="3417" spans="1:7" ht="14.25" customHeight="1">
      <c r="A3417" s="8">
        <f t="shared" si="13"/>
        <v>4766</v>
      </c>
      <c r="B3417" s="8"/>
      <c r="C3417" s="8">
        <v>4766</v>
      </c>
      <c r="D3417">
        <v>65</v>
      </c>
      <c r="E3417" t="s">
        <v>594</v>
      </c>
      <c r="F3417" t="s">
        <v>1325</v>
      </c>
      <c r="G3417" s="9">
        <v>44772</v>
      </c>
    </row>
    <row r="3418" spans="1:7" ht="14.25" customHeight="1">
      <c r="A3418" s="8">
        <f t="shared" si="13"/>
        <v>5037</v>
      </c>
      <c r="B3418" s="8"/>
      <c r="C3418" s="8">
        <v>5037</v>
      </c>
      <c r="D3418">
        <v>138</v>
      </c>
      <c r="E3418" t="s">
        <v>594</v>
      </c>
      <c r="F3418" t="s">
        <v>1289</v>
      </c>
      <c r="G3418" s="9">
        <v>44865</v>
      </c>
    </row>
    <row r="3419" spans="1:7" ht="14.25" customHeight="1">
      <c r="A3419" s="8">
        <f t="shared" si="13"/>
        <v>5847</v>
      </c>
      <c r="B3419" s="8"/>
      <c r="C3419" s="8">
        <v>5847</v>
      </c>
      <c r="D3419">
        <v>176</v>
      </c>
      <c r="E3419" t="s">
        <v>594</v>
      </c>
      <c r="F3419" t="s">
        <v>1290</v>
      </c>
      <c r="G3419" s="9">
        <v>44895</v>
      </c>
    </row>
    <row r="3420" spans="1:7" ht="14.25" customHeight="1">
      <c r="A3420" s="8">
        <f t="shared" si="13"/>
        <v>7253</v>
      </c>
      <c r="B3420" s="8"/>
      <c r="C3420" s="8">
        <v>7253</v>
      </c>
      <c r="D3420">
        <v>194</v>
      </c>
      <c r="E3420" t="s">
        <v>594</v>
      </c>
      <c r="F3420" t="s">
        <v>1291</v>
      </c>
      <c r="G3420" s="9">
        <v>44925</v>
      </c>
    </row>
    <row r="3421" spans="1:7" ht="14.25" customHeight="1">
      <c r="A3421" s="8">
        <f t="shared" si="13"/>
        <v>56049</v>
      </c>
      <c r="B3421" s="8"/>
      <c r="C3421" s="8">
        <v>56049</v>
      </c>
    </row>
    <row r="3422" spans="1:7" ht="14.25" customHeight="1">
      <c r="A3422" s="8">
        <f t="shared" si="13"/>
        <v>0</v>
      </c>
      <c r="B3422" s="8"/>
      <c r="C3422" s="8"/>
      <c r="F3422" t="s">
        <v>1292</v>
      </c>
      <c r="G3422">
        <v>64140000</v>
      </c>
    </row>
    <row r="3423" spans="1:7" ht="14.25" customHeight="1">
      <c r="A3423" s="8">
        <f t="shared" si="13"/>
        <v>646</v>
      </c>
      <c r="B3423" s="8"/>
      <c r="C3423" s="8">
        <v>646</v>
      </c>
      <c r="D3423">
        <v>4</v>
      </c>
      <c r="E3423" t="s">
        <v>594</v>
      </c>
      <c r="F3423" t="s">
        <v>1283</v>
      </c>
      <c r="G3423" s="9">
        <v>44592</v>
      </c>
    </row>
    <row r="3424" spans="1:7" ht="14.25" customHeight="1">
      <c r="A3424" s="8">
        <f t="shared" si="13"/>
        <v>2547</v>
      </c>
      <c r="B3424" s="8"/>
      <c r="C3424" s="8">
        <v>2547</v>
      </c>
      <c r="D3424">
        <v>4</v>
      </c>
      <c r="E3424" t="s">
        <v>594</v>
      </c>
      <c r="F3424" t="s">
        <v>1283</v>
      </c>
      <c r="G3424" s="9">
        <v>44592</v>
      </c>
    </row>
    <row r="3425" spans="1:7" ht="14.25" customHeight="1">
      <c r="A3425" s="8">
        <f t="shared" si="13"/>
        <v>2600</v>
      </c>
      <c r="B3425" s="8"/>
      <c r="C3425" s="8">
        <v>2600</v>
      </c>
      <c r="D3425">
        <v>9</v>
      </c>
      <c r="E3425" t="s">
        <v>594</v>
      </c>
      <c r="F3425" t="s">
        <v>1284</v>
      </c>
      <c r="G3425" s="9">
        <v>44620</v>
      </c>
    </row>
    <row r="3426" spans="1:7" ht="14.25" customHeight="1">
      <c r="A3426" s="8">
        <f t="shared" si="13"/>
        <v>2071</v>
      </c>
      <c r="B3426" s="8"/>
      <c r="C3426" s="8">
        <v>2071</v>
      </c>
      <c r="D3426">
        <v>14</v>
      </c>
      <c r="E3426" t="s">
        <v>594</v>
      </c>
      <c r="F3426" t="s">
        <v>1285</v>
      </c>
      <c r="G3426" s="9">
        <v>44651</v>
      </c>
    </row>
    <row r="3427" spans="1:7" ht="14.25" customHeight="1">
      <c r="A3427" s="8">
        <f t="shared" si="13"/>
        <v>1012</v>
      </c>
      <c r="B3427" s="8"/>
      <c r="C3427" s="8">
        <v>1012</v>
      </c>
      <c r="D3427">
        <v>19</v>
      </c>
      <c r="E3427" t="s">
        <v>594</v>
      </c>
      <c r="F3427" t="s">
        <v>1286</v>
      </c>
      <c r="G3427" s="9">
        <v>44681</v>
      </c>
    </row>
    <row r="3428" spans="1:7" ht="14.25" customHeight="1">
      <c r="A3428" s="8">
        <f t="shared" si="13"/>
        <v>1012</v>
      </c>
      <c r="B3428" s="8"/>
      <c r="C3428" s="8">
        <v>1012</v>
      </c>
      <c r="D3428">
        <v>24</v>
      </c>
      <c r="E3428" t="s">
        <v>594</v>
      </c>
      <c r="F3428" t="s">
        <v>1287</v>
      </c>
      <c r="G3428" s="9">
        <v>44712</v>
      </c>
    </row>
    <row r="3429" spans="1:7" ht="14.25" customHeight="1">
      <c r="A3429" s="8">
        <f t="shared" si="13"/>
        <v>1807</v>
      </c>
      <c r="B3429" s="8"/>
      <c r="C3429" s="8">
        <v>1807</v>
      </c>
      <c r="D3429">
        <v>32</v>
      </c>
      <c r="E3429" t="s">
        <v>594</v>
      </c>
      <c r="F3429" t="s">
        <v>1288</v>
      </c>
      <c r="G3429" s="9">
        <v>44742</v>
      </c>
    </row>
    <row r="3430" spans="1:7" ht="14.25" customHeight="1">
      <c r="A3430" s="8">
        <f t="shared" si="13"/>
        <v>1588</v>
      </c>
      <c r="B3430" s="8"/>
      <c r="C3430" s="8">
        <v>1588</v>
      </c>
      <c r="D3430">
        <v>65</v>
      </c>
      <c r="E3430" t="s">
        <v>594</v>
      </c>
      <c r="F3430" t="s">
        <v>1325</v>
      </c>
      <c r="G3430" s="9">
        <v>44772</v>
      </c>
    </row>
    <row r="3431" spans="1:7" ht="14.25" customHeight="1">
      <c r="A3431" s="8">
        <f t="shared" si="13"/>
        <v>1679</v>
      </c>
      <c r="B3431" s="8"/>
      <c r="C3431" s="8">
        <v>1679</v>
      </c>
      <c r="D3431">
        <v>138</v>
      </c>
      <c r="E3431" t="s">
        <v>594</v>
      </c>
      <c r="F3431" t="s">
        <v>1289</v>
      </c>
      <c r="G3431" s="9">
        <v>44865</v>
      </c>
    </row>
    <row r="3432" spans="1:7" ht="14.25" customHeight="1">
      <c r="A3432" s="8">
        <f t="shared" si="13"/>
        <v>1949</v>
      </c>
      <c r="B3432" s="8"/>
      <c r="C3432" s="8">
        <v>1949</v>
      </c>
      <c r="D3432">
        <v>176</v>
      </c>
      <c r="E3432" t="s">
        <v>594</v>
      </c>
      <c r="F3432" t="s">
        <v>1290</v>
      </c>
      <c r="G3432" s="9">
        <v>44895</v>
      </c>
    </row>
    <row r="3433" spans="1:7" ht="14.25" customHeight="1">
      <c r="A3433" s="8">
        <f t="shared" si="13"/>
        <v>2417</v>
      </c>
      <c r="B3433" s="8"/>
      <c r="C3433" s="8">
        <v>2417</v>
      </c>
      <c r="D3433">
        <v>194</v>
      </c>
      <c r="E3433" t="s">
        <v>594</v>
      </c>
      <c r="F3433" t="s">
        <v>1291</v>
      </c>
      <c r="G3433" s="9">
        <v>44925</v>
      </c>
    </row>
    <row r="3434" spans="1:7" ht="14.25" customHeight="1">
      <c r="A3434" s="8">
        <f t="shared" si="13"/>
        <v>19329</v>
      </c>
      <c r="B3434" s="8"/>
      <c r="C3434" s="8">
        <v>19329</v>
      </c>
    </row>
    <row r="3435" spans="1:7" ht="14.25" customHeight="1">
      <c r="A3435" s="8">
        <f t="shared" si="13"/>
        <v>0</v>
      </c>
      <c r="B3435" s="8"/>
      <c r="C3435" s="8"/>
      <c r="F3435" t="s">
        <v>1293</v>
      </c>
      <c r="G3435">
        <v>64150000</v>
      </c>
    </row>
    <row r="3436" spans="1:7" ht="14.25" customHeight="1">
      <c r="A3436" s="8">
        <f t="shared" si="13"/>
        <v>3821</v>
      </c>
      <c r="B3436" s="8"/>
      <c r="C3436" s="8">
        <v>3821</v>
      </c>
      <c r="D3436">
        <v>4</v>
      </c>
      <c r="E3436" t="s">
        <v>594</v>
      </c>
      <c r="F3436" t="s">
        <v>1283</v>
      </c>
      <c r="G3436" s="9">
        <v>44592</v>
      </c>
    </row>
    <row r="3437" spans="1:7" ht="14.25" customHeight="1">
      <c r="A3437" s="8">
        <f t="shared" si="13"/>
        <v>3901</v>
      </c>
      <c r="B3437" s="8"/>
      <c r="C3437" s="8">
        <v>3901</v>
      </c>
      <c r="D3437">
        <v>9</v>
      </c>
      <c r="E3437" t="s">
        <v>594</v>
      </c>
      <c r="F3437" t="s">
        <v>1284</v>
      </c>
      <c r="G3437" s="9">
        <v>44620</v>
      </c>
    </row>
    <row r="3438" spans="1:7" ht="14.25" customHeight="1">
      <c r="A3438" s="8">
        <f t="shared" si="13"/>
        <v>3106</v>
      </c>
      <c r="B3438" s="8"/>
      <c r="C3438" s="8">
        <v>3106</v>
      </c>
      <c r="D3438">
        <v>14</v>
      </c>
      <c r="E3438" t="s">
        <v>594</v>
      </c>
      <c r="F3438" t="s">
        <v>1285</v>
      </c>
      <c r="G3438" s="9">
        <v>44651</v>
      </c>
    </row>
    <row r="3439" spans="1:7" ht="14.25" customHeight="1">
      <c r="A3439" s="8">
        <f t="shared" si="13"/>
        <v>1518</v>
      </c>
      <c r="B3439" s="8"/>
      <c r="C3439" s="8">
        <v>1518</v>
      </c>
      <c r="D3439">
        <v>19</v>
      </c>
      <c r="E3439" t="s">
        <v>594</v>
      </c>
      <c r="F3439" t="s">
        <v>1286</v>
      </c>
      <c r="G3439" s="9">
        <v>44681</v>
      </c>
    </row>
    <row r="3440" spans="1:7" ht="14.25" customHeight="1">
      <c r="A3440" s="8">
        <f t="shared" si="13"/>
        <v>1518</v>
      </c>
      <c r="B3440" s="8"/>
      <c r="C3440" s="8">
        <v>1518</v>
      </c>
      <c r="D3440">
        <v>24</v>
      </c>
      <c r="E3440" t="s">
        <v>594</v>
      </c>
      <c r="F3440" t="s">
        <v>1287</v>
      </c>
      <c r="G3440" s="9">
        <v>44712</v>
      </c>
    </row>
    <row r="3441" spans="1:7" ht="14.25" customHeight="1">
      <c r="A3441" s="8">
        <f t="shared" si="13"/>
        <v>2709</v>
      </c>
      <c r="B3441" s="8"/>
      <c r="C3441" s="8">
        <v>2709</v>
      </c>
      <c r="D3441">
        <v>32</v>
      </c>
      <c r="E3441" t="s">
        <v>594</v>
      </c>
      <c r="F3441" t="s">
        <v>1288</v>
      </c>
      <c r="G3441" s="9">
        <v>44742</v>
      </c>
    </row>
    <row r="3442" spans="1:7" ht="14.25" customHeight="1">
      <c r="A3442" s="8">
        <f t="shared" si="13"/>
        <v>2383</v>
      </c>
      <c r="B3442" s="8"/>
      <c r="C3442" s="8">
        <v>2383</v>
      </c>
      <c r="D3442">
        <v>65</v>
      </c>
      <c r="E3442" t="s">
        <v>594</v>
      </c>
      <c r="F3442" t="s">
        <v>1325</v>
      </c>
      <c r="G3442" s="9">
        <v>44772</v>
      </c>
    </row>
    <row r="3443" spans="1:7" ht="14.25" customHeight="1">
      <c r="A3443" s="8">
        <f t="shared" si="13"/>
        <v>2519</v>
      </c>
      <c r="B3443" s="8"/>
      <c r="C3443" s="8">
        <v>2519</v>
      </c>
      <c r="D3443">
        <v>138</v>
      </c>
      <c r="E3443" t="s">
        <v>594</v>
      </c>
      <c r="F3443" t="s">
        <v>1289</v>
      </c>
      <c r="G3443" s="9">
        <v>44865</v>
      </c>
    </row>
    <row r="3444" spans="1:7" ht="14.25" customHeight="1">
      <c r="A3444" s="8">
        <f t="shared" si="13"/>
        <v>2923</v>
      </c>
      <c r="B3444" s="8"/>
      <c r="C3444" s="8">
        <v>2923</v>
      </c>
      <c r="D3444">
        <v>176</v>
      </c>
      <c r="E3444" t="s">
        <v>594</v>
      </c>
      <c r="F3444" t="s">
        <v>1290</v>
      </c>
      <c r="G3444" s="9">
        <v>44895</v>
      </c>
    </row>
    <row r="3445" spans="1:7" ht="14.25" customHeight="1">
      <c r="A3445" s="8">
        <f t="shared" si="13"/>
        <v>3626</v>
      </c>
      <c r="B3445" s="8"/>
      <c r="C3445" s="8">
        <v>3626</v>
      </c>
      <c r="D3445">
        <v>194</v>
      </c>
      <c r="E3445" t="s">
        <v>594</v>
      </c>
      <c r="F3445" t="s">
        <v>1291</v>
      </c>
      <c r="G3445" s="9">
        <v>44925</v>
      </c>
    </row>
    <row r="3446" spans="1:7" ht="14.25" customHeight="1">
      <c r="A3446" s="8">
        <f t="shared" si="13"/>
        <v>28024</v>
      </c>
      <c r="B3446" s="8"/>
      <c r="C3446" s="8">
        <v>28024</v>
      </c>
    </row>
    <row r="3447" spans="1:7" ht="14.25" customHeight="1">
      <c r="A3447" s="8">
        <f t="shared" si="13"/>
        <v>0</v>
      </c>
      <c r="B3447" s="8"/>
      <c r="C3447" s="8"/>
      <c r="F3447" t="s">
        <v>1295</v>
      </c>
      <c r="G3447">
        <v>66110000</v>
      </c>
    </row>
    <row r="3448" spans="1:7" ht="14.25" customHeight="1">
      <c r="A3448" s="8">
        <f t="shared" si="13"/>
        <v>636859</v>
      </c>
      <c r="B3448" s="8"/>
      <c r="C3448" s="8">
        <v>636859</v>
      </c>
      <c r="D3448">
        <v>1</v>
      </c>
      <c r="E3448" t="s">
        <v>594</v>
      </c>
      <c r="F3448" t="s">
        <v>1296</v>
      </c>
      <c r="G3448" s="9">
        <v>44592</v>
      </c>
    </row>
    <row r="3449" spans="1:7" ht="14.25" customHeight="1">
      <c r="A3449" s="8">
        <f t="shared" si="13"/>
        <v>650095</v>
      </c>
      <c r="B3449" s="8"/>
      <c r="C3449" s="8">
        <v>650095</v>
      </c>
      <c r="D3449">
        <v>6</v>
      </c>
      <c r="E3449" t="s">
        <v>594</v>
      </c>
      <c r="F3449" t="s">
        <v>1297</v>
      </c>
      <c r="G3449" s="9">
        <v>44620</v>
      </c>
    </row>
    <row r="3450" spans="1:7" ht="14.25" customHeight="1">
      <c r="A3450" s="8">
        <f t="shared" si="13"/>
        <v>763064</v>
      </c>
      <c r="B3450" s="8"/>
      <c r="C3450" s="8">
        <v>763064</v>
      </c>
      <c r="D3450">
        <v>11</v>
      </c>
      <c r="E3450" t="s">
        <v>594</v>
      </c>
      <c r="F3450" t="s">
        <v>1298</v>
      </c>
      <c r="G3450" s="9">
        <v>44651</v>
      </c>
    </row>
    <row r="3451" spans="1:7" ht="14.25" customHeight="1">
      <c r="A3451" s="8">
        <f t="shared" si="13"/>
        <v>253000</v>
      </c>
      <c r="B3451" s="8"/>
      <c r="C3451" s="8">
        <v>253000</v>
      </c>
      <c r="D3451">
        <v>16</v>
      </c>
      <c r="E3451" t="s">
        <v>594</v>
      </c>
      <c r="F3451" t="s">
        <v>1299</v>
      </c>
      <c r="G3451" s="9">
        <v>44681</v>
      </c>
    </row>
    <row r="3452" spans="1:7" ht="14.25" customHeight="1">
      <c r="A3452" s="8">
        <f t="shared" si="13"/>
        <v>253000</v>
      </c>
      <c r="B3452" s="8"/>
      <c r="C3452" s="8">
        <v>253000</v>
      </c>
      <c r="D3452">
        <v>21</v>
      </c>
      <c r="E3452" t="s">
        <v>594</v>
      </c>
      <c r="F3452" t="s">
        <v>1300</v>
      </c>
      <c r="G3452" s="9">
        <v>44712</v>
      </c>
    </row>
    <row r="3453" spans="1:7" ht="14.25" customHeight="1">
      <c r="A3453" s="8">
        <f t="shared" si="13"/>
        <v>451547</v>
      </c>
      <c r="B3453" s="8"/>
      <c r="C3453" s="8">
        <v>451547</v>
      </c>
      <c r="D3453">
        <v>29</v>
      </c>
      <c r="E3453" t="s">
        <v>594</v>
      </c>
      <c r="F3453" t="s">
        <v>1301</v>
      </c>
      <c r="G3453" s="9">
        <v>44742</v>
      </c>
    </row>
    <row r="3454" spans="1:7" ht="14.25" customHeight="1">
      <c r="A3454" s="8">
        <f t="shared" si="13"/>
        <v>397095</v>
      </c>
      <c r="B3454" s="8"/>
      <c r="C3454" s="8">
        <v>397095</v>
      </c>
      <c r="D3454">
        <v>62</v>
      </c>
      <c r="E3454" t="s">
        <v>594</v>
      </c>
      <c r="F3454" t="s">
        <v>1327</v>
      </c>
      <c r="G3454" s="9">
        <v>44772</v>
      </c>
    </row>
    <row r="3455" spans="1:7" ht="14.25" customHeight="1">
      <c r="A3455" s="8">
        <f t="shared" si="13"/>
        <v>419756</v>
      </c>
      <c r="B3455" s="8"/>
      <c r="C3455" s="8">
        <v>419756</v>
      </c>
      <c r="D3455">
        <v>135</v>
      </c>
      <c r="E3455" t="s">
        <v>594</v>
      </c>
      <c r="F3455" t="s">
        <v>1302</v>
      </c>
      <c r="G3455" s="9">
        <v>44865</v>
      </c>
    </row>
    <row r="3456" spans="1:7" ht="14.25" customHeight="1">
      <c r="A3456" s="8">
        <f t="shared" si="13"/>
        <v>487223</v>
      </c>
      <c r="B3456" s="8"/>
      <c r="C3456" s="8">
        <v>487223</v>
      </c>
      <c r="D3456">
        <v>173</v>
      </c>
      <c r="E3456" t="s">
        <v>594</v>
      </c>
      <c r="F3456" t="s">
        <v>1303</v>
      </c>
      <c r="G3456" s="9">
        <v>44895</v>
      </c>
    </row>
    <row r="3457" spans="1:7" ht="14.25" customHeight="1">
      <c r="A3457" s="8">
        <f t="shared" si="13"/>
        <v>604397</v>
      </c>
      <c r="B3457" s="8"/>
      <c r="C3457" s="8">
        <v>604397</v>
      </c>
      <c r="D3457">
        <v>191</v>
      </c>
      <c r="E3457" t="s">
        <v>594</v>
      </c>
      <c r="F3457" t="s">
        <v>1304</v>
      </c>
      <c r="G3457" s="9">
        <v>44925</v>
      </c>
    </row>
    <row r="3458" spans="1:7" ht="14.25" customHeight="1">
      <c r="A3458" s="8">
        <f t="shared" si="13"/>
        <v>4916036</v>
      </c>
      <c r="B3458" s="8"/>
      <c r="C3458" s="8">
        <v>4916036</v>
      </c>
    </row>
    <row r="3459" spans="1:7" ht="14.25" customHeight="1">
      <c r="A3459" s="8">
        <f t="shared" si="13"/>
        <v>0</v>
      </c>
      <c r="B3459" s="8"/>
      <c r="C3459" s="8"/>
      <c r="F3459" t="s">
        <v>1330</v>
      </c>
      <c r="G3459">
        <v>66320000</v>
      </c>
    </row>
    <row r="3460" spans="1:7" ht="14.25" customHeight="1">
      <c r="A3460" s="8">
        <f t="shared" si="13"/>
        <v>3890</v>
      </c>
      <c r="B3460" s="8"/>
      <c r="C3460" s="8">
        <v>3890</v>
      </c>
      <c r="D3460">
        <v>2</v>
      </c>
      <c r="E3460" t="s">
        <v>594</v>
      </c>
      <c r="F3460" t="s">
        <v>1331</v>
      </c>
      <c r="G3460" s="9">
        <v>44592</v>
      </c>
    </row>
    <row r="3461" spans="1:7" ht="14.25" customHeight="1">
      <c r="A3461" s="8">
        <f t="shared" si="13"/>
        <v>4025</v>
      </c>
      <c r="B3461" s="8"/>
      <c r="C3461" s="8">
        <v>4025</v>
      </c>
      <c r="D3461">
        <v>7</v>
      </c>
      <c r="E3461" t="s">
        <v>594</v>
      </c>
      <c r="F3461" t="s">
        <v>1332</v>
      </c>
      <c r="G3461" s="9">
        <v>44620</v>
      </c>
    </row>
    <row r="3462" spans="1:7" ht="14.25" customHeight="1">
      <c r="A3462" s="8">
        <f t="shared" si="13"/>
        <v>2683</v>
      </c>
      <c r="B3462" s="8"/>
      <c r="C3462" s="8">
        <v>2683</v>
      </c>
      <c r="D3462">
        <v>12</v>
      </c>
      <c r="E3462" t="s">
        <v>594</v>
      </c>
      <c r="F3462" t="s">
        <v>1333</v>
      </c>
      <c r="G3462" s="9">
        <v>44651</v>
      </c>
    </row>
    <row r="3463" spans="1:7" ht="14.25" customHeight="1">
      <c r="A3463" s="8">
        <f t="shared" si="13"/>
        <v>2012</v>
      </c>
      <c r="B3463" s="8"/>
      <c r="C3463" s="8">
        <v>2012</v>
      </c>
      <c r="D3463">
        <v>30</v>
      </c>
      <c r="E3463" t="s">
        <v>594</v>
      </c>
      <c r="F3463" t="s">
        <v>1336</v>
      </c>
      <c r="G3463" s="9">
        <v>44742</v>
      </c>
    </row>
    <row r="3464" spans="1:7" ht="14.25" customHeight="1">
      <c r="A3464" s="8">
        <f t="shared" si="13"/>
        <v>4025</v>
      </c>
      <c r="B3464" s="8"/>
      <c r="C3464" s="8">
        <v>4025</v>
      </c>
      <c r="D3464">
        <v>63</v>
      </c>
      <c r="E3464" t="s">
        <v>594</v>
      </c>
      <c r="F3464" t="s">
        <v>1337</v>
      </c>
      <c r="G3464" s="9">
        <v>44772</v>
      </c>
    </row>
    <row r="3465" spans="1:7" ht="14.25" customHeight="1">
      <c r="A3465" s="8">
        <f t="shared" si="13"/>
        <v>16636</v>
      </c>
      <c r="B3465" s="8"/>
      <c r="C3465" s="8">
        <v>16636</v>
      </c>
    </row>
    <row r="3466" spans="1:7" ht="14.25" customHeight="1">
      <c r="A3466" s="8">
        <f t="shared" si="13"/>
        <v>0</v>
      </c>
      <c r="B3466" s="8"/>
      <c r="C3466" s="8"/>
      <c r="F3466" t="s">
        <v>1305</v>
      </c>
      <c r="G3466">
        <v>66340000</v>
      </c>
    </row>
    <row r="3467" spans="1:7" ht="14.25" customHeight="1">
      <c r="A3467" s="8">
        <f t="shared" si="13"/>
        <v>67850</v>
      </c>
      <c r="B3467" s="8"/>
      <c r="C3467" s="8">
        <v>67850</v>
      </c>
      <c r="D3467">
        <v>3</v>
      </c>
      <c r="E3467" t="s">
        <v>594</v>
      </c>
      <c r="F3467" t="s">
        <v>1306</v>
      </c>
      <c r="G3467" s="9">
        <v>44592</v>
      </c>
    </row>
    <row r="3468" spans="1:7" ht="14.25" customHeight="1">
      <c r="A3468" s="8">
        <f t="shared" si="13"/>
        <v>69000</v>
      </c>
      <c r="B3468" s="8"/>
      <c r="C3468" s="8">
        <v>69000</v>
      </c>
      <c r="D3468">
        <v>8</v>
      </c>
      <c r="E3468" t="s">
        <v>594</v>
      </c>
      <c r="F3468" t="s">
        <v>1307</v>
      </c>
      <c r="G3468" s="9">
        <v>44620</v>
      </c>
    </row>
    <row r="3469" spans="1:7" ht="14.25" customHeight="1">
      <c r="A3469" s="8">
        <f t="shared" si="13"/>
        <v>57500</v>
      </c>
      <c r="B3469" s="8"/>
      <c r="C3469" s="8">
        <v>57500</v>
      </c>
      <c r="D3469">
        <v>13</v>
      </c>
      <c r="E3469" t="s">
        <v>594</v>
      </c>
      <c r="F3469" t="s">
        <v>1308</v>
      </c>
      <c r="G3469" s="9">
        <v>44651</v>
      </c>
    </row>
    <row r="3470" spans="1:7" ht="14.25" customHeight="1">
      <c r="A3470" s="8">
        <f t="shared" si="13"/>
        <v>34500</v>
      </c>
      <c r="B3470" s="8"/>
      <c r="C3470" s="8">
        <v>34500</v>
      </c>
      <c r="D3470">
        <v>18</v>
      </c>
      <c r="E3470" t="s">
        <v>594</v>
      </c>
      <c r="F3470" t="s">
        <v>1309</v>
      </c>
      <c r="G3470" s="9">
        <v>44681</v>
      </c>
    </row>
    <row r="3471" spans="1:7" ht="14.25" customHeight="1">
      <c r="A3471" s="8">
        <f t="shared" si="13"/>
        <v>34500</v>
      </c>
      <c r="B3471" s="8"/>
      <c r="C3471" s="8">
        <v>34500</v>
      </c>
      <c r="D3471">
        <v>23</v>
      </c>
      <c r="E3471" t="s">
        <v>594</v>
      </c>
      <c r="F3471" t="s">
        <v>1310</v>
      </c>
      <c r="G3471" s="9">
        <v>44712</v>
      </c>
    </row>
    <row r="3472" spans="1:7" ht="14.25" customHeight="1">
      <c r="A3472" s="8">
        <f t="shared" si="13"/>
        <v>51750</v>
      </c>
      <c r="B3472" s="8"/>
      <c r="C3472" s="8">
        <v>51750</v>
      </c>
      <c r="D3472">
        <v>31</v>
      </c>
      <c r="E3472" t="s">
        <v>594</v>
      </c>
      <c r="F3472" t="s">
        <v>1311</v>
      </c>
      <c r="G3472" s="9">
        <v>44742</v>
      </c>
    </row>
    <row r="3473" spans="1:7" ht="14.25" customHeight="1">
      <c r="A3473" s="8">
        <f t="shared" si="13"/>
        <v>34500</v>
      </c>
      <c r="B3473" s="8"/>
      <c r="C3473" s="8">
        <v>34500</v>
      </c>
      <c r="D3473">
        <v>64</v>
      </c>
      <c r="E3473" t="s">
        <v>594</v>
      </c>
      <c r="F3473" t="s">
        <v>1343</v>
      </c>
      <c r="G3473" s="9">
        <v>44772</v>
      </c>
    </row>
    <row r="3474" spans="1:7" ht="14.25" customHeight="1">
      <c r="A3474" s="8">
        <f t="shared" si="13"/>
        <v>59800</v>
      </c>
      <c r="B3474" s="8"/>
      <c r="C3474" s="8">
        <v>59800</v>
      </c>
      <c r="D3474">
        <v>137</v>
      </c>
      <c r="E3474" t="s">
        <v>594</v>
      </c>
      <c r="F3474" t="s">
        <v>1312</v>
      </c>
      <c r="G3474" s="9">
        <v>44865</v>
      </c>
    </row>
    <row r="3475" spans="1:7" ht="14.25" customHeight="1">
      <c r="A3475" s="8">
        <f t="shared" si="13"/>
        <v>69000</v>
      </c>
      <c r="B3475" s="8"/>
      <c r="C3475" s="8">
        <v>69000</v>
      </c>
      <c r="D3475">
        <v>175</v>
      </c>
      <c r="E3475" t="s">
        <v>594</v>
      </c>
      <c r="F3475" t="s">
        <v>1313</v>
      </c>
      <c r="G3475" s="9">
        <v>44895</v>
      </c>
    </row>
    <row r="3476" spans="1:7" ht="14.25" customHeight="1">
      <c r="A3476" s="8">
        <f t="shared" si="13"/>
        <v>69000</v>
      </c>
      <c r="B3476" s="8"/>
      <c r="C3476" s="8">
        <v>69000</v>
      </c>
      <c r="D3476">
        <v>193</v>
      </c>
      <c r="E3476" t="s">
        <v>594</v>
      </c>
      <c r="F3476" t="s">
        <v>1314</v>
      </c>
      <c r="G3476" s="9">
        <v>44925</v>
      </c>
    </row>
    <row r="3477" spans="1:7" ht="14.25" customHeight="1">
      <c r="A3477" s="8">
        <f t="shared" si="13"/>
        <v>547400</v>
      </c>
      <c r="B3477" s="8"/>
      <c r="C3477" s="8">
        <v>547400</v>
      </c>
    </row>
    <row r="3478" spans="1:7" ht="14.25" customHeight="1">
      <c r="A3478" s="8">
        <f t="shared" si="13"/>
        <v>0</v>
      </c>
      <c r="B3478" s="8"/>
      <c r="C3478" s="8"/>
      <c r="F3478" t="s">
        <v>1315</v>
      </c>
      <c r="G3478">
        <v>66410000</v>
      </c>
    </row>
    <row r="3479" spans="1:7" ht="14.25" customHeight="1">
      <c r="A3479" s="8">
        <f t="shared" si="13"/>
        <v>53720</v>
      </c>
      <c r="B3479" s="8"/>
      <c r="C3479" s="8">
        <v>53720</v>
      </c>
      <c r="D3479">
        <v>5</v>
      </c>
      <c r="E3479" t="s">
        <v>594</v>
      </c>
      <c r="F3479" t="s">
        <v>1316</v>
      </c>
      <c r="G3479" s="9">
        <v>44592</v>
      </c>
    </row>
    <row r="3480" spans="1:7" ht="14.25" customHeight="1">
      <c r="A3480" s="8">
        <f t="shared" si="13"/>
        <v>54824</v>
      </c>
      <c r="B3480" s="8"/>
      <c r="C3480" s="8">
        <v>54824</v>
      </c>
      <c r="D3480">
        <v>10</v>
      </c>
      <c r="E3480" t="s">
        <v>594</v>
      </c>
      <c r="F3480" t="s">
        <v>1317</v>
      </c>
      <c r="G3480" s="9">
        <v>44620</v>
      </c>
    </row>
    <row r="3481" spans="1:7" ht="14.25" customHeight="1">
      <c r="A3481" s="8">
        <f t="shared" si="13"/>
        <v>43785</v>
      </c>
      <c r="B3481" s="8"/>
      <c r="C3481" s="8">
        <v>43785</v>
      </c>
      <c r="D3481">
        <v>15</v>
      </c>
      <c r="E3481" t="s">
        <v>594</v>
      </c>
      <c r="F3481" t="s">
        <v>1318</v>
      </c>
      <c r="G3481" s="9">
        <v>44651</v>
      </c>
    </row>
    <row r="3482" spans="1:7" ht="14.25" customHeight="1">
      <c r="A3482" s="8">
        <f t="shared" si="13"/>
        <v>21710</v>
      </c>
      <c r="B3482" s="8"/>
      <c r="C3482" s="8">
        <v>21710</v>
      </c>
      <c r="D3482">
        <v>20</v>
      </c>
      <c r="E3482" t="s">
        <v>594</v>
      </c>
      <c r="F3482" t="s">
        <v>1319</v>
      </c>
      <c r="G3482" s="9">
        <v>44681</v>
      </c>
    </row>
    <row r="3483" spans="1:7" ht="14.25" customHeight="1">
      <c r="A3483" s="8">
        <f t="shared" si="13"/>
        <v>21710</v>
      </c>
      <c r="B3483" s="8"/>
      <c r="C3483" s="8">
        <v>21710</v>
      </c>
      <c r="D3483">
        <v>25</v>
      </c>
      <c r="E3483" t="s">
        <v>594</v>
      </c>
      <c r="F3483" t="s">
        <v>1320</v>
      </c>
      <c r="G3483" s="9">
        <v>44712</v>
      </c>
    </row>
    <row r="3484" spans="1:7" ht="14.25" customHeight="1">
      <c r="A3484" s="8">
        <f t="shared" si="13"/>
        <v>38266</v>
      </c>
      <c r="B3484" s="8"/>
      <c r="C3484" s="8">
        <v>38266</v>
      </c>
      <c r="D3484">
        <v>33</v>
      </c>
      <c r="E3484" t="s">
        <v>594</v>
      </c>
      <c r="F3484" t="s">
        <v>1321</v>
      </c>
      <c r="G3484" s="9">
        <v>44742</v>
      </c>
    </row>
    <row r="3485" spans="1:7" ht="14.25" customHeight="1">
      <c r="A3485" s="8">
        <f t="shared" si="13"/>
        <v>33114</v>
      </c>
      <c r="B3485" s="8"/>
      <c r="C3485" s="8">
        <v>33114</v>
      </c>
      <c r="D3485">
        <v>66</v>
      </c>
      <c r="E3485" t="s">
        <v>594</v>
      </c>
      <c r="F3485" t="s">
        <v>1346</v>
      </c>
      <c r="G3485" s="9">
        <v>44772</v>
      </c>
    </row>
    <row r="3486" spans="1:7" ht="14.25" customHeight="1">
      <c r="A3486" s="8">
        <f t="shared" si="13"/>
        <v>33955</v>
      </c>
      <c r="B3486" s="8"/>
      <c r="C3486" s="8">
        <v>33955</v>
      </c>
      <c r="D3486">
        <v>139</v>
      </c>
      <c r="E3486" t="s">
        <v>594</v>
      </c>
      <c r="F3486" t="s">
        <v>1322</v>
      </c>
      <c r="G3486" s="9">
        <v>44865</v>
      </c>
    </row>
    <row r="3487" spans="1:7" ht="14.25" customHeight="1">
      <c r="A3487" s="8">
        <f t="shared" si="13"/>
        <v>39744</v>
      </c>
      <c r="B3487" s="8"/>
      <c r="C3487" s="8">
        <v>39744</v>
      </c>
      <c r="D3487">
        <v>177</v>
      </c>
      <c r="E3487" t="s">
        <v>594</v>
      </c>
      <c r="F3487" t="s">
        <v>1323</v>
      </c>
      <c r="G3487" s="9">
        <v>44895</v>
      </c>
    </row>
    <row r="3488" spans="1:7" ht="14.25" customHeight="1">
      <c r="A3488" s="8">
        <f t="shared" si="13"/>
        <v>48767</v>
      </c>
      <c r="B3488" s="8"/>
      <c r="C3488" s="8">
        <v>48767</v>
      </c>
      <c r="D3488">
        <v>195</v>
      </c>
      <c r="E3488" t="s">
        <v>594</v>
      </c>
      <c r="F3488" t="s">
        <v>1324</v>
      </c>
      <c r="G3488" s="9">
        <v>44925</v>
      </c>
    </row>
    <row r="3489" spans="1:7" ht="14.25" customHeight="1">
      <c r="A3489" s="8">
        <f t="shared" si="13"/>
        <v>389595</v>
      </c>
      <c r="B3489" s="8"/>
      <c r="C3489" s="8">
        <v>389595</v>
      </c>
    </row>
    <row r="3490" spans="1:7" ht="14.25" customHeight="1">
      <c r="A3490" s="8">
        <f t="shared" si="13"/>
        <v>5973069</v>
      </c>
      <c r="B3490" s="8"/>
      <c r="C3490" s="8">
        <v>5973069</v>
      </c>
      <c r="E3490">
        <v>9201010</v>
      </c>
      <c r="F3490" t="s">
        <v>488</v>
      </c>
      <c r="G3490" t="s">
        <v>581</v>
      </c>
    </row>
    <row r="3491" spans="1:7" ht="14.25" customHeight="1">
      <c r="A3491" s="8">
        <f t="shared" si="13"/>
        <v>0</v>
      </c>
      <c r="B3491" s="8"/>
      <c r="C3491" s="8"/>
      <c r="D3491" t="s">
        <v>489</v>
      </c>
      <c r="G3491">
        <v>9204005</v>
      </c>
    </row>
    <row r="3492" spans="1:7" ht="14.25" customHeight="1">
      <c r="A3492" s="8">
        <f t="shared" si="13"/>
        <v>0</v>
      </c>
      <c r="B3492" s="8"/>
      <c r="C3492" s="8"/>
      <c r="F3492" t="s">
        <v>582</v>
      </c>
      <c r="G3492">
        <v>63240000</v>
      </c>
    </row>
    <row r="3493" spans="1:7" ht="14.25" customHeight="1">
      <c r="A3493" s="8">
        <f t="shared" si="13"/>
        <v>1437500</v>
      </c>
      <c r="B3493" s="8"/>
      <c r="C3493" s="8">
        <v>1437500</v>
      </c>
      <c r="D3493">
        <v>236</v>
      </c>
      <c r="E3493" t="s">
        <v>579</v>
      </c>
      <c r="F3493" t="s">
        <v>1647</v>
      </c>
      <c r="G3493" s="9">
        <v>44754</v>
      </c>
    </row>
    <row r="3494" spans="1:7" ht="14.25" customHeight="1">
      <c r="A3494" s="8">
        <f t="shared" si="13"/>
        <v>2875000</v>
      </c>
      <c r="B3494" s="8"/>
      <c r="C3494" s="8">
        <v>2875000</v>
      </c>
      <c r="D3494">
        <v>237</v>
      </c>
      <c r="E3494" t="s">
        <v>579</v>
      </c>
      <c r="F3494" t="s">
        <v>1648</v>
      </c>
      <c r="G3494" s="9">
        <v>44754</v>
      </c>
    </row>
    <row r="3495" spans="1:7" ht="14.25" customHeight="1">
      <c r="A3495" s="8">
        <f t="shared" si="13"/>
        <v>2875000</v>
      </c>
      <c r="B3495" s="8"/>
      <c r="C3495" s="8">
        <v>2875000</v>
      </c>
      <c r="D3495">
        <v>436</v>
      </c>
      <c r="E3495" t="s">
        <v>579</v>
      </c>
      <c r="F3495" t="s">
        <v>1649</v>
      </c>
      <c r="G3495" s="9">
        <v>44925</v>
      </c>
    </row>
    <row r="3496" spans="1:7" ht="14.25" customHeight="1">
      <c r="A3496" s="8">
        <f t="shared" si="13"/>
        <v>1461864</v>
      </c>
      <c r="B3496" s="8"/>
      <c r="C3496" s="8">
        <v>1461864</v>
      </c>
      <c r="D3496">
        <v>373</v>
      </c>
      <c r="E3496" t="s">
        <v>594</v>
      </c>
      <c r="F3496" t="s">
        <v>1650</v>
      </c>
      <c r="G3496" s="9">
        <v>44925</v>
      </c>
    </row>
    <row r="3497" spans="1:7" ht="14.25" customHeight="1">
      <c r="A3497" s="8">
        <f t="shared" si="13"/>
        <v>8649364</v>
      </c>
      <c r="B3497" s="8"/>
      <c r="C3497" s="8">
        <v>8649364</v>
      </c>
    </row>
    <row r="3498" spans="1:7" ht="14.25" customHeight="1">
      <c r="A3498" s="8">
        <f t="shared" si="13"/>
        <v>0</v>
      </c>
      <c r="B3498" s="8"/>
      <c r="C3498" s="8"/>
      <c r="F3498" t="s">
        <v>1351</v>
      </c>
      <c r="G3498">
        <v>66180000</v>
      </c>
    </row>
    <row r="3499" spans="1:7" ht="14.25" customHeight="1">
      <c r="A3499" s="8">
        <f t="shared" si="13"/>
        <v>115000</v>
      </c>
      <c r="B3499" s="8"/>
      <c r="C3499" s="8">
        <v>115000</v>
      </c>
      <c r="D3499">
        <v>123</v>
      </c>
      <c r="E3499" t="s">
        <v>587</v>
      </c>
      <c r="F3499" t="s">
        <v>1651</v>
      </c>
      <c r="G3499" s="9">
        <v>44678</v>
      </c>
    </row>
    <row r="3500" spans="1:7" ht="14.25" customHeight="1">
      <c r="A3500" s="8">
        <f t="shared" si="13"/>
        <v>115000</v>
      </c>
      <c r="B3500" s="8"/>
      <c r="C3500" s="8">
        <v>115000</v>
      </c>
      <c r="D3500">
        <v>156</v>
      </c>
      <c r="E3500" t="s">
        <v>587</v>
      </c>
      <c r="F3500" t="s">
        <v>1652</v>
      </c>
      <c r="G3500" s="9">
        <v>44711</v>
      </c>
    </row>
    <row r="3501" spans="1:7" ht="14.25" customHeight="1">
      <c r="A3501" s="8">
        <f t="shared" si="13"/>
        <v>115000</v>
      </c>
      <c r="B3501" s="8"/>
      <c r="C3501" s="8">
        <v>115000</v>
      </c>
      <c r="D3501">
        <v>219</v>
      </c>
      <c r="E3501" t="s">
        <v>587</v>
      </c>
      <c r="F3501" t="s">
        <v>1653</v>
      </c>
      <c r="G3501" s="9">
        <v>44742</v>
      </c>
    </row>
    <row r="3502" spans="1:7" ht="14.25" customHeight="1">
      <c r="A3502" s="8">
        <f t="shared" si="13"/>
        <v>115000</v>
      </c>
      <c r="B3502" s="8"/>
      <c r="C3502" s="8">
        <v>115000</v>
      </c>
      <c r="D3502">
        <v>47</v>
      </c>
      <c r="E3502" t="s">
        <v>1126</v>
      </c>
      <c r="F3502" t="s">
        <v>1654</v>
      </c>
      <c r="G3502" s="9">
        <v>44768</v>
      </c>
    </row>
    <row r="3503" spans="1:7" ht="14.25" customHeight="1">
      <c r="A3503" s="8">
        <f t="shared" si="13"/>
        <v>115000</v>
      </c>
      <c r="B3503" s="8"/>
      <c r="C3503" s="8">
        <v>115000</v>
      </c>
      <c r="D3503">
        <v>377</v>
      </c>
      <c r="E3503" t="s">
        <v>587</v>
      </c>
      <c r="F3503" t="s">
        <v>1655</v>
      </c>
      <c r="G3503" s="9">
        <v>44811</v>
      </c>
    </row>
    <row r="3504" spans="1:7" ht="14.25" customHeight="1">
      <c r="A3504" s="8">
        <f t="shared" si="13"/>
        <v>115000</v>
      </c>
      <c r="B3504" s="8"/>
      <c r="C3504" s="8">
        <v>115000</v>
      </c>
      <c r="D3504">
        <v>419</v>
      </c>
      <c r="E3504" t="s">
        <v>587</v>
      </c>
      <c r="F3504" t="s">
        <v>1656</v>
      </c>
      <c r="G3504" s="9">
        <v>44831</v>
      </c>
    </row>
    <row r="3505" spans="1:7" ht="14.25" customHeight="1">
      <c r="A3505" s="8">
        <f t="shared" si="13"/>
        <v>690000</v>
      </c>
      <c r="B3505" s="8"/>
      <c r="C3505" s="8">
        <v>690000</v>
      </c>
    </row>
    <row r="3506" spans="1:7" ht="14.25" customHeight="1">
      <c r="A3506" s="8">
        <f t="shared" si="13"/>
        <v>9339364</v>
      </c>
      <c r="B3506" s="8"/>
      <c r="C3506" s="8">
        <v>9339364</v>
      </c>
      <c r="E3506">
        <v>9204005</v>
      </c>
      <c r="F3506" t="s">
        <v>489</v>
      </c>
      <c r="G3506" t="s">
        <v>581</v>
      </c>
    </row>
    <row r="3507" spans="1:7" ht="14.25" customHeight="1">
      <c r="A3507" s="8">
        <f t="shared" si="13"/>
        <v>0</v>
      </c>
      <c r="B3507" s="8"/>
      <c r="C3507" s="8"/>
      <c r="D3507" t="s">
        <v>490</v>
      </c>
      <c r="G3507">
        <v>9204006</v>
      </c>
    </row>
    <row r="3508" spans="1:7" ht="14.25" customHeight="1">
      <c r="A3508" s="8">
        <f t="shared" si="13"/>
        <v>0</v>
      </c>
      <c r="B3508" s="8"/>
      <c r="C3508" s="8"/>
      <c r="F3508" t="s">
        <v>1399</v>
      </c>
      <c r="G3508">
        <v>62480000</v>
      </c>
    </row>
    <row r="3509" spans="1:7" ht="14.25" customHeight="1">
      <c r="A3509" s="8">
        <f t="shared" si="13"/>
        <v>17250</v>
      </c>
      <c r="B3509" s="8"/>
      <c r="C3509" s="8">
        <v>17250</v>
      </c>
      <c r="D3509">
        <v>36</v>
      </c>
      <c r="E3509" t="s">
        <v>667</v>
      </c>
      <c r="F3509" t="s">
        <v>1657</v>
      </c>
      <c r="G3509" s="9">
        <v>44621</v>
      </c>
    </row>
    <row r="3510" spans="1:7" ht="14.25" customHeight="1">
      <c r="A3510" s="8">
        <f t="shared" si="13"/>
        <v>5750</v>
      </c>
      <c r="B3510" s="8"/>
      <c r="C3510" s="8">
        <v>5750</v>
      </c>
      <c r="D3510">
        <v>171</v>
      </c>
      <c r="E3510" t="s">
        <v>667</v>
      </c>
      <c r="F3510" t="s">
        <v>1658</v>
      </c>
      <c r="G3510" s="9">
        <v>44790</v>
      </c>
    </row>
    <row r="3511" spans="1:7" ht="14.25" customHeight="1">
      <c r="A3511" s="8">
        <f t="shared" si="13"/>
        <v>23000</v>
      </c>
      <c r="B3511" s="8"/>
      <c r="C3511" s="8">
        <v>23000</v>
      </c>
    </row>
    <row r="3512" spans="1:7" ht="14.25" customHeight="1">
      <c r="A3512" s="8">
        <f t="shared" si="13"/>
        <v>23000</v>
      </c>
      <c r="B3512" s="8"/>
      <c r="C3512" s="8">
        <v>23000</v>
      </c>
      <c r="E3512">
        <v>9204006</v>
      </c>
      <c r="F3512" t="s">
        <v>490</v>
      </c>
      <c r="G3512" t="s">
        <v>581</v>
      </c>
    </row>
    <row r="3513" spans="1:7" ht="14.25" customHeight="1">
      <c r="A3513" s="8">
        <f t="shared" si="13"/>
        <v>0</v>
      </c>
      <c r="B3513" s="8"/>
      <c r="C3513" s="8"/>
      <c r="D3513" t="s">
        <v>491</v>
      </c>
      <c r="G3513">
        <v>9204009</v>
      </c>
    </row>
    <row r="3514" spans="1:7" ht="14.25" customHeight="1">
      <c r="A3514" s="8">
        <f t="shared" si="13"/>
        <v>0</v>
      </c>
      <c r="B3514" s="8"/>
      <c r="C3514" s="8"/>
      <c r="F3514" t="s">
        <v>1403</v>
      </c>
      <c r="G3514">
        <v>62810000</v>
      </c>
    </row>
    <row r="3515" spans="1:7" ht="14.25" customHeight="1">
      <c r="A3515" s="8">
        <f t="shared" si="13"/>
        <v>4873</v>
      </c>
      <c r="B3515" s="8"/>
      <c r="C3515" s="8">
        <v>4873</v>
      </c>
      <c r="D3515">
        <v>5</v>
      </c>
      <c r="E3515" t="s">
        <v>579</v>
      </c>
      <c r="F3515" t="s">
        <v>1404</v>
      </c>
      <c r="G3515" s="9">
        <v>44574</v>
      </c>
    </row>
    <row r="3516" spans="1:7" ht="14.25" customHeight="1">
      <c r="A3516" s="8">
        <f t="shared" si="13"/>
        <v>4873</v>
      </c>
      <c r="B3516" s="8"/>
      <c r="C3516" s="8">
        <v>4873</v>
      </c>
      <c r="D3516">
        <v>5</v>
      </c>
      <c r="E3516" t="s">
        <v>579</v>
      </c>
      <c r="F3516" t="s">
        <v>1404</v>
      </c>
      <c r="G3516" s="9">
        <v>44574</v>
      </c>
    </row>
    <row r="3517" spans="1:7" ht="14.25" customHeight="1">
      <c r="A3517" s="8">
        <f t="shared" si="13"/>
        <v>4873</v>
      </c>
      <c r="B3517" s="8"/>
      <c r="C3517" s="8">
        <v>4873</v>
      </c>
      <c r="D3517">
        <v>21</v>
      </c>
      <c r="E3517" t="s">
        <v>579</v>
      </c>
      <c r="F3517" t="s">
        <v>1405</v>
      </c>
      <c r="G3517" s="9">
        <v>44614</v>
      </c>
    </row>
    <row r="3518" spans="1:7" ht="14.25" customHeight="1">
      <c r="A3518" s="8">
        <f t="shared" si="13"/>
        <v>4873</v>
      </c>
      <c r="B3518" s="8"/>
      <c r="C3518" s="8">
        <v>4873</v>
      </c>
      <c r="D3518">
        <v>21</v>
      </c>
      <c r="E3518" t="s">
        <v>579</v>
      </c>
      <c r="F3518" t="s">
        <v>1405</v>
      </c>
      <c r="G3518" s="9">
        <v>44614</v>
      </c>
    </row>
    <row r="3519" spans="1:7" ht="14.25" customHeight="1">
      <c r="A3519" s="8">
        <f t="shared" si="13"/>
        <v>4873</v>
      </c>
      <c r="B3519" s="8"/>
      <c r="C3519" s="8">
        <v>4873</v>
      </c>
      <c r="D3519">
        <v>38</v>
      </c>
      <c r="E3519" t="s">
        <v>579</v>
      </c>
      <c r="F3519" t="s">
        <v>1406</v>
      </c>
      <c r="G3519" s="9">
        <v>44621</v>
      </c>
    </row>
    <row r="3520" spans="1:7" ht="14.25" customHeight="1">
      <c r="A3520" s="8">
        <f t="shared" si="13"/>
        <v>4873</v>
      </c>
      <c r="B3520" s="8"/>
      <c r="C3520" s="8">
        <v>4873</v>
      </c>
      <c r="D3520">
        <v>38</v>
      </c>
      <c r="E3520" t="s">
        <v>579</v>
      </c>
      <c r="F3520" t="s">
        <v>1406</v>
      </c>
      <c r="G3520" s="9">
        <v>44621</v>
      </c>
    </row>
    <row r="3521" spans="1:7" ht="14.25" customHeight="1">
      <c r="A3521" s="8">
        <f t="shared" si="13"/>
        <v>4873</v>
      </c>
      <c r="B3521" s="8"/>
      <c r="C3521" s="8">
        <v>4873</v>
      </c>
      <c r="D3521">
        <v>99</v>
      </c>
      <c r="E3521" t="s">
        <v>579</v>
      </c>
      <c r="F3521" t="s">
        <v>1407</v>
      </c>
      <c r="G3521" s="9">
        <v>44666</v>
      </c>
    </row>
    <row r="3522" spans="1:7" ht="14.25" customHeight="1">
      <c r="A3522" s="8">
        <f t="shared" si="13"/>
        <v>4873</v>
      </c>
      <c r="B3522" s="8"/>
      <c r="C3522" s="8">
        <v>4873</v>
      </c>
      <c r="D3522">
        <v>133</v>
      </c>
      <c r="E3522" t="s">
        <v>579</v>
      </c>
      <c r="F3522" t="s">
        <v>1409</v>
      </c>
      <c r="G3522" s="9">
        <v>44694</v>
      </c>
    </row>
    <row r="3523" spans="1:7" ht="14.25" customHeight="1">
      <c r="A3523" s="8">
        <f t="shared" si="13"/>
        <v>4873</v>
      </c>
      <c r="B3523" s="8"/>
      <c r="C3523" s="8">
        <v>4873</v>
      </c>
      <c r="D3523">
        <v>133</v>
      </c>
      <c r="E3523" t="s">
        <v>579</v>
      </c>
      <c r="F3523" t="s">
        <v>1409</v>
      </c>
      <c r="G3523" s="9">
        <v>44694</v>
      </c>
    </row>
    <row r="3524" spans="1:7" ht="14.25" customHeight="1">
      <c r="A3524" s="8">
        <f t="shared" si="13"/>
        <v>4873</v>
      </c>
      <c r="B3524" s="8"/>
      <c r="C3524" s="8">
        <v>4873</v>
      </c>
      <c r="D3524">
        <v>168</v>
      </c>
      <c r="E3524" t="s">
        <v>579</v>
      </c>
      <c r="F3524" t="s">
        <v>1410</v>
      </c>
      <c r="G3524" s="9">
        <v>44722</v>
      </c>
    </row>
    <row r="3525" spans="1:7" ht="14.25" customHeight="1">
      <c r="A3525" s="8">
        <f t="shared" si="13"/>
        <v>4873</v>
      </c>
      <c r="B3525" s="8"/>
      <c r="C3525" s="8">
        <v>4873</v>
      </c>
      <c r="D3525">
        <v>168</v>
      </c>
      <c r="E3525" t="s">
        <v>579</v>
      </c>
      <c r="F3525" t="s">
        <v>1410</v>
      </c>
      <c r="G3525" s="9">
        <v>44722</v>
      </c>
    </row>
    <row r="3526" spans="1:7" ht="14.25" customHeight="1">
      <c r="A3526" s="8">
        <f t="shared" si="13"/>
        <v>4873</v>
      </c>
      <c r="B3526" s="8"/>
      <c r="C3526" s="8">
        <v>4873</v>
      </c>
      <c r="D3526">
        <v>239</v>
      </c>
      <c r="E3526" t="s">
        <v>579</v>
      </c>
      <c r="F3526" t="s">
        <v>1411</v>
      </c>
      <c r="G3526" s="9">
        <v>44755</v>
      </c>
    </row>
    <row r="3527" spans="1:7" ht="14.25" customHeight="1">
      <c r="A3527" s="8">
        <f t="shared" si="13"/>
        <v>4873</v>
      </c>
      <c r="B3527" s="8"/>
      <c r="C3527" s="8">
        <v>4873</v>
      </c>
      <c r="D3527">
        <v>239</v>
      </c>
      <c r="E3527" t="s">
        <v>579</v>
      </c>
      <c r="F3527" t="s">
        <v>1411</v>
      </c>
      <c r="G3527" s="9">
        <v>44755</v>
      </c>
    </row>
    <row r="3528" spans="1:7" ht="14.25" customHeight="1">
      <c r="A3528" s="8">
        <f t="shared" si="13"/>
        <v>4873</v>
      </c>
      <c r="B3528" s="8"/>
      <c r="C3528" s="8">
        <v>4873</v>
      </c>
      <c r="D3528">
        <v>319</v>
      </c>
      <c r="E3528" t="s">
        <v>579</v>
      </c>
      <c r="F3528" t="s">
        <v>1413</v>
      </c>
      <c r="G3528" s="9">
        <v>44845</v>
      </c>
    </row>
    <row r="3529" spans="1:7" ht="14.25" customHeight="1">
      <c r="A3529" s="8">
        <f t="shared" si="13"/>
        <v>4873</v>
      </c>
      <c r="B3529" s="8"/>
      <c r="C3529" s="8">
        <v>4873</v>
      </c>
      <c r="D3529">
        <v>339</v>
      </c>
      <c r="E3529" t="s">
        <v>579</v>
      </c>
      <c r="F3529" t="s">
        <v>1414</v>
      </c>
      <c r="G3529" s="9">
        <v>44865</v>
      </c>
    </row>
    <row r="3530" spans="1:7" ht="14.25" customHeight="1">
      <c r="A3530" s="8">
        <f t="shared" si="13"/>
        <v>4873</v>
      </c>
      <c r="B3530" s="8"/>
      <c r="C3530" s="8">
        <v>4873</v>
      </c>
      <c r="D3530">
        <v>339</v>
      </c>
      <c r="E3530" t="s">
        <v>579</v>
      </c>
      <c r="F3530" t="s">
        <v>1414</v>
      </c>
      <c r="G3530" s="9">
        <v>44865</v>
      </c>
    </row>
    <row r="3531" spans="1:7" ht="14.25" customHeight="1">
      <c r="A3531" s="8">
        <f t="shared" si="13"/>
        <v>4873</v>
      </c>
      <c r="B3531" s="8"/>
      <c r="C3531" s="8">
        <v>4873</v>
      </c>
      <c r="D3531">
        <v>340</v>
      </c>
      <c r="E3531" t="s">
        <v>579</v>
      </c>
      <c r="F3531" t="s">
        <v>1415</v>
      </c>
      <c r="G3531" s="9">
        <v>44865</v>
      </c>
    </row>
    <row r="3532" spans="1:7" ht="14.25" customHeight="1">
      <c r="A3532" s="8">
        <f t="shared" si="13"/>
        <v>4873</v>
      </c>
      <c r="B3532" s="8"/>
      <c r="C3532" s="8">
        <v>4873</v>
      </c>
      <c r="D3532">
        <v>340</v>
      </c>
      <c r="E3532" t="s">
        <v>579</v>
      </c>
      <c r="F3532" t="s">
        <v>1415</v>
      </c>
      <c r="G3532" s="9">
        <v>44865</v>
      </c>
    </row>
    <row r="3533" spans="1:7" ht="14.25" customHeight="1">
      <c r="A3533" s="8">
        <f t="shared" si="13"/>
        <v>4873</v>
      </c>
      <c r="B3533" s="8"/>
      <c r="C3533" s="8">
        <v>4873</v>
      </c>
      <c r="D3533">
        <v>367</v>
      </c>
      <c r="E3533" t="s">
        <v>579</v>
      </c>
      <c r="F3533" t="s">
        <v>1416</v>
      </c>
      <c r="G3533" s="9">
        <v>44882</v>
      </c>
    </row>
    <row r="3534" spans="1:7" ht="14.25" customHeight="1">
      <c r="A3534" s="8">
        <f t="shared" si="13"/>
        <v>4873</v>
      </c>
      <c r="B3534" s="8"/>
      <c r="C3534" s="8">
        <v>4873</v>
      </c>
      <c r="D3534">
        <v>411</v>
      </c>
      <c r="E3534" t="s">
        <v>579</v>
      </c>
      <c r="F3534" t="s">
        <v>1417</v>
      </c>
      <c r="G3534" s="9">
        <v>44908</v>
      </c>
    </row>
    <row r="3535" spans="1:7" ht="14.25" customHeight="1">
      <c r="A3535" s="8">
        <f t="shared" si="13"/>
        <v>4871</v>
      </c>
      <c r="B3535" s="8"/>
      <c r="C3535" s="8">
        <v>4871</v>
      </c>
      <c r="D3535">
        <v>423</v>
      </c>
      <c r="E3535" t="s">
        <v>579</v>
      </c>
      <c r="F3535" t="s">
        <v>1418</v>
      </c>
      <c r="G3535" s="9">
        <v>44918</v>
      </c>
    </row>
    <row r="3536" spans="1:7" ht="14.25" customHeight="1">
      <c r="A3536" s="8">
        <f t="shared" si="13"/>
        <v>5463</v>
      </c>
      <c r="B3536" s="8"/>
      <c r="C3536" s="8">
        <v>5463</v>
      </c>
      <c r="D3536">
        <v>278</v>
      </c>
      <c r="E3536" t="s">
        <v>667</v>
      </c>
      <c r="F3536" t="s">
        <v>1419</v>
      </c>
      <c r="G3536" s="9">
        <v>44924</v>
      </c>
    </row>
    <row r="3537" spans="1:7" ht="14.25" customHeight="1">
      <c r="A3537" s="8">
        <f t="shared" si="13"/>
        <v>107785</v>
      </c>
      <c r="B3537" s="8"/>
      <c r="C3537" s="8">
        <v>107785</v>
      </c>
    </row>
    <row r="3538" spans="1:7" ht="14.25" customHeight="1">
      <c r="A3538" s="8">
        <f t="shared" si="13"/>
        <v>0</v>
      </c>
      <c r="B3538" s="8"/>
      <c r="C3538" s="8"/>
      <c r="F3538" t="s">
        <v>1262</v>
      </c>
      <c r="G3538">
        <v>62881000</v>
      </c>
    </row>
    <row r="3539" spans="1:7" ht="14.25" customHeight="1">
      <c r="A3539" s="8">
        <f t="shared" si="13"/>
        <v>9746</v>
      </c>
      <c r="B3539" s="8"/>
      <c r="C3539" s="8">
        <v>9746</v>
      </c>
      <c r="D3539">
        <v>11</v>
      </c>
      <c r="E3539" t="s">
        <v>579</v>
      </c>
      <c r="F3539" t="s">
        <v>1421</v>
      </c>
      <c r="G3539" s="9">
        <v>44592</v>
      </c>
    </row>
    <row r="3540" spans="1:7" ht="14.25" customHeight="1">
      <c r="A3540" s="8">
        <f t="shared" si="13"/>
        <v>10057</v>
      </c>
      <c r="B3540" s="8"/>
      <c r="C3540" s="8">
        <v>10057</v>
      </c>
      <c r="D3540">
        <v>24</v>
      </c>
      <c r="E3540" t="s">
        <v>579</v>
      </c>
      <c r="F3540" t="s">
        <v>1423</v>
      </c>
      <c r="G3540" s="9">
        <v>44617</v>
      </c>
    </row>
    <row r="3541" spans="1:7" ht="14.25" customHeight="1">
      <c r="A3541" s="8">
        <f t="shared" si="13"/>
        <v>9746</v>
      </c>
      <c r="B3541" s="8"/>
      <c r="C3541" s="8">
        <v>9746</v>
      </c>
      <c r="D3541">
        <v>74</v>
      </c>
      <c r="E3541" t="s">
        <v>579</v>
      </c>
      <c r="F3541" t="s">
        <v>1426</v>
      </c>
      <c r="G3541" s="9">
        <v>44651</v>
      </c>
    </row>
    <row r="3542" spans="1:7" ht="14.25" customHeight="1">
      <c r="A3542" s="8">
        <f t="shared" si="13"/>
        <v>10057</v>
      </c>
      <c r="B3542" s="8"/>
      <c r="C3542" s="8">
        <v>10057</v>
      </c>
      <c r="D3542">
        <v>111</v>
      </c>
      <c r="E3542" t="s">
        <v>579</v>
      </c>
      <c r="F3542" t="s">
        <v>1427</v>
      </c>
      <c r="G3542" s="9">
        <v>44684</v>
      </c>
    </row>
    <row r="3543" spans="1:7" ht="14.25" customHeight="1">
      <c r="A3543" s="8">
        <f t="shared" si="13"/>
        <v>10057</v>
      </c>
      <c r="B3543" s="8"/>
      <c r="C3543" s="8">
        <v>10057</v>
      </c>
      <c r="D3543">
        <v>162</v>
      </c>
      <c r="E3543" t="s">
        <v>579</v>
      </c>
      <c r="F3543" t="s">
        <v>1429</v>
      </c>
      <c r="G3543" s="9">
        <v>44715</v>
      </c>
    </row>
    <row r="3544" spans="1:7" ht="14.25" customHeight="1">
      <c r="A3544" s="8">
        <f t="shared" si="13"/>
        <v>9746</v>
      </c>
      <c r="B3544" s="8"/>
      <c r="C3544" s="8">
        <v>9746</v>
      </c>
      <c r="D3544">
        <v>227</v>
      </c>
      <c r="E3544" t="s">
        <v>579</v>
      </c>
      <c r="F3544" t="s">
        <v>1432</v>
      </c>
      <c r="G3544" s="9">
        <v>44743</v>
      </c>
    </row>
    <row r="3545" spans="1:7" ht="14.25" customHeight="1">
      <c r="A3545" s="8">
        <f t="shared" si="13"/>
        <v>9746</v>
      </c>
      <c r="B3545" s="8"/>
      <c r="C3545" s="8">
        <v>9746</v>
      </c>
      <c r="D3545">
        <v>241</v>
      </c>
      <c r="E3545" t="s">
        <v>579</v>
      </c>
      <c r="F3545" t="s">
        <v>1434</v>
      </c>
      <c r="G3545" s="9">
        <v>44769</v>
      </c>
    </row>
    <row r="3546" spans="1:7" ht="14.25" customHeight="1">
      <c r="A3546" s="8">
        <f t="shared" si="13"/>
        <v>4871</v>
      </c>
      <c r="B3546" s="8"/>
      <c r="C3546" s="8">
        <v>4871</v>
      </c>
      <c r="D3546">
        <v>293</v>
      </c>
      <c r="E3546" t="s">
        <v>579</v>
      </c>
      <c r="F3546" t="s">
        <v>1659</v>
      </c>
      <c r="G3546" s="9">
        <v>44821</v>
      </c>
    </row>
    <row r="3547" spans="1:7" ht="14.25" customHeight="1">
      <c r="A3547" s="8">
        <f t="shared" si="13"/>
        <v>4871</v>
      </c>
      <c r="B3547" s="8"/>
      <c r="C3547" s="8">
        <v>4871</v>
      </c>
      <c r="D3547">
        <v>309</v>
      </c>
      <c r="E3547" t="s">
        <v>579</v>
      </c>
      <c r="F3547" t="s">
        <v>1440</v>
      </c>
      <c r="G3547" s="9">
        <v>44834</v>
      </c>
    </row>
    <row r="3548" spans="1:7" ht="14.25" customHeight="1">
      <c r="A3548" s="8">
        <f t="shared" si="13"/>
        <v>4871</v>
      </c>
      <c r="B3548" s="8"/>
      <c r="C3548" s="8">
        <v>4871</v>
      </c>
      <c r="D3548">
        <v>362</v>
      </c>
      <c r="E3548" t="s">
        <v>579</v>
      </c>
      <c r="F3548" t="s">
        <v>1444</v>
      </c>
      <c r="G3548" s="9">
        <v>44874</v>
      </c>
    </row>
    <row r="3549" spans="1:7" ht="14.25" customHeight="1">
      <c r="A3549" s="8">
        <f t="shared" si="13"/>
        <v>83769</v>
      </c>
      <c r="B3549" s="8"/>
      <c r="C3549" s="8">
        <v>83769</v>
      </c>
    </row>
    <row r="3550" spans="1:7" ht="14.25" customHeight="1">
      <c r="A3550" s="8">
        <f t="shared" si="13"/>
        <v>191554</v>
      </c>
      <c r="B3550" s="8"/>
      <c r="C3550" s="8">
        <v>191554</v>
      </c>
      <c r="E3550">
        <v>9204009</v>
      </c>
      <c r="F3550" t="s">
        <v>491</v>
      </c>
      <c r="G3550" t="s">
        <v>581</v>
      </c>
    </row>
    <row r="3551" spans="1:7" ht="14.25" customHeight="1">
      <c r="A3551" s="8">
        <f t="shared" si="13"/>
        <v>0</v>
      </c>
      <c r="B3551" s="8"/>
      <c r="C3551" s="8"/>
      <c r="D3551" t="s">
        <v>489</v>
      </c>
      <c r="G3551">
        <v>9204011</v>
      </c>
    </row>
    <row r="3552" spans="1:7" ht="14.25" customHeight="1">
      <c r="A3552" s="8">
        <f t="shared" si="13"/>
        <v>0</v>
      </c>
      <c r="B3552" s="8"/>
      <c r="C3552" s="8"/>
      <c r="F3552" t="s">
        <v>953</v>
      </c>
      <c r="G3552">
        <v>61812000</v>
      </c>
    </row>
    <row r="3553" spans="1:7" ht="14.25" customHeight="1">
      <c r="A3553" s="8">
        <f t="shared" si="13"/>
        <v>23000</v>
      </c>
      <c r="B3553" s="8"/>
      <c r="C3553" s="8">
        <v>23000</v>
      </c>
      <c r="D3553">
        <v>146</v>
      </c>
      <c r="E3553" t="s">
        <v>667</v>
      </c>
      <c r="F3553" t="s">
        <v>1660</v>
      </c>
      <c r="G3553" s="9">
        <v>44761</v>
      </c>
    </row>
    <row r="3554" spans="1:7" ht="14.25" customHeight="1">
      <c r="A3554" s="8">
        <f t="shared" si="13"/>
        <v>23000</v>
      </c>
      <c r="B3554" s="8"/>
      <c r="C3554" s="8">
        <v>23000</v>
      </c>
    </row>
    <row r="3555" spans="1:7" ht="14.25" customHeight="1">
      <c r="A3555" s="8">
        <f t="shared" si="13"/>
        <v>0</v>
      </c>
      <c r="B3555" s="8"/>
      <c r="C3555" s="8"/>
      <c r="F3555" t="s">
        <v>1446</v>
      </c>
      <c r="G3555">
        <v>6254000</v>
      </c>
    </row>
    <row r="3556" spans="1:7" ht="14.25" customHeight="1">
      <c r="A3556" s="8">
        <f t="shared" si="13"/>
        <v>464330</v>
      </c>
      <c r="B3556" s="8"/>
      <c r="C3556" s="8">
        <v>464330</v>
      </c>
      <c r="D3556">
        <v>219</v>
      </c>
      <c r="E3556" t="s">
        <v>579</v>
      </c>
      <c r="F3556" t="s">
        <v>1661</v>
      </c>
      <c r="G3556" s="9">
        <v>44743</v>
      </c>
    </row>
    <row r="3557" spans="1:7" ht="14.25" customHeight="1">
      <c r="A3557" s="8">
        <f t="shared" si="13"/>
        <v>182812</v>
      </c>
      <c r="B3557" s="8"/>
      <c r="C3557" s="8">
        <v>182812</v>
      </c>
      <c r="D3557">
        <v>431</v>
      </c>
      <c r="E3557" t="s">
        <v>579</v>
      </c>
      <c r="F3557" t="s">
        <v>1448</v>
      </c>
      <c r="G3557" s="9">
        <v>44924</v>
      </c>
    </row>
    <row r="3558" spans="1:7" ht="14.25" customHeight="1">
      <c r="A3558" s="8">
        <f t="shared" si="13"/>
        <v>449139</v>
      </c>
      <c r="B3558" s="8"/>
      <c r="C3558" s="8">
        <v>449139</v>
      </c>
      <c r="D3558">
        <v>431</v>
      </c>
      <c r="E3558" t="s">
        <v>579</v>
      </c>
      <c r="F3558" t="s">
        <v>1448</v>
      </c>
      <c r="G3558" s="9">
        <v>44924</v>
      </c>
    </row>
    <row r="3559" spans="1:7" ht="14.25" customHeight="1">
      <c r="A3559" s="8">
        <f t="shared" si="13"/>
        <v>1096281</v>
      </c>
      <c r="B3559" s="8"/>
      <c r="C3559" s="8">
        <v>1096281</v>
      </c>
    </row>
    <row r="3560" spans="1:7" ht="14.25" customHeight="1">
      <c r="A3560" s="8">
        <f t="shared" si="13"/>
        <v>0</v>
      </c>
      <c r="B3560" s="8"/>
      <c r="C3560" s="8"/>
      <c r="F3560" t="s">
        <v>1449</v>
      </c>
      <c r="G3560">
        <v>62580000</v>
      </c>
    </row>
    <row r="3561" spans="1:7" ht="14.25" customHeight="1">
      <c r="A3561" s="8">
        <f t="shared" si="13"/>
        <v>36924</v>
      </c>
      <c r="B3561" s="8"/>
      <c r="C3561" s="8">
        <v>36924</v>
      </c>
      <c r="D3561">
        <v>214</v>
      </c>
      <c r="E3561" t="s">
        <v>579</v>
      </c>
      <c r="F3561" t="s">
        <v>1662</v>
      </c>
      <c r="G3561" s="9">
        <v>44754</v>
      </c>
    </row>
    <row r="3562" spans="1:7" ht="14.25" customHeight="1">
      <c r="A3562" s="8">
        <f t="shared" si="13"/>
        <v>36924</v>
      </c>
      <c r="B3562" s="8"/>
      <c r="C3562" s="8">
        <v>36924</v>
      </c>
    </row>
    <row r="3563" spans="1:7" ht="14.25" customHeight="1">
      <c r="A3563" s="8">
        <f t="shared" si="13"/>
        <v>0</v>
      </c>
      <c r="B3563" s="8"/>
      <c r="C3563" s="8"/>
      <c r="F3563" t="s">
        <v>1349</v>
      </c>
      <c r="G3563">
        <v>63300000</v>
      </c>
    </row>
    <row r="3564" spans="1:7" ht="14.25" customHeight="1">
      <c r="A3564" s="8">
        <f t="shared" si="13"/>
        <v>584746</v>
      </c>
      <c r="B3564" s="8"/>
      <c r="C3564" s="8">
        <v>584746</v>
      </c>
      <c r="D3564">
        <v>235</v>
      </c>
      <c r="E3564" t="s">
        <v>579</v>
      </c>
      <c r="F3564" t="s">
        <v>1663</v>
      </c>
      <c r="G3564" s="9">
        <v>44754</v>
      </c>
    </row>
    <row r="3565" spans="1:7" ht="14.25" customHeight="1">
      <c r="A3565" s="8">
        <f t="shared" si="13"/>
        <v>584746</v>
      </c>
      <c r="B3565" s="8"/>
      <c r="C3565" s="8">
        <v>584746</v>
      </c>
    </row>
    <row r="3566" spans="1:7" ht="14.25" customHeight="1">
      <c r="A3566" s="8">
        <f t="shared" si="13"/>
        <v>1740952</v>
      </c>
      <c r="B3566" s="8"/>
      <c r="C3566" s="8">
        <v>1740952</v>
      </c>
      <c r="E3566">
        <v>9204011</v>
      </c>
      <c r="F3566" t="s">
        <v>489</v>
      </c>
      <c r="G3566" t="s">
        <v>581</v>
      </c>
    </row>
    <row r="3567" spans="1:7" ht="14.25" customHeight="1">
      <c r="A3567" s="8">
        <f t="shared" si="13"/>
        <v>0</v>
      </c>
      <c r="B3567" s="8"/>
      <c r="C3567" s="8"/>
      <c r="D3567" t="s">
        <v>492</v>
      </c>
      <c r="G3567">
        <v>9204015</v>
      </c>
    </row>
    <row r="3568" spans="1:7" ht="14.25" customHeight="1">
      <c r="A3568" s="8">
        <f t="shared" si="13"/>
        <v>0</v>
      </c>
      <c r="B3568" s="8"/>
      <c r="C3568" s="8"/>
      <c r="F3568" t="s">
        <v>1172</v>
      </c>
      <c r="G3568">
        <v>60550000</v>
      </c>
    </row>
    <row r="3569" spans="1:7" ht="14.25" customHeight="1">
      <c r="A3569" s="8">
        <f t="shared" si="13"/>
        <v>2875</v>
      </c>
      <c r="B3569" s="8"/>
      <c r="C3569" s="8">
        <v>2875</v>
      </c>
      <c r="D3569">
        <v>1</v>
      </c>
      <c r="E3569" t="s">
        <v>667</v>
      </c>
      <c r="F3569" t="s">
        <v>1664</v>
      </c>
      <c r="G3569" s="9">
        <v>44565</v>
      </c>
    </row>
    <row r="3570" spans="1:7" ht="14.25" customHeight="1">
      <c r="A3570" s="8">
        <f t="shared" si="13"/>
        <v>2875</v>
      </c>
      <c r="B3570" s="8"/>
      <c r="C3570" s="8">
        <v>2875</v>
      </c>
      <c r="D3570">
        <v>5</v>
      </c>
      <c r="E3570" t="s">
        <v>667</v>
      </c>
      <c r="F3570" t="s">
        <v>1665</v>
      </c>
      <c r="G3570" s="9">
        <v>44574</v>
      </c>
    </row>
    <row r="3571" spans="1:7" ht="14.25" customHeight="1">
      <c r="A3571" s="8">
        <f t="shared" si="13"/>
        <v>1725</v>
      </c>
      <c r="B3571" s="8"/>
      <c r="C3571" s="8">
        <v>1725</v>
      </c>
      <c r="D3571">
        <v>14</v>
      </c>
      <c r="E3571" t="s">
        <v>667</v>
      </c>
      <c r="F3571" t="s">
        <v>1666</v>
      </c>
      <c r="G3571" s="9">
        <v>44606</v>
      </c>
    </row>
    <row r="3572" spans="1:7" ht="14.25" customHeight="1">
      <c r="A3572" s="8">
        <f t="shared" ref="A3572:A3826" si="14">C3572-B3572</f>
        <v>57500</v>
      </c>
      <c r="B3572" s="8"/>
      <c r="C3572" s="8">
        <v>57500</v>
      </c>
      <c r="D3572">
        <v>132</v>
      </c>
      <c r="E3572" t="s">
        <v>667</v>
      </c>
      <c r="F3572" t="s">
        <v>1667</v>
      </c>
      <c r="G3572" s="9">
        <v>44742</v>
      </c>
    </row>
    <row r="3573" spans="1:7" ht="14.25" customHeight="1">
      <c r="A3573" s="8">
        <f t="shared" si="14"/>
        <v>43873</v>
      </c>
      <c r="B3573" s="8"/>
      <c r="C3573" s="8">
        <v>43873</v>
      </c>
      <c r="D3573">
        <v>231</v>
      </c>
      <c r="E3573" t="s">
        <v>579</v>
      </c>
      <c r="F3573" t="s">
        <v>1668</v>
      </c>
      <c r="G3573" s="9">
        <v>44749</v>
      </c>
    </row>
    <row r="3574" spans="1:7" ht="14.25" customHeight="1">
      <c r="A3574" s="8">
        <f t="shared" si="14"/>
        <v>43873</v>
      </c>
      <c r="B3574" s="8"/>
      <c r="C3574" s="8">
        <v>43873</v>
      </c>
      <c r="D3574">
        <v>232</v>
      </c>
      <c r="E3574" t="s">
        <v>579</v>
      </c>
      <c r="F3574" t="s">
        <v>1669</v>
      </c>
      <c r="G3574" s="9">
        <v>44749</v>
      </c>
    </row>
    <row r="3575" spans="1:7" ht="14.25" customHeight="1">
      <c r="A3575" s="8">
        <f t="shared" si="14"/>
        <v>40250</v>
      </c>
      <c r="B3575" s="8"/>
      <c r="C3575" s="8">
        <v>40250</v>
      </c>
      <c r="D3575">
        <v>283</v>
      </c>
      <c r="E3575" t="s">
        <v>579</v>
      </c>
      <c r="F3575" t="s">
        <v>1670</v>
      </c>
      <c r="G3575" s="9">
        <v>44812</v>
      </c>
    </row>
    <row r="3576" spans="1:7" ht="14.25" customHeight="1">
      <c r="A3576" s="8">
        <f t="shared" si="14"/>
        <v>23000</v>
      </c>
      <c r="B3576" s="8"/>
      <c r="C3576" s="8">
        <v>23000</v>
      </c>
      <c r="D3576">
        <v>253</v>
      </c>
      <c r="E3576" t="s">
        <v>667</v>
      </c>
      <c r="F3576" t="s">
        <v>1671</v>
      </c>
      <c r="G3576" s="9">
        <v>44887</v>
      </c>
    </row>
    <row r="3577" spans="1:7" ht="14.25" customHeight="1">
      <c r="A3577" s="8">
        <f t="shared" si="14"/>
        <v>215970</v>
      </c>
      <c r="B3577" s="8"/>
      <c r="C3577" s="8">
        <v>215970</v>
      </c>
    </row>
    <row r="3578" spans="1:7" ht="14.25" customHeight="1">
      <c r="A3578" s="8">
        <f t="shared" si="14"/>
        <v>0</v>
      </c>
      <c r="B3578" s="8"/>
      <c r="C3578" s="8"/>
      <c r="F3578" t="s">
        <v>1498</v>
      </c>
      <c r="G3578">
        <v>60560000</v>
      </c>
    </row>
    <row r="3579" spans="1:7" ht="14.25" customHeight="1">
      <c r="A3579" s="8">
        <f t="shared" si="14"/>
        <v>115000</v>
      </c>
      <c r="B3579" s="8"/>
      <c r="C3579" s="8">
        <v>115000</v>
      </c>
      <c r="D3579">
        <v>433</v>
      </c>
      <c r="E3579" t="s">
        <v>579</v>
      </c>
      <c r="F3579" t="s">
        <v>1672</v>
      </c>
      <c r="G3579" s="9">
        <v>44925</v>
      </c>
    </row>
    <row r="3580" spans="1:7" ht="14.25" customHeight="1">
      <c r="A3580" s="8">
        <f t="shared" si="14"/>
        <v>115000</v>
      </c>
      <c r="B3580" s="8"/>
      <c r="C3580" s="8">
        <v>115000</v>
      </c>
    </row>
    <row r="3581" spans="1:7" ht="14.25" customHeight="1">
      <c r="A3581" s="8">
        <f t="shared" si="14"/>
        <v>0</v>
      </c>
      <c r="B3581" s="8"/>
      <c r="C3581" s="8"/>
      <c r="F3581" t="s">
        <v>1504</v>
      </c>
      <c r="G3581">
        <v>61830000</v>
      </c>
    </row>
    <row r="3582" spans="1:7" ht="14.25" customHeight="1">
      <c r="A3582" s="8">
        <f t="shared" si="14"/>
        <v>2875</v>
      </c>
      <c r="B3582" s="8"/>
      <c r="C3582" s="8">
        <v>2875</v>
      </c>
      <c r="D3582">
        <v>7</v>
      </c>
      <c r="E3582" t="s">
        <v>667</v>
      </c>
      <c r="F3582" t="s">
        <v>1673</v>
      </c>
      <c r="G3582" s="9">
        <v>44579</v>
      </c>
    </row>
    <row r="3583" spans="1:7" ht="14.25" customHeight="1">
      <c r="A3583" s="8">
        <f t="shared" si="14"/>
        <v>6325</v>
      </c>
      <c r="B3583" s="8"/>
      <c r="C3583" s="8">
        <v>6325</v>
      </c>
      <c r="D3583">
        <v>14</v>
      </c>
      <c r="E3583" t="s">
        <v>667</v>
      </c>
      <c r="F3583" t="s">
        <v>1674</v>
      </c>
      <c r="G3583" s="9">
        <v>44606</v>
      </c>
    </row>
    <row r="3584" spans="1:7" ht="14.25" customHeight="1">
      <c r="A3584" s="8">
        <f t="shared" si="14"/>
        <v>2300</v>
      </c>
      <c r="B3584" s="8"/>
      <c r="C3584" s="8">
        <v>2300</v>
      </c>
      <c r="D3584">
        <v>133</v>
      </c>
      <c r="E3584" t="s">
        <v>667</v>
      </c>
      <c r="F3584" t="s">
        <v>1675</v>
      </c>
      <c r="G3584" s="9">
        <v>44742</v>
      </c>
    </row>
    <row r="3585" spans="1:7" ht="14.25" customHeight="1">
      <c r="A3585" s="8">
        <f t="shared" si="14"/>
        <v>11500</v>
      </c>
      <c r="B3585" s="8"/>
      <c r="C3585" s="8">
        <v>11500</v>
      </c>
    </row>
    <row r="3586" spans="1:7" ht="14.25" customHeight="1">
      <c r="A3586" s="8">
        <f t="shared" si="14"/>
        <v>0</v>
      </c>
      <c r="B3586" s="8"/>
      <c r="C3586" s="8"/>
      <c r="F3586" t="s">
        <v>592</v>
      </c>
      <c r="G3586">
        <v>63833</v>
      </c>
    </row>
    <row r="3587" spans="1:7" ht="14.25" customHeight="1">
      <c r="A3587" s="8">
        <f t="shared" si="14"/>
        <v>14662</v>
      </c>
      <c r="B3587" s="8"/>
      <c r="C3587" s="8">
        <v>14662</v>
      </c>
      <c r="D3587">
        <v>163</v>
      </c>
      <c r="E3587" t="s">
        <v>667</v>
      </c>
      <c r="F3587" t="s">
        <v>1539</v>
      </c>
      <c r="G3587" s="9">
        <v>44783</v>
      </c>
    </row>
    <row r="3588" spans="1:7" ht="14.25" customHeight="1">
      <c r="A3588" s="8">
        <f t="shared" si="14"/>
        <v>1035</v>
      </c>
      <c r="B3588" s="8"/>
      <c r="C3588" s="8">
        <v>1035</v>
      </c>
      <c r="D3588">
        <v>161</v>
      </c>
      <c r="E3588" t="s">
        <v>667</v>
      </c>
      <c r="F3588" t="s">
        <v>1540</v>
      </c>
      <c r="G3588" s="9">
        <v>44783</v>
      </c>
    </row>
    <row r="3589" spans="1:7" ht="14.25" customHeight="1">
      <c r="A3589" s="8">
        <f t="shared" si="14"/>
        <v>16790</v>
      </c>
      <c r="B3589" s="8"/>
      <c r="C3589" s="8">
        <v>16790</v>
      </c>
      <c r="D3589">
        <v>164</v>
      </c>
      <c r="E3589" t="s">
        <v>667</v>
      </c>
      <c r="F3589" t="s">
        <v>1541</v>
      </c>
      <c r="G3589" s="9">
        <v>44784</v>
      </c>
    </row>
    <row r="3590" spans="1:7" ht="14.25" customHeight="1">
      <c r="A3590" s="8">
        <f t="shared" si="14"/>
        <v>1035</v>
      </c>
      <c r="B3590" s="8"/>
      <c r="C3590" s="8">
        <v>1035</v>
      </c>
      <c r="D3590">
        <v>183</v>
      </c>
      <c r="E3590" t="s">
        <v>667</v>
      </c>
      <c r="F3590" t="s">
        <v>1544</v>
      </c>
      <c r="G3590" s="9">
        <v>44802</v>
      </c>
    </row>
    <row r="3591" spans="1:7" ht="14.25" customHeight="1">
      <c r="A3591" s="8">
        <f t="shared" si="14"/>
        <v>33523</v>
      </c>
      <c r="B3591" s="8"/>
      <c r="C3591" s="8">
        <v>33523</v>
      </c>
    </row>
    <row r="3592" spans="1:7" ht="14.25" customHeight="1">
      <c r="A3592" s="8">
        <f t="shared" si="14"/>
        <v>375993</v>
      </c>
      <c r="B3592" s="8"/>
      <c r="C3592" s="8">
        <v>375993</v>
      </c>
      <c r="E3592">
        <v>9204015</v>
      </c>
      <c r="F3592" t="s">
        <v>492</v>
      </c>
      <c r="G3592" t="s">
        <v>581</v>
      </c>
    </row>
    <row r="3593" spans="1:7" ht="14.25" customHeight="1">
      <c r="A3593" s="8">
        <f t="shared" si="14"/>
        <v>0</v>
      </c>
      <c r="B3593" s="8"/>
      <c r="C3593" s="8"/>
      <c r="D3593" t="s">
        <v>493</v>
      </c>
      <c r="G3593">
        <v>9204016</v>
      </c>
    </row>
    <row r="3594" spans="1:7" ht="14.25" customHeight="1">
      <c r="A3594" s="8">
        <f t="shared" si="14"/>
        <v>0</v>
      </c>
      <c r="B3594" s="8"/>
      <c r="C3594" s="8"/>
      <c r="F3594" t="s">
        <v>1559</v>
      </c>
      <c r="G3594">
        <v>63181000</v>
      </c>
    </row>
    <row r="3595" spans="1:7" ht="14.25" customHeight="1">
      <c r="A3595" s="8">
        <f t="shared" si="14"/>
        <v>345</v>
      </c>
      <c r="B3595" s="8"/>
      <c r="C3595" s="8">
        <v>345</v>
      </c>
      <c r="D3595">
        <v>295</v>
      </c>
      <c r="E3595" t="s">
        <v>587</v>
      </c>
      <c r="F3595" t="s">
        <v>1676</v>
      </c>
      <c r="G3595" s="9">
        <v>44580</v>
      </c>
    </row>
    <row r="3596" spans="1:7" ht="14.25" customHeight="1">
      <c r="A3596" s="8">
        <f t="shared" si="14"/>
        <v>113850</v>
      </c>
      <c r="B3596" s="8"/>
      <c r="C3596" s="8">
        <v>113850</v>
      </c>
      <c r="D3596">
        <v>826</v>
      </c>
      <c r="E3596" t="s">
        <v>587</v>
      </c>
      <c r="F3596" t="s">
        <v>1677</v>
      </c>
      <c r="G3596" s="9">
        <v>44872</v>
      </c>
    </row>
    <row r="3597" spans="1:7" ht="14.25" customHeight="1">
      <c r="A3597" s="8">
        <f t="shared" si="14"/>
        <v>75900</v>
      </c>
      <c r="B3597" s="8"/>
      <c r="C3597" s="8">
        <v>75900</v>
      </c>
      <c r="D3597">
        <v>828</v>
      </c>
      <c r="E3597" t="s">
        <v>587</v>
      </c>
      <c r="F3597" t="s">
        <v>1677</v>
      </c>
      <c r="G3597" s="9">
        <v>44873</v>
      </c>
    </row>
    <row r="3598" spans="1:7" ht="14.25" customHeight="1">
      <c r="A3598" s="8">
        <f t="shared" si="14"/>
        <v>379</v>
      </c>
      <c r="B3598" s="8"/>
      <c r="C3598" s="8">
        <v>379</v>
      </c>
      <c r="D3598">
        <v>896</v>
      </c>
      <c r="E3598" t="s">
        <v>587</v>
      </c>
      <c r="F3598" t="s">
        <v>1571</v>
      </c>
      <c r="G3598" s="9">
        <v>44903</v>
      </c>
    </row>
    <row r="3599" spans="1:7" ht="14.25" customHeight="1">
      <c r="A3599" s="8">
        <f t="shared" si="14"/>
        <v>379</v>
      </c>
      <c r="B3599" s="8"/>
      <c r="C3599" s="8">
        <v>379</v>
      </c>
      <c r="D3599">
        <v>919</v>
      </c>
      <c r="E3599" t="s">
        <v>587</v>
      </c>
      <c r="F3599" t="s">
        <v>1595</v>
      </c>
      <c r="G3599" s="9">
        <v>44914</v>
      </c>
    </row>
    <row r="3600" spans="1:7" ht="14.25" customHeight="1">
      <c r="A3600" s="8">
        <f t="shared" si="14"/>
        <v>190854</v>
      </c>
      <c r="B3600" s="8"/>
      <c r="C3600" s="8">
        <v>190854</v>
      </c>
    </row>
    <row r="3601" spans="1:7" ht="14.25" customHeight="1">
      <c r="A3601" s="8">
        <f t="shared" si="14"/>
        <v>190854</v>
      </c>
      <c r="B3601" s="8"/>
      <c r="C3601" s="8">
        <v>190854</v>
      </c>
      <c r="E3601">
        <v>9204016</v>
      </c>
      <c r="F3601" t="s">
        <v>493</v>
      </c>
      <c r="G3601" t="s">
        <v>581</v>
      </c>
    </row>
    <row r="3602" spans="1:7" ht="14.25" customHeight="1">
      <c r="A3602" s="8">
        <f t="shared" si="14"/>
        <v>11861716</v>
      </c>
      <c r="B3602" s="8"/>
      <c r="C3602" s="8">
        <v>11861716</v>
      </c>
      <c r="E3602">
        <v>92040</v>
      </c>
      <c r="F3602" t="s">
        <v>489</v>
      </c>
      <c r="G3602" t="s">
        <v>581</v>
      </c>
    </row>
    <row r="3603" spans="1:7" ht="14.25" customHeight="1">
      <c r="A3603" s="8">
        <f t="shared" si="14"/>
        <v>17834785</v>
      </c>
      <c r="B3603" s="8"/>
      <c r="C3603" s="8">
        <v>17834785</v>
      </c>
      <c r="E3603">
        <v>92</v>
      </c>
      <c r="F3603" t="s">
        <v>494</v>
      </c>
      <c r="G3603" t="s">
        <v>581</v>
      </c>
    </row>
    <row r="3604" spans="1:7" ht="14.25" customHeight="1">
      <c r="A3604" s="8">
        <f t="shared" si="14"/>
        <v>0</v>
      </c>
      <c r="B3604" s="8"/>
      <c r="C3604" s="8"/>
      <c r="D3604" t="s">
        <v>495</v>
      </c>
      <c r="G3604">
        <v>9301010</v>
      </c>
    </row>
    <row r="3605" spans="1:7" ht="14.25" customHeight="1">
      <c r="A3605" s="8">
        <f t="shared" si="14"/>
        <v>0</v>
      </c>
      <c r="B3605" s="8"/>
      <c r="C3605" s="8"/>
      <c r="F3605" t="s">
        <v>1282</v>
      </c>
      <c r="G3605">
        <v>64130000</v>
      </c>
    </row>
    <row r="3606" spans="1:7" ht="14.25" customHeight="1">
      <c r="A3606" s="8">
        <f t="shared" si="14"/>
        <v>7144</v>
      </c>
      <c r="B3606" s="8"/>
      <c r="C3606" s="8">
        <v>7144</v>
      </c>
      <c r="D3606">
        <v>138</v>
      </c>
      <c r="E3606" t="s">
        <v>594</v>
      </c>
      <c r="F3606" t="s">
        <v>1289</v>
      </c>
      <c r="G3606" s="9">
        <v>44865</v>
      </c>
    </row>
    <row r="3607" spans="1:7" ht="14.25" customHeight="1">
      <c r="A3607" s="8">
        <f t="shared" si="14"/>
        <v>3136</v>
      </c>
      <c r="B3607" s="8"/>
      <c r="C3607" s="8">
        <v>3136</v>
      </c>
      <c r="D3607">
        <v>176</v>
      </c>
      <c r="E3607" t="s">
        <v>594</v>
      </c>
      <c r="F3607" t="s">
        <v>1290</v>
      </c>
      <c r="G3607" s="9">
        <v>44895</v>
      </c>
    </row>
    <row r="3608" spans="1:7" ht="14.25" customHeight="1">
      <c r="A3608" s="8">
        <f t="shared" si="14"/>
        <v>5528</v>
      </c>
      <c r="B3608" s="8"/>
      <c r="C3608" s="8">
        <v>5528</v>
      </c>
      <c r="D3608">
        <v>194</v>
      </c>
      <c r="E3608" t="s">
        <v>594</v>
      </c>
      <c r="F3608" t="s">
        <v>1291</v>
      </c>
      <c r="G3608" s="9">
        <v>44925</v>
      </c>
    </row>
    <row r="3609" spans="1:7" ht="14.25" customHeight="1">
      <c r="A3609" s="8">
        <f t="shared" si="14"/>
        <v>15808</v>
      </c>
      <c r="B3609" s="8"/>
      <c r="C3609" s="8">
        <v>15808</v>
      </c>
    </row>
    <row r="3610" spans="1:7" ht="14.25" customHeight="1">
      <c r="A3610" s="8">
        <f t="shared" si="14"/>
        <v>0</v>
      </c>
      <c r="B3610" s="8"/>
      <c r="C3610" s="8"/>
      <c r="F3610" t="s">
        <v>1292</v>
      </c>
      <c r="G3610">
        <v>64140000</v>
      </c>
    </row>
    <row r="3611" spans="1:7" ht="14.25" customHeight="1">
      <c r="A3611" s="8">
        <f t="shared" si="14"/>
        <v>780</v>
      </c>
      <c r="B3611" s="8"/>
      <c r="C3611" s="8">
        <v>780</v>
      </c>
      <c r="D3611">
        <v>9</v>
      </c>
      <c r="E3611" t="s">
        <v>594</v>
      </c>
      <c r="F3611" t="s">
        <v>1284</v>
      </c>
      <c r="G3611" s="9">
        <v>44620</v>
      </c>
    </row>
    <row r="3612" spans="1:7" ht="14.25" customHeight="1">
      <c r="A3612" s="8">
        <f t="shared" si="14"/>
        <v>2382</v>
      </c>
      <c r="B3612" s="8"/>
      <c r="C3612" s="8">
        <v>2382</v>
      </c>
      <c r="D3612">
        <v>138</v>
      </c>
      <c r="E3612" t="s">
        <v>594</v>
      </c>
      <c r="F3612" t="s">
        <v>1289</v>
      </c>
      <c r="G3612" s="9">
        <v>44865</v>
      </c>
    </row>
    <row r="3613" spans="1:7" ht="14.25" customHeight="1">
      <c r="A3613" s="8">
        <f t="shared" si="14"/>
        <v>1045</v>
      </c>
      <c r="B3613" s="8"/>
      <c r="C3613" s="8">
        <v>1045</v>
      </c>
      <c r="D3613">
        <v>176</v>
      </c>
      <c r="E3613" t="s">
        <v>594</v>
      </c>
      <c r="F3613" t="s">
        <v>1290</v>
      </c>
      <c r="G3613" s="9">
        <v>44895</v>
      </c>
    </row>
    <row r="3614" spans="1:7" ht="14.25" customHeight="1">
      <c r="A3614" s="8">
        <f t="shared" si="14"/>
        <v>1842</v>
      </c>
      <c r="B3614" s="8"/>
      <c r="C3614" s="8">
        <v>1842</v>
      </c>
      <c r="D3614">
        <v>194</v>
      </c>
      <c r="E3614" t="s">
        <v>594</v>
      </c>
      <c r="F3614" t="s">
        <v>1291</v>
      </c>
      <c r="G3614" s="9">
        <v>44925</v>
      </c>
    </row>
    <row r="3615" spans="1:7" ht="14.25" customHeight="1">
      <c r="A3615" s="8">
        <f t="shared" si="14"/>
        <v>6049</v>
      </c>
      <c r="B3615" s="8"/>
      <c r="C3615" s="8">
        <v>6049</v>
      </c>
    </row>
    <row r="3616" spans="1:7" ht="14.25" customHeight="1">
      <c r="A3616" s="8">
        <f t="shared" si="14"/>
        <v>0</v>
      </c>
      <c r="B3616" s="8"/>
      <c r="C3616" s="8"/>
      <c r="F3616" t="s">
        <v>1293</v>
      </c>
      <c r="G3616">
        <v>64150000</v>
      </c>
    </row>
    <row r="3617" spans="1:7" ht="14.25" customHeight="1">
      <c r="A3617" s="8">
        <f t="shared" si="14"/>
        <v>3572</v>
      </c>
      <c r="B3617" s="8"/>
      <c r="C3617" s="8">
        <v>3572</v>
      </c>
      <c r="D3617">
        <v>138</v>
      </c>
      <c r="E3617" t="s">
        <v>594</v>
      </c>
      <c r="F3617" t="s">
        <v>1289</v>
      </c>
      <c r="G3617" s="9">
        <v>44865</v>
      </c>
    </row>
    <row r="3618" spans="1:7" ht="14.25" customHeight="1">
      <c r="A3618" s="8">
        <f t="shared" si="14"/>
        <v>1569</v>
      </c>
      <c r="B3618" s="8"/>
      <c r="C3618" s="8">
        <v>1569</v>
      </c>
      <c r="D3618">
        <v>176</v>
      </c>
      <c r="E3618" t="s">
        <v>594</v>
      </c>
      <c r="F3618" t="s">
        <v>1290</v>
      </c>
      <c r="G3618" s="9">
        <v>44895</v>
      </c>
    </row>
    <row r="3619" spans="1:7" ht="14.25" customHeight="1">
      <c r="A3619" s="8">
        <f t="shared" si="14"/>
        <v>2765</v>
      </c>
      <c r="B3619" s="8"/>
      <c r="C3619" s="8">
        <v>2765</v>
      </c>
      <c r="D3619">
        <v>194</v>
      </c>
      <c r="E3619" t="s">
        <v>594</v>
      </c>
      <c r="F3619" t="s">
        <v>1291</v>
      </c>
      <c r="G3619" s="9">
        <v>44925</v>
      </c>
    </row>
    <row r="3620" spans="1:7" ht="14.25" customHeight="1">
      <c r="A3620" s="8">
        <f t="shared" si="14"/>
        <v>7905</v>
      </c>
      <c r="B3620" s="8"/>
      <c r="C3620" s="8">
        <v>7905</v>
      </c>
    </row>
    <row r="3621" spans="1:7" ht="14.25" customHeight="1">
      <c r="A3621" s="8">
        <f t="shared" si="14"/>
        <v>0</v>
      </c>
      <c r="B3621" s="8"/>
      <c r="C3621" s="8"/>
      <c r="F3621" t="s">
        <v>1295</v>
      </c>
      <c r="G3621">
        <v>66110000</v>
      </c>
    </row>
    <row r="3622" spans="1:7" ht="14.25" customHeight="1">
      <c r="A3622" s="8">
        <f t="shared" si="14"/>
        <v>595311</v>
      </c>
      <c r="B3622" s="8"/>
      <c r="C3622" s="8">
        <v>595311</v>
      </c>
      <c r="D3622">
        <v>135</v>
      </c>
      <c r="E3622" t="s">
        <v>594</v>
      </c>
      <c r="F3622" t="s">
        <v>1302</v>
      </c>
      <c r="G3622" s="9">
        <v>44865</v>
      </c>
    </row>
    <row r="3623" spans="1:7" ht="14.25" customHeight="1">
      <c r="A3623" s="8">
        <f t="shared" si="14"/>
        <v>261356</v>
      </c>
      <c r="B3623" s="8"/>
      <c r="C3623" s="8">
        <v>261356</v>
      </c>
      <c r="D3623">
        <v>173</v>
      </c>
      <c r="E3623" t="s">
        <v>594</v>
      </c>
      <c r="F3623" t="s">
        <v>1303</v>
      </c>
      <c r="G3623" s="9">
        <v>44895</v>
      </c>
    </row>
    <row r="3624" spans="1:7" ht="14.25" customHeight="1">
      <c r="A3624" s="8">
        <f t="shared" si="14"/>
        <v>460713</v>
      </c>
      <c r="B3624" s="8"/>
      <c r="C3624" s="8">
        <v>460713</v>
      </c>
      <c r="D3624">
        <v>191</v>
      </c>
      <c r="E3624" t="s">
        <v>594</v>
      </c>
      <c r="F3624" t="s">
        <v>1304</v>
      </c>
      <c r="G3624" s="9">
        <v>44925</v>
      </c>
    </row>
    <row r="3625" spans="1:7" ht="14.25" customHeight="1">
      <c r="A3625" s="8">
        <f t="shared" si="14"/>
        <v>1317380</v>
      </c>
      <c r="B3625" s="8"/>
      <c r="C3625" s="8">
        <v>1317380</v>
      </c>
    </row>
    <row r="3626" spans="1:7" ht="14.25" customHeight="1">
      <c r="A3626" s="8">
        <f t="shared" si="14"/>
        <v>0</v>
      </c>
      <c r="B3626" s="8"/>
      <c r="C3626" s="8"/>
      <c r="F3626" t="s">
        <v>1330</v>
      </c>
      <c r="G3626">
        <v>66320000</v>
      </c>
    </row>
    <row r="3627" spans="1:7" ht="14.25" customHeight="1">
      <c r="A3627" s="8">
        <f t="shared" si="14"/>
        <v>12101</v>
      </c>
      <c r="B3627" s="8"/>
      <c r="C3627" s="8">
        <v>12101</v>
      </c>
      <c r="D3627">
        <v>136</v>
      </c>
      <c r="E3627" t="s">
        <v>594</v>
      </c>
      <c r="F3627" t="s">
        <v>1340</v>
      </c>
      <c r="G3627" s="9">
        <v>44865</v>
      </c>
    </row>
    <row r="3628" spans="1:7" ht="14.25" customHeight="1">
      <c r="A3628" s="8">
        <f t="shared" si="14"/>
        <v>5313</v>
      </c>
      <c r="B3628" s="8"/>
      <c r="C3628" s="8">
        <v>5313</v>
      </c>
      <c r="D3628">
        <v>174</v>
      </c>
      <c r="E3628" t="s">
        <v>594</v>
      </c>
      <c r="F3628" t="s">
        <v>1341</v>
      </c>
      <c r="G3628" s="9">
        <v>44895</v>
      </c>
    </row>
    <row r="3629" spans="1:7" ht="14.25" customHeight="1">
      <c r="A3629" s="8">
        <f t="shared" si="14"/>
        <v>8855</v>
      </c>
      <c r="B3629" s="8"/>
      <c r="C3629" s="8">
        <v>8855</v>
      </c>
      <c r="D3629">
        <v>192</v>
      </c>
      <c r="E3629" t="s">
        <v>594</v>
      </c>
      <c r="F3629" t="s">
        <v>1342</v>
      </c>
      <c r="G3629" s="9">
        <v>44925</v>
      </c>
    </row>
    <row r="3630" spans="1:7" ht="14.25" customHeight="1">
      <c r="A3630" s="8">
        <f t="shared" si="14"/>
        <v>26269</v>
      </c>
      <c r="B3630" s="8"/>
      <c r="C3630" s="8">
        <v>26269</v>
      </c>
    </row>
    <row r="3631" spans="1:7" ht="14.25" customHeight="1">
      <c r="A3631" s="8">
        <f t="shared" si="14"/>
        <v>0</v>
      </c>
      <c r="B3631" s="8"/>
      <c r="C3631" s="8"/>
      <c r="F3631" t="s">
        <v>1305</v>
      </c>
      <c r="G3631">
        <v>66340000</v>
      </c>
    </row>
    <row r="3632" spans="1:7" ht="14.25" customHeight="1">
      <c r="A3632" s="8">
        <f t="shared" si="14"/>
        <v>47150</v>
      </c>
      <c r="B3632" s="8"/>
      <c r="C3632" s="8">
        <v>47150</v>
      </c>
      <c r="D3632">
        <v>137</v>
      </c>
      <c r="E3632" t="s">
        <v>594</v>
      </c>
      <c r="F3632" t="s">
        <v>1312</v>
      </c>
      <c r="G3632" s="9">
        <v>44865</v>
      </c>
    </row>
    <row r="3633" spans="1:7" ht="14.25" customHeight="1">
      <c r="A3633" s="8">
        <f t="shared" si="14"/>
        <v>20700</v>
      </c>
      <c r="B3633" s="8"/>
      <c r="C3633" s="8">
        <v>20700</v>
      </c>
      <c r="D3633">
        <v>175</v>
      </c>
      <c r="E3633" t="s">
        <v>594</v>
      </c>
      <c r="F3633" t="s">
        <v>1313</v>
      </c>
      <c r="G3633" s="9">
        <v>44895</v>
      </c>
    </row>
    <row r="3634" spans="1:7" ht="14.25" customHeight="1">
      <c r="A3634" s="8">
        <f t="shared" si="14"/>
        <v>34500</v>
      </c>
      <c r="B3634" s="8"/>
      <c r="C3634" s="8">
        <v>34500</v>
      </c>
      <c r="D3634">
        <v>193</v>
      </c>
      <c r="E3634" t="s">
        <v>594</v>
      </c>
      <c r="F3634" t="s">
        <v>1314</v>
      </c>
      <c r="G3634" s="9">
        <v>44925</v>
      </c>
    </row>
    <row r="3635" spans="1:7" ht="14.25" customHeight="1">
      <c r="A3635" s="8">
        <f t="shared" si="14"/>
        <v>102350</v>
      </c>
      <c r="B3635" s="8"/>
      <c r="C3635" s="8">
        <v>102350</v>
      </c>
    </row>
    <row r="3636" spans="1:7" ht="14.25" customHeight="1">
      <c r="A3636" s="8">
        <f t="shared" si="14"/>
        <v>0</v>
      </c>
      <c r="B3636" s="8"/>
      <c r="C3636" s="8"/>
      <c r="F3636" t="s">
        <v>1315</v>
      </c>
      <c r="G3636">
        <v>66410000</v>
      </c>
    </row>
    <row r="3637" spans="1:7" ht="14.25" customHeight="1">
      <c r="A3637" s="8">
        <f t="shared" si="14"/>
        <v>48999</v>
      </c>
      <c r="B3637" s="8"/>
      <c r="C3637" s="8">
        <v>48999</v>
      </c>
      <c r="D3637">
        <v>139</v>
      </c>
      <c r="E3637" t="s">
        <v>594</v>
      </c>
      <c r="F3637" t="s">
        <v>1322</v>
      </c>
      <c r="G3637" s="9">
        <v>44865</v>
      </c>
    </row>
    <row r="3638" spans="1:7" ht="14.25" customHeight="1">
      <c r="A3638" s="8">
        <f t="shared" si="14"/>
        <v>21871</v>
      </c>
      <c r="B3638" s="8"/>
      <c r="C3638" s="8">
        <v>21871</v>
      </c>
      <c r="D3638">
        <v>177</v>
      </c>
      <c r="E3638" t="s">
        <v>594</v>
      </c>
      <c r="F3638" t="s">
        <v>1323</v>
      </c>
      <c r="G3638" s="9">
        <v>44895</v>
      </c>
    </row>
    <row r="3639" spans="1:7" ht="14.25" customHeight="1">
      <c r="A3639" s="8">
        <f t="shared" si="14"/>
        <v>38385</v>
      </c>
      <c r="B3639" s="8"/>
      <c r="C3639" s="8">
        <v>38385</v>
      </c>
      <c r="D3639">
        <v>195</v>
      </c>
      <c r="E3639" t="s">
        <v>594</v>
      </c>
      <c r="F3639" t="s">
        <v>1324</v>
      </c>
      <c r="G3639" s="9">
        <v>44925</v>
      </c>
    </row>
    <row r="3640" spans="1:7" ht="14.25" customHeight="1">
      <c r="A3640" s="8">
        <f t="shared" si="14"/>
        <v>109255</v>
      </c>
      <c r="B3640" s="8"/>
      <c r="C3640" s="8">
        <v>109255</v>
      </c>
    </row>
    <row r="3641" spans="1:7" ht="14.25" customHeight="1">
      <c r="A3641" s="8">
        <f t="shared" si="14"/>
        <v>1585016</v>
      </c>
      <c r="B3641" s="8"/>
      <c r="C3641" s="8">
        <v>1585016</v>
      </c>
      <c r="E3641">
        <v>9301010</v>
      </c>
      <c r="F3641" t="s">
        <v>495</v>
      </c>
      <c r="G3641" t="s">
        <v>581</v>
      </c>
    </row>
    <row r="3642" spans="1:7" ht="14.25" customHeight="1">
      <c r="A3642" s="8">
        <f t="shared" si="14"/>
        <v>0</v>
      </c>
      <c r="B3642" s="8"/>
      <c r="C3642" s="8"/>
      <c r="D3642" t="s">
        <v>496</v>
      </c>
      <c r="G3642">
        <v>9304009</v>
      </c>
    </row>
    <row r="3643" spans="1:7" ht="14.25" customHeight="1">
      <c r="A3643" s="8">
        <f t="shared" si="14"/>
        <v>0</v>
      </c>
      <c r="B3643" s="8"/>
      <c r="C3643" s="8"/>
      <c r="F3643" t="s">
        <v>1403</v>
      </c>
      <c r="G3643">
        <v>62810000</v>
      </c>
    </row>
    <row r="3644" spans="1:7" ht="14.25" customHeight="1">
      <c r="A3644" s="8">
        <f t="shared" si="14"/>
        <v>4871</v>
      </c>
      <c r="B3644" s="8"/>
      <c r="C3644" s="8">
        <v>4871</v>
      </c>
      <c r="D3644">
        <v>423</v>
      </c>
      <c r="E3644" t="s">
        <v>579</v>
      </c>
      <c r="F3644" t="s">
        <v>1418</v>
      </c>
      <c r="G3644" s="9">
        <v>44918</v>
      </c>
    </row>
    <row r="3645" spans="1:7" ht="14.25" customHeight="1">
      <c r="A3645" s="8">
        <f t="shared" si="14"/>
        <v>5463</v>
      </c>
      <c r="B3645" s="8"/>
      <c r="C3645" s="8">
        <v>5463</v>
      </c>
      <c r="D3645">
        <v>278</v>
      </c>
      <c r="E3645" t="s">
        <v>667</v>
      </c>
      <c r="F3645" t="s">
        <v>1419</v>
      </c>
      <c r="G3645" s="9">
        <v>44924</v>
      </c>
    </row>
    <row r="3646" spans="1:7" ht="14.25" customHeight="1">
      <c r="A3646" s="8">
        <f t="shared" si="14"/>
        <v>10334</v>
      </c>
      <c r="B3646" s="8"/>
      <c r="C3646" s="8">
        <v>10334</v>
      </c>
    </row>
    <row r="3647" spans="1:7" ht="14.25" customHeight="1">
      <c r="A3647" s="8">
        <f t="shared" si="14"/>
        <v>10334</v>
      </c>
      <c r="B3647" s="8"/>
      <c r="C3647" s="8">
        <v>10334</v>
      </c>
      <c r="E3647">
        <v>9304009</v>
      </c>
      <c r="F3647" t="s">
        <v>496</v>
      </c>
      <c r="G3647" t="s">
        <v>581</v>
      </c>
    </row>
    <row r="3648" spans="1:7" ht="14.25" customHeight="1">
      <c r="A3648" s="8">
        <f t="shared" si="14"/>
        <v>0</v>
      </c>
      <c r="B3648" s="8"/>
      <c r="C3648" s="8"/>
      <c r="D3648" t="s">
        <v>497</v>
      </c>
      <c r="G3648">
        <v>9304015</v>
      </c>
    </row>
    <row r="3649" spans="1:7" ht="14.25" customHeight="1">
      <c r="A3649" s="8">
        <f t="shared" si="14"/>
        <v>0</v>
      </c>
      <c r="B3649" s="8"/>
      <c r="C3649" s="8"/>
      <c r="F3649" t="s">
        <v>1172</v>
      </c>
      <c r="G3649">
        <v>60550000</v>
      </c>
    </row>
    <row r="3650" spans="1:7" ht="14.25" customHeight="1">
      <c r="A3650" s="8">
        <f t="shared" si="14"/>
        <v>178250</v>
      </c>
      <c r="B3650" s="8"/>
      <c r="C3650" s="8">
        <v>178250</v>
      </c>
      <c r="D3650">
        <v>414</v>
      </c>
      <c r="E3650" t="s">
        <v>579</v>
      </c>
      <c r="F3650" t="s">
        <v>1678</v>
      </c>
      <c r="G3650" s="9">
        <v>44910</v>
      </c>
    </row>
    <row r="3651" spans="1:7" ht="14.25" customHeight="1">
      <c r="A3651" s="8">
        <f t="shared" si="14"/>
        <v>178250</v>
      </c>
      <c r="B3651" s="8"/>
      <c r="C3651" s="8">
        <v>178250</v>
      </c>
    </row>
    <row r="3652" spans="1:7" ht="14.25" customHeight="1">
      <c r="A3652" s="8">
        <f t="shared" si="14"/>
        <v>178250</v>
      </c>
      <c r="B3652" s="8"/>
      <c r="C3652" s="8">
        <v>178250</v>
      </c>
      <c r="E3652">
        <v>9304015</v>
      </c>
      <c r="F3652" t="s">
        <v>497</v>
      </c>
      <c r="G3652" t="s">
        <v>581</v>
      </c>
    </row>
    <row r="3653" spans="1:7" ht="14.25" customHeight="1">
      <c r="A3653" s="8">
        <f t="shared" si="14"/>
        <v>0</v>
      </c>
      <c r="B3653" s="8"/>
      <c r="C3653" s="8"/>
      <c r="D3653" t="s">
        <v>498</v>
      </c>
      <c r="G3653">
        <v>9304016</v>
      </c>
    </row>
    <row r="3654" spans="1:7" ht="14.25" customHeight="1">
      <c r="A3654" s="8">
        <f t="shared" si="14"/>
        <v>0</v>
      </c>
      <c r="B3654" s="8"/>
      <c r="C3654" s="8"/>
      <c r="F3654" t="s">
        <v>1559</v>
      </c>
      <c r="G3654">
        <v>63181000</v>
      </c>
    </row>
    <row r="3655" spans="1:7" ht="14.25" customHeight="1">
      <c r="A3655" s="8">
        <f t="shared" si="14"/>
        <v>379</v>
      </c>
      <c r="B3655" s="8"/>
      <c r="C3655" s="8">
        <v>379</v>
      </c>
      <c r="D3655">
        <v>898</v>
      </c>
      <c r="E3655" t="s">
        <v>587</v>
      </c>
      <c r="F3655" t="s">
        <v>1571</v>
      </c>
      <c r="G3655" s="9">
        <v>44903</v>
      </c>
    </row>
    <row r="3656" spans="1:7" ht="14.25" customHeight="1">
      <c r="A3656" s="8">
        <f t="shared" si="14"/>
        <v>379</v>
      </c>
      <c r="B3656" s="8"/>
      <c r="C3656" s="8">
        <v>379</v>
      </c>
      <c r="D3656">
        <v>921</v>
      </c>
      <c r="E3656" t="s">
        <v>587</v>
      </c>
      <c r="F3656" t="s">
        <v>1595</v>
      </c>
      <c r="G3656" s="9">
        <v>44914</v>
      </c>
    </row>
    <row r="3657" spans="1:7" ht="14.25" customHeight="1">
      <c r="A3657" s="8">
        <f t="shared" si="14"/>
        <v>759</v>
      </c>
      <c r="B3657" s="8"/>
      <c r="C3657" s="8">
        <v>759</v>
      </c>
    </row>
    <row r="3658" spans="1:7" ht="14.25" customHeight="1">
      <c r="A3658" s="8">
        <f t="shared" si="14"/>
        <v>759</v>
      </c>
      <c r="B3658" s="8"/>
      <c r="C3658" s="8">
        <v>759</v>
      </c>
      <c r="E3658">
        <v>9304016</v>
      </c>
      <c r="F3658" t="s">
        <v>498</v>
      </c>
      <c r="G3658" t="s">
        <v>581</v>
      </c>
    </row>
    <row r="3659" spans="1:7" ht="14.25" customHeight="1">
      <c r="A3659" s="8">
        <f t="shared" si="14"/>
        <v>189343</v>
      </c>
      <c r="B3659" s="8"/>
      <c r="C3659" s="8">
        <v>189343</v>
      </c>
      <c r="E3659">
        <v>93040</v>
      </c>
      <c r="F3659" t="s">
        <v>499</v>
      </c>
      <c r="G3659" t="s">
        <v>581</v>
      </c>
    </row>
    <row r="3660" spans="1:7" ht="14.25" customHeight="1">
      <c r="A3660" s="8">
        <f t="shared" si="14"/>
        <v>1774359</v>
      </c>
      <c r="B3660" s="8"/>
      <c r="C3660" s="8">
        <v>1774359</v>
      </c>
      <c r="E3660">
        <v>93</v>
      </c>
      <c r="F3660" t="s">
        <v>500</v>
      </c>
      <c r="G3660" t="s">
        <v>581</v>
      </c>
    </row>
    <row r="3661" spans="1:7" ht="14.25" customHeight="1">
      <c r="A3661" s="8">
        <f t="shared" si="14"/>
        <v>0</v>
      </c>
      <c r="B3661" s="8"/>
      <c r="C3661" s="8"/>
      <c r="D3661" t="s">
        <v>501</v>
      </c>
      <c r="G3661">
        <v>9401010</v>
      </c>
    </row>
    <row r="3662" spans="1:7" ht="14.25" customHeight="1">
      <c r="A3662" s="8">
        <f t="shared" si="14"/>
        <v>0</v>
      </c>
      <c r="B3662" s="8"/>
      <c r="C3662" s="8"/>
      <c r="F3662" t="s">
        <v>1282</v>
      </c>
      <c r="G3662">
        <v>64130000</v>
      </c>
    </row>
    <row r="3663" spans="1:7" ht="14.25" customHeight="1">
      <c r="A3663" s="8">
        <f t="shared" si="14"/>
        <v>3588</v>
      </c>
      <c r="B3663" s="8"/>
      <c r="C3663" s="8">
        <v>3588</v>
      </c>
      <c r="D3663">
        <v>4</v>
      </c>
      <c r="E3663" t="s">
        <v>594</v>
      </c>
      <c r="F3663" t="s">
        <v>1283</v>
      </c>
      <c r="G3663" s="9">
        <v>44592</v>
      </c>
    </row>
    <row r="3664" spans="1:7" ht="14.25" customHeight="1">
      <c r="A3664" s="8">
        <f t="shared" si="14"/>
        <v>2339</v>
      </c>
      <c r="B3664" s="8"/>
      <c r="C3664" s="8">
        <v>2339</v>
      </c>
      <c r="D3664">
        <v>9</v>
      </c>
      <c r="E3664" t="s">
        <v>594</v>
      </c>
      <c r="F3664" t="s">
        <v>1284</v>
      </c>
      <c r="G3664" s="9">
        <v>44620</v>
      </c>
    </row>
    <row r="3665" spans="1:7" ht="14.25" customHeight="1">
      <c r="A3665" s="8">
        <f t="shared" si="14"/>
        <v>2070</v>
      </c>
      <c r="B3665" s="8"/>
      <c r="C3665" s="8">
        <v>2070</v>
      </c>
      <c r="D3665">
        <v>14</v>
      </c>
      <c r="E3665" t="s">
        <v>594</v>
      </c>
      <c r="F3665" t="s">
        <v>1285</v>
      </c>
      <c r="G3665" s="9">
        <v>44651</v>
      </c>
    </row>
    <row r="3666" spans="1:7" ht="14.25" customHeight="1">
      <c r="A3666" s="8">
        <f t="shared" si="14"/>
        <v>5704</v>
      </c>
      <c r="B3666" s="8"/>
      <c r="C3666" s="8">
        <v>5704</v>
      </c>
      <c r="D3666">
        <v>19</v>
      </c>
      <c r="E3666" t="s">
        <v>594</v>
      </c>
      <c r="F3666" t="s">
        <v>1286</v>
      </c>
      <c r="G3666" s="9">
        <v>44681</v>
      </c>
    </row>
    <row r="3667" spans="1:7" ht="14.25" customHeight="1">
      <c r="A3667" s="8">
        <f t="shared" si="14"/>
        <v>8848</v>
      </c>
      <c r="B3667" s="8"/>
      <c r="C3667" s="8">
        <v>8848</v>
      </c>
      <c r="D3667">
        <v>24</v>
      </c>
      <c r="E3667" t="s">
        <v>594</v>
      </c>
      <c r="F3667" t="s">
        <v>1287</v>
      </c>
      <c r="G3667" s="9">
        <v>44712</v>
      </c>
    </row>
    <row r="3668" spans="1:7" ht="14.25" customHeight="1">
      <c r="A3668" s="8">
        <f t="shared" si="14"/>
        <v>8848</v>
      </c>
      <c r="B3668" s="8"/>
      <c r="C3668" s="8">
        <v>8848</v>
      </c>
      <c r="D3668">
        <v>32</v>
      </c>
      <c r="E3668" t="s">
        <v>594</v>
      </c>
      <c r="F3668" t="s">
        <v>1288</v>
      </c>
      <c r="G3668" s="9">
        <v>44742</v>
      </c>
    </row>
    <row r="3669" spans="1:7" ht="14.25" customHeight="1">
      <c r="A3669" s="8">
        <f t="shared" si="14"/>
        <v>8848</v>
      </c>
      <c r="B3669" s="8"/>
      <c r="C3669" s="8">
        <v>8848</v>
      </c>
      <c r="D3669">
        <v>65</v>
      </c>
      <c r="E3669" t="s">
        <v>594</v>
      </c>
      <c r="F3669" t="s">
        <v>1325</v>
      </c>
      <c r="G3669" s="9">
        <v>44772</v>
      </c>
    </row>
    <row r="3670" spans="1:7" ht="14.25" customHeight="1">
      <c r="A3670" s="8">
        <f t="shared" si="14"/>
        <v>9668</v>
      </c>
      <c r="B3670" s="8"/>
      <c r="C3670" s="8">
        <v>9668</v>
      </c>
      <c r="D3670">
        <v>75</v>
      </c>
      <c r="E3670" t="s">
        <v>594</v>
      </c>
      <c r="F3670" t="s">
        <v>1326</v>
      </c>
      <c r="G3670" s="9">
        <v>44804</v>
      </c>
    </row>
    <row r="3671" spans="1:7" ht="14.25" customHeight="1">
      <c r="A3671" s="8">
        <f t="shared" si="14"/>
        <v>3003</v>
      </c>
      <c r="B3671" s="8"/>
      <c r="C3671" s="8">
        <v>3003</v>
      </c>
      <c r="D3671">
        <v>130</v>
      </c>
      <c r="E3671" t="s">
        <v>594</v>
      </c>
      <c r="F3671" t="s">
        <v>1294</v>
      </c>
      <c r="G3671" s="9">
        <v>44834</v>
      </c>
    </row>
    <row r="3672" spans="1:7" ht="14.25" customHeight="1">
      <c r="A3672" s="8">
        <f t="shared" si="14"/>
        <v>4148</v>
      </c>
      <c r="B3672" s="8"/>
      <c r="C3672" s="8">
        <v>4148</v>
      </c>
      <c r="D3672">
        <v>138</v>
      </c>
      <c r="E3672" t="s">
        <v>594</v>
      </c>
      <c r="F3672" t="s">
        <v>1289</v>
      </c>
      <c r="G3672" s="9">
        <v>44865</v>
      </c>
    </row>
    <row r="3673" spans="1:7" ht="14.25" customHeight="1">
      <c r="A3673" s="8">
        <f t="shared" si="14"/>
        <v>4992</v>
      </c>
      <c r="B3673" s="8"/>
      <c r="C3673" s="8">
        <v>4992</v>
      </c>
      <c r="D3673">
        <v>176</v>
      </c>
      <c r="E3673" t="s">
        <v>594</v>
      </c>
      <c r="F3673" t="s">
        <v>1290</v>
      </c>
      <c r="G3673" s="9">
        <v>44895</v>
      </c>
    </row>
    <row r="3674" spans="1:7" ht="14.25" customHeight="1">
      <c r="A3674" s="8">
        <f t="shared" si="14"/>
        <v>6095</v>
      </c>
      <c r="B3674" s="8"/>
      <c r="C3674" s="8">
        <v>6095</v>
      </c>
      <c r="D3674">
        <v>194</v>
      </c>
      <c r="E3674" t="s">
        <v>594</v>
      </c>
      <c r="F3674" t="s">
        <v>1291</v>
      </c>
      <c r="G3674" s="9">
        <v>44925</v>
      </c>
    </row>
    <row r="3675" spans="1:7" ht="14.25" customHeight="1">
      <c r="A3675" s="8">
        <f t="shared" si="14"/>
        <v>68151</v>
      </c>
      <c r="B3675" s="8"/>
      <c r="C3675" s="8">
        <v>68151</v>
      </c>
    </row>
    <row r="3676" spans="1:7" ht="14.25" customHeight="1">
      <c r="A3676" s="8">
        <f t="shared" si="14"/>
        <v>0</v>
      </c>
      <c r="B3676" s="8"/>
      <c r="C3676" s="8"/>
      <c r="F3676" t="s">
        <v>1292</v>
      </c>
      <c r="G3676">
        <v>64140000</v>
      </c>
    </row>
    <row r="3677" spans="1:7" ht="14.25" customHeight="1">
      <c r="A3677" s="8">
        <f t="shared" si="14"/>
        <v>1196</v>
      </c>
      <c r="B3677" s="8"/>
      <c r="C3677" s="8">
        <v>1196</v>
      </c>
      <c r="D3677">
        <v>4</v>
      </c>
      <c r="E3677" t="s">
        <v>594</v>
      </c>
      <c r="F3677" t="s">
        <v>1283</v>
      </c>
      <c r="G3677" s="9">
        <v>44592</v>
      </c>
    </row>
    <row r="3678" spans="1:7" ht="14.25" customHeight="1">
      <c r="A3678" s="8">
        <f t="shared" si="14"/>
        <v>690</v>
      </c>
      <c r="B3678" s="8"/>
      <c r="C3678" s="8">
        <v>690</v>
      </c>
      <c r="D3678">
        <v>14</v>
      </c>
      <c r="E3678" t="s">
        <v>594</v>
      </c>
      <c r="F3678" t="s">
        <v>1285</v>
      </c>
      <c r="G3678" s="9">
        <v>44651</v>
      </c>
    </row>
    <row r="3679" spans="1:7" ht="14.25" customHeight="1">
      <c r="A3679" s="8">
        <f t="shared" si="14"/>
        <v>1901</v>
      </c>
      <c r="B3679" s="8"/>
      <c r="C3679" s="8">
        <v>1901</v>
      </c>
      <c r="D3679">
        <v>19</v>
      </c>
      <c r="E3679" t="s">
        <v>594</v>
      </c>
      <c r="F3679" t="s">
        <v>1286</v>
      </c>
      <c r="G3679" s="9">
        <v>44681</v>
      </c>
    </row>
    <row r="3680" spans="1:7" ht="14.25" customHeight="1">
      <c r="A3680" s="8">
        <f t="shared" si="14"/>
        <v>2950</v>
      </c>
      <c r="B3680" s="8"/>
      <c r="C3680" s="8">
        <v>2950</v>
      </c>
      <c r="D3680">
        <v>24</v>
      </c>
      <c r="E3680" t="s">
        <v>594</v>
      </c>
      <c r="F3680" t="s">
        <v>1287</v>
      </c>
      <c r="G3680" s="9">
        <v>44712</v>
      </c>
    </row>
    <row r="3681" spans="1:7" ht="14.25" customHeight="1">
      <c r="A3681" s="8">
        <f t="shared" si="14"/>
        <v>2950</v>
      </c>
      <c r="B3681" s="8"/>
      <c r="C3681" s="8">
        <v>2950</v>
      </c>
      <c r="D3681">
        <v>32</v>
      </c>
      <c r="E3681" t="s">
        <v>594</v>
      </c>
      <c r="F3681" t="s">
        <v>1288</v>
      </c>
      <c r="G3681" s="9">
        <v>44742</v>
      </c>
    </row>
    <row r="3682" spans="1:7" ht="14.25" customHeight="1">
      <c r="A3682" s="8">
        <f t="shared" si="14"/>
        <v>2950</v>
      </c>
      <c r="B3682" s="8"/>
      <c r="C3682" s="8">
        <v>2950</v>
      </c>
      <c r="D3682">
        <v>65</v>
      </c>
      <c r="E3682" t="s">
        <v>594</v>
      </c>
      <c r="F3682" t="s">
        <v>1325</v>
      </c>
      <c r="G3682" s="9">
        <v>44772</v>
      </c>
    </row>
    <row r="3683" spans="1:7" ht="14.25" customHeight="1">
      <c r="A3683" s="8">
        <f t="shared" si="14"/>
        <v>3222</v>
      </c>
      <c r="B3683" s="8"/>
      <c r="C3683" s="8">
        <v>3222</v>
      </c>
      <c r="D3683">
        <v>75</v>
      </c>
      <c r="E3683" t="s">
        <v>594</v>
      </c>
      <c r="F3683" t="s">
        <v>1326</v>
      </c>
      <c r="G3683" s="9">
        <v>44804</v>
      </c>
    </row>
    <row r="3684" spans="1:7" ht="14.25" customHeight="1">
      <c r="A3684" s="8">
        <f t="shared" si="14"/>
        <v>1000</v>
      </c>
      <c r="B3684" s="8"/>
      <c r="C3684" s="8">
        <v>1000</v>
      </c>
      <c r="D3684">
        <v>130</v>
      </c>
      <c r="E3684" t="s">
        <v>594</v>
      </c>
      <c r="F3684" t="s">
        <v>1294</v>
      </c>
      <c r="G3684" s="9">
        <v>44834</v>
      </c>
    </row>
    <row r="3685" spans="1:7" ht="14.25" customHeight="1">
      <c r="A3685" s="8">
        <f t="shared" si="14"/>
        <v>1382</v>
      </c>
      <c r="B3685" s="8"/>
      <c r="C3685" s="8">
        <v>1382</v>
      </c>
      <c r="D3685">
        <v>138</v>
      </c>
      <c r="E3685" t="s">
        <v>594</v>
      </c>
      <c r="F3685" t="s">
        <v>1289</v>
      </c>
      <c r="G3685" s="9">
        <v>44865</v>
      </c>
    </row>
    <row r="3686" spans="1:7" ht="14.25" customHeight="1">
      <c r="A3686" s="8">
        <f t="shared" si="14"/>
        <v>1664</v>
      </c>
      <c r="B3686" s="8"/>
      <c r="C3686" s="8">
        <v>1664</v>
      </c>
      <c r="D3686">
        <v>176</v>
      </c>
      <c r="E3686" t="s">
        <v>594</v>
      </c>
      <c r="F3686" t="s">
        <v>1290</v>
      </c>
      <c r="G3686" s="9">
        <v>44895</v>
      </c>
    </row>
    <row r="3687" spans="1:7" ht="14.25" customHeight="1">
      <c r="A3687" s="8">
        <f t="shared" si="14"/>
        <v>2032</v>
      </c>
      <c r="B3687" s="8"/>
      <c r="C3687" s="8">
        <v>2032</v>
      </c>
      <c r="D3687">
        <v>194</v>
      </c>
      <c r="E3687" t="s">
        <v>594</v>
      </c>
      <c r="F3687" t="s">
        <v>1291</v>
      </c>
      <c r="G3687" s="9">
        <v>44925</v>
      </c>
    </row>
    <row r="3688" spans="1:7" ht="14.25" customHeight="1">
      <c r="A3688" s="8">
        <f t="shared" si="14"/>
        <v>21937</v>
      </c>
      <c r="B3688" s="8"/>
      <c r="C3688" s="8">
        <v>21937</v>
      </c>
    </row>
    <row r="3689" spans="1:7" ht="14.25" customHeight="1">
      <c r="A3689" s="8">
        <f t="shared" si="14"/>
        <v>0</v>
      </c>
      <c r="B3689" s="8"/>
      <c r="C3689" s="8"/>
      <c r="F3689" t="s">
        <v>1293</v>
      </c>
      <c r="G3689">
        <v>64150000</v>
      </c>
    </row>
    <row r="3690" spans="1:7" ht="14.25" customHeight="1">
      <c r="A3690" s="8">
        <f t="shared" si="14"/>
        <v>1794</v>
      </c>
      <c r="B3690" s="8"/>
      <c r="C3690" s="8">
        <v>1794</v>
      </c>
      <c r="D3690">
        <v>4</v>
      </c>
      <c r="E3690" t="s">
        <v>594</v>
      </c>
      <c r="F3690" t="s">
        <v>1283</v>
      </c>
      <c r="G3690" s="9">
        <v>44592</v>
      </c>
    </row>
    <row r="3691" spans="1:7" ht="14.25" customHeight="1">
      <c r="A3691" s="8">
        <f t="shared" si="14"/>
        <v>1170</v>
      </c>
      <c r="B3691" s="8"/>
      <c r="C3691" s="8">
        <v>1170</v>
      </c>
      <c r="D3691">
        <v>9</v>
      </c>
      <c r="E3691" t="s">
        <v>594</v>
      </c>
      <c r="F3691" t="s">
        <v>1284</v>
      </c>
      <c r="G3691" s="9">
        <v>44620</v>
      </c>
    </row>
    <row r="3692" spans="1:7" ht="14.25" customHeight="1">
      <c r="A3692" s="8">
        <f t="shared" si="14"/>
        <v>1035</v>
      </c>
      <c r="B3692" s="8"/>
      <c r="C3692" s="8">
        <v>1035</v>
      </c>
      <c r="D3692">
        <v>14</v>
      </c>
      <c r="E3692" t="s">
        <v>594</v>
      </c>
      <c r="F3692" t="s">
        <v>1285</v>
      </c>
      <c r="G3692" s="9">
        <v>44651</v>
      </c>
    </row>
    <row r="3693" spans="1:7" ht="14.25" customHeight="1">
      <c r="A3693" s="8">
        <f t="shared" si="14"/>
        <v>2852</v>
      </c>
      <c r="B3693" s="8"/>
      <c r="C3693" s="8">
        <v>2852</v>
      </c>
      <c r="D3693">
        <v>19</v>
      </c>
      <c r="E3693" t="s">
        <v>594</v>
      </c>
      <c r="F3693" t="s">
        <v>1286</v>
      </c>
      <c r="G3693" s="9">
        <v>44681</v>
      </c>
    </row>
    <row r="3694" spans="1:7" ht="14.25" customHeight="1">
      <c r="A3694" s="8">
        <f t="shared" si="14"/>
        <v>4424</v>
      </c>
      <c r="B3694" s="8"/>
      <c r="C3694" s="8">
        <v>4424</v>
      </c>
      <c r="D3694">
        <v>24</v>
      </c>
      <c r="E3694" t="s">
        <v>594</v>
      </c>
      <c r="F3694" t="s">
        <v>1287</v>
      </c>
      <c r="G3694" s="9">
        <v>44712</v>
      </c>
    </row>
    <row r="3695" spans="1:7" ht="14.25" customHeight="1">
      <c r="A3695" s="8">
        <f t="shared" si="14"/>
        <v>4424</v>
      </c>
      <c r="B3695" s="8"/>
      <c r="C3695" s="8">
        <v>4424</v>
      </c>
      <c r="D3695">
        <v>32</v>
      </c>
      <c r="E3695" t="s">
        <v>594</v>
      </c>
      <c r="F3695" t="s">
        <v>1288</v>
      </c>
      <c r="G3695" s="9">
        <v>44742</v>
      </c>
    </row>
    <row r="3696" spans="1:7" ht="14.25" customHeight="1">
      <c r="A3696" s="8">
        <f t="shared" si="14"/>
        <v>4424</v>
      </c>
      <c r="B3696" s="8"/>
      <c r="C3696" s="8">
        <v>4424</v>
      </c>
      <c r="D3696">
        <v>65</v>
      </c>
      <c r="E3696" t="s">
        <v>594</v>
      </c>
      <c r="F3696" t="s">
        <v>1325</v>
      </c>
      <c r="G3696" s="9">
        <v>44772</v>
      </c>
    </row>
    <row r="3697" spans="1:7" ht="14.25" customHeight="1">
      <c r="A3697" s="8">
        <f t="shared" si="14"/>
        <v>4835</v>
      </c>
      <c r="B3697" s="8"/>
      <c r="C3697" s="8">
        <v>4835</v>
      </c>
      <c r="D3697">
        <v>75</v>
      </c>
      <c r="E3697" t="s">
        <v>594</v>
      </c>
      <c r="F3697" t="s">
        <v>1326</v>
      </c>
      <c r="G3697" s="9">
        <v>44804</v>
      </c>
    </row>
    <row r="3698" spans="1:7" ht="14.25" customHeight="1">
      <c r="A3698" s="8">
        <f t="shared" si="14"/>
        <v>1502</v>
      </c>
      <c r="B3698" s="8"/>
      <c r="C3698" s="8">
        <v>1502</v>
      </c>
      <c r="D3698">
        <v>130</v>
      </c>
      <c r="E3698" t="s">
        <v>594</v>
      </c>
      <c r="F3698" t="s">
        <v>1294</v>
      </c>
      <c r="G3698" s="9">
        <v>44834</v>
      </c>
    </row>
    <row r="3699" spans="1:7" ht="14.25" customHeight="1">
      <c r="A3699" s="8">
        <f t="shared" si="14"/>
        <v>2073</v>
      </c>
      <c r="B3699" s="8"/>
      <c r="C3699" s="8">
        <v>2073</v>
      </c>
      <c r="D3699">
        <v>138</v>
      </c>
      <c r="E3699" t="s">
        <v>594</v>
      </c>
      <c r="F3699" t="s">
        <v>1289</v>
      </c>
      <c r="G3699" s="9">
        <v>44865</v>
      </c>
    </row>
    <row r="3700" spans="1:7" ht="14.25" customHeight="1">
      <c r="A3700" s="8">
        <f t="shared" si="14"/>
        <v>2497</v>
      </c>
      <c r="B3700" s="8"/>
      <c r="C3700" s="8">
        <v>2497</v>
      </c>
      <c r="D3700">
        <v>176</v>
      </c>
      <c r="E3700" t="s">
        <v>594</v>
      </c>
      <c r="F3700" t="s">
        <v>1290</v>
      </c>
      <c r="G3700" s="9">
        <v>44895</v>
      </c>
    </row>
    <row r="3701" spans="1:7" ht="14.25" customHeight="1">
      <c r="A3701" s="8">
        <f t="shared" si="14"/>
        <v>3047</v>
      </c>
      <c r="B3701" s="8"/>
      <c r="C3701" s="8">
        <v>3047</v>
      </c>
      <c r="D3701">
        <v>194</v>
      </c>
      <c r="E3701" t="s">
        <v>594</v>
      </c>
      <c r="F3701" t="s">
        <v>1291</v>
      </c>
      <c r="G3701" s="9">
        <v>44925</v>
      </c>
    </row>
    <row r="3702" spans="1:7" ht="14.25" customHeight="1">
      <c r="A3702" s="8">
        <f t="shared" si="14"/>
        <v>34077</v>
      </c>
      <c r="B3702" s="8"/>
      <c r="C3702" s="8">
        <v>34077</v>
      </c>
    </row>
    <row r="3703" spans="1:7" ht="14.25" customHeight="1">
      <c r="A3703" s="8">
        <f t="shared" si="14"/>
        <v>0</v>
      </c>
      <c r="B3703" s="8"/>
      <c r="C3703" s="8"/>
      <c r="F3703" t="s">
        <v>1295</v>
      </c>
      <c r="G3703">
        <v>66110000</v>
      </c>
    </row>
    <row r="3704" spans="1:7" ht="14.25" customHeight="1">
      <c r="A3704" s="8">
        <f t="shared" si="14"/>
        <v>299000</v>
      </c>
      <c r="B3704" s="8"/>
      <c r="C3704" s="8">
        <v>299000</v>
      </c>
      <c r="D3704">
        <v>1</v>
      </c>
      <c r="E3704" t="s">
        <v>594</v>
      </c>
      <c r="F3704" t="s">
        <v>1296</v>
      </c>
      <c r="G3704" s="9">
        <v>44592</v>
      </c>
    </row>
    <row r="3705" spans="1:7" ht="14.25" customHeight="1">
      <c r="A3705" s="8">
        <f t="shared" si="14"/>
        <v>309494</v>
      </c>
      <c r="B3705" s="8"/>
      <c r="C3705" s="8">
        <v>309494</v>
      </c>
      <c r="D3705">
        <v>6</v>
      </c>
      <c r="E3705" t="s">
        <v>594</v>
      </c>
      <c r="F3705" t="s">
        <v>1297</v>
      </c>
      <c r="G3705" s="9">
        <v>44620</v>
      </c>
    </row>
    <row r="3706" spans="1:7" ht="14.25" customHeight="1">
      <c r="A3706" s="8">
        <f t="shared" si="14"/>
        <v>172500</v>
      </c>
      <c r="B3706" s="8"/>
      <c r="C3706" s="8">
        <v>172500</v>
      </c>
      <c r="D3706">
        <v>11</v>
      </c>
      <c r="E3706" t="s">
        <v>594</v>
      </c>
      <c r="F3706" t="s">
        <v>1298</v>
      </c>
      <c r="G3706" s="9">
        <v>44651</v>
      </c>
    </row>
    <row r="3707" spans="1:7" ht="14.25" customHeight="1">
      <c r="A3707" s="8">
        <f t="shared" si="14"/>
        <v>475335</v>
      </c>
      <c r="B3707" s="8"/>
      <c r="C3707" s="8">
        <v>475335</v>
      </c>
      <c r="D3707">
        <v>16</v>
      </c>
      <c r="E3707" t="s">
        <v>594</v>
      </c>
      <c r="F3707" t="s">
        <v>1299</v>
      </c>
      <c r="G3707" s="9">
        <v>44681</v>
      </c>
    </row>
    <row r="3708" spans="1:7" ht="14.25" customHeight="1">
      <c r="A3708" s="8">
        <f t="shared" si="14"/>
        <v>737297</v>
      </c>
      <c r="B3708" s="8"/>
      <c r="C3708" s="8">
        <v>737297</v>
      </c>
      <c r="D3708">
        <v>21</v>
      </c>
      <c r="E3708" t="s">
        <v>594</v>
      </c>
      <c r="F3708" t="s">
        <v>1300</v>
      </c>
      <c r="G3708" s="9">
        <v>44712</v>
      </c>
    </row>
    <row r="3709" spans="1:7" ht="14.25" customHeight="1">
      <c r="A3709" s="8">
        <f t="shared" si="14"/>
        <v>737297</v>
      </c>
      <c r="B3709" s="8"/>
      <c r="C3709" s="8">
        <v>737297</v>
      </c>
      <c r="D3709">
        <v>29</v>
      </c>
      <c r="E3709" t="s">
        <v>594</v>
      </c>
      <c r="F3709" t="s">
        <v>1301</v>
      </c>
      <c r="G3709" s="9">
        <v>44742</v>
      </c>
    </row>
    <row r="3710" spans="1:7" ht="14.25" customHeight="1">
      <c r="A3710" s="8">
        <f t="shared" si="14"/>
        <v>737297</v>
      </c>
      <c r="B3710" s="8"/>
      <c r="C3710" s="8">
        <v>737297</v>
      </c>
      <c r="D3710">
        <v>62</v>
      </c>
      <c r="E3710" t="s">
        <v>594</v>
      </c>
      <c r="F3710" t="s">
        <v>1327</v>
      </c>
      <c r="G3710" s="9">
        <v>44772</v>
      </c>
    </row>
    <row r="3711" spans="1:7" ht="14.25" customHeight="1">
      <c r="A3711" s="8">
        <f t="shared" si="14"/>
        <v>805705</v>
      </c>
      <c r="B3711" s="8"/>
      <c r="C3711" s="8">
        <v>805705</v>
      </c>
      <c r="D3711">
        <v>72</v>
      </c>
      <c r="E3711" t="s">
        <v>594</v>
      </c>
      <c r="F3711" t="s">
        <v>1328</v>
      </c>
      <c r="G3711" s="9">
        <v>44804</v>
      </c>
    </row>
    <row r="3712" spans="1:7" ht="14.25" customHeight="1">
      <c r="A3712" s="8">
        <f t="shared" si="14"/>
        <v>250223</v>
      </c>
      <c r="B3712" s="8"/>
      <c r="C3712" s="8">
        <v>250223</v>
      </c>
      <c r="D3712">
        <v>127</v>
      </c>
      <c r="E3712" t="s">
        <v>594</v>
      </c>
      <c r="F3712" t="s">
        <v>1329</v>
      </c>
      <c r="G3712" s="9">
        <v>44834</v>
      </c>
    </row>
    <row r="3713" spans="1:7" ht="14.25" customHeight="1">
      <c r="A3713" s="8">
        <f t="shared" si="14"/>
        <v>345626</v>
      </c>
      <c r="B3713" s="8"/>
      <c r="C3713" s="8">
        <v>345626</v>
      </c>
      <c r="D3713">
        <v>135</v>
      </c>
      <c r="E3713" t="s">
        <v>594</v>
      </c>
      <c r="F3713" t="s">
        <v>1302</v>
      </c>
      <c r="G3713" s="9">
        <v>44865</v>
      </c>
    </row>
    <row r="3714" spans="1:7" ht="14.25" customHeight="1">
      <c r="A3714" s="8">
        <f t="shared" si="14"/>
        <v>416050</v>
      </c>
      <c r="B3714" s="8"/>
      <c r="C3714" s="8">
        <v>416050</v>
      </c>
      <c r="D3714">
        <v>173</v>
      </c>
      <c r="E3714" t="s">
        <v>594</v>
      </c>
      <c r="F3714" t="s">
        <v>1303</v>
      </c>
      <c r="G3714" s="9">
        <v>44895</v>
      </c>
    </row>
    <row r="3715" spans="1:7" ht="14.25" customHeight="1">
      <c r="A3715" s="8">
        <f t="shared" si="14"/>
        <v>507960</v>
      </c>
      <c r="B3715" s="8"/>
      <c r="C3715" s="8">
        <v>507960</v>
      </c>
      <c r="D3715">
        <v>191</v>
      </c>
      <c r="E3715" t="s">
        <v>594</v>
      </c>
      <c r="F3715" t="s">
        <v>1304</v>
      </c>
      <c r="G3715" s="9">
        <v>44925</v>
      </c>
    </row>
    <row r="3716" spans="1:7" ht="14.25" customHeight="1">
      <c r="A3716" s="8">
        <f t="shared" si="14"/>
        <v>5793784</v>
      </c>
      <c r="B3716" s="8"/>
      <c r="C3716" s="8">
        <v>5793784</v>
      </c>
    </row>
    <row r="3717" spans="1:7" ht="14.25" customHeight="1">
      <c r="A3717" s="8">
        <f t="shared" si="14"/>
        <v>0</v>
      </c>
      <c r="B3717" s="8"/>
      <c r="C3717" s="8"/>
      <c r="F3717" t="s">
        <v>1330</v>
      </c>
      <c r="G3717">
        <v>66320000</v>
      </c>
    </row>
    <row r="3718" spans="1:7" ht="14.25" customHeight="1">
      <c r="A3718" s="8">
        <f t="shared" si="14"/>
        <v>11500</v>
      </c>
      <c r="B3718" s="8"/>
      <c r="C3718" s="8">
        <v>11500</v>
      </c>
      <c r="D3718">
        <v>17</v>
      </c>
      <c r="E3718" t="s">
        <v>594</v>
      </c>
      <c r="F3718" t="s">
        <v>1334</v>
      </c>
      <c r="G3718" s="9">
        <v>44681</v>
      </c>
    </row>
    <row r="3719" spans="1:7" ht="14.25" customHeight="1">
      <c r="A3719" s="8">
        <f t="shared" si="14"/>
        <v>21563</v>
      </c>
      <c r="B3719" s="8"/>
      <c r="C3719" s="8">
        <v>21563</v>
      </c>
      <c r="D3719">
        <v>22</v>
      </c>
      <c r="E3719" t="s">
        <v>594</v>
      </c>
      <c r="F3719" t="s">
        <v>1335</v>
      </c>
      <c r="G3719" s="9">
        <v>44712</v>
      </c>
    </row>
    <row r="3720" spans="1:7" ht="14.25" customHeight="1">
      <c r="A3720" s="8">
        <f t="shared" si="14"/>
        <v>21563</v>
      </c>
      <c r="B3720" s="8"/>
      <c r="C3720" s="8">
        <v>21563</v>
      </c>
      <c r="D3720">
        <v>30</v>
      </c>
      <c r="E3720" t="s">
        <v>594</v>
      </c>
      <c r="F3720" t="s">
        <v>1336</v>
      </c>
      <c r="G3720" s="9">
        <v>44742</v>
      </c>
    </row>
    <row r="3721" spans="1:7" ht="14.25" customHeight="1">
      <c r="A3721" s="8">
        <f t="shared" si="14"/>
        <v>21563</v>
      </c>
      <c r="B3721" s="8"/>
      <c r="C3721" s="8">
        <v>21563</v>
      </c>
      <c r="D3721">
        <v>63</v>
      </c>
      <c r="E3721" t="s">
        <v>594</v>
      </c>
      <c r="F3721" t="s">
        <v>1337</v>
      </c>
      <c r="G3721" s="9">
        <v>44772</v>
      </c>
    </row>
    <row r="3722" spans="1:7" ht="14.25" customHeight="1">
      <c r="A3722" s="8">
        <f t="shared" si="14"/>
        <v>21563</v>
      </c>
      <c r="B3722" s="8"/>
      <c r="C3722" s="8">
        <v>21563</v>
      </c>
      <c r="D3722">
        <v>73</v>
      </c>
      <c r="E3722" t="s">
        <v>594</v>
      </c>
      <c r="F3722" t="s">
        <v>1338</v>
      </c>
      <c r="G3722" s="9">
        <v>44804</v>
      </c>
    </row>
    <row r="3723" spans="1:7" ht="14.25" customHeight="1">
      <c r="A3723" s="8">
        <f t="shared" si="14"/>
        <v>97750</v>
      </c>
      <c r="B3723" s="8"/>
      <c r="C3723" s="8">
        <v>97750</v>
      </c>
    </row>
    <row r="3724" spans="1:7" ht="14.25" customHeight="1">
      <c r="A3724" s="8">
        <f t="shared" si="14"/>
        <v>0</v>
      </c>
      <c r="B3724" s="8"/>
      <c r="C3724" s="8"/>
      <c r="F3724" t="s">
        <v>1305</v>
      </c>
      <c r="G3724">
        <v>66340000</v>
      </c>
    </row>
    <row r="3725" spans="1:7" ht="14.25" customHeight="1">
      <c r="A3725" s="8">
        <f t="shared" si="14"/>
        <v>49450</v>
      </c>
      <c r="B3725" s="8"/>
      <c r="C3725" s="8">
        <v>49450</v>
      </c>
      <c r="D3725">
        <v>3</v>
      </c>
      <c r="E3725" t="s">
        <v>594</v>
      </c>
      <c r="F3725" t="s">
        <v>1306</v>
      </c>
      <c r="G3725" s="9">
        <v>44592</v>
      </c>
    </row>
    <row r="3726" spans="1:7" ht="14.25" customHeight="1">
      <c r="A3726" s="8">
        <f t="shared" si="14"/>
        <v>37950</v>
      </c>
      <c r="B3726" s="8"/>
      <c r="C3726" s="8">
        <v>37950</v>
      </c>
      <c r="D3726">
        <v>8</v>
      </c>
      <c r="E3726" t="s">
        <v>594</v>
      </c>
      <c r="F3726" t="s">
        <v>1307</v>
      </c>
      <c r="G3726" s="9">
        <v>44620</v>
      </c>
    </row>
    <row r="3727" spans="1:7" ht="14.25" customHeight="1">
      <c r="A3727" s="8">
        <f t="shared" si="14"/>
        <v>34500</v>
      </c>
      <c r="B3727" s="8"/>
      <c r="C3727" s="8">
        <v>34500</v>
      </c>
      <c r="D3727">
        <v>13</v>
      </c>
      <c r="E3727" t="s">
        <v>594</v>
      </c>
      <c r="F3727" t="s">
        <v>1308</v>
      </c>
      <c r="G3727" s="9">
        <v>44651</v>
      </c>
    </row>
    <row r="3728" spans="1:7" ht="14.25" customHeight="1">
      <c r="A3728" s="8">
        <f t="shared" si="14"/>
        <v>52900</v>
      </c>
      <c r="B3728" s="8"/>
      <c r="C3728" s="8">
        <v>52900</v>
      </c>
      <c r="D3728">
        <v>18</v>
      </c>
      <c r="E3728" t="s">
        <v>594</v>
      </c>
      <c r="F3728" t="s">
        <v>1309</v>
      </c>
      <c r="G3728" s="9">
        <v>44681</v>
      </c>
    </row>
    <row r="3729" spans="1:7" ht="14.25" customHeight="1">
      <c r="A3729" s="8">
        <f t="shared" si="14"/>
        <v>69000</v>
      </c>
      <c r="B3729" s="8"/>
      <c r="C3729" s="8">
        <v>69000</v>
      </c>
      <c r="D3729">
        <v>23</v>
      </c>
      <c r="E3729" t="s">
        <v>594</v>
      </c>
      <c r="F3729" t="s">
        <v>1310</v>
      </c>
      <c r="G3729" s="9">
        <v>44712</v>
      </c>
    </row>
    <row r="3730" spans="1:7" ht="14.25" customHeight="1">
      <c r="A3730" s="8">
        <f t="shared" si="14"/>
        <v>69000</v>
      </c>
      <c r="B3730" s="8"/>
      <c r="C3730" s="8">
        <v>69000</v>
      </c>
      <c r="D3730">
        <v>31</v>
      </c>
      <c r="E3730" t="s">
        <v>594</v>
      </c>
      <c r="F3730" t="s">
        <v>1311</v>
      </c>
      <c r="G3730" s="9">
        <v>44742</v>
      </c>
    </row>
    <row r="3731" spans="1:7" ht="14.25" customHeight="1">
      <c r="A3731" s="8">
        <f t="shared" si="14"/>
        <v>69000</v>
      </c>
      <c r="B3731" s="8"/>
      <c r="C3731" s="8">
        <v>69000</v>
      </c>
      <c r="D3731">
        <v>64</v>
      </c>
      <c r="E3731" t="s">
        <v>594</v>
      </c>
      <c r="F3731" t="s">
        <v>1343</v>
      </c>
      <c r="G3731" s="9">
        <v>44772</v>
      </c>
    </row>
    <row r="3732" spans="1:7" ht="14.25" customHeight="1">
      <c r="A3732" s="8">
        <f t="shared" si="14"/>
        <v>69000</v>
      </c>
      <c r="B3732" s="8"/>
      <c r="C3732" s="8">
        <v>69000</v>
      </c>
      <c r="D3732">
        <v>74</v>
      </c>
      <c r="E3732" t="s">
        <v>594</v>
      </c>
      <c r="F3732" t="s">
        <v>1344</v>
      </c>
      <c r="G3732" s="9">
        <v>44804</v>
      </c>
    </row>
    <row r="3733" spans="1:7" ht="14.25" customHeight="1">
      <c r="A3733" s="8">
        <f t="shared" si="14"/>
        <v>34500</v>
      </c>
      <c r="B3733" s="8"/>
      <c r="C3733" s="8">
        <v>34500</v>
      </c>
      <c r="D3733">
        <v>129</v>
      </c>
      <c r="E3733" t="s">
        <v>594</v>
      </c>
      <c r="F3733" t="s">
        <v>1345</v>
      </c>
      <c r="G3733" s="9">
        <v>44834</v>
      </c>
    </row>
    <row r="3734" spans="1:7" ht="14.25" customHeight="1">
      <c r="A3734" s="8">
        <f t="shared" si="14"/>
        <v>69000</v>
      </c>
      <c r="B3734" s="8"/>
      <c r="C3734" s="8">
        <v>69000</v>
      </c>
      <c r="D3734">
        <v>137</v>
      </c>
      <c r="E3734" t="s">
        <v>594</v>
      </c>
      <c r="F3734" t="s">
        <v>1312</v>
      </c>
      <c r="G3734" s="9">
        <v>44865</v>
      </c>
    </row>
    <row r="3735" spans="1:7" ht="14.25" customHeight="1">
      <c r="A3735" s="8">
        <f t="shared" si="14"/>
        <v>70150</v>
      </c>
      <c r="B3735" s="8"/>
      <c r="C3735" s="8">
        <v>70150</v>
      </c>
      <c r="D3735">
        <v>175</v>
      </c>
      <c r="E3735" t="s">
        <v>594</v>
      </c>
      <c r="F3735" t="s">
        <v>1313</v>
      </c>
      <c r="G3735" s="9">
        <v>44895</v>
      </c>
    </row>
    <row r="3736" spans="1:7" ht="14.25" customHeight="1">
      <c r="A3736" s="8">
        <f t="shared" si="14"/>
        <v>67850</v>
      </c>
      <c r="B3736" s="8"/>
      <c r="C3736" s="8">
        <v>67850</v>
      </c>
      <c r="D3736">
        <v>193</v>
      </c>
      <c r="E3736" t="s">
        <v>594</v>
      </c>
      <c r="F3736" t="s">
        <v>1314</v>
      </c>
      <c r="G3736" s="9">
        <v>44925</v>
      </c>
    </row>
    <row r="3737" spans="1:7" ht="14.25" customHeight="1">
      <c r="A3737" s="8">
        <f t="shared" si="14"/>
        <v>692300</v>
      </c>
      <c r="B3737" s="8"/>
      <c r="C3737" s="8">
        <v>692300</v>
      </c>
    </row>
    <row r="3738" spans="1:7" ht="14.25" customHeight="1">
      <c r="A3738" s="8">
        <f t="shared" si="14"/>
        <v>0</v>
      </c>
      <c r="B3738" s="8"/>
      <c r="C3738" s="8"/>
      <c r="F3738" t="s">
        <v>1315</v>
      </c>
      <c r="G3738">
        <v>66410000</v>
      </c>
    </row>
    <row r="3739" spans="1:7" ht="14.25" customHeight="1">
      <c r="A3739" s="8">
        <f t="shared" si="14"/>
        <v>25252</v>
      </c>
      <c r="B3739" s="8"/>
      <c r="C3739" s="8">
        <v>25252</v>
      </c>
      <c r="D3739">
        <v>5</v>
      </c>
      <c r="E3739" t="s">
        <v>594</v>
      </c>
      <c r="F3739" t="s">
        <v>1316</v>
      </c>
      <c r="G3739" s="9">
        <v>44592</v>
      </c>
    </row>
    <row r="3740" spans="1:7" ht="14.25" customHeight="1">
      <c r="A3740" s="8">
        <f t="shared" si="14"/>
        <v>15232</v>
      </c>
      <c r="B3740" s="8"/>
      <c r="C3740" s="8">
        <v>15232</v>
      </c>
      <c r="D3740">
        <v>10</v>
      </c>
      <c r="E3740" t="s">
        <v>594</v>
      </c>
      <c r="F3740" t="s">
        <v>1317</v>
      </c>
      <c r="G3740" s="9">
        <v>44620</v>
      </c>
    </row>
    <row r="3741" spans="1:7" ht="14.25" customHeight="1">
      <c r="A3741" s="8">
        <f t="shared" si="14"/>
        <v>13282</v>
      </c>
      <c r="B3741" s="8"/>
      <c r="C3741" s="8">
        <v>13282</v>
      </c>
      <c r="D3741">
        <v>15</v>
      </c>
      <c r="E3741" t="s">
        <v>594</v>
      </c>
      <c r="F3741" t="s">
        <v>1318</v>
      </c>
      <c r="G3741" s="9">
        <v>44651</v>
      </c>
    </row>
    <row r="3742" spans="1:7" ht="14.25" customHeight="1">
      <c r="A3742" s="8">
        <f t="shared" si="14"/>
        <v>42240</v>
      </c>
      <c r="B3742" s="8"/>
      <c r="C3742" s="8">
        <v>42240</v>
      </c>
      <c r="D3742">
        <v>20</v>
      </c>
      <c r="E3742" t="s">
        <v>594</v>
      </c>
      <c r="F3742" t="s">
        <v>1319</v>
      </c>
      <c r="G3742" s="9">
        <v>44681</v>
      </c>
    </row>
    <row r="3743" spans="1:7" ht="14.25" customHeight="1">
      <c r="A3743" s="8">
        <f t="shared" si="14"/>
        <v>64671</v>
      </c>
      <c r="B3743" s="8"/>
      <c r="C3743" s="8">
        <v>64671</v>
      </c>
      <c r="D3743">
        <v>25</v>
      </c>
      <c r="E3743" t="s">
        <v>594</v>
      </c>
      <c r="F3743" t="s">
        <v>1320</v>
      </c>
      <c r="G3743" s="9">
        <v>44712</v>
      </c>
    </row>
    <row r="3744" spans="1:7" ht="14.25" customHeight="1">
      <c r="A3744" s="8">
        <f t="shared" si="14"/>
        <v>64670</v>
      </c>
      <c r="B3744" s="8"/>
      <c r="C3744" s="8">
        <v>64670</v>
      </c>
      <c r="D3744">
        <v>33</v>
      </c>
      <c r="E3744" t="s">
        <v>594</v>
      </c>
      <c r="F3744" t="s">
        <v>1321</v>
      </c>
      <c r="G3744" s="9">
        <v>44742</v>
      </c>
    </row>
    <row r="3745" spans="1:7" ht="14.25" customHeight="1">
      <c r="A3745" s="8">
        <f t="shared" si="14"/>
        <v>64671</v>
      </c>
      <c r="B3745" s="8"/>
      <c r="C3745" s="8">
        <v>64671</v>
      </c>
      <c r="D3745">
        <v>66</v>
      </c>
      <c r="E3745" t="s">
        <v>594</v>
      </c>
      <c r="F3745" t="s">
        <v>1346</v>
      </c>
      <c r="G3745" s="9">
        <v>44772</v>
      </c>
    </row>
    <row r="3746" spans="1:7" ht="14.25" customHeight="1">
      <c r="A3746" s="8">
        <f t="shared" si="14"/>
        <v>75694</v>
      </c>
      <c r="B3746" s="8"/>
      <c r="C3746" s="8">
        <v>75694</v>
      </c>
      <c r="D3746">
        <v>76</v>
      </c>
      <c r="E3746" t="s">
        <v>594</v>
      </c>
      <c r="F3746" t="s">
        <v>1347</v>
      </c>
      <c r="G3746" s="9">
        <v>44804</v>
      </c>
    </row>
    <row r="3747" spans="1:7" ht="14.25" customHeight="1">
      <c r="A3747" s="8">
        <f t="shared" si="14"/>
        <v>25023</v>
      </c>
      <c r="B3747" s="8"/>
      <c r="C3747" s="8">
        <v>25023</v>
      </c>
      <c r="D3747">
        <v>131</v>
      </c>
      <c r="E3747" t="s">
        <v>594</v>
      </c>
      <c r="F3747" t="s">
        <v>1348</v>
      </c>
      <c r="G3747" s="9">
        <v>44834</v>
      </c>
    </row>
    <row r="3748" spans="1:7" ht="14.25" customHeight="1">
      <c r="A3748" s="8">
        <f t="shared" si="14"/>
        <v>32369</v>
      </c>
      <c r="B3748" s="8"/>
      <c r="C3748" s="8">
        <v>32369</v>
      </c>
      <c r="D3748">
        <v>139</v>
      </c>
      <c r="E3748" t="s">
        <v>594</v>
      </c>
      <c r="F3748" t="s">
        <v>1322</v>
      </c>
      <c r="G3748" s="9">
        <v>44865</v>
      </c>
    </row>
    <row r="3749" spans="1:7" ht="14.25" customHeight="1">
      <c r="A3749" s="8">
        <f t="shared" si="14"/>
        <v>32822</v>
      </c>
      <c r="B3749" s="8"/>
      <c r="C3749" s="8">
        <v>32822</v>
      </c>
      <c r="D3749">
        <v>177</v>
      </c>
      <c r="E3749" t="s">
        <v>594</v>
      </c>
      <c r="F3749" t="s">
        <v>1323</v>
      </c>
      <c r="G3749" s="9">
        <v>44895</v>
      </c>
    </row>
    <row r="3750" spans="1:7" ht="14.25" customHeight="1">
      <c r="A3750" s="8">
        <f t="shared" si="14"/>
        <v>39113</v>
      </c>
      <c r="B3750" s="8"/>
      <c r="C3750" s="8">
        <v>39113</v>
      </c>
      <c r="D3750">
        <v>195</v>
      </c>
      <c r="E3750" t="s">
        <v>594</v>
      </c>
      <c r="F3750" t="s">
        <v>1324</v>
      </c>
      <c r="G3750" s="9">
        <v>44925</v>
      </c>
    </row>
    <row r="3751" spans="1:7" ht="14.25" customHeight="1">
      <c r="A3751" s="8">
        <f t="shared" si="14"/>
        <v>495039</v>
      </c>
      <c r="B3751" s="8"/>
      <c r="C3751" s="8">
        <v>495039</v>
      </c>
    </row>
    <row r="3752" spans="1:7" ht="14.25" customHeight="1">
      <c r="A3752" s="8">
        <f t="shared" si="14"/>
        <v>7203039</v>
      </c>
      <c r="B3752" s="8"/>
      <c r="C3752" s="8">
        <v>7203039</v>
      </c>
      <c r="E3752">
        <v>9401010</v>
      </c>
      <c r="F3752" t="s">
        <v>501</v>
      </c>
      <c r="G3752" t="s">
        <v>581</v>
      </c>
    </row>
    <row r="3753" spans="1:7" ht="14.25" customHeight="1">
      <c r="A3753" s="8">
        <f t="shared" si="14"/>
        <v>0</v>
      </c>
      <c r="B3753" s="8"/>
      <c r="C3753" s="8"/>
      <c r="D3753" t="s">
        <v>502</v>
      </c>
      <c r="G3753">
        <v>9403010</v>
      </c>
    </row>
    <row r="3754" spans="1:7" ht="14.25" customHeight="1">
      <c r="A3754" s="8">
        <f t="shared" si="14"/>
        <v>0</v>
      </c>
      <c r="B3754" s="8"/>
      <c r="C3754" s="8"/>
      <c r="F3754" t="s">
        <v>1282</v>
      </c>
      <c r="G3754">
        <v>64130000</v>
      </c>
    </row>
    <row r="3755" spans="1:7" ht="14.25" customHeight="1">
      <c r="A3755" s="8">
        <f t="shared" si="14"/>
        <v>1892</v>
      </c>
      <c r="B3755" s="8"/>
      <c r="C3755" s="8">
        <v>1892</v>
      </c>
      <c r="D3755">
        <v>4</v>
      </c>
      <c r="E3755" t="s">
        <v>594</v>
      </c>
      <c r="F3755" t="s">
        <v>1283</v>
      </c>
      <c r="G3755" s="9">
        <v>44592</v>
      </c>
    </row>
    <row r="3756" spans="1:7" ht="14.25" customHeight="1">
      <c r="A3756" s="8">
        <f t="shared" si="14"/>
        <v>1891</v>
      </c>
      <c r="B3756" s="8"/>
      <c r="C3756" s="8">
        <v>1891</v>
      </c>
      <c r="D3756">
        <v>9</v>
      </c>
      <c r="E3756" t="s">
        <v>594</v>
      </c>
      <c r="F3756" t="s">
        <v>1284</v>
      </c>
      <c r="G3756" s="9">
        <v>44620</v>
      </c>
    </row>
    <row r="3757" spans="1:7" ht="14.25" customHeight="1">
      <c r="A3757" s="8">
        <f t="shared" si="14"/>
        <v>1891</v>
      </c>
      <c r="B3757" s="8"/>
      <c r="C3757" s="8">
        <v>1891</v>
      </c>
      <c r="D3757">
        <v>14</v>
      </c>
      <c r="E3757" t="s">
        <v>594</v>
      </c>
      <c r="F3757" t="s">
        <v>1285</v>
      </c>
      <c r="G3757" s="9">
        <v>44651</v>
      </c>
    </row>
    <row r="3758" spans="1:7" ht="14.25" customHeight="1">
      <c r="A3758" s="8">
        <f t="shared" si="14"/>
        <v>1145</v>
      </c>
      <c r="B3758" s="8"/>
      <c r="C3758" s="8">
        <v>1145</v>
      </c>
      <c r="D3758">
        <v>19</v>
      </c>
      <c r="E3758" t="s">
        <v>594</v>
      </c>
      <c r="F3758" t="s">
        <v>1286</v>
      </c>
      <c r="G3758" s="9">
        <v>44681</v>
      </c>
    </row>
    <row r="3759" spans="1:7" ht="14.25" customHeight="1">
      <c r="A3759" s="8">
        <f t="shared" si="14"/>
        <v>1863</v>
      </c>
      <c r="B3759" s="8"/>
      <c r="C3759" s="8">
        <v>1863</v>
      </c>
      <c r="D3759">
        <v>24</v>
      </c>
      <c r="E3759" t="s">
        <v>594</v>
      </c>
      <c r="F3759" t="s">
        <v>1287</v>
      </c>
      <c r="G3759" s="9">
        <v>44712</v>
      </c>
    </row>
    <row r="3760" spans="1:7" ht="14.25" customHeight="1">
      <c r="A3760" s="8">
        <f t="shared" si="14"/>
        <v>1973</v>
      </c>
      <c r="B3760" s="8"/>
      <c r="C3760" s="8">
        <v>1973</v>
      </c>
      <c r="D3760">
        <v>32</v>
      </c>
      <c r="E3760" t="s">
        <v>594</v>
      </c>
      <c r="F3760" t="s">
        <v>1288</v>
      </c>
      <c r="G3760" s="9">
        <v>44742</v>
      </c>
    </row>
    <row r="3761" spans="1:7" ht="14.25" customHeight="1">
      <c r="A3761" s="8">
        <f t="shared" si="14"/>
        <v>1973</v>
      </c>
      <c r="B3761" s="8"/>
      <c r="C3761" s="8">
        <v>1973</v>
      </c>
      <c r="D3761">
        <v>65</v>
      </c>
      <c r="E3761" t="s">
        <v>594</v>
      </c>
      <c r="F3761" t="s">
        <v>1325</v>
      </c>
      <c r="G3761" s="9">
        <v>44772</v>
      </c>
    </row>
    <row r="3762" spans="1:7" ht="14.25" customHeight="1">
      <c r="A3762" s="8">
        <f t="shared" si="14"/>
        <v>1973</v>
      </c>
      <c r="B3762" s="8"/>
      <c r="C3762" s="8">
        <v>1973</v>
      </c>
      <c r="D3762">
        <v>75</v>
      </c>
      <c r="E3762" t="s">
        <v>594</v>
      </c>
      <c r="F3762" t="s">
        <v>1326</v>
      </c>
      <c r="G3762" s="9">
        <v>44804</v>
      </c>
    </row>
    <row r="3763" spans="1:7" ht="14.25" customHeight="1">
      <c r="A3763" s="8">
        <f t="shared" si="14"/>
        <v>1973</v>
      </c>
      <c r="B3763" s="8"/>
      <c r="C3763" s="8">
        <v>1973</v>
      </c>
      <c r="D3763">
        <v>130</v>
      </c>
      <c r="E3763" t="s">
        <v>594</v>
      </c>
      <c r="F3763" t="s">
        <v>1294</v>
      </c>
      <c r="G3763" s="9">
        <v>44834</v>
      </c>
    </row>
    <row r="3764" spans="1:7" ht="14.25" customHeight="1">
      <c r="A3764" s="8">
        <f t="shared" si="14"/>
        <v>1973</v>
      </c>
      <c r="B3764" s="8"/>
      <c r="C3764" s="8">
        <v>1973</v>
      </c>
      <c r="D3764">
        <v>138</v>
      </c>
      <c r="E3764" t="s">
        <v>594</v>
      </c>
      <c r="F3764" t="s">
        <v>1289</v>
      </c>
      <c r="G3764" s="9">
        <v>44865</v>
      </c>
    </row>
    <row r="3765" spans="1:7" ht="14.25" customHeight="1">
      <c r="A3765" s="8">
        <f t="shared" si="14"/>
        <v>1973</v>
      </c>
      <c r="B3765" s="8"/>
      <c r="C3765" s="8">
        <v>1973</v>
      </c>
      <c r="D3765">
        <v>176</v>
      </c>
      <c r="E3765" t="s">
        <v>594</v>
      </c>
      <c r="F3765" t="s">
        <v>1290</v>
      </c>
      <c r="G3765" s="9">
        <v>44895</v>
      </c>
    </row>
    <row r="3766" spans="1:7" ht="14.25" customHeight="1">
      <c r="A3766" s="8">
        <f t="shared" si="14"/>
        <v>3452</v>
      </c>
      <c r="B3766" s="8"/>
      <c r="C3766" s="8">
        <v>3452</v>
      </c>
      <c r="D3766">
        <v>194</v>
      </c>
      <c r="E3766" t="s">
        <v>594</v>
      </c>
      <c r="F3766" t="s">
        <v>1291</v>
      </c>
      <c r="G3766" s="9">
        <v>44925</v>
      </c>
    </row>
    <row r="3767" spans="1:7" ht="14.25" customHeight="1">
      <c r="A3767" s="8">
        <f t="shared" si="14"/>
        <v>23974</v>
      </c>
      <c r="B3767" s="8"/>
      <c r="C3767" s="8">
        <v>23974</v>
      </c>
    </row>
    <row r="3768" spans="1:7" ht="14.25" customHeight="1">
      <c r="A3768" s="8">
        <f t="shared" si="14"/>
        <v>0</v>
      </c>
      <c r="B3768" s="8"/>
      <c r="C3768" s="8"/>
      <c r="F3768" t="s">
        <v>1292</v>
      </c>
      <c r="G3768">
        <v>64140000</v>
      </c>
    </row>
    <row r="3769" spans="1:7" ht="14.25" customHeight="1">
      <c r="A3769" s="8">
        <f t="shared" si="14"/>
        <v>630</v>
      </c>
      <c r="B3769" s="8"/>
      <c r="C3769" s="8">
        <v>630</v>
      </c>
      <c r="D3769">
        <v>4</v>
      </c>
      <c r="E3769" t="s">
        <v>594</v>
      </c>
      <c r="F3769" t="s">
        <v>1283</v>
      </c>
      <c r="G3769" s="9">
        <v>44592</v>
      </c>
    </row>
    <row r="3770" spans="1:7" ht="14.25" customHeight="1">
      <c r="A3770" s="8">
        <f t="shared" si="14"/>
        <v>630</v>
      </c>
      <c r="B3770" s="8"/>
      <c r="C3770" s="8">
        <v>630</v>
      </c>
      <c r="D3770">
        <v>9</v>
      </c>
      <c r="E3770" t="s">
        <v>594</v>
      </c>
      <c r="F3770" t="s">
        <v>1284</v>
      </c>
      <c r="G3770" s="9">
        <v>44620</v>
      </c>
    </row>
    <row r="3771" spans="1:7" ht="14.25" customHeight="1">
      <c r="A3771" s="8">
        <f t="shared" si="14"/>
        <v>630</v>
      </c>
      <c r="B3771" s="8"/>
      <c r="C3771" s="8">
        <v>630</v>
      </c>
      <c r="D3771">
        <v>14</v>
      </c>
      <c r="E3771" t="s">
        <v>594</v>
      </c>
      <c r="F3771" t="s">
        <v>1285</v>
      </c>
      <c r="G3771" s="9">
        <v>44651</v>
      </c>
    </row>
    <row r="3772" spans="1:7" ht="14.25" customHeight="1">
      <c r="A3772" s="8">
        <f t="shared" si="14"/>
        <v>382</v>
      </c>
      <c r="B3772" s="8"/>
      <c r="C3772" s="8">
        <v>382</v>
      </c>
      <c r="D3772">
        <v>19</v>
      </c>
      <c r="E3772" t="s">
        <v>594</v>
      </c>
      <c r="F3772" t="s">
        <v>1286</v>
      </c>
      <c r="G3772" s="9">
        <v>44681</v>
      </c>
    </row>
    <row r="3773" spans="1:7" ht="14.25" customHeight="1">
      <c r="A3773" s="8">
        <f t="shared" si="14"/>
        <v>621</v>
      </c>
      <c r="B3773" s="8"/>
      <c r="C3773" s="8">
        <v>621</v>
      </c>
      <c r="D3773">
        <v>24</v>
      </c>
      <c r="E3773" t="s">
        <v>594</v>
      </c>
      <c r="F3773" t="s">
        <v>1287</v>
      </c>
      <c r="G3773" s="9">
        <v>44712</v>
      </c>
    </row>
    <row r="3774" spans="1:7" ht="14.25" customHeight="1">
      <c r="A3774" s="8">
        <f t="shared" si="14"/>
        <v>658</v>
      </c>
      <c r="B3774" s="8"/>
      <c r="C3774" s="8">
        <v>658</v>
      </c>
      <c r="D3774">
        <v>32</v>
      </c>
      <c r="E3774" t="s">
        <v>594</v>
      </c>
      <c r="F3774" t="s">
        <v>1288</v>
      </c>
      <c r="G3774" s="9">
        <v>44742</v>
      </c>
    </row>
    <row r="3775" spans="1:7" ht="14.25" customHeight="1">
      <c r="A3775" s="8">
        <f t="shared" si="14"/>
        <v>658</v>
      </c>
      <c r="B3775" s="8"/>
      <c r="C3775" s="8">
        <v>658</v>
      </c>
      <c r="D3775">
        <v>65</v>
      </c>
      <c r="E3775" t="s">
        <v>594</v>
      </c>
      <c r="F3775" t="s">
        <v>1325</v>
      </c>
      <c r="G3775" s="9">
        <v>44772</v>
      </c>
    </row>
    <row r="3776" spans="1:7" ht="14.25" customHeight="1">
      <c r="A3776" s="8">
        <f t="shared" si="14"/>
        <v>658</v>
      </c>
      <c r="B3776" s="8"/>
      <c r="C3776" s="8">
        <v>658</v>
      </c>
      <c r="D3776">
        <v>75</v>
      </c>
      <c r="E3776" t="s">
        <v>594</v>
      </c>
      <c r="F3776" t="s">
        <v>1326</v>
      </c>
      <c r="G3776" s="9">
        <v>44804</v>
      </c>
    </row>
    <row r="3777" spans="1:7" ht="14.25" customHeight="1">
      <c r="A3777" s="8">
        <f t="shared" si="14"/>
        <v>658</v>
      </c>
      <c r="B3777" s="8"/>
      <c r="C3777" s="8">
        <v>658</v>
      </c>
      <c r="D3777">
        <v>130</v>
      </c>
      <c r="E3777" t="s">
        <v>594</v>
      </c>
      <c r="F3777" t="s">
        <v>1294</v>
      </c>
      <c r="G3777" s="9">
        <v>44834</v>
      </c>
    </row>
    <row r="3778" spans="1:7" ht="14.25" customHeight="1">
      <c r="A3778" s="8">
        <f t="shared" si="14"/>
        <v>658</v>
      </c>
      <c r="B3778" s="8"/>
      <c r="C3778" s="8">
        <v>658</v>
      </c>
      <c r="D3778">
        <v>138</v>
      </c>
      <c r="E3778" t="s">
        <v>594</v>
      </c>
      <c r="F3778" t="s">
        <v>1289</v>
      </c>
      <c r="G3778" s="9">
        <v>44865</v>
      </c>
    </row>
    <row r="3779" spans="1:7" ht="14.25" customHeight="1">
      <c r="A3779" s="8">
        <f t="shared" si="14"/>
        <v>658</v>
      </c>
      <c r="B3779" s="8"/>
      <c r="C3779" s="8">
        <v>658</v>
      </c>
      <c r="D3779">
        <v>176</v>
      </c>
      <c r="E3779" t="s">
        <v>594</v>
      </c>
      <c r="F3779" t="s">
        <v>1290</v>
      </c>
      <c r="G3779" s="9">
        <v>44895</v>
      </c>
    </row>
    <row r="3780" spans="1:7" ht="14.25" customHeight="1">
      <c r="A3780" s="8">
        <f t="shared" si="14"/>
        <v>1151</v>
      </c>
      <c r="B3780" s="8"/>
      <c r="C3780" s="8">
        <v>1151</v>
      </c>
      <c r="D3780">
        <v>194</v>
      </c>
      <c r="E3780" t="s">
        <v>594</v>
      </c>
      <c r="F3780" t="s">
        <v>1291</v>
      </c>
      <c r="G3780" s="9">
        <v>44925</v>
      </c>
    </row>
    <row r="3781" spans="1:7" ht="14.25" customHeight="1">
      <c r="A3781" s="8">
        <f t="shared" si="14"/>
        <v>7991</v>
      </c>
      <c r="B3781" s="8"/>
      <c r="C3781" s="8">
        <v>7991</v>
      </c>
    </row>
    <row r="3782" spans="1:7" ht="14.25" customHeight="1">
      <c r="A3782" s="8">
        <f t="shared" si="14"/>
        <v>0</v>
      </c>
      <c r="B3782" s="8"/>
      <c r="C3782" s="8"/>
      <c r="F3782" t="s">
        <v>1293</v>
      </c>
      <c r="G3782">
        <v>64150000</v>
      </c>
    </row>
    <row r="3783" spans="1:7" ht="14.25" customHeight="1">
      <c r="A3783" s="8">
        <f t="shared" si="14"/>
        <v>945</v>
      </c>
      <c r="B3783" s="8"/>
      <c r="C3783" s="8">
        <v>945</v>
      </c>
      <c r="D3783">
        <v>4</v>
      </c>
      <c r="E3783" t="s">
        <v>594</v>
      </c>
      <c r="F3783" t="s">
        <v>1283</v>
      </c>
      <c r="G3783" s="9">
        <v>44592</v>
      </c>
    </row>
    <row r="3784" spans="1:7" ht="14.25" customHeight="1">
      <c r="A3784" s="8">
        <f t="shared" si="14"/>
        <v>945</v>
      </c>
      <c r="B3784" s="8"/>
      <c r="C3784" s="8">
        <v>945</v>
      </c>
      <c r="D3784">
        <v>9</v>
      </c>
      <c r="E3784" t="s">
        <v>594</v>
      </c>
      <c r="F3784" t="s">
        <v>1284</v>
      </c>
      <c r="G3784" s="9">
        <v>44620</v>
      </c>
    </row>
    <row r="3785" spans="1:7" ht="14.25" customHeight="1">
      <c r="A3785" s="8">
        <f t="shared" si="14"/>
        <v>945</v>
      </c>
      <c r="B3785" s="8"/>
      <c r="C3785" s="8">
        <v>945</v>
      </c>
      <c r="D3785">
        <v>14</v>
      </c>
      <c r="E3785" t="s">
        <v>594</v>
      </c>
      <c r="F3785" t="s">
        <v>1285</v>
      </c>
      <c r="G3785" s="9">
        <v>44651</v>
      </c>
    </row>
    <row r="3786" spans="1:7" ht="14.25" customHeight="1">
      <c r="A3786" s="8">
        <f t="shared" si="14"/>
        <v>573</v>
      </c>
      <c r="B3786" s="8"/>
      <c r="C3786" s="8">
        <v>573</v>
      </c>
      <c r="D3786">
        <v>19</v>
      </c>
      <c r="E3786" t="s">
        <v>594</v>
      </c>
      <c r="F3786" t="s">
        <v>1286</v>
      </c>
      <c r="G3786" s="9">
        <v>44681</v>
      </c>
    </row>
    <row r="3787" spans="1:7" ht="14.25" customHeight="1">
      <c r="A3787" s="8">
        <f t="shared" si="14"/>
        <v>931</v>
      </c>
      <c r="B3787" s="8"/>
      <c r="C3787" s="8">
        <v>931</v>
      </c>
      <c r="D3787">
        <v>24</v>
      </c>
      <c r="E3787" t="s">
        <v>594</v>
      </c>
      <c r="F3787" t="s">
        <v>1287</v>
      </c>
      <c r="G3787" s="9">
        <v>44712</v>
      </c>
    </row>
    <row r="3788" spans="1:7" ht="14.25" customHeight="1">
      <c r="A3788" s="8">
        <f t="shared" si="14"/>
        <v>987</v>
      </c>
      <c r="B3788" s="8"/>
      <c r="C3788" s="8">
        <v>987</v>
      </c>
      <c r="D3788">
        <v>32</v>
      </c>
      <c r="E3788" t="s">
        <v>594</v>
      </c>
      <c r="F3788" t="s">
        <v>1288</v>
      </c>
      <c r="G3788" s="9">
        <v>44742</v>
      </c>
    </row>
    <row r="3789" spans="1:7" ht="14.25" customHeight="1">
      <c r="A3789" s="8">
        <f t="shared" si="14"/>
        <v>987</v>
      </c>
      <c r="B3789" s="8"/>
      <c r="C3789" s="8">
        <v>987</v>
      </c>
      <c r="D3789">
        <v>65</v>
      </c>
      <c r="E3789" t="s">
        <v>594</v>
      </c>
      <c r="F3789" t="s">
        <v>1325</v>
      </c>
      <c r="G3789" s="9">
        <v>44772</v>
      </c>
    </row>
    <row r="3790" spans="1:7" ht="14.25" customHeight="1">
      <c r="A3790" s="8">
        <f t="shared" si="14"/>
        <v>987</v>
      </c>
      <c r="B3790" s="8"/>
      <c r="C3790" s="8">
        <v>987</v>
      </c>
      <c r="D3790">
        <v>75</v>
      </c>
      <c r="E3790" t="s">
        <v>594</v>
      </c>
      <c r="F3790" t="s">
        <v>1326</v>
      </c>
      <c r="G3790" s="9">
        <v>44804</v>
      </c>
    </row>
    <row r="3791" spans="1:7" ht="14.25" customHeight="1">
      <c r="A3791" s="8">
        <f t="shared" si="14"/>
        <v>987</v>
      </c>
      <c r="B3791" s="8"/>
      <c r="C3791" s="8">
        <v>987</v>
      </c>
      <c r="D3791">
        <v>130</v>
      </c>
      <c r="E3791" t="s">
        <v>594</v>
      </c>
      <c r="F3791" t="s">
        <v>1294</v>
      </c>
      <c r="G3791" s="9">
        <v>44834</v>
      </c>
    </row>
    <row r="3792" spans="1:7" ht="14.25" customHeight="1">
      <c r="A3792" s="8">
        <f t="shared" si="14"/>
        <v>987</v>
      </c>
      <c r="B3792" s="8"/>
      <c r="C3792" s="8">
        <v>987</v>
      </c>
      <c r="D3792">
        <v>138</v>
      </c>
      <c r="E3792" t="s">
        <v>594</v>
      </c>
      <c r="F3792" t="s">
        <v>1289</v>
      </c>
      <c r="G3792" s="9">
        <v>44865</v>
      </c>
    </row>
    <row r="3793" spans="1:7" ht="14.25" customHeight="1">
      <c r="A3793" s="8">
        <f t="shared" si="14"/>
        <v>987</v>
      </c>
      <c r="B3793" s="8"/>
      <c r="C3793" s="8">
        <v>987</v>
      </c>
      <c r="D3793">
        <v>176</v>
      </c>
      <c r="E3793" t="s">
        <v>594</v>
      </c>
      <c r="F3793" t="s">
        <v>1290</v>
      </c>
      <c r="G3793" s="9">
        <v>44895</v>
      </c>
    </row>
    <row r="3794" spans="1:7" ht="14.25" customHeight="1">
      <c r="A3794" s="8">
        <f t="shared" si="14"/>
        <v>1726</v>
      </c>
      <c r="B3794" s="8"/>
      <c r="C3794" s="8">
        <v>1726</v>
      </c>
      <c r="D3794">
        <v>194</v>
      </c>
      <c r="E3794" t="s">
        <v>594</v>
      </c>
      <c r="F3794" t="s">
        <v>1291</v>
      </c>
      <c r="G3794" s="9">
        <v>44925</v>
      </c>
    </row>
    <row r="3795" spans="1:7" ht="14.25" customHeight="1">
      <c r="A3795" s="8">
        <f t="shared" si="14"/>
        <v>11986</v>
      </c>
      <c r="B3795" s="8"/>
      <c r="C3795" s="8">
        <v>11986</v>
      </c>
    </row>
    <row r="3796" spans="1:7" ht="14.25" customHeight="1">
      <c r="A3796" s="8">
        <f t="shared" si="14"/>
        <v>0</v>
      </c>
      <c r="B3796" s="8"/>
      <c r="C3796" s="8"/>
      <c r="F3796" t="s">
        <v>1295</v>
      </c>
      <c r="G3796">
        <v>66110000</v>
      </c>
    </row>
    <row r="3797" spans="1:7" ht="14.25" customHeight="1">
      <c r="A3797" s="8">
        <f t="shared" si="14"/>
        <v>157565</v>
      </c>
      <c r="B3797" s="8"/>
      <c r="C3797" s="8">
        <v>157565</v>
      </c>
      <c r="D3797">
        <v>1</v>
      </c>
      <c r="E3797" t="s">
        <v>594</v>
      </c>
      <c r="F3797" t="s">
        <v>1296</v>
      </c>
      <c r="G3797" s="9">
        <v>44592</v>
      </c>
    </row>
    <row r="3798" spans="1:7" ht="14.25" customHeight="1">
      <c r="A3798" s="8">
        <f t="shared" si="14"/>
        <v>157565</v>
      </c>
      <c r="B3798" s="8"/>
      <c r="C3798" s="8">
        <v>157565</v>
      </c>
      <c r="D3798">
        <v>6</v>
      </c>
      <c r="E3798" t="s">
        <v>594</v>
      </c>
      <c r="F3798" t="s">
        <v>1297</v>
      </c>
      <c r="G3798" s="9">
        <v>44620</v>
      </c>
    </row>
    <row r="3799" spans="1:7" ht="14.25" customHeight="1">
      <c r="A3799" s="8">
        <f t="shared" si="14"/>
        <v>157565</v>
      </c>
      <c r="B3799" s="8"/>
      <c r="C3799" s="8">
        <v>157565</v>
      </c>
      <c r="D3799">
        <v>11</v>
      </c>
      <c r="E3799" t="s">
        <v>594</v>
      </c>
      <c r="F3799" t="s">
        <v>1298</v>
      </c>
      <c r="G3799" s="9">
        <v>44651</v>
      </c>
    </row>
    <row r="3800" spans="1:7" ht="14.25" customHeight="1">
      <c r="A3800" s="8">
        <f t="shared" si="14"/>
        <v>95403</v>
      </c>
      <c r="B3800" s="8"/>
      <c r="C3800" s="8">
        <v>95403</v>
      </c>
      <c r="D3800">
        <v>16</v>
      </c>
      <c r="E3800" t="s">
        <v>594</v>
      </c>
      <c r="F3800" t="s">
        <v>1299</v>
      </c>
      <c r="G3800" s="9">
        <v>44681</v>
      </c>
    </row>
    <row r="3801" spans="1:7" ht="14.25" customHeight="1">
      <c r="A3801" s="8">
        <f t="shared" si="14"/>
        <v>155203</v>
      </c>
      <c r="B3801" s="8"/>
      <c r="C3801" s="8">
        <v>155203</v>
      </c>
      <c r="D3801">
        <v>21</v>
      </c>
      <c r="E3801" t="s">
        <v>594</v>
      </c>
      <c r="F3801" t="s">
        <v>1300</v>
      </c>
      <c r="G3801" s="9">
        <v>44712</v>
      </c>
    </row>
    <row r="3802" spans="1:7" ht="14.25" customHeight="1">
      <c r="A3802" s="8">
        <f t="shared" si="14"/>
        <v>164403</v>
      </c>
      <c r="B3802" s="8"/>
      <c r="C3802" s="8">
        <v>164403</v>
      </c>
      <c r="D3802">
        <v>29</v>
      </c>
      <c r="E3802" t="s">
        <v>594</v>
      </c>
      <c r="F3802" t="s">
        <v>1301</v>
      </c>
      <c r="G3802" s="9">
        <v>44742</v>
      </c>
    </row>
    <row r="3803" spans="1:7" ht="14.25" customHeight="1">
      <c r="A3803" s="8">
        <f t="shared" si="14"/>
        <v>164403</v>
      </c>
      <c r="B3803" s="8"/>
      <c r="C3803" s="8">
        <v>164403</v>
      </c>
      <c r="D3803">
        <v>62</v>
      </c>
      <c r="E3803" t="s">
        <v>594</v>
      </c>
      <c r="F3803" t="s">
        <v>1327</v>
      </c>
      <c r="G3803" s="9">
        <v>44772</v>
      </c>
    </row>
    <row r="3804" spans="1:7" ht="14.25" customHeight="1">
      <c r="A3804" s="8">
        <f t="shared" si="14"/>
        <v>164403</v>
      </c>
      <c r="B3804" s="8"/>
      <c r="C3804" s="8">
        <v>164403</v>
      </c>
      <c r="D3804">
        <v>72</v>
      </c>
      <c r="E3804" t="s">
        <v>594</v>
      </c>
      <c r="F3804" t="s">
        <v>1328</v>
      </c>
      <c r="G3804" s="9">
        <v>44804</v>
      </c>
    </row>
    <row r="3805" spans="1:7" ht="14.25" customHeight="1">
      <c r="A3805" s="8">
        <f t="shared" si="14"/>
        <v>164403</v>
      </c>
      <c r="B3805" s="8"/>
      <c r="C3805" s="8">
        <v>164403</v>
      </c>
      <c r="D3805">
        <v>127</v>
      </c>
      <c r="E3805" t="s">
        <v>594</v>
      </c>
      <c r="F3805" t="s">
        <v>1329</v>
      </c>
      <c r="G3805" s="9">
        <v>44834</v>
      </c>
    </row>
    <row r="3806" spans="1:7" ht="14.25" customHeight="1">
      <c r="A3806" s="8">
        <f t="shared" si="14"/>
        <v>164403</v>
      </c>
      <c r="B3806" s="8"/>
      <c r="C3806" s="8">
        <v>164403</v>
      </c>
      <c r="D3806">
        <v>135</v>
      </c>
      <c r="E3806" t="s">
        <v>594</v>
      </c>
      <c r="F3806" t="s">
        <v>1302</v>
      </c>
      <c r="G3806" s="9">
        <v>44865</v>
      </c>
    </row>
    <row r="3807" spans="1:7" ht="14.25" customHeight="1">
      <c r="A3807" s="8">
        <f t="shared" si="14"/>
        <v>164403</v>
      </c>
      <c r="B3807" s="8"/>
      <c r="C3807" s="8">
        <v>164403</v>
      </c>
      <c r="D3807">
        <v>173</v>
      </c>
      <c r="E3807" t="s">
        <v>594</v>
      </c>
      <c r="F3807" t="s">
        <v>1303</v>
      </c>
      <c r="G3807" s="9">
        <v>44895</v>
      </c>
    </row>
    <row r="3808" spans="1:7" ht="14.25" customHeight="1">
      <c r="A3808" s="8">
        <f t="shared" si="14"/>
        <v>287705</v>
      </c>
      <c r="B3808" s="8"/>
      <c r="C3808" s="8">
        <v>287705</v>
      </c>
      <c r="D3808">
        <v>191</v>
      </c>
      <c r="E3808" t="s">
        <v>594</v>
      </c>
      <c r="F3808" t="s">
        <v>1304</v>
      </c>
      <c r="G3808" s="9">
        <v>44925</v>
      </c>
    </row>
    <row r="3809" spans="1:7" ht="14.25" customHeight="1">
      <c r="A3809" s="8">
        <f t="shared" si="14"/>
        <v>1997422</v>
      </c>
      <c r="B3809" s="8"/>
      <c r="C3809" s="8">
        <v>1997422</v>
      </c>
    </row>
    <row r="3810" spans="1:7" ht="14.25" customHeight="1">
      <c r="A3810" s="8">
        <f t="shared" si="14"/>
        <v>0</v>
      </c>
      <c r="B3810" s="8"/>
      <c r="C3810" s="8"/>
      <c r="F3810" t="s">
        <v>1305</v>
      </c>
      <c r="G3810">
        <v>66340000</v>
      </c>
    </row>
    <row r="3811" spans="1:7" ht="14.25" customHeight="1">
      <c r="A3811" s="8">
        <f t="shared" si="14"/>
        <v>69000</v>
      </c>
      <c r="B3811" s="8"/>
      <c r="C3811" s="8">
        <v>69000</v>
      </c>
      <c r="D3811">
        <v>3</v>
      </c>
      <c r="E3811" t="s">
        <v>594</v>
      </c>
      <c r="F3811" t="s">
        <v>1306</v>
      </c>
      <c r="G3811" s="9">
        <v>44592</v>
      </c>
    </row>
    <row r="3812" spans="1:7" ht="14.25" customHeight="1">
      <c r="A3812" s="8">
        <f t="shared" si="14"/>
        <v>69000</v>
      </c>
      <c r="B3812" s="8"/>
      <c r="C3812" s="8">
        <v>69000</v>
      </c>
      <c r="D3812">
        <v>8</v>
      </c>
      <c r="E3812" t="s">
        <v>594</v>
      </c>
      <c r="F3812" t="s">
        <v>1307</v>
      </c>
      <c r="G3812" s="9">
        <v>44620</v>
      </c>
    </row>
    <row r="3813" spans="1:7" ht="14.25" customHeight="1">
      <c r="A3813" s="8">
        <f t="shared" si="14"/>
        <v>69000</v>
      </c>
      <c r="B3813" s="8"/>
      <c r="C3813" s="8">
        <v>69000</v>
      </c>
      <c r="D3813">
        <v>13</v>
      </c>
      <c r="E3813" t="s">
        <v>594</v>
      </c>
      <c r="F3813" t="s">
        <v>1308</v>
      </c>
      <c r="G3813" s="9">
        <v>44651</v>
      </c>
    </row>
    <row r="3814" spans="1:7" ht="14.25" customHeight="1">
      <c r="A3814" s="8">
        <f t="shared" si="14"/>
        <v>34500</v>
      </c>
      <c r="B3814" s="8"/>
      <c r="C3814" s="8">
        <v>34500</v>
      </c>
      <c r="D3814">
        <v>18</v>
      </c>
      <c r="E3814" t="s">
        <v>594</v>
      </c>
      <c r="F3814" t="s">
        <v>1309</v>
      </c>
      <c r="G3814" s="9">
        <v>44681</v>
      </c>
    </row>
    <row r="3815" spans="1:7" ht="14.25" customHeight="1">
      <c r="A3815" s="8">
        <f t="shared" si="14"/>
        <v>64400</v>
      </c>
      <c r="B3815" s="8"/>
      <c r="C3815" s="8">
        <v>64400</v>
      </c>
      <c r="D3815">
        <v>23</v>
      </c>
      <c r="E3815" t="s">
        <v>594</v>
      </c>
      <c r="F3815" t="s">
        <v>1310</v>
      </c>
      <c r="G3815" s="9">
        <v>44712</v>
      </c>
    </row>
    <row r="3816" spans="1:7" ht="14.25" customHeight="1">
      <c r="A3816" s="8">
        <f t="shared" si="14"/>
        <v>69000</v>
      </c>
      <c r="B3816" s="8"/>
      <c r="C3816" s="8">
        <v>69000</v>
      </c>
      <c r="D3816">
        <v>31</v>
      </c>
      <c r="E3816" t="s">
        <v>594</v>
      </c>
      <c r="F3816" t="s">
        <v>1311</v>
      </c>
      <c r="G3816" s="9">
        <v>44742</v>
      </c>
    </row>
    <row r="3817" spans="1:7" ht="14.25" customHeight="1">
      <c r="A3817" s="8">
        <f t="shared" si="14"/>
        <v>69000</v>
      </c>
      <c r="B3817" s="8"/>
      <c r="C3817" s="8">
        <v>69000</v>
      </c>
      <c r="D3817">
        <v>64</v>
      </c>
      <c r="E3817" t="s">
        <v>594</v>
      </c>
      <c r="F3817" t="s">
        <v>1343</v>
      </c>
      <c r="G3817" s="9">
        <v>44772</v>
      </c>
    </row>
    <row r="3818" spans="1:7" ht="14.25" customHeight="1">
      <c r="A3818" s="8">
        <f t="shared" si="14"/>
        <v>69000</v>
      </c>
      <c r="B3818" s="8"/>
      <c r="C3818" s="8">
        <v>69000</v>
      </c>
      <c r="D3818">
        <v>74</v>
      </c>
      <c r="E3818" t="s">
        <v>594</v>
      </c>
      <c r="F3818" t="s">
        <v>1344</v>
      </c>
      <c r="G3818" s="9">
        <v>44804</v>
      </c>
    </row>
    <row r="3819" spans="1:7" ht="14.25" customHeight="1">
      <c r="A3819" s="8">
        <f t="shared" si="14"/>
        <v>69000</v>
      </c>
      <c r="B3819" s="8"/>
      <c r="C3819" s="8">
        <v>69000</v>
      </c>
      <c r="D3819">
        <v>129</v>
      </c>
      <c r="E3819" t="s">
        <v>594</v>
      </c>
      <c r="F3819" t="s">
        <v>1345</v>
      </c>
      <c r="G3819" s="9">
        <v>44834</v>
      </c>
    </row>
    <row r="3820" spans="1:7" ht="14.25" customHeight="1">
      <c r="A3820" s="8">
        <f t="shared" si="14"/>
        <v>69000</v>
      </c>
      <c r="B3820" s="8"/>
      <c r="C3820" s="8">
        <v>69000</v>
      </c>
      <c r="D3820">
        <v>137</v>
      </c>
      <c r="E3820" t="s">
        <v>594</v>
      </c>
      <c r="F3820" t="s">
        <v>1312</v>
      </c>
      <c r="G3820" s="9">
        <v>44865</v>
      </c>
    </row>
    <row r="3821" spans="1:7" ht="14.25" customHeight="1">
      <c r="A3821" s="8">
        <f t="shared" si="14"/>
        <v>69000</v>
      </c>
      <c r="B3821" s="8"/>
      <c r="C3821" s="8">
        <v>69000</v>
      </c>
      <c r="D3821">
        <v>175</v>
      </c>
      <c r="E3821" t="s">
        <v>594</v>
      </c>
      <c r="F3821" t="s">
        <v>1313</v>
      </c>
      <c r="G3821" s="9">
        <v>44895</v>
      </c>
    </row>
    <row r="3822" spans="1:7" ht="14.25" customHeight="1">
      <c r="A3822" s="8">
        <f t="shared" si="14"/>
        <v>69000</v>
      </c>
      <c r="B3822" s="8"/>
      <c r="C3822" s="8">
        <v>69000</v>
      </c>
      <c r="D3822">
        <v>193</v>
      </c>
      <c r="E3822" t="s">
        <v>594</v>
      </c>
      <c r="F3822" t="s">
        <v>1314</v>
      </c>
      <c r="G3822" s="9">
        <v>44925</v>
      </c>
    </row>
    <row r="3823" spans="1:7" ht="14.25" customHeight="1">
      <c r="A3823" s="8">
        <f t="shared" si="14"/>
        <v>788900</v>
      </c>
      <c r="B3823" s="8"/>
      <c r="C3823" s="8">
        <v>788900</v>
      </c>
    </row>
    <row r="3824" spans="1:7" ht="14.25" customHeight="1">
      <c r="A3824" s="8">
        <f t="shared" si="14"/>
        <v>0</v>
      </c>
      <c r="B3824" s="8"/>
      <c r="C3824" s="8"/>
      <c r="F3824" t="s">
        <v>1315</v>
      </c>
      <c r="G3824">
        <v>66410000</v>
      </c>
    </row>
    <row r="3825" spans="1:7" ht="14.25" customHeight="1">
      <c r="A3825" s="8">
        <f t="shared" si="14"/>
        <v>12132</v>
      </c>
      <c r="B3825" s="8"/>
      <c r="C3825" s="8">
        <v>12132</v>
      </c>
      <c r="D3825">
        <v>5</v>
      </c>
      <c r="E3825" t="s">
        <v>594</v>
      </c>
      <c r="F3825" t="s">
        <v>1316</v>
      </c>
      <c r="G3825" s="9">
        <v>44592</v>
      </c>
    </row>
    <row r="3826" spans="1:7" ht="14.25" customHeight="1">
      <c r="A3826" s="8">
        <f t="shared" si="14"/>
        <v>12132</v>
      </c>
      <c r="B3826" s="8"/>
      <c r="C3826" s="8">
        <v>12132</v>
      </c>
      <c r="D3826">
        <v>10</v>
      </c>
      <c r="E3826" t="s">
        <v>594</v>
      </c>
      <c r="F3826" t="s">
        <v>1317</v>
      </c>
      <c r="G3826" s="9">
        <v>44620</v>
      </c>
    </row>
    <row r="3827" spans="1:7" ht="14.25" customHeight="1">
      <c r="A3827" s="8">
        <f t="shared" ref="A3827:A4081" si="15">C3827-B3827</f>
        <v>12132</v>
      </c>
      <c r="B3827" s="8"/>
      <c r="C3827" s="8">
        <v>12132</v>
      </c>
      <c r="D3827">
        <v>15</v>
      </c>
      <c r="E3827" t="s">
        <v>594</v>
      </c>
      <c r="F3827" t="s">
        <v>1318</v>
      </c>
      <c r="G3827" s="9">
        <v>44651</v>
      </c>
    </row>
    <row r="3828" spans="1:7" ht="14.25" customHeight="1">
      <c r="A3828" s="8">
        <f t="shared" si="15"/>
        <v>7346</v>
      </c>
      <c r="B3828" s="8"/>
      <c r="C3828" s="8">
        <v>7346</v>
      </c>
      <c r="D3828">
        <v>20</v>
      </c>
      <c r="E3828" t="s">
        <v>594</v>
      </c>
      <c r="F3828" t="s">
        <v>1319</v>
      </c>
      <c r="G3828" s="9">
        <v>44681</v>
      </c>
    </row>
    <row r="3829" spans="1:7" ht="14.25" customHeight="1">
      <c r="A3829" s="8">
        <f t="shared" si="15"/>
        <v>11951</v>
      </c>
      <c r="B3829" s="8"/>
      <c r="C3829" s="8">
        <v>11951</v>
      </c>
      <c r="D3829">
        <v>25</v>
      </c>
      <c r="E3829" t="s">
        <v>594</v>
      </c>
      <c r="F3829" t="s">
        <v>1320</v>
      </c>
      <c r="G3829" s="9">
        <v>44712</v>
      </c>
    </row>
    <row r="3830" spans="1:7" ht="14.25" customHeight="1">
      <c r="A3830" s="8">
        <f t="shared" si="15"/>
        <v>12659</v>
      </c>
      <c r="B3830" s="8"/>
      <c r="C3830" s="8">
        <v>12659</v>
      </c>
      <c r="D3830">
        <v>33</v>
      </c>
      <c r="E3830" t="s">
        <v>594</v>
      </c>
      <c r="F3830" t="s">
        <v>1321</v>
      </c>
      <c r="G3830" s="9">
        <v>44742</v>
      </c>
    </row>
    <row r="3831" spans="1:7" ht="14.25" customHeight="1">
      <c r="A3831" s="8">
        <f t="shared" si="15"/>
        <v>12659</v>
      </c>
      <c r="B3831" s="8"/>
      <c r="C3831" s="8">
        <v>12659</v>
      </c>
      <c r="D3831">
        <v>66</v>
      </c>
      <c r="E3831" t="s">
        <v>594</v>
      </c>
      <c r="F3831" t="s">
        <v>1346</v>
      </c>
      <c r="G3831" s="9">
        <v>44772</v>
      </c>
    </row>
    <row r="3832" spans="1:7" ht="14.25" customHeight="1">
      <c r="A3832" s="8">
        <f t="shared" si="15"/>
        <v>12659</v>
      </c>
      <c r="B3832" s="8"/>
      <c r="C3832" s="8">
        <v>12659</v>
      </c>
      <c r="D3832">
        <v>76</v>
      </c>
      <c r="E3832" t="s">
        <v>594</v>
      </c>
      <c r="F3832" t="s">
        <v>1347</v>
      </c>
      <c r="G3832" s="9">
        <v>44804</v>
      </c>
    </row>
    <row r="3833" spans="1:7" ht="14.25" customHeight="1">
      <c r="A3833" s="8">
        <f t="shared" si="15"/>
        <v>12659</v>
      </c>
      <c r="B3833" s="8"/>
      <c r="C3833" s="8">
        <v>12659</v>
      </c>
      <c r="D3833">
        <v>131</v>
      </c>
      <c r="E3833" t="s">
        <v>594</v>
      </c>
      <c r="F3833" t="s">
        <v>1348</v>
      </c>
      <c r="G3833" s="9">
        <v>44834</v>
      </c>
    </row>
    <row r="3834" spans="1:7" ht="14.25" customHeight="1">
      <c r="A3834" s="8">
        <f t="shared" si="15"/>
        <v>12659</v>
      </c>
      <c r="B3834" s="8"/>
      <c r="C3834" s="8">
        <v>12659</v>
      </c>
      <c r="D3834">
        <v>139</v>
      </c>
      <c r="E3834" t="s">
        <v>594</v>
      </c>
      <c r="F3834" t="s">
        <v>1322</v>
      </c>
      <c r="G3834" s="9">
        <v>44865</v>
      </c>
    </row>
    <row r="3835" spans="1:7" ht="14.25" customHeight="1">
      <c r="A3835" s="8">
        <f t="shared" si="15"/>
        <v>12659</v>
      </c>
      <c r="B3835" s="8"/>
      <c r="C3835" s="8">
        <v>12659</v>
      </c>
      <c r="D3835">
        <v>177</v>
      </c>
      <c r="E3835" t="s">
        <v>594</v>
      </c>
      <c r="F3835" t="s">
        <v>1323</v>
      </c>
      <c r="G3835" s="9">
        <v>44895</v>
      </c>
    </row>
    <row r="3836" spans="1:7" ht="14.25" customHeight="1">
      <c r="A3836" s="8">
        <f t="shared" si="15"/>
        <v>22154</v>
      </c>
      <c r="B3836" s="8"/>
      <c r="C3836" s="8">
        <v>22154</v>
      </c>
      <c r="D3836">
        <v>195</v>
      </c>
      <c r="E3836" t="s">
        <v>594</v>
      </c>
      <c r="F3836" t="s">
        <v>1324</v>
      </c>
      <c r="G3836" s="9">
        <v>44925</v>
      </c>
    </row>
    <row r="3837" spans="1:7" ht="14.25" customHeight="1">
      <c r="A3837" s="8">
        <f t="shared" si="15"/>
        <v>153803</v>
      </c>
      <c r="B3837" s="8"/>
      <c r="C3837" s="8">
        <v>153803</v>
      </c>
    </row>
    <row r="3838" spans="1:7" ht="14.25" customHeight="1">
      <c r="A3838" s="8">
        <f t="shared" si="15"/>
        <v>2984078</v>
      </c>
      <c r="B3838" s="8"/>
      <c r="C3838" s="8">
        <v>2984078</v>
      </c>
      <c r="E3838">
        <v>9403010</v>
      </c>
      <c r="F3838" t="s">
        <v>502</v>
      </c>
      <c r="G3838" t="s">
        <v>581</v>
      </c>
    </row>
    <row r="3839" spans="1:7" ht="14.25" customHeight="1">
      <c r="A3839" s="8">
        <f t="shared" si="15"/>
        <v>0</v>
      </c>
      <c r="B3839" s="8"/>
      <c r="C3839" s="8"/>
      <c r="D3839" t="s">
        <v>503</v>
      </c>
      <c r="G3839">
        <v>9404005</v>
      </c>
    </row>
    <row r="3840" spans="1:7" ht="14.25" customHeight="1">
      <c r="A3840" s="8">
        <f t="shared" si="15"/>
        <v>0</v>
      </c>
      <c r="B3840" s="8"/>
      <c r="C3840" s="8"/>
      <c r="F3840" t="s">
        <v>582</v>
      </c>
      <c r="G3840">
        <v>63240000</v>
      </c>
    </row>
    <row r="3841" spans="1:7" ht="14.25" customHeight="1">
      <c r="A3841" s="8">
        <f t="shared" si="15"/>
        <v>345000</v>
      </c>
      <c r="B3841" s="8"/>
      <c r="C3841" s="8">
        <v>345000</v>
      </c>
      <c r="D3841">
        <v>204</v>
      </c>
      <c r="E3841" t="s">
        <v>579</v>
      </c>
      <c r="F3841" t="s">
        <v>1679</v>
      </c>
      <c r="G3841" s="9">
        <v>44742</v>
      </c>
    </row>
    <row r="3842" spans="1:7" ht="14.25" customHeight="1">
      <c r="A3842" s="8">
        <f t="shared" si="15"/>
        <v>74595</v>
      </c>
      <c r="B3842" s="8"/>
      <c r="C3842" s="8">
        <v>74595</v>
      </c>
      <c r="D3842">
        <v>251</v>
      </c>
      <c r="E3842" t="s">
        <v>579</v>
      </c>
      <c r="F3842" t="s">
        <v>1680</v>
      </c>
      <c r="G3842" s="9">
        <v>44774</v>
      </c>
    </row>
    <row r="3843" spans="1:7" ht="14.25" customHeight="1">
      <c r="A3843" s="8">
        <f t="shared" si="15"/>
        <v>62162</v>
      </c>
      <c r="B3843" s="8"/>
      <c r="C3843" s="8">
        <v>62162</v>
      </c>
      <c r="D3843">
        <v>246</v>
      </c>
      <c r="E3843" t="s">
        <v>579</v>
      </c>
      <c r="F3843" t="s">
        <v>1681</v>
      </c>
      <c r="G3843" s="9">
        <v>44785</v>
      </c>
    </row>
    <row r="3844" spans="1:7" ht="14.25" customHeight="1">
      <c r="A3844" s="8">
        <f t="shared" si="15"/>
        <v>136757</v>
      </c>
      <c r="B3844" s="8"/>
      <c r="C3844" s="8">
        <v>136757</v>
      </c>
      <c r="D3844">
        <v>298</v>
      </c>
      <c r="E3844" t="s">
        <v>579</v>
      </c>
      <c r="F3844" t="s">
        <v>1682</v>
      </c>
      <c r="G3844" s="9">
        <v>44830</v>
      </c>
    </row>
    <row r="3845" spans="1:7" ht="14.25" customHeight="1">
      <c r="A3845" s="8">
        <f t="shared" si="15"/>
        <v>618514</v>
      </c>
      <c r="B3845" s="8"/>
      <c r="C3845" s="8">
        <v>618514</v>
      </c>
    </row>
    <row r="3846" spans="1:7" ht="14.25" customHeight="1">
      <c r="A3846" s="8">
        <f t="shared" si="15"/>
        <v>0</v>
      </c>
      <c r="B3846" s="8"/>
      <c r="C3846" s="8"/>
      <c r="F3846" t="s">
        <v>1351</v>
      </c>
      <c r="G3846">
        <v>66180000</v>
      </c>
    </row>
    <row r="3847" spans="1:7" ht="14.25" customHeight="1">
      <c r="A3847" s="8">
        <f t="shared" si="15"/>
        <v>46000</v>
      </c>
      <c r="B3847" s="8"/>
      <c r="C3847" s="8">
        <v>46000</v>
      </c>
      <c r="D3847">
        <v>126</v>
      </c>
      <c r="E3847" t="s">
        <v>587</v>
      </c>
      <c r="F3847" t="s">
        <v>1683</v>
      </c>
      <c r="G3847" s="9">
        <v>44678</v>
      </c>
    </row>
    <row r="3848" spans="1:7" ht="14.25" customHeight="1">
      <c r="A3848" s="8">
        <f t="shared" si="15"/>
        <v>115000</v>
      </c>
      <c r="B3848" s="8"/>
      <c r="C3848" s="8">
        <v>115000</v>
      </c>
      <c r="D3848">
        <v>158</v>
      </c>
      <c r="E3848" t="s">
        <v>587</v>
      </c>
      <c r="F3848" t="s">
        <v>1684</v>
      </c>
      <c r="G3848" s="9">
        <v>44711</v>
      </c>
    </row>
    <row r="3849" spans="1:7" ht="14.25" customHeight="1">
      <c r="A3849" s="8">
        <f t="shared" si="15"/>
        <v>115000</v>
      </c>
      <c r="B3849" s="8"/>
      <c r="C3849" s="8">
        <v>115000</v>
      </c>
      <c r="D3849">
        <v>217</v>
      </c>
      <c r="E3849" t="s">
        <v>587</v>
      </c>
      <c r="F3849" t="s">
        <v>1685</v>
      </c>
      <c r="G3849" s="9">
        <v>44742</v>
      </c>
    </row>
    <row r="3850" spans="1:7" ht="14.25" customHeight="1">
      <c r="A3850" s="8">
        <f t="shared" si="15"/>
        <v>115000</v>
      </c>
      <c r="B3850" s="8"/>
      <c r="C3850" s="8">
        <v>115000</v>
      </c>
      <c r="D3850">
        <v>48</v>
      </c>
      <c r="E3850" t="s">
        <v>1126</v>
      </c>
      <c r="F3850" t="s">
        <v>1686</v>
      </c>
      <c r="G3850" s="9">
        <v>44768</v>
      </c>
    </row>
    <row r="3851" spans="1:7" ht="14.25" customHeight="1">
      <c r="A3851" s="8">
        <f t="shared" si="15"/>
        <v>115000</v>
      </c>
      <c r="B3851" s="8"/>
      <c r="C3851" s="8">
        <v>115000</v>
      </c>
      <c r="D3851">
        <v>374</v>
      </c>
      <c r="E3851" t="s">
        <v>587</v>
      </c>
      <c r="F3851" t="s">
        <v>1687</v>
      </c>
      <c r="G3851" s="9">
        <v>44811</v>
      </c>
    </row>
    <row r="3852" spans="1:7" ht="14.25" customHeight="1">
      <c r="A3852" s="8">
        <f t="shared" si="15"/>
        <v>506000</v>
      </c>
      <c r="B3852" s="8"/>
      <c r="C3852" s="8">
        <v>506000</v>
      </c>
    </row>
    <row r="3853" spans="1:7" ht="14.25" customHeight="1">
      <c r="A3853" s="8">
        <f t="shared" si="15"/>
        <v>1124514</v>
      </c>
      <c r="B3853" s="8"/>
      <c r="C3853" s="8">
        <v>1124514</v>
      </c>
      <c r="E3853">
        <v>9404005</v>
      </c>
      <c r="F3853" t="s">
        <v>503</v>
      </c>
      <c r="G3853" t="s">
        <v>581</v>
      </c>
    </row>
    <row r="3854" spans="1:7" ht="14.25" customHeight="1">
      <c r="A3854" s="8">
        <f t="shared" si="15"/>
        <v>0</v>
      </c>
      <c r="B3854" s="8"/>
      <c r="C3854" s="8"/>
      <c r="D3854" t="s">
        <v>504</v>
      </c>
      <c r="G3854">
        <v>9404006</v>
      </c>
    </row>
    <row r="3855" spans="1:7" ht="14.25" customHeight="1">
      <c r="A3855" s="8">
        <f t="shared" si="15"/>
        <v>0</v>
      </c>
      <c r="B3855" s="8"/>
      <c r="C3855" s="8"/>
      <c r="F3855" t="s">
        <v>1688</v>
      </c>
      <c r="G3855">
        <v>60430000</v>
      </c>
    </row>
    <row r="3856" spans="1:7" ht="14.25" customHeight="1">
      <c r="A3856" s="8">
        <f t="shared" si="15"/>
        <v>46516</v>
      </c>
      <c r="B3856" s="8"/>
      <c r="C3856" s="8">
        <v>46516</v>
      </c>
      <c r="D3856">
        <v>57</v>
      </c>
      <c r="E3856" t="s">
        <v>667</v>
      </c>
      <c r="F3856" t="s">
        <v>1523</v>
      </c>
      <c r="G3856" s="9">
        <v>44624</v>
      </c>
    </row>
    <row r="3857" spans="1:7" ht="14.25" customHeight="1">
      <c r="A3857" s="8">
        <f t="shared" si="15"/>
        <v>54222</v>
      </c>
      <c r="B3857" s="8"/>
      <c r="C3857" s="8">
        <v>54222</v>
      </c>
      <c r="D3857">
        <v>275</v>
      </c>
      <c r="E3857" t="s">
        <v>667</v>
      </c>
      <c r="F3857" t="s">
        <v>1689</v>
      </c>
      <c r="G3857" s="9">
        <v>44917</v>
      </c>
    </row>
    <row r="3858" spans="1:7" ht="14.25" customHeight="1">
      <c r="A3858" s="8">
        <f t="shared" si="15"/>
        <v>100739</v>
      </c>
      <c r="B3858" s="8"/>
      <c r="C3858" s="8">
        <v>100739</v>
      </c>
    </row>
    <row r="3859" spans="1:7" ht="14.25" customHeight="1">
      <c r="A3859" s="8">
        <f t="shared" si="15"/>
        <v>0</v>
      </c>
      <c r="B3859" s="8"/>
      <c r="C3859" s="8"/>
      <c r="F3859" t="s">
        <v>1397</v>
      </c>
      <c r="G3859">
        <v>62410000</v>
      </c>
    </row>
    <row r="3860" spans="1:7" ht="14.25" customHeight="1">
      <c r="A3860" s="8">
        <f t="shared" si="15"/>
        <v>69000</v>
      </c>
      <c r="B3860" s="8"/>
      <c r="C3860" s="8">
        <v>69000</v>
      </c>
      <c r="D3860">
        <v>16</v>
      </c>
      <c r="E3860" t="s">
        <v>579</v>
      </c>
      <c r="F3860" t="s">
        <v>1690</v>
      </c>
      <c r="G3860" s="9">
        <v>44593</v>
      </c>
    </row>
    <row r="3861" spans="1:7" ht="14.25" customHeight="1">
      <c r="A3861" s="8">
        <f t="shared" si="15"/>
        <v>36800</v>
      </c>
      <c r="B3861" s="8"/>
      <c r="C3861" s="8">
        <v>36800</v>
      </c>
      <c r="D3861">
        <v>107</v>
      </c>
      <c r="E3861" t="s">
        <v>667</v>
      </c>
      <c r="F3861" t="s">
        <v>1691</v>
      </c>
      <c r="G3861" s="9">
        <v>44722</v>
      </c>
    </row>
    <row r="3862" spans="1:7" ht="14.25" customHeight="1">
      <c r="A3862" s="8">
        <f t="shared" si="15"/>
        <v>17250</v>
      </c>
      <c r="B3862" s="8"/>
      <c r="C3862" s="8">
        <v>17250</v>
      </c>
      <c r="D3862">
        <v>108</v>
      </c>
      <c r="E3862" t="s">
        <v>667</v>
      </c>
      <c r="F3862" t="s">
        <v>1692</v>
      </c>
      <c r="G3862" s="9">
        <v>44722</v>
      </c>
    </row>
    <row r="3863" spans="1:7" ht="14.25" customHeight="1">
      <c r="A3863" s="8">
        <f t="shared" si="15"/>
        <v>123050</v>
      </c>
      <c r="B3863" s="8"/>
      <c r="C3863" s="8">
        <v>123050</v>
      </c>
    </row>
    <row r="3864" spans="1:7" ht="14.25" customHeight="1">
      <c r="A3864" s="8">
        <f t="shared" si="15"/>
        <v>0</v>
      </c>
      <c r="B3864" s="8"/>
      <c r="C3864" s="8"/>
      <c r="F3864" t="s">
        <v>1399</v>
      </c>
      <c r="G3864">
        <v>62480000</v>
      </c>
    </row>
    <row r="3865" spans="1:7" ht="14.25" customHeight="1">
      <c r="A3865" s="8">
        <f t="shared" si="15"/>
        <v>6325</v>
      </c>
      <c r="B3865" s="8"/>
      <c r="C3865" s="8">
        <v>6325</v>
      </c>
      <c r="D3865">
        <v>47</v>
      </c>
      <c r="E3865" t="s">
        <v>667</v>
      </c>
      <c r="F3865" t="s">
        <v>1693</v>
      </c>
      <c r="G3865" s="9">
        <v>44644</v>
      </c>
    </row>
    <row r="3866" spans="1:7" ht="14.25" customHeight="1">
      <c r="A3866" s="8">
        <f t="shared" si="15"/>
        <v>5750</v>
      </c>
      <c r="B3866" s="8"/>
      <c r="C3866" s="8">
        <v>5750</v>
      </c>
      <c r="D3866">
        <v>171</v>
      </c>
      <c r="E3866" t="s">
        <v>667</v>
      </c>
      <c r="F3866" t="s">
        <v>1658</v>
      </c>
      <c r="G3866" s="9">
        <v>44790</v>
      </c>
    </row>
    <row r="3867" spans="1:7" ht="14.25" customHeight="1">
      <c r="A3867" s="8">
        <f t="shared" si="15"/>
        <v>5750</v>
      </c>
      <c r="B3867" s="8"/>
      <c r="C3867" s="8">
        <v>5750</v>
      </c>
      <c r="D3867">
        <v>171</v>
      </c>
      <c r="E3867" t="s">
        <v>667</v>
      </c>
      <c r="F3867" t="s">
        <v>1658</v>
      </c>
      <c r="G3867" s="9">
        <v>44790</v>
      </c>
    </row>
    <row r="3868" spans="1:7" ht="14.25" customHeight="1">
      <c r="A3868" s="8">
        <f t="shared" si="15"/>
        <v>17825</v>
      </c>
      <c r="B3868" s="8"/>
      <c r="C3868" s="8">
        <v>17825</v>
      </c>
    </row>
    <row r="3869" spans="1:7" ht="14.25" customHeight="1">
      <c r="A3869" s="8">
        <f t="shared" si="15"/>
        <v>0</v>
      </c>
      <c r="B3869" s="8"/>
      <c r="C3869" s="8"/>
      <c r="F3869" t="s">
        <v>582</v>
      </c>
      <c r="G3869">
        <v>63240000</v>
      </c>
    </row>
    <row r="3870" spans="1:7" ht="14.25" customHeight="1">
      <c r="A3870" s="8">
        <f t="shared" si="15"/>
        <v>690000</v>
      </c>
      <c r="B3870" s="8"/>
      <c r="C3870" s="8">
        <v>690000</v>
      </c>
      <c r="D3870">
        <v>225</v>
      </c>
      <c r="E3870" t="s">
        <v>594</v>
      </c>
      <c r="F3870" t="s">
        <v>1694</v>
      </c>
      <c r="G3870" s="9">
        <v>44925</v>
      </c>
    </row>
    <row r="3871" spans="1:7" ht="14.25" customHeight="1">
      <c r="A3871" s="8">
        <f t="shared" si="15"/>
        <v>690000</v>
      </c>
      <c r="B3871" s="8"/>
      <c r="C3871" s="8">
        <v>690000</v>
      </c>
    </row>
    <row r="3872" spans="1:7" ht="14.25" customHeight="1">
      <c r="A3872" s="8">
        <f t="shared" si="15"/>
        <v>931614</v>
      </c>
      <c r="B3872" s="8"/>
      <c r="C3872" s="8">
        <v>931614</v>
      </c>
      <c r="E3872">
        <v>9404006</v>
      </c>
      <c r="F3872" t="s">
        <v>504</v>
      </c>
      <c r="G3872" t="s">
        <v>581</v>
      </c>
    </row>
    <row r="3873" spans="1:7" ht="14.25" customHeight="1">
      <c r="A3873" s="8">
        <f t="shared" si="15"/>
        <v>0</v>
      </c>
      <c r="B3873" s="8"/>
      <c r="C3873" s="8"/>
      <c r="D3873" t="s">
        <v>505</v>
      </c>
      <c r="G3873">
        <v>9404009</v>
      </c>
    </row>
    <row r="3874" spans="1:7" ht="14.25" customHeight="1">
      <c r="A3874" s="8">
        <f t="shared" si="15"/>
        <v>0</v>
      </c>
      <c r="B3874" s="8"/>
      <c r="C3874" s="8"/>
      <c r="F3874" t="s">
        <v>1403</v>
      </c>
      <c r="G3874">
        <v>62810000</v>
      </c>
    </row>
    <row r="3875" spans="1:7" ht="14.25" customHeight="1">
      <c r="A3875" s="8">
        <f t="shared" si="15"/>
        <v>4873</v>
      </c>
      <c r="B3875" s="8"/>
      <c r="C3875" s="8">
        <v>4873</v>
      </c>
      <c r="D3875">
        <v>5</v>
      </c>
      <c r="E3875" t="s">
        <v>579</v>
      </c>
      <c r="F3875" t="s">
        <v>1404</v>
      </c>
      <c r="G3875" s="9">
        <v>44574</v>
      </c>
    </row>
    <row r="3876" spans="1:7" ht="14.25" customHeight="1">
      <c r="A3876" s="8">
        <f t="shared" si="15"/>
        <v>2437</v>
      </c>
      <c r="B3876" s="8"/>
      <c r="C3876" s="8">
        <v>2437</v>
      </c>
      <c r="D3876">
        <v>5</v>
      </c>
      <c r="E3876" t="s">
        <v>579</v>
      </c>
      <c r="F3876" t="s">
        <v>1404</v>
      </c>
      <c r="G3876" s="9">
        <v>44574</v>
      </c>
    </row>
    <row r="3877" spans="1:7" ht="14.25" customHeight="1">
      <c r="A3877" s="8">
        <f t="shared" si="15"/>
        <v>2433</v>
      </c>
      <c r="B3877" s="8"/>
      <c r="C3877" s="8">
        <v>2433</v>
      </c>
      <c r="D3877">
        <v>21</v>
      </c>
      <c r="E3877" t="s">
        <v>579</v>
      </c>
      <c r="F3877" t="s">
        <v>1405</v>
      </c>
      <c r="G3877" s="9">
        <v>44614</v>
      </c>
    </row>
    <row r="3878" spans="1:7" ht="14.25" customHeight="1">
      <c r="A3878" s="8">
        <f t="shared" si="15"/>
        <v>4873</v>
      </c>
      <c r="B3878" s="8"/>
      <c r="C3878" s="8">
        <v>4873</v>
      </c>
      <c r="D3878">
        <v>21</v>
      </c>
      <c r="E3878" t="s">
        <v>579</v>
      </c>
      <c r="F3878" t="s">
        <v>1405</v>
      </c>
      <c r="G3878" s="9">
        <v>44614</v>
      </c>
    </row>
    <row r="3879" spans="1:7" ht="14.25" customHeight="1">
      <c r="A3879" s="8">
        <f t="shared" si="15"/>
        <v>2437</v>
      </c>
      <c r="B3879" s="8"/>
      <c r="C3879" s="8">
        <v>2437</v>
      </c>
      <c r="D3879">
        <v>38</v>
      </c>
      <c r="E3879" t="s">
        <v>579</v>
      </c>
      <c r="F3879" t="s">
        <v>1406</v>
      </c>
      <c r="G3879" s="9">
        <v>44621</v>
      </c>
    </row>
    <row r="3880" spans="1:7" ht="14.25" customHeight="1">
      <c r="A3880" s="8">
        <f t="shared" si="15"/>
        <v>4873</v>
      </c>
      <c r="B3880" s="8"/>
      <c r="C3880" s="8">
        <v>4873</v>
      </c>
      <c r="D3880">
        <v>38</v>
      </c>
      <c r="E3880" t="s">
        <v>579</v>
      </c>
      <c r="F3880" t="s">
        <v>1406</v>
      </c>
      <c r="G3880" s="9">
        <v>44621</v>
      </c>
    </row>
    <row r="3881" spans="1:7" ht="14.25" customHeight="1">
      <c r="A3881" s="8">
        <f t="shared" si="15"/>
        <v>2437</v>
      </c>
      <c r="B3881" s="8"/>
      <c r="C3881" s="8">
        <v>2437</v>
      </c>
      <c r="D3881">
        <v>99</v>
      </c>
      <c r="E3881" t="s">
        <v>579</v>
      </c>
      <c r="F3881" t="s">
        <v>1407</v>
      </c>
      <c r="G3881" s="9">
        <v>44666</v>
      </c>
    </row>
    <row r="3882" spans="1:7" ht="14.25" customHeight="1">
      <c r="A3882" s="8">
        <f t="shared" si="15"/>
        <v>4873</v>
      </c>
      <c r="B3882" s="8"/>
      <c r="C3882" s="8">
        <v>4873</v>
      </c>
      <c r="D3882">
        <v>99</v>
      </c>
      <c r="E3882" t="s">
        <v>579</v>
      </c>
      <c r="F3882" t="s">
        <v>1407</v>
      </c>
      <c r="G3882" s="9">
        <v>44666</v>
      </c>
    </row>
    <row r="3883" spans="1:7" ht="14.25" customHeight="1">
      <c r="A3883" s="8">
        <f t="shared" si="15"/>
        <v>2437</v>
      </c>
      <c r="B3883" s="8"/>
      <c r="C3883" s="8">
        <v>2437</v>
      </c>
      <c r="D3883">
        <v>133</v>
      </c>
      <c r="E3883" t="s">
        <v>579</v>
      </c>
      <c r="F3883" t="s">
        <v>1409</v>
      </c>
      <c r="G3883" s="9">
        <v>44694</v>
      </c>
    </row>
    <row r="3884" spans="1:7" ht="14.25" customHeight="1">
      <c r="A3884" s="8">
        <f t="shared" si="15"/>
        <v>4873</v>
      </c>
      <c r="B3884" s="8"/>
      <c r="C3884" s="8">
        <v>4873</v>
      </c>
      <c r="D3884">
        <v>133</v>
      </c>
      <c r="E3884" t="s">
        <v>579</v>
      </c>
      <c r="F3884" t="s">
        <v>1409</v>
      </c>
      <c r="G3884" s="9">
        <v>44694</v>
      </c>
    </row>
    <row r="3885" spans="1:7" ht="14.25" customHeight="1">
      <c r="A3885" s="8">
        <f t="shared" si="15"/>
        <v>2875</v>
      </c>
      <c r="B3885" s="8"/>
      <c r="C3885" s="8">
        <v>2875</v>
      </c>
      <c r="D3885">
        <v>105</v>
      </c>
      <c r="E3885" t="s">
        <v>667</v>
      </c>
      <c r="F3885" t="s">
        <v>1695</v>
      </c>
      <c r="G3885" s="9">
        <v>44721</v>
      </c>
    </row>
    <row r="3886" spans="1:7" ht="14.25" customHeight="1">
      <c r="A3886" s="8">
        <f t="shared" si="15"/>
        <v>2437</v>
      </c>
      <c r="B3886" s="8"/>
      <c r="C3886" s="8">
        <v>2437</v>
      </c>
      <c r="D3886">
        <v>168</v>
      </c>
      <c r="E3886" t="s">
        <v>579</v>
      </c>
      <c r="F3886" t="s">
        <v>1410</v>
      </c>
      <c r="G3886" s="9">
        <v>44722</v>
      </c>
    </row>
    <row r="3887" spans="1:7" ht="14.25" customHeight="1">
      <c r="A3887" s="8">
        <f t="shared" si="15"/>
        <v>4873</v>
      </c>
      <c r="B3887" s="8"/>
      <c r="C3887" s="8">
        <v>4873</v>
      </c>
      <c r="D3887">
        <v>168</v>
      </c>
      <c r="E3887" t="s">
        <v>579</v>
      </c>
      <c r="F3887" t="s">
        <v>1410</v>
      </c>
      <c r="G3887" s="9">
        <v>44722</v>
      </c>
    </row>
    <row r="3888" spans="1:7" ht="14.25" customHeight="1">
      <c r="A3888" s="8">
        <f t="shared" si="15"/>
        <v>2437</v>
      </c>
      <c r="B3888" s="8"/>
      <c r="C3888" s="8">
        <v>2437</v>
      </c>
      <c r="D3888">
        <v>239</v>
      </c>
      <c r="E3888" t="s">
        <v>579</v>
      </c>
      <c r="F3888" t="s">
        <v>1411</v>
      </c>
      <c r="G3888" s="9">
        <v>44755</v>
      </c>
    </row>
    <row r="3889" spans="1:7" ht="14.25" customHeight="1">
      <c r="A3889" s="8">
        <f t="shared" si="15"/>
        <v>4873</v>
      </c>
      <c r="B3889" s="8"/>
      <c r="C3889" s="8">
        <v>4873</v>
      </c>
      <c r="D3889">
        <v>239</v>
      </c>
      <c r="E3889" t="s">
        <v>579</v>
      </c>
      <c r="F3889" t="s">
        <v>1411</v>
      </c>
      <c r="G3889" s="9">
        <v>44755</v>
      </c>
    </row>
    <row r="3890" spans="1:7" ht="14.25" customHeight="1">
      <c r="A3890" s="8">
        <f t="shared" si="15"/>
        <v>5750</v>
      </c>
      <c r="B3890" s="8"/>
      <c r="C3890" s="8">
        <v>5750</v>
      </c>
      <c r="D3890">
        <v>175</v>
      </c>
      <c r="E3890" t="s">
        <v>667</v>
      </c>
      <c r="F3890" t="s">
        <v>1696</v>
      </c>
      <c r="G3890" s="9">
        <v>44797</v>
      </c>
    </row>
    <row r="3891" spans="1:7" ht="14.25" customHeight="1">
      <c r="A3891" s="8">
        <f t="shared" si="15"/>
        <v>2437</v>
      </c>
      <c r="B3891" s="8"/>
      <c r="C3891" s="8">
        <v>2437</v>
      </c>
      <c r="D3891">
        <v>319</v>
      </c>
      <c r="E3891" t="s">
        <v>579</v>
      </c>
      <c r="F3891" t="s">
        <v>1413</v>
      </c>
      <c r="G3891" s="9">
        <v>44845</v>
      </c>
    </row>
    <row r="3892" spans="1:7" ht="14.25" customHeight="1">
      <c r="A3892" s="8">
        <f t="shared" si="15"/>
        <v>4873</v>
      </c>
      <c r="B3892" s="8"/>
      <c r="C3892" s="8">
        <v>4873</v>
      </c>
      <c r="D3892">
        <v>319</v>
      </c>
      <c r="E3892" t="s">
        <v>579</v>
      </c>
      <c r="F3892" t="s">
        <v>1413</v>
      </c>
      <c r="G3892" s="9">
        <v>44845</v>
      </c>
    </row>
    <row r="3893" spans="1:7" ht="14.25" customHeight="1">
      <c r="A3893" s="8">
        <f t="shared" si="15"/>
        <v>2437</v>
      </c>
      <c r="B3893" s="8"/>
      <c r="C3893" s="8">
        <v>2437</v>
      </c>
      <c r="D3893">
        <v>339</v>
      </c>
      <c r="E3893" t="s">
        <v>579</v>
      </c>
      <c r="F3893" t="s">
        <v>1414</v>
      </c>
      <c r="G3893" s="9">
        <v>44865</v>
      </c>
    </row>
    <row r="3894" spans="1:7" ht="14.25" customHeight="1">
      <c r="A3894" s="8">
        <f t="shared" si="15"/>
        <v>4873</v>
      </c>
      <c r="B3894" s="8"/>
      <c r="C3894" s="8">
        <v>4873</v>
      </c>
      <c r="D3894">
        <v>339</v>
      </c>
      <c r="E3894" t="s">
        <v>579</v>
      </c>
      <c r="F3894" t="s">
        <v>1414</v>
      </c>
      <c r="G3894" s="9">
        <v>44865</v>
      </c>
    </row>
    <row r="3895" spans="1:7" ht="14.25" customHeight="1">
      <c r="A3895" s="8">
        <f t="shared" si="15"/>
        <v>2437</v>
      </c>
      <c r="B3895" s="8"/>
      <c r="C3895" s="8">
        <v>2437</v>
      </c>
      <c r="D3895">
        <v>340</v>
      </c>
      <c r="E3895" t="s">
        <v>579</v>
      </c>
      <c r="F3895" t="s">
        <v>1415</v>
      </c>
      <c r="G3895" s="9">
        <v>44865</v>
      </c>
    </row>
    <row r="3896" spans="1:7" ht="14.25" customHeight="1">
      <c r="A3896" s="8">
        <f t="shared" si="15"/>
        <v>4873</v>
      </c>
      <c r="B3896" s="8"/>
      <c r="C3896" s="8">
        <v>4873</v>
      </c>
      <c r="D3896">
        <v>340</v>
      </c>
      <c r="E3896" t="s">
        <v>579</v>
      </c>
      <c r="F3896" t="s">
        <v>1415</v>
      </c>
      <c r="G3896" s="9">
        <v>44865</v>
      </c>
    </row>
    <row r="3897" spans="1:7" ht="14.25" customHeight="1">
      <c r="A3897" s="8">
        <f t="shared" si="15"/>
        <v>2437</v>
      </c>
      <c r="B3897" s="8"/>
      <c r="C3897" s="8">
        <v>2437</v>
      </c>
      <c r="D3897">
        <v>367</v>
      </c>
      <c r="E3897" t="s">
        <v>579</v>
      </c>
      <c r="F3897" t="s">
        <v>1416</v>
      </c>
      <c r="G3897" s="9">
        <v>44882</v>
      </c>
    </row>
    <row r="3898" spans="1:7" ht="14.25" customHeight="1">
      <c r="A3898" s="8">
        <f t="shared" si="15"/>
        <v>4873</v>
      </c>
      <c r="B3898" s="8"/>
      <c r="C3898" s="8">
        <v>4873</v>
      </c>
      <c r="D3898">
        <v>367</v>
      </c>
      <c r="E3898" t="s">
        <v>579</v>
      </c>
      <c r="F3898" t="s">
        <v>1416</v>
      </c>
      <c r="G3898" s="9">
        <v>44882</v>
      </c>
    </row>
    <row r="3899" spans="1:7" ht="14.25" customHeight="1">
      <c r="A3899" s="8">
        <f t="shared" si="15"/>
        <v>2437</v>
      </c>
      <c r="B3899" s="8"/>
      <c r="C3899" s="8">
        <v>2437</v>
      </c>
      <c r="D3899">
        <v>411</v>
      </c>
      <c r="E3899" t="s">
        <v>579</v>
      </c>
      <c r="F3899" t="s">
        <v>1417</v>
      </c>
      <c r="G3899" s="9">
        <v>44908</v>
      </c>
    </row>
    <row r="3900" spans="1:7" ht="14.25" customHeight="1">
      <c r="A3900" s="8">
        <f t="shared" si="15"/>
        <v>4873</v>
      </c>
      <c r="B3900" s="8"/>
      <c r="C3900" s="8">
        <v>4873</v>
      </c>
      <c r="D3900">
        <v>411</v>
      </c>
      <c r="E3900" t="s">
        <v>579</v>
      </c>
      <c r="F3900" t="s">
        <v>1417</v>
      </c>
      <c r="G3900" s="9">
        <v>44908</v>
      </c>
    </row>
    <row r="3901" spans="1:7" ht="14.25" customHeight="1">
      <c r="A3901" s="8">
        <f t="shared" si="15"/>
        <v>5463</v>
      </c>
      <c r="B3901" s="8"/>
      <c r="C3901" s="8">
        <v>5463</v>
      </c>
      <c r="D3901">
        <v>278</v>
      </c>
      <c r="E3901" t="s">
        <v>667</v>
      </c>
      <c r="F3901" t="s">
        <v>1419</v>
      </c>
      <c r="G3901" s="9">
        <v>44924</v>
      </c>
    </row>
    <row r="3902" spans="1:7" ht="14.25" customHeight="1">
      <c r="A3902" s="8">
        <f t="shared" si="15"/>
        <v>101797</v>
      </c>
      <c r="B3902" s="8"/>
      <c r="C3902" s="8">
        <v>101797</v>
      </c>
    </row>
    <row r="3903" spans="1:7" ht="14.25" customHeight="1">
      <c r="A3903" s="8">
        <f t="shared" si="15"/>
        <v>0</v>
      </c>
      <c r="B3903" s="8"/>
      <c r="C3903" s="8"/>
      <c r="F3903" t="s">
        <v>1262</v>
      </c>
      <c r="G3903">
        <v>62881000</v>
      </c>
    </row>
    <row r="3904" spans="1:7" ht="14.25" customHeight="1">
      <c r="A3904" s="8">
        <f t="shared" si="15"/>
        <v>11500</v>
      </c>
      <c r="B3904" s="8"/>
      <c r="C3904" s="8">
        <v>11500</v>
      </c>
      <c r="D3904">
        <v>72</v>
      </c>
      <c r="E3904" t="s">
        <v>667</v>
      </c>
      <c r="F3904" t="s">
        <v>1697</v>
      </c>
      <c r="G3904" s="9">
        <v>44673</v>
      </c>
    </row>
    <row r="3905" spans="1:7" ht="14.25" customHeight="1">
      <c r="A3905" s="8">
        <f t="shared" si="15"/>
        <v>10057</v>
      </c>
      <c r="B3905" s="8"/>
      <c r="C3905" s="8">
        <v>10057</v>
      </c>
      <c r="D3905">
        <v>111</v>
      </c>
      <c r="E3905" t="s">
        <v>579</v>
      </c>
      <c r="F3905" t="s">
        <v>1427</v>
      </c>
      <c r="G3905" s="9">
        <v>44684</v>
      </c>
    </row>
    <row r="3906" spans="1:7" ht="14.25" customHeight="1">
      <c r="A3906" s="8">
        <f t="shared" si="15"/>
        <v>10057</v>
      </c>
      <c r="B3906" s="8"/>
      <c r="C3906" s="8">
        <v>10057</v>
      </c>
      <c r="D3906">
        <v>162</v>
      </c>
      <c r="E3906" t="s">
        <v>579</v>
      </c>
      <c r="F3906" t="s">
        <v>1429</v>
      </c>
      <c r="G3906" s="9">
        <v>44715</v>
      </c>
    </row>
    <row r="3907" spans="1:7" ht="14.25" customHeight="1">
      <c r="A3907" s="8">
        <f t="shared" si="15"/>
        <v>9746</v>
      </c>
      <c r="B3907" s="8"/>
      <c r="C3907" s="8">
        <v>9746</v>
      </c>
      <c r="D3907">
        <v>227</v>
      </c>
      <c r="E3907" t="s">
        <v>579</v>
      </c>
      <c r="F3907" t="s">
        <v>1432</v>
      </c>
      <c r="G3907" s="9">
        <v>44743</v>
      </c>
    </row>
    <row r="3908" spans="1:7" ht="14.25" customHeight="1">
      <c r="A3908" s="8">
        <f t="shared" si="15"/>
        <v>9746</v>
      </c>
      <c r="B3908" s="8"/>
      <c r="C3908" s="8">
        <v>9746</v>
      </c>
      <c r="D3908">
        <v>241</v>
      </c>
      <c r="E3908" t="s">
        <v>579</v>
      </c>
      <c r="F3908" t="s">
        <v>1434</v>
      </c>
      <c r="G3908" s="9">
        <v>44769</v>
      </c>
    </row>
    <row r="3909" spans="1:7" ht="14.25" customHeight="1">
      <c r="A3909" s="8">
        <f t="shared" si="15"/>
        <v>10057</v>
      </c>
      <c r="B3909" s="8"/>
      <c r="C3909" s="8">
        <v>10057</v>
      </c>
      <c r="D3909">
        <v>281</v>
      </c>
      <c r="E3909" t="s">
        <v>579</v>
      </c>
      <c r="F3909" t="s">
        <v>1437</v>
      </c>
      <c r="G3909" s="9">
        <v>44809</v>
      </c>
    </row>
    <row r="3910" spans="1:7" ht="14.25" customHeight="1">
      <c r="A3910" s="8">
        <f t="shared" si="15"/>
        <v>4871</v>
      </c>
      <c r="B3910" s="8"/>
      <c r="C3910" s="8">
        <v>4871</v>
      </c>
      <c r="D3910">
        <v>309</v>
      </c>
      <c r="E3910" t="s">
        <v>579</v>
      </c>
      <c r="F3910" t="s">
        <v>1440</v>
      </c>
      <c r="G3910" s="9">
        <v>44834</v>
      </c>
    </row>
    <row r="3911" spans="1:7" ht="14.25" customHeight="1">
      <c r="A3911" s="8">
        <f t="shared" si="15"/>
        <v>11500</v>
      </c>
      <c r="B3911" s="8"/>
      <c r="C3911" s="8">
        <v>11500</v>
      </c>
      <c r="D3911">
        <v>226</v>
      </c>
      <c r="E3911" t="s">
        <v>667</v>
      </c>
      <c r="F3911" t="s">
        <v>1698</v>
      </c>
      <c r="G3911" s="9">
        <v>44838</v>
      </c>
    </row>
    <row r="3912" spans="1:7" ht="14.25" customHeight="1">
      <c r="A3912" s="8">
        <f t="shared" si="15"/>
        <v>2875</v>
      </c>
      <c r="B3912" s="8"/>
      <c r="C3912" s="8">
        <v>2875</v>
      </c>
      <c r="D3912">
        <v>227</v>
      </c>
      <c r="E3912" t="s">
        <v>667</v>
      </c>
      <c r="F3912" t="s">
        <v>1699</v>
      </c>
      <c r="G3912" s="9">
        <v>44841</v>
      </c>
    </row>
    <row r="3913" spans="1:7" ht="14.25" customHeight="1">
      <c r="A3913" s="8">
        <f t="shared" si="15"/>
        <v>4871</v>
      </c>
      <c r="B3913" s="8"/>
      <c r="C3913" s="8">
        <v>4871</v>
      </c>
      <c r="D3913">
        <v>362</v>
      </c>
      <c r="E3913" t="s">
        <v>579</v>
      </c>
      <c r="F3913" t="s">
        <v>1444</v>
      </c>
      <c r="G3913" s="9">
        <v>44874</v>
      </c>
    </row>
    <row r="3914" spans="1:7" ht="14.25" customHeight="1">
      <c r="A3914" s="8">
        <f t="shared" si="15"/>
        <v>85281</v>
      </c>
      <c r="B3914" s="8"/>
      <c r="C3914" s="8">
        <v>85281</v>
      </c>
    </row>
    <row r="3915" spans="1:7" ht="14.25" customHeight="1">
      <c r="A3915" s="8">
        <f t="shared" si="15"/>
        <v>187077</v>
      </c>
      <c r="B3915" s="8"/>
      <c r="C3915" s="8">
        <v>187077</v>
      </c>
      <c r="E3915">
        <v>9404009</v>
      </c>
      <c r="F3915" t="s">
        <v>505</v>
      </c>
      <c r="G3915" t="s">
        <v>581</v>
      </c>
    </row>
    <row r="3916" spans="1:7" ht="14.25" customHeight="1">
      <c r="A3916" s="8">
        <f t="shared" si="15"/>
        <v>0</v>
      </c>
      <c r="B3916" s="8"/>
      <c r="C3916" s="8"/>
      <c r="D3916" t="s">
        <v>506</v>
      </c>
      <c r="G3916">
        <v>9404011</v>
      </c>
    </row>
    <row r="3917" spans="1:7" ht="14.25" customHeight="1">
      <c r="A3917" s="8">
        <f t="shared" si="15"/>
        <v>0</v>
      </c>
      <c r="B3917" s="8"/>
      <c r="C3917" s="8"/>
      <c r="F3917" t="s">
        <v>1446</v>
      </c>
      <c r="G3917">
        <v>6254000</v>
      </c>
    </row>
    <row r="3918" spans="1:7" ht="14.25" customHeight="1">
      <c r="A3918" s="8">
        <f t="shared" si="15"/>
        <v>42403</v>
      </c>
      <c r="B3918" s="8"/>
      <c r="C3918" s="8">
        <v>42403</v>
      </c>
      <c r="D3918">
        <v>216</v>
      </c>
      <c r="E3918" t="s">
        <v>579</v>
      </c>
      <c r="F3918" t="s">
        <v>1447</v>
      </c>
      <c r="G3918" s="9">
        <v>44743</v>
      </c>
    </row>
    <row r="3919" spans="1:7" ht="14.25" customHeight="1">
      <c r="A3919" s="8">
        <f t="shared" si="15"/>
        <v>115767</v>
      </c>
      <c r="B3919" s="8"/>
      <c r="C3919" s="8">
        <v>115767</v>
      </c>
      <c r="D3919">
        <v>431</v>
      </c>
      <c r="E3919" t="s">
        <v>579</v>
      </c>
      <c r="F3919" t="s">
        <v>1448</v>
      </c>
      <c r="G3919" s="9">
        <v>44924</v>
      </c>
    </row>
    <row r="3920" spans="1:7" ht="14.25" customHeight="1">
      <c r="A3920" s="8">
        <f t="shared" si="15"/>
        <v>449139</v>
      </c>
      <c r="B3920" s="8"/>
      <c r="C3920" s="8">
        <v>449139</v>
      </c>
      <c r="D3920">
        <v>431</v>
      </c>
      <c r="E3920" t="s">
        <v>579</v>
      </c>
      <c r="F3920" t="s">
        <v>1448</v>
      </c>
      <c r="G3920" s="9">
        <v>44924</v>
      </c>
    </row>
    <row r="3921" spans="1:7" ht="14.25" customHeight="1">
      <c r="A3921" s="8">
        <f t="shared" si="15"/>
        <v>355217</v>
      </c>
      <c r="B3921" s="8"/>
      <c r="C3921" s="8">
        <v>355217</v>
      </c>
      <c r="D3921">
        <v>431</v>
      </c>
      <c r="E3921" t="s">
        <v>579</v>
      </c>
      <c r="F3921" t="s">
        <v>1448</v>
      </c>
      <c r="G3921" s="9">
        <v>44924</v>
      </c>
    </row>
    <row r="3922" spans="1:7" ht="14.25" customHeight="1">
      <c r="A3922" s="8">
        <f t="shared" si="15"/>
        <v>962526</v>
      </c>
      <c r="B3922" s="8"/>
      <c r="C3922" s="8">
        <v>962526</v>
      </c>
    </row>
    <row r="3923" spans="1:7" ht="14.25" customHeight="1">
      <c r="A3923" s="8">
        <f t="shared" si="15"/>
        <v>0</v>
      </c>
      <c r="B3923" s="8"/>
      <c r="C3923" s="8"/>
      <c r="F3923" t="s">
        <v>1449</v>
      </c>
      <c r="G3923">
        <v>62580000</v>
      </c>
    </row>
    <row r="3924" spans="1:7" ht="14.25" customHeight="1">
      <c r="A3924" s="8">
        <f t="shared" si="15"/>
        <v>260300</v>
      </c>
      <c r="B3924" s="8"/>
      <c r="C3924" s="8">
        <v>260300</v>
      </c>
      <c r="D3924">
        <v>214</v>
      </c>
      <c r="E3924" t="s">
        <v>579</v>
      </c>
      <c r="F3924" t="s">
        <v>1662</v>
      </c>
      <c r="G3924" s="9">
        <v>44754</v>
      </c>
    </row>
    <row r="3925" spans="1:7" ht="14.25" customHeight="1">
      <c r="A3925" s="8">
        <f t="shared" si="15"/>
        <v>260300</v>
      </c>
      <c r="B3925" s="8"/>
      <c r="C3925" s="8">
        <v>260300</v>
      </c>
      <c r="D3925">
        <v>214</v>
      </c>
      <c r="E3925" t="s">
        <v>579</v>
      </c>
      <c r="F3925" t="s">
        <v>1662</v>
      </c>
      <c r="G3925" s="9">
        <v>44754</v>
      </c>
    </row>
    <row r="3926" spans="1:7" ht="14.25" customHeight="1">
      <c r="A3926" s="8">
        <f t="shared" si="15"/>
        <v>520600</v>
      </c>
      <c r="B3926" s="8"/>
      <c r="C3926" s="8">
        <v>520600</v>
      </c>
    </row>
    <row r="3927" spans="1:7" ht="14.25" customHeight="1">
      <c r="A3927" s="8">
        <f t="shared" si="15"/>
        <v>0</v>
      </c>
      <c r="B3927" s="8"/>
      <c r="C3927" s="8"/>
      <c r="F3927" t="s">
        <v>1454</v>
      </c>
      <c r="G3927">
        <v>66850000</v>
      </c>
    </row>
    <row r="3928" spans="1:7" ht="14.25" customHeight="1">
      <c r="A3928" s="8">
        <f t="shared" si="15"/>
        <v>455012</v>
      </c>
      <c r="B3928" s="8"/>
      <c r="C3928" s="8">
        <v>455012</v>
      </c>
      <c r="D3928">
        <v>220</v>
      </c>
      <c r="E3928" t="s">
        <v>579</v>
      </c>
      <c r="F3928" t="s">
        <v>1455</v>
      </c>
      <c r="G3928" s="9">
        <v>44743</v>
      </c>
    </row>
    <row r="3929" spans="1:7" ht="14.25" customHeight="1">
      <c r="A3929" s="8">
        <f t="shared" si="15"/>
        <v>455012</v>
      </c>
      <c r="B3929" s="8"/>
      <c r="C3929" s="8">
        <v>455012</v>
      </c>
    </row>
    <row r="3930" spans="1:7" ht="14.25" customHeight="1">
      <c r="A3930" s="8">
        <f t="shared" si="15"/>
        <v>1938139</v>
      </c>
      <c r="B3930" s="8"/>
      <c r="C3930" s="8">
        <v>1938139</v>
      </c>
      <c r="E3930">
        <v>9404011</v>
      </c>
      <c r="F3930" t="s">
        <v>506</v>
      </c>
      <c r="G3930" t="s">
        <v>581</v>
      </c>
    </row>
    <row r="3931" spans="1:7" ht="14.25" customHeight="1">
      <c r="A3931" s="8">
        <f t="shared" si="15"/>
        <v>0</v>
      </c>
      <c r="B3931" s="8"/>
      <c r="C3931" s="8"/>
      <c r="D3931" t="s">
        <v>507</v>
      </c>
      <c r="G3931">
        <v>9404013</v>
      </c>
    </row>
    <row r="3932" spans="1:7" ht="14.25" customHeight="1">
      <c r="A3932" s="8">
        <f t="shared" si="15"/>
        <v>0</v>
      </c>
      <c r="B3932" s="8"/>
      <c r="C3932" s="8"/>
      <c r="F3932" t="s">
        <v>1491</v>
      </c>
      <c r="G3932">
        <v>60470000</v>
      </c>
    </row>
    <row r="3933" spans="1:7" ht="14.25" customHeight="1">
      <c r="A3933" s="8">
        <f t="shared" si="15"/>
        <v>97458</v>
      </c>
      <c r="B3933" s="8"/>
      <c r="C3933" s="8">
        <v>97458</v>
      </c>
      <c r="D3933">
        <v>198</v>
      </c>
      <c r="E3933" t="s">
        <v>594</v>
      </c>
      <c r="F3933" t="s">
        <v>1700</v>
      </c>
      <c r="G3933" s="9">
        <v>44925</v>
      </c>
    </row>
    <row r="3934" spans="1:7" ht="14.25" customHeight="1">
      <c r="A3934" s="8">
        <f t="shared" si="15"/>
        <v>97458</v>
      </c>
      <c r="B3934" s="8"/>
      <c r="C3934" s="8">
        <v>97458</v>
      </c>
    </row>
    <row r="3935" spans="1:7" ht="14.25" customHeight="1">
      <c r="A3935" s="8">
        <f t="shared" si="15"/>
        <v>97458</v>
      </c>
      <c r="B3935" s="8"/>
      <c r="C3935" s="8">
        <v>97458</v>
      </c>
      <c r="E3935">
        <v>9404013</v>
      </c>
      <c r="F3935" t="s">
        <v>507</v>
      </c>
      <c r="G3935" t="s">
        <v>581</v>
      </c>
    </row>
    <row r="3936" spans="1:7" ht="14.25" customHeight="1">
      <c r="A3936" s="8">
        <f t="shared" si="15"/>
        <v>0</v>
      </c>
      <c r="B3936" s="8"/>
      <c r="C3936" s="8"/>
      <c r="D3936" t="s">
        <v>508</v>
      </c>
      <c r="G3936">
        <v>9404014</v>
      </c>
    </row>
    <row r="3937" spans="1:7" ht="14.25" customHeight="1">
      <c r="A3937" s="8">
        <f t="shared" si="15"/>
        <v>0</v>
      </c>
      <c r="B3937" s="8"/>
      <c r="C3937" s="8"/>
      <c r="F3937" t="s">
        <v>1474</v>
      </c>
      <c r="G3937">
        <v>62650000</v>
      </c>
    </row>
    <row r="3938" spans="1:7" ht="14.25" customHeight="1">
      <c r="A3938" s="8">
        <f t="shared" si="15"/>
        <v>2300</v>
      </c>
      <c r="B3938" s="8"/>
      <c r="C3938" s="8">
        <v>2300</v>
      </c>
      <c r="D3938">
        <v>114</v>
      </c>
      <c r="E3938" t="s">
        <v>667</v>
      </c>
      <c r="F3938" t="s">
        <v>1701</v>
      </c>
      <c r="G3938" s="9">
        <v>44727</v>
      </c>
    </row>
    <row r="3939" spans="1:7" ht="14.25" customHeight="1">
      <c r="A3939" s="8">
        <f t="shared" si="15"/>
        <v>2300</v>
      </c>
      <c r="B3939" s="8"/>
      <c r="C3939" s="8">
        <v>2300</v>
      </c>
    </row>
    <row r="3940" spans="1:7" ht="14.25" customHeight="1">
      <c r="A3940" s="8">
        <f t="shared" si="15"/>
        <v>0</v>
      </c>
      <c r="B3940" s="8"/>
      <c r="C3940" s="8"/>
      <c r="F3940" t="s">
        <v>1488</v>
      </c>
      <c r="G3940">
        <v>6463</v>
      </c>
    </row>
    <row r="3941" spans="1:7" ht="14.25" customHeight="1">
      <c r="A3941" s="8">
        <f t="shared" si="15"/>
        <v>2300</v>
      </c>
      <c r="B3941" s="8"/>
      <c r="C3941" s="8">
        <v>2300</v>
      </c>
      <c r="D3941">
        <v>219</v>
      </c>
      <c r="E3941" t="s">
        <v>667</v>
      </c>
      <c r="F3941" t="s">
        <v>1489</v>
      </c>
      <c r="G3941" s="9">
        <v>44831</v>
      </c>
    </row>
    <row r="3942" spans="1:7" ht="14.25" customHeight="1">
      <c r="A3942" s="8">
        <f t="shared" si="15"/>
        <v>2300</v>
      </c>
      <c r="B3942" s="8"/>
      <c r="C3942" s="8">
        <v>2300</v>
      </c>
    </row>
    <row r="3943" spans="1:7" ht="14.25" customHeight="1">
      <c r="A3943" s="8">
        <f t="shared" si="15"/>
        <v>4600</v>
      </c>
      <c r="B3943" s="8"/>
      <c r="C3943" s="8">
        <v>4600</v>
      </c>
      <c r="E3943">
        <v>9404014</v>
      </c>
      <c r="F3943" t="s">
        <v>508</v>
      </c>
      <c r="G3943" t="s">
        <v>581</v>
      </c>
    </row>
    <row r="3944" spans="1:7" ht="14.25" customHeight="1">
      <c r="A3944" s="8">
        <f t="shared" si="15"/>
        <v>0</v>
      </c>
      <c r="B3944" s="8"/>
      <c r="C3944" s="8"/>
      <c r="D3944" t="s">
        <v>509</v>
      </c>
      <c r="G3944">
        <v>9404015</v>
      </c>
    </row>
    <row r="3945" spans="1:7" ht="14.25" customHeight="1">
      <c r="A3945" s="8">
        <f t="shared" si="15"/>
        <v>0</v>
      </c>
      <c r="B3945" s="8"/>
      <c r="C3945" s="8"/>
      <c r="F3945" t="s">
        <v>1491</v>
      </c>
      <c r="G3945">
        <v>60470000</v>
      </c>
    </row>
    <row r="3946" spans="1:7" ht="14.25" customHeight="1">
      <c r="A3946" s="8">
        <f t="shared" si="15"/>
        <v>53187</v>
      </c>
      <c r="B3946" s="8"/>
      <c r="C3946" s="8">
        <v>53187</v>
      </c>
      <c r="D3946">
        <v>149</v>
      </c>
      <c r="E3946" t="s">
        <v>667</v>
      </c>
      <c r="F3946" t="s">
        <v>1702</v>
      </c>
      <c r="G3946" s="9">
        <v>44763</v>
      </c>
    </row>
    <row r="3947" spans="1:7" ht="14.25" customHeight="1">
      <c r="A3947" s="8">
        <f t="shared" si="15"/>
        <v>17681</v>
      </c>
      <c r="B3947" s="8"/>
      <c r="C3947" s="8">
        <v>17681</v>
      </c>
      <c r="D3947">
        <v>275</v>
      </c>
      <c r="E3947" t="s">
        <v>667</v>
      </c>
      <c r="F3947" t="s">
        <v>1689</v>
      </c>
      <c r="G3947" s="9">
        <v>44917</v>
      </c>
    </row>
    <row r="3948" spans="1:7" ht="14.25" customHeight="1">
      <c r="A3948" s="8">
        <f t="shared" si="15"/>
        <v>70869</v>
      </c>
      <c r="B3948" s="8"/>
      <c r="C3948" s="8">
        <v>70869</v>
      </c>
    </row>
    <row r="3949" spans="1:7" ht="14.25" customHeight="1">
      <c r="A3949" s="8">
        <f t="shared" si="15"/>
        <v>0</v>
      </c>
      <c r="B3949" s="8"/>
      <c r="C3949" s="8"/>
      <c r="F3949" t="s">
        <v>778</v>
      </c>
      <c r="G3949">
        <v>60532000</v>
      </c>
    </row>
    <row r="3950" spans="1:7" ht="14.25" customHeight="1">
      <c r="A3950" s="8">
        <f t="shared" si="15"/>
        <v>21436</v>
      </c>
      <c r="B3950" s="8"/>
      <c r="C3950" s="8">
        <v>21436</v>
      </c>
      <c r="D3950">
        <v>84</v>
      </c>
      <c r="E3950" t="s">
        <v>667</v>
      </c>
      <c r="F3950" t="s">
        <v>1703</v>
      </c>
      <c r="G3950" s="9">
        <v>44691</v>
      </c>
    </row>
    <row r="3951" spans="1:7" ht="14.25" customHeight="1">
      <c r="A3951" s="8">
        <f t="shared" si="15"/>
        <v>21436</v>
      </c>
      <c r="B3951" s="8"/>
      <c r="C3951" s="8">
        <v>21436</v>
      </c>
    </row>
    <row r="3952" spans="1:7" ht="14.25" customHeight="1">
      <c r="A3952" s="8">
        <f t="shared" si="15"/>
        <v>0</v>
      </c>
      <c r="B3952" s="8"/>
      <c r="C3952" s="8"/>
      <c r="F3952" t="s">
        <v>1172</v>
      </c>
      <c r="G3952">
        <v>60550000</v>
      </c>
    </row>
    <row r="3953" spans="1:7" ht="14.25" customHeight="1">
      <c r="A3953" s="8">
        <f t="shared" si="15"/>
        <v>473397</v>
      </c>
      <c r="B3953" s="8"/>
      <c r="C3953" s="8">
        <v>473397</v>
      </c>
      <c r="D3953">
        <v>17</v>
      </c>
      <c r="E3953" t="s">
        <v>579</v>
      </c>
      <c r="F3953" t="s">
        <v>1704</v>
      </c>
      <c r="G3953" s="9">
        <v>44599</v>
      </c>
    </row>
    <row r="3954" spans="1:7" ht="14.25" customHeight="1">
      <c r="A3954" s="8">
        <f t="shared" si="15"/>
        <v>270250</v>
      </c>
      <c r="B3954" s="8"/>
      <c r="C3954" s="8">
        <v>270250</v>
      </c>
      <c r="D3954">
        <v>18</v>
      </c>
      <c r="E3954" t="s">
        <v>579</v>
      </c>
      <c r="F3954" t="s">
        <v>1705</v>
      </c>
      <c r="G3954" s="9">
        <v>44606</v>
      </c>
    </row>
    <row r="3955" spans="1:7" ht="14.25" customHeight="1">
      <c r="A3955" s="8">
        <f t="shared" si="15"/>
        <v>1035</v>
      </c>
      <c r="B3955" s="8"/>
      <c r="C3955" s="8">
        <v>1035</v>
      </c>
      <c r="D3955">
        <v>51</v>
      </c>
      <c r="E3955" t="s">
        <v>667</v>
      </c>
      <c r="F3955" t="s">
        <v>1706</v>
      </c>
      <c r="G3955" s="9">
        <v>44648</v>
      </c>
    </row>
    <row r="3956" spans="1:7" ht="14.25" customHeight="1">
      <c r="A3956" s="8">
        <f t="shared" si="15"/>
        <v>2070</v>
      </c>
      <c r="B3956" s="8"/>
      <c r="C3956" s="8">
        <v>2070</v>
      </c>
      <c r="D3956">
        <v>90</v>
      </c>
      <c r="E3956" t="s">
        <v>667</v>
      </c>
      <c r="F3956" t="s">
        <v>1707</v>
      </c>
      <c r="G3956" s="9">
        <v>44700</v>
      </c>
    </row>
    <row r="3957" spans="1:7" ht="14.25" customHeight="1">
      <c r="A3957" s="8">
        <f t="shared" si="15"/>
        <v>1323</v>
      </c>
      <c r="B3957" s="8"/>
      <c r="C3957" s="8">
        <v>1323</v>
      </c>
      <c r="D3957">
        <v>160</v>
      </c>
      <c r="E3957" t="s">
        <v>667</v>
      </c>
      <c r="F3957" t="s">
        <v>1708</v>
      </c>
      <c r="G3957" s="9">
        <v>44783</v>
      </c>
    </row>
    <row r="3958" spans="1:7" ht="14.25" customHeight="1">
      <c r="A3958" s="8">
        <f t="shared" si="15"/>
        <v>5290</v>
      </c>
      <c r="B3958" s="8"/>
      <c r="C3958" s="8">
        <v>5290</v>
      </c>
      <c r="D3958">
        <v>177</v>
      </c>
      <c r="E3958" t="s">
        <v>667</v>
      </c>
      <c r="F3958" t="s">
        <v>1709</v>
      </c>
      <c r="G3958" s="9">
        <v>44791</v>
      </c>
    </row>
    <row r="3959" spans="1:7" ht="14.25" customHeight="1">
      <c r="A3959" s="8">
        <f t="shared" si="15"/>
        <v>40250</v>
      </c>
      <c r="B3959" s="8"/>
      <c r="C3959" s="8">
        <v>40250</v>
      </c>
      <c r="D3959">
        <v>283</v>
      </c>
      <c r="E3959" t="s">
        <v>579</v>
      </c>
      <c r="F3959" t="s">
        <v>1670</v>
      </c>
      <c r="G3959" s="9">
        <v>44812</v>
      </c>
    </row>
    <row r="3960" spans="1:7" ht="14.25" customHeight="1">
      <c r="A3960" s="8">
        <f t="shared" si="15"/>
        <v>5175</v>
      </c>
      <c r="B3960" s="8"/>
      <c r="C3960" s="8">
        <v>5175</v>
      </c>
      <c r="D3960">
        <v>276</v>
      </c>
      <c r="E3960" t="s">
        <v>667</v>
      </c>
      <c r="F3960" t="s">
        <v>1710</v>
      </c>
      <c r="G3960" s="9">
        <v>44918</v>
      </c>
    </row>
    <row r="3961" spans="1:7" ht="14.25" customHeight="1">
      <c r="A3961" s="8">
        <f t="shared" si="15"/>
        <v>798790</v>
      </c>
      <c r="B3961" s="8"/>
      <c r="C3961" s="8">
        <v>798790</v>
      </c>
    </row>
    <row r="3962" spans="1:7" ht="14.25" customHeight="1">
      <c r="A3962" s="8">
        <f t="shared" si="15"/>
        <v>0</v>
      </c>
      <c r="B3962" s="8"/>
      <c r="C3962" s="8"/>
      <c r="F3962" t="s">
        <v>1498</v>
      </c>
      <c r="G3962">
        <v>60560000</v>
      </c>
    </row>
    <row r="3963" spans="1:7" ht="14.25" customHeight="1">
      <c r="A3963" s="8">
        <f t="shared" si="15"/>
        <v>51750</v>
      </c>
      <c r="B3963" s="8"/>
      <c r="C3963" s="8">
        <v>51750</v>
      </c>
      <c r="D3963">
        <v>137</v>
      </c>
      <c r="E3963" t="s">
        <v>579</v>
      </c>
      <c r="F3963" t="s">
        <v>1711</v>
      </c>
      <c r="G3963" s="9">
        <v>44700</v>
      </c>
    </row>
    <row r="3964" spans="1:7" ht="14.25" customHeight="1">
      <c r="A3964" s="8">
        <f t="shared" si="15"/>
        <v>11500</v>
      </c>
      <c r="B3964" s="8"/>
      <c r="C3964" s="8">
        <v>11500</v>
      </c>
      <c r="D3964">
        <v>167</v>
      </c>
      <c r="E3964" t="s">
        <v>579</v>
      </c>
      <c r="F3964" t="s">
        <v>1499</v>
      </c>
      <c r="G3964" s="9">
        <v>44720</v>
      </c>
    </row>
    <row r="3965" spans="1:7" ht="14.25" customHeight="1">
      <c r="A3965" s="8">
        <f t="shared" si="15"/>
        <v>34500</v>
      </c>
      <c r="B3965" s="8"/>
      <c r="C3965" s="8">
        <v>34500</v>
      </c>
      <c r="D3965">
        <v>104</v>
      </c>
      <c r="E3965" t="s">
        <v>667</v>
      </c>
      <c r="F3965" t="s">
        <v>1712</v>
      </c>
      <c r="G3965" s="9">
        <v>44721</v>
      </c>
    </row>
    <row r="3966" spans="1:7" ht="14.25" customHeight="1">
      <c r="A3966" s="8">
        <f t="shared" si="15"/>
        <v>17250</v>
      </c>
      <c r="B3966" s="8"/>
      <c r="C3966" s="8">
        <v>17250</v>
      </c>
      <c r="D3966">
        <v>263</v>
      </c>
      <c r="E3966" t="s">
        <v>579</v>
      </c>
      <c r="F3966" t="s">
        <v>1501</v>
      </c>
      <c r="G3966" s="9">
        <v>44790</v>
      </c>
    </row>
    <row r="3967" spans="1:7" ht="14.25" customHeight="1">
      <c r="A3967" s="8">
        <f t="shared" si="15"/>
        <v>5549</v>
      </c>
      <c r="B3967" s="8"/>
      <c r="C3967" s="8">
        <v>5549</v>
      </c>
      <c r="D3967">
        <v>196</v>
      </c>
      <c r="E3967" t="s">
        <v>667</v>
      </c>
      <c r="F3967" t="s">
        <v>1713</v>
      </c>
      <c r="G3967" s="9">
        <v>44816</v>
      </c>
    </row>
    <row r="3968" spans="1:7" ht="14.25" customHeight="1">
      <c r="A3968" s="8">
        <f t="shared" si="15"/>
        <v>120549</v>
      </c>
      <c r="B3968" s="8"/>
      <c r="C3968" s="8">
        <v>120549</v>
      </c>
    </row>
    <row r="3969" spans="1:7" ht="14.25" customHeight="1">
      <c r="A3969" s="8">
        <f t="shared" si="15"/>
        <v>0</v>
      </c>
      <c r="B3969" s="8"/>
      <c r="C3969" s="8"/>
      <c r="F3969" t="s">
        <v>1714</v>
      </c>
      <c r="G3969">
        <v>61600000</v>
      </c>
    </row>
    <row r="3970" spans="1:7" ht="14.25" customHeight="1">
      <c r="A3970" s="8">
        <f t="shared" si="15"/>
        <v>150995</v>
      </c>
      <c r="B3970" s="8"/>
      <c r="C3970" s="8">
        <v>150995</v>
      </c>
      <c r="D3970">
        <v>53</v>
      </c>
      <c r="E3970" t="s">
        <v>667</v>
      </c>
      <c r="F3970" t="s">
        <v>1715</v>
      </c>
      <c r="G3970" s="9">
        <v>44628</v>
      </c>
    </row>
    <row r="3971" spans="1:7" ht="14.25" customHeight="1">
      <c r="A3971" s="8">
        <f t="shared" si="15"/>
        <v>150995</v>
      </c>
      <c r="B3971" s="8"/>
      <c r="C3971" s="8">
        <v>150995</v>
      </c>
    </row>
    <row r="3972" spans="1:7" ht="14.25" customHeight="1">
      <c r="A3972" s="8">
        <f t="shared" si="15"/>
        <v>0</v>
      </c>
      <c r="B3972" s="8"/>
      <c r="C3972" s="8"/>
      <c r="F3972" t="s">
        <v>1504</v>
      </c>
      <c r="G3972">
        <v>61830000</v>
      </c>
    </row>
    <row r="3973" spans="1:7" ht="14.25" customHeight="1">
      <c r="A3973" s="8">
        <f t="shared" si="15"/>
        <v>3450</v>
      </c>
      <c r="B3973" s="8"/>
      <c r="C3973" s="8">
        <v>3450</v>
      </c>
      <c r="D3973">
        <v>3</v>
      </c>
      <c r="E3973" t="s">
        <v>667</v>
      </c>
      <c r="F3973" t="s">
        <v>1716</v>
      </c>
      <c r="G3973" s="9">
        <v>44568</v>
      </c>
    </row>
    <row r="3974" spans="1:7" ht="14.25" customHeight="1">
      <c r="A3974" s="8">
        <f t="shared" si="15"/>
        <v>575</v>
      </c>
      <c r="B3974" s="8"/>
      <c r="C3974" s="8">
        <v>575</v>
      </c>
      <c r="D3974">
        <v>14</v>
      </c>
      <c r="E3974" t="s">
        <v>667</v>
      </c>
      <c r="F3974" t="s">
        <v>1674</v>
      </c>
      <c r="G3974" s="9">
        <v>44606</v>
      </c>
    </row>
    <row r="3975" spans="1:7" ht="14.25" customHeight="1">
      <c r="A3975" s="8">
        <f t="shared" si="15"/>
        <v>2875</v>
      </c>
      <c r="B3975" s="8"/>
      <c r="C3975" s="8">
        <v>2875</v>
      </c>
      <c r="D3975">
        <v>15</v>
      </c>
      <c r="E3975" t="s">
        <v>667</v>
      </c>
      <c r="F3975" t="s">
        <v>1717</v>
      </c>
      <c r="G3975" s="9">
        <v>44607</v>
      </c>
    </row>
    <row r="3976" spans="1:7" ht="14.25" customHeight="1">
      <c r="A3976" s="8">
        <f t="shared" si="15"/>
        <v>4600</v>
      </c>
      <c r="B3976" s="8"/>
      <c r="C3976" s="8">
        <v>4600</v>
      </c>
      <c r="D3976">
        <v>18</v>
      </c>
      <c r="E3976" t="s">
        <v>667</v>
      </c>
      <c r="F3976" t="s">
        <v>1718</v>
      </c>
      <c r="G3976" s="9">
        <v>44610</v>
      </c>
    </row>
    <row r="3977" spans="1:7" ht="14.25" customHeight="1">
      <c r="A3977" s="8">
        <f t="shared" si="15"/>
        <v>3450</v>
      </c>
      <c r="B3977" s="8"/>
      <c r="C3977" s="8">
        <v>3450</v>
      </c>
      <c r="D3977">
        <v>21</v>
      </c>
      <c r="E3977" t="s">
        <v>667</v>
      </c>
      <c r="F3977" t="s">
        <v>1719</v>
      </c>
      <c r="G3977" s="9">
        <v>44610</v>
      </c>
    </row>
    <row r="3978" spans="1:7" ht="14.25" customHeight="1">
      <c r="A3978" s="8">
        <f t="shared" si="15"/>
        <v>2875</v>
      </c>
      <c r="B3978" s="8"/>
      <c r="C3978" s="8">
        <v>2875</v>
      </c>
      <c r="D3978">
        <v>27</v>
      </c>
      <c r="E3978" t="s">
        <v>667</v>
      </c>
      <c r="F3978" t="s">
        <v>1720</v>
      </c>
      <c r="G3978" s="9">
        <v>44617</v>
      </c>
    </row>
    <row r="3979" spans="1:7" ht="14.25" customHeight="1">
      <c r="A3979" s="8">
        <f t="shared" si="15"/>
        <v>575</v>
      </c>
      <c r="B3979" s="8"/>
      <c r="C3979" s="8">
        <v>575</v>
      </c>
      <c r="D3979">
        <v>41</v>
      </c>
      <c r="E3979" t="s">
        <v>667</v>
      </c>
      <c r="F3979" t="s">
        <v>1721</v>
      </c>
      <c r="G3979" s="9">
        <v>44638</v>
      </c>
    </row>
    <row r="3980" spans="1:7" ht="14.25" customHeight="1">
      <c r="A3980" s="8">
        <f t="shared" si="15"/>
        <v>5175</v>
      </c>
      <c r="B3980" s="8"/>
      <c r="C3980" s="8">
        <v>5175</v>
      </c>
      <c r="D3980">
        <v>49</v>
      </c>
      <c r="E3980" t="s">
        <v>667</v>
      </c>
      <c r="F3980" t="s">
        <v>1722</v>
      </c>
      <c r="G3980" s="9">
        <v>44644</v>
      </c>
    </row>
    <row r="3981" spans="1:7" ht="14.25" customHeight="1">
      <c r="A3981" s="8">
        <f t="shared" si="15"/>
        <v>5750</v>
      </c>
      <c r="B3981" s="8"/>
      <c r="C3981" s="8">
        <v>5750</v>
      </c>
      <c r="D3981">
        <v>83</v>
      </c>
      <c r="E3981" t="s">
        <v>667</v>
      </c>
      <c r="F3981" t="s">
        <v>1723</v>
      </c>
      <c r="G3981" s="9">
        <v>44690</v>
      </c>
    </row>
    <row r="3982" spans="1:7" ht="14.25" customHeight="1">
      <c r="A3982" s="8">
        <f t="shared" si="15"/>
        <v>9200</v>
      </c>
      <c r="B3982" s="8"/>
      <c r="C3982" s="8">
        <v>9200</v>
      </c>
      <c r="D3982">
        <v>111</v>
      </c>
      <c r="E3982" t="s">
        <v>667</v>
      </c>
      <c r="F3982" t="s">
        <v>1724</v>
      </c>
      <c r="G3982" s="9">
        <v>44726</v>
      </c>
    </row>
    <row r="3983" spans="1:7" ht="14.25" customHeight="1">
      <c r="A3983" s="8">
        <f t="shared" si="15"/>
        <v>17250</v>
      </c>
      <c r="B3983" s="8"/>
      <c r="C3983" s="8">
        <v>17250</v>
      </c>
      <c r="D3983">
        <v>131</v>
      </c>
      <c r="E3983" t="s">
        <v>667</v>
      </c>
      <c r="F3983" t="s">
        <v>1509</v>
      </c>
      <c r="G3983" s="9">
        <v>44739</v>
      </c>
    </row>
    <row r="3984" spans="1:7" ht="14.25" customHeight="1">
      <c r="A3984" s="8">
        <f t="shared" si="15"/>
        <v>17250</v>
      </c>
      <c r="B3984" s="8"/>
      <c r="C3984" s="8">
        <v>17250</v>
      </c>
      <c r="D3984">
        <v>131</v>
      </c>
      <c r="E3984" t="s">
        <v>667</v>
      </c>
      <c r="F3984" t="s">
        <v>1509</v>
      </c>
      <c r="G3984" s="9">
        <v>44739</v>
      </c>
    </row>
    <row r="3985" spans="1:7" ht="14.25" customHeight="1">
      <c r="A3985" s="8">
        <f t="shared" si="15"/>
        <v>5750</v>
      </c>
      <c r="B3985" s="8"/>
      <c r="C3985" s="8">
        <v>5750</v>
      </c>
      <c r="D3985">
        <v>176</v>
      </c>
      <c r="E3985" t="s">
        <v>667</v>
      </c>
      <c r="F3985" t="s">
        <v>1510</v>
      </c>
      <c r="G3985" s="9">
        <v>44791</v>
      </c>
    </row>
    <row r="3986" spans="1:7" ht="14.25" customHeight="1">
      <c r="A3986" s="8">
        <f t="shared" si="15"/>
        <v>2300</v>
      </c>
      <c r="B3986" s="8"/>
      <c r="C3986" s="8">
        <v>2300</v>
      </c>
      <c r="D3986">
        <v>232</v>
      </c>
      <c r="E3986" t="s">
        <v>667</v>
      </c>
      <c r="F3986" t="s">
        <v>1725</v>
      </c>
      <c r="G3986" s="9">
        <v>44848</v>
      </c>
    </row>
    <row r="3987" spans="1:7" ht="14.25" customHeight="1">
      <c r="A3987" s="8">
        <f t="shared" si="15"/>
        <v>8280</v>
      </c>
      <c r="B3987" s="8"/>
      <c r="C3987" s="8">
        <v>8280</v>
      </c>
      <c r="D3987">
        <v>254</v>
      </c>
      <c r="E3987" t="s">
        <v>667</v>
      </c>
      <c r="F3987" t="s">
        <v>1726</v>
      </c>
      <c r="G3987" s="9">
        <v>44887</v>
      </c>
    </row>
    <row r="3988" spans="1:7" ht="14.25" customHeight="1">
      <c r="A3988" s="8">
        <f t="shared" si="15"/>
        <v>11500</v>
      </c>
      <c r="B3988" s="8"/>
      <c r="C3988" s="8">
        <v>11500</v>
      </c>
      <c r="D3988">
        <v>268</v>
      </c>
      <c r="E3988" t="s">
        <v>667</v>
      </c>
      <c r="F3988" t="s">
        <v>1727</v>
      </c>
      <c r="G3988" s="9">
        <v>44902</v>
      </c>
    </row>
    <row r="3989" spans="1:7" ht="14.25" customHeight="1">
      <c r="A3989" s="8">
        <f t="shared" si="15"/>
        <v>17595</v>
      </c>
      <c r="B3989" s="8"/>
      <c r="C3989" s="8">
        <v>17595</v>
      </c>
      <c r="D3989">
        <v>277</v>
      </c>
      <c r="E3989" t="s">
        <v>667</v>
      </c>
      <c r="F3989" t="s">
        <v>1728</v>
      </c>
      <c r="G3989" s="9">
        <v>44918</v>
      </c>
    </row>
    <row r="3990" spans="1:7" ht="14.25" customHeight="1">
      <c r="A3990" s="8">
        <f t="shared" si="15"/>
        <v>118450</v>
      </c>
      <c r="B3990" s="8"/>
      <c r="C3990" s="8">
        <v>118450</v>
      </c>
    </row>
    <row r="3991" spans="1:7" ht="14.25" customHeight="1">
      <c r="A3991" s="8">
        <f t="shared" si="15"/>
        <v>0</v>
      </c>
      <c r="B3991" s="8"/>
      <c r="C3991" s="8"/>
      <c r="F3991" t="s">
        <v>1514</v>
      </c>
      <c r="G3991">
        <v>63831000</v>
      </c>
    </row>
    <row r="3992" spans="1:7" ht="14.25" customHeight="1">
      <c r="A3992" s="8">
        <f t="shared" si="15"/>
        <v>5750</v>
      </c>
      <c r="B3992" s="8"/>
      <c r="C3992" s="8">
        <v>5750</v>
      </c>
      <c r="D3992">
        <v>27</v>
      </c>
      <c r="E3992" t="s">
        <v>667</v>
      </c>
      <c r="F3992" t="s">
        <v>1729</v>
      </c>
      <c r="G3992" s="9">
        <v>44617</v>
      </c>
    </row>
    <row r="3993" spans="1:7" ht="14.25" customHeight="1">
      <c r="A3993" s="8">
        <f t="shared" si="15"/>
        <v>5750</v>
      </c>
      <c r="B3993" s="8"/>
      <c r="C3993" s="8">
        <v>5750</v>
      </c>
    </row>
    <row r="3994" spans="1:7" ht="14.25" customHeight="1">
      <c r="A3994" s="8">
        <f t="shared" si="15"/>
        <v>0</v>
      </c>
      <c r="B3994" s="8"/>
      <c r="C3994" s="8"/>
      <c r="F3994" t="s">
        <v>592</v>
      </c>
      <c r="G3994">
        <v>63833</v>
      </c>
    </row>
    <row r="3995" spans="1:7" ht="14.25" customHeight="1">
      <c r="A3995" s="8">
        <f t="shared" si="15"/>
        <v>89096</v>
      </c>
      <c r="B3995" s="8"/>
      <c r="C3995" s="8">
        <v>89096</v>
      </c>
      <c r="D3995">
        <v>26</v>
      </c>
      <c r="E3995" t="s">
        <v>667</v>
      </c>
      <c r="F3995" t="s">
        <v>1730</v>
      </c>
      <c r="G3995" s="9">
        <v>44602</v>
      </c>
    </row>
    <row r="3996" spans="1:7" ht="14.25" customHeight="1">
      <c r="A3996" s="8">
        <f t="shared" si="15"/>
        <v>2300</v>
      </c>
      <c r="B3996" s="8"/>
      <c r="C3996" s="8">
        <v>2300</v>
      </c>
      <c r="D3996">
        <v>121</v>
      </c>
      <c r="E3996" t="s">
        <v>667</v>
      </c>
      <c r="F3996" t="s">
        <v>1536</v>
      </c>
      <c r="G3996" s="9">
        <v>44732</v>
      </c>
    </row>
    <row r="3997" spans="1:7" ht="14.25" customHeight="1">
      <c r="A3997" s="8">
        <f t="shared" si="15"/>
        <v>13225</v>
      </c>
      <c r="B3997" s="8"/>
      <c r="C3997" s="8">
        <v>13225</v>
      </c>
      <c r="D3997">
        <v>149</v>
      </c>
      <c r="E3997" t="s">
        <v>667</v>
      </c>
      <c r="F3997" t="s">
        <v>1702</v>
      </c>
      <c r="G3997" s="9">
        <v>44763</v>
      </c>
    </row>
    <row r="3998" spans="1:7" ht="14.25" customHeight="1">
      <c r="A3998" s="8">
        <f t="shared" si="15"/>
        <v>14662</v>
      </c>
      <c r="B3998" s="8"/>
      <c r="C3998" s="8">
        <v>14662</v>
      </c>
      <c r="D3998">
        <v>163</v>
      </c>
      <c r="E3998" t="s">
        <v>667</v>
      </c>
      <c r="F3998" t="s">
        <v>1539</v>
      </c>
      <c r="G3998" s="9">
        <v>44783</v>
      </c>
    </row>
    <row r="3999" spans="1:7" ht="14.25" customHeight="1">
      <c r="A3999" s="8">
        <f t="shared" si="15"/>
        <v>1035</v>
      </c>
      <c r="B3999" s="8"/>
      <c r="C3999" s="8">
        <v>1035</v>
      </c>
      <c r="D3999">
        <v>161</v>
      </c>
      <c r="E3999" t="s">
        <v>667</v>
      </c>
      <c r="F3999" t="s">
        <v>1540</v>
      </c>
      <c r="G3999" s="9">
        <v>44783</v>
      </c>
    </row>
    <row r="4000" spans="1:7" ht="14.25" customHeight="1">
      <c r="A4000" s="8">
        <f t="shared" si="15"/>
        <v>16790</v>
      </c>
      <c r="B4000" s="8"/>
      <c r="C4000" s="8">
        <v>16790</v>
      </c>
      <c r="D4000">
        <v>164</v>
      </c>
      <c r="E4000" t="s">
        <v>667</v>
      </c>
      <c r="F4000" t="s">
        <v>1541</v>
      </c>
      <c r="G4000" s="9">
        <v>44784</v>
      </c>
    </row>
    <row r="4001" spans="1:7" ht="14.25" customHeight="1">
      <c r="A4001" s="8">
        <f t="shared" si="15"/>
        <v>1035</v>
      </c>
      <c r="B4001" s="8"/>
      <c r="C4001" s="8">
        <v>1035</v>
      </c>
      <c r="D4001">
        <v>183</v>
      </c>
      <c r="E4001" t="s">
        <v>667</v>
      </c>
      <c r="F4001" t="s">
        <v>1544</v>
      </c>
      <c r="G4001" s="9">
        <v>44802</v>
      </c>
    </row>
    <row r="4002" spans="1:7" ht="14.25" customHeight="1">
      <c r="A4002" s="8">
        <f t="shared" si="15"/>
        <v>13685</v>
      </c>
      <c r="B4002" s="8"/>
      <c r="C4002" s="8">
        <v>13685</v>
      </c>
      <c r="D4002">
        <v>256</v>
      </c>
      <c r="E4002" t="s">
        <v>667</v>
      </c>
      <c r="F4002" t="s">
        <v>1731</v>
      </c>
      <c r="G4002" s="9">
        <v>44890</v>
      </c>
    </row>
    <row r="4003" spans="1:7" ht="14.25" customHeight="1">
      <c r="A4003" s="8">
        <f t="shared" si="15"/>
        <v>340975</v>
      </c>
      <c r="B4003" s="8"/>
      <c r="C4003" s="8">
        <v>340975</v>
      </c>
      <c r="D4003">
        <v>450</v>
      </c>
      <c r="E4003" t="s">
        <v>579</v>
      </c>
      <c r="F4003" t="s">
        <v>1732</v>
      </c>
      <c r="G4003" s="9">
        <v>44926</v>
      </c>
    </row>
    <row r="4004" spans="1:7" ht="14.25" customHeight="1">
      <c r="A4004" s="8">
        <f t="shared" si="15"/>
        <v>492804</v>
      </c>
      <c r="B4004" s="8"/>
      <c r="C4004" s="8">
        <v>492804</v>
      </c>
    </row>
    <row r="4005" spans="1:7" ht="14.25" customHeight="1">
      <c r="A4005" s="8">
        <f t="shared" si="15"/>
        <v>1779642</v>
      </c>
      <c r="B4005" s="8"/>
      <c r="C4005" s="8">
        <v>1779642</v>
      </c>
      <c r="E4005">
        <v>9404015</v>
      </c>
      <c r="F4005" t="s">
        <v>509</v>
      </c>
      <c r="G4005" t="s">
        <v>581</v>
      </c>
    </row>
    <row r="4006" spans="1:7" ht="14.25" customHeight="1">
      <c r="A4006" s="8">
        <f t="shared" si="15"/>
        <v>0</v>
      </c>
      <c r="B4006" s="8"/>
      <c r="C4006" s="8"/>
      <c r="D4006" t="s">
        <v>510</v>
      </c>
      <c r="G4006">
        <v>9404016</v>
      </c>
    </row>
    <row r="4007" spans="1:7" ht="14.25" customHeight="1">
      <c r="A4007" s="8">
        <f t="shared" si="15"/>
        <v>0</v>
      </c>
      <c r="B4007" s="8"/>
      <c r="C4007" s="8"/>
      <c r="F4007" t="s">
        <v>1559</v>
      </c>
      <c r="G4007">
        <v>63181000</v>
      </c>
    </row>
    <row r="4008" spans="1:7" ht="14.25" customHeight="1">
      <c r="A4008" s="8">
        <f t="shared" si="15"/>
        <v>345</v>
      </c>
      <c r="B4008" s="8"/>
      <c r="C4008" s="8">
        <v>345</v>
      </c>
      <c r="D4008">
        <v>302</v>
      </c>
      <c r="E4008" t="s">
        <v>587</v>
      </c>
      <c r="F4008" t="s">
        <v>1733</v>
      </c>
      <c r="G4008" s="9">
        <v>44581</v>
      </c>
    </row>
    <row r="4009" spans="1:7" ht="14.25" customHeight="1">
      <c r="A4009" s="8">
        <f t="shared" si="15"/>
        <v>35</v>
      </c>
      <c r="B4009" s="8"/>
      <c r="C4009" s="8">
        <v>35</v>
      </c>
      <c r="D4009">
        <v>304</v>
      </c>
      <c r="E4009" t="s">
        <v>587</v>
      </c>
      <c r="F4009" t="s">
        <v>1733</v>
      </c>
      <c r="G4009" s="9">
        <v>44581</v>
      </c>
    </row>
    <row r="4010" spans="1:7" ht="14.25" customHeight="1">
      <c r="A4010" s="8">
        <f t="shared" si="15"/>
        <v>345</v>
      </c>
      <c r="B4010" s="8"/>
      <c r="C4010" s="8">
        <v>345</v>
      </c>
      <c r="D4010">
        <v>312</v>
      </c>
      <c r="E4010" t="s">
        <v>587</v>
      </c>
      <c r="F4010" t="s">
        <v>1734</v>
      </c>
      <c r="G4010" s="9">
        <v>44593</v>
      </c>
    </row>
    <row r="4011" spans="1:7" ht="14.25" customHeight="1">
      <c r="A4011" s="8">
        <f t="shared" si="15"/>
        <v>379</v>
      </c>
      <c r="B4011" s="8"/>
      <c r="C4011" s="8">
        <v>379</v>
      </c>
      <c r="D4011">
        <v>873</v>
      </c>
      <c r="E4011" t="s">
        <v>587</v>
      </c>
      <c r="F4011" t="s">
        <v>1571</v>
      </c>
      <c r="G4011" s="9">
        <v>44900</v>
      </c>
    </row>
    <row r="4012" spans="1:7" ht="14.25" customHeight="1">
      <c r="A4012" s="8">
        <f t="shared" si="15"/>
        <v>379</v>
      </c>
      <c r="B4012" s="8"/>
      <c r="C4012" s="8">
        <v>379</v>
      </c>
      <c r="D4012">
        <v>880</v>
      </c>
      <c r="E4012" t="s">
        <v>587</v>
      </c>
      <c r="F4012" t="s">
        <v>1571</v>
      </c>
      <c r="G4012" s="9">
        <v>44900</v>
      </c>
    </row>
    <row r="4013" spans="1:7" ht="14.25" customHeight="1">
      <c r="A4013" s="8">
        <f t="shared" si="15"/>
        <v>379</v>
      </c>
      <c r="B4013" s="8"/>
      <c r="C4013" s="8">
        <v>379</v>
      </c>
      <c r="D4013">
        <v>900</v>
      </c>
      <c r="E4013" t="s">
        <v>587</v>
      </c>
      <c r="F4013" t="s">
        <v>1571</v>
      </c>
      <c r="G4013" s="9">
        <v>44903</v>
      </c>
    </row>
    <row r="4014" spans="1:7" ht="14.25" customHeight="1">
      <c r="A4014" s="8">
        <f t="shared" si="15"/>
        <v>379</v>
      </c>
      <c r="B4014" s="8"/>
      <c r="C4014" s="8">
        <v>379</v>
      </c>
      <c r="D4014">
        <v>915</v>
      </c>
      <c r="E4014" t="s">
        <v>587</v>
      </c>
      <c r="F4014" t="s">
        <v>1735</v>
      </c>
      <c r="G4014" s="9">
        <v>44914</v>
      </c>
    </row>
    <row r="4015" spans="1:7" ht="14.25" customHeight="1">
      <c r="A4015" s="8">
        <f t="shared" si="15"/>
        <v>379</v>
      </c>
      <c r="B4015" s="8"/>
      <c r="C4015" s="8">
        <v>379</v>
      </c>
      <c r="D4015">
        <v>917</v>
      </c>
      <c r="E4015" t="s">
        <v>587</v>
      </c>
      <c r="F4015" t="s">
        <v>1571</v>
      </c>
      <c r="G4015" s="9">
        <v>44914</v>
      </c>
    </row>
    <row r="4016" spans="1:7" ht="14.25" customHeight="1">
      <c r="A4016" s="8">
        <f t="shared" si="15"/>
        <v>379</v>
      </c>
      <c r="B4016" s="8"/>
      <c r="C4016" s="8">
        <v>379</v>
      </c>
      <c r="D4016">
        <v>931</v>
      </c>
      <c r="E4016" t="s">
        <v>587</v>
      </c>
      <c r="F4016" t="s">
        <v>1595</v>
      </c>
      <c r="G4016" s="9">
        <v>44914</v>
      </c>
    </row>
    <row r="4017" spans="1:7" ht="14.25" customHeight="1">
      <c r="A4017" s="8">
        <f t="shared" si="15"/>
        <v>379</v>
      </c>
      <c r="B4017" s="8"/>
      <c r="C4017" s="8">
        <v>379</v>
      </c>
      <c r="D4017">
        <v>950</v>
      </c>
      <c r="E4017" t="s">
        <v>587</v>
      </c>
      <c r="F4017" t="s">
        <v>1595</v>
      </c>
      <c r="G4017" s="9">
        <v>44916</v>
      </c>
    </row>
    <row r="4018" spans="1:7" ht="14.25" customHeight="1">
      <c r="A4018" s="8">
        <f t="shared" si="15"/>
        <v>3381</v>
      </c>
      <c r="B4018" s="8"/>
      <c r="C4018" s="8">
        <v>3381</v>
      </c>
    </row>
    <row r="4019" spans="1:7" ht="14.25" customHeight="1">
      <c r="A4019" s="8">
        <f t="shared" si="15"/>
        <v>3381</v>
      </c>
      <c r="B4019" s="8"/>
      <c r="C4019" s="8">
        <v>3381</v>
      </c>
      <c r="E4019">
        <v>9404016</v>
      </c>
      <c r="F4019" t="s">
        <v>510</v>
      </c>
      <c r="G4019" t="s">
        <v>581</v>
      </c>
    </row>
    <row r="4020" spans="1:7" ht="14.25" customHeight="1">
      <c r="A4020" s="8">
        <f t="shared" si="15"/>
        <v>6066425</v>
      </c>
      <c r="B4020" s="8"/>
      <c r="C4020" s="8">
        <v>6066425</v>
      </c>
      <c r="E4020">
        <v>94040</v>
      </c>
      <c r="F4020" t="s">
        <v>511</v>
      </c>
      <c r="G4020" t="s">
        <v>581</v>
      </c>
    </row>
    <row r="4021" spans="1:7" ht="14.25" customHeight="1">
      <c r="A4021" s="8">
        <f t="shared" si="15"/>
        <v>0</v>
      </c>
      <c r="B4021" s="8"/>
      <c r="C4021" s="8"/>
      <c r="D4021" t="s">
        <v>512</v>
      </c>
      <c r="G4021">
        <v>9405208</v>
      </c>
    </row>
    <row r="4022" spans="1:7" ht="14.25" customHeight="1">
      <c r="A4022" s="8">
        <f t="shared" si="15"/>
        <v>0</v>
      </c>
      <c r="B4022" s="8"/>
      <c r="C4022" s="8"/>
      <c r="F4022" t="s">
        <v>1611</v>
      </c>
      <c r="G4022">
        <v>60412000</v>
      </c>
    </row>
    <row r="4023" spans="1:7" ht="14.25" customHeight="1">
      <c r="A4023" s="8">
        <f t="shared" si="15"/>
        <v>219767</v>
      </c>
      <c r="B4023" s="8"/>
      <c r="C4023" s="8">
        <v>219767</v>
      </c>
      <c r="D4023">
        <v>6</v>
      </c>
      <c r="E4023" t="s">
        <v>579</v>
      </c>
      <c r="F4023" t="s">
        <v>1736</v>
      </c>
      <c r="G4023" s="9">
        <v>44579</v>
      </c>
    </row>
    <row r="4024" spans="1:7" ht="14.25" customHeight="1">
      <c r="A4024" s="8">
        <f t="shared" si="15"/>
        <v>219767</v>
      </c>
      <c r="B4024" s="8"/>
      <c r="C4024" s="8">
        <v>219767</v>
      </c>
    </row>
    <row r="4025" spans="1:7" ht="14.25" customHeight="1">
      <c r="A4025" s="8">
        <f t="shared" si="15"/>
        <v>0</v>
      </c>
      <c r="B4025" s="8"/>
      <c r="C4025" s="8"/>
      <c r="F4025" t="s">
        <v>1194</v>
      </c>
      <c r="G4025">
        <v>60531000</v>
      </c>
    </row>
    <row r="4026" spans="1:7" ht="14.25" customHeight="1">
      <c r="A4026" s="8">
        <f t="shared" si="15"/>
        <v>46000</v>
      </c>
      <c r="B4026" s="8"/>
      <c r="C4026" s="8">
        <v>46000</v>
      </c>
      <c r="D4026">
        <v>54</v>
      </c>
      <c r="E4026" t="s">
        <v>587</v>
      </c>
      <c r="F4026" t="s">
        <v>1737</v>
      </c>
      <c r="G4026" s="9">
        <v>44616</v>
      </c>
    </row>
    <row r="4027" spans="1:7" ht="14.25" customHeight="1">
      <c r="A4027" s="8">
        <f t="shared" si="15"/>
        <v>46000</v>
      </c>
      <c r="B4027" s="8"/>
      <c r="C4027" s="8">
        <v>46000</v>
      </c>
      <c r="D4027">
        <v>59</v>
      </c>
      <c r="E4027" t="s">
        <v>587</v>
      </c>
      <c r="F4027" t="s">
        <v>1738</v>
      </c>
      <c r="G4027" s="9">
        <v>44644</v>
      </c>
    </row>
    <row r="4028" spans="1:7" ht="14.25" customHeight="1">
      <c r="A4028" s="8">
        <f t="shared" si="15"/>
        <v>46000</v>
      </c>
      <c r="B4028" s="8"/>
      <c r="C4028" s="8">
        <v>46000</v>
      </c>
      <c r="D4028">
        <v>104</v>
      </c>
      <c r="E4028" t="s">
        <v>587</v>
      </c>
      <c r="F4028" t="s">
        <v>1739</v>
      </c>
      <c r="G4028" s="9">
        <v>44676</v>
      </c>
    </row>
    <row r="4029" spans="1:7" ht="14.25" customHeight="1">
      <c r="A4029" s="8">
        <f t="shared" si="15"/>
        <v>46000</v>
      </c>
      <c r="B4029" s="8"/>
      <c r="C4029" s="8">
        <v>46000</v>
      </c>
      <c r="D4029">
        <v>168</v>
      </c>
      <c r="E4029" t="s">
        <v>587</v>
      </c>
      <c r="F4029" t="s">
        <v>1740</v>
      </c>
      <c r="G4029" s="9">
        <v>44720</v>
      </c>
    </row>
    <row r="4030" spans="1:7" ht="14.25" customHeight="1">
      <c r="A4030" s="8">
        <f t="shared" si="15"/>
        <v>46000</v>
      </c>
      <c r="B4030" s="8"/>
      <c r="C4030" s="8">
        <v>46000</v>
      </c>
      <c r="D4030">
        <v>252</v>
      </c>
      <c r="E4030" t="s">
        <v>587</v>
      </c>
      <c r="F4030" t="s">
        <v>1741</v>
      </c>
      <c r="G4030" s="9">
        <v>44746</v>
      </c>
    </row>
    <row r="4031" spans="1:7" ht="14.25" customHeight="1">
      <c r="A4031" s="8">
        <f t="shared" si="15"/>
        <v>46000</v>
      </c>
      <c r="B4031" s="8"/>
      <c r="C4031" s="8">
        <v>46000</v>
      </c>
      <c r="D4031">
        <v>46</v>
      </c>
      <c r="E4031" t="s">
        <v>1126</v>
      </c>
      <c r="F4031" t="s">
        <v>1742</v>
      </c>
      <c r="G4031" s="9">
        <v>44768</v>
      </c>
    </row>
    <row r="4032" spans="1:7" ht="14.25" customHeight="1">
      <c r="A4032" s="8">
        <f t="shared" si="15"/>
        <v>46000</v>
      </c>
      <c r="B4032" s="8"/>
      <c r="C4032" s="8">
        <v>46000</v>
      </c>
      <c r="D4032">
        <v>364</v>
      </c>
      <c r="E4032" t="s">
        <v>587</v>
      </c>
      <c r="F4032" t="s">
        <v>1743</v>
      </c>
      <c r="G4032" s="9">
        <v>44805</v>
      </c>
    </row>
    <row r="4033" spans="1:7" ht="14.25" customHeight="1">
      <c r="A4033" s="8">
        <f t="shared" si="15"/>
        <v>46000</v>
      </c>
      <c r="B4033" s="8"/>
      <c r="C4033" s="8">
        <v>46000</v>
      </c>
      <c r="D4033">
        <v>435</v>
      </c>
      <c r="E4033" t="s">
        <v>587</v>
      </c>
      <c r="F4033" t="s">
        <v>1744</v>
      </c>
      <c r="G4033" s="9">
        <v>44830</v>
      </c>
    </row>
    <row r="4034" spans="1:7" ht="14.25" customHeight="1">
      <c r="A4034" s="8">
        <f t="shared" si="15"/>
        <v>11500</v>
      </c>
      <c r="B4034" s="8"/>
      <c r="C4034" s="8">
        <v>11500</v>
      </c>
      <c r="D4034">
        <v>244</v>
      </c>
      <c r="E4034" t="s">
        <v>667</v>
      </c>
      <c r="F4034" t="s">
        <v>1745</v>
      </c>
      <c r="G4034" s="9">
        <v>44852</v>
      </c>
    </row>
    <row r="4035" spans="1:7" ht="14.25" customHeight="1">
      <c r="A4035" s="8">
        <f t="shared" si="15"/>
        <v>46000</v>
      </c>
      <c r="B4035" s="8"/>
      <c r="C4035" s="8">
        <v>46000</v>
      </c>
      <c r="D4035">
        <v>445</v>
      </c>
      <c r="E4035" t="s">
        <v>587</v>
      </c>
      <c r="F4035" t="s">
        <v>1746</v>
      </c>
      <c r="G4035" s="9">
        <v>44859</v>
      </c>
    </row>
    <row r="4036" spans="1:7" ht="14.25" customHeight="1">
      <c r="A4036" s="8">
        <f t="shared" si="15"/>
        <v>2358</v>
      </c>
      <c r="B4036" s="8"/>
      <c r="C4036" s="8">
        <v>2358</v>
      </c>
      <c r="D4036">
        <v>267</v>
      </c>
      <c r="E4036" t="s">
        <v>667</v>
      </c>
      <c r="F4036" t="s">
        <v>1747</v>
      </c>
      <c r="G4036" s="9">
        <v>44902</v>
      </c>
    </row>
    <row r="4037" spans="1:7" ht="14.25" customHeight="1">
      <c r="A4037" s="8">
        <f t="shared" si="15"/>
        <v>427857</v>
      </c>
      <c r="B4037" s="8"/>
      <c r="C4037" s="8">
        <v>427857</v>
      </c>
    </row>
    <row r="4038" spans="1:7" ht="14.25" customHeight="1">
      <c r="A4038" s="8">
        <f t="shared" si="15"/>
        <v>0</v>
      </c>
      <c r="B4038" s="8"/>
      <c r="C4038" s="8"/>
      <c r="F4038" t="s">
        <v>778</v>
      </c>
      <c r="G4038">
        <v>60532000</v>
      </c>
    </row>
    <row r="4039" spans="1:7" ht="14.25" customHeight="1">
      <c r="A4039" s="8">
        <f t="shared" si="15"/>
        <v>33350</v>
      </c>
      <c r="B4039" s="8"/>
      <c r="C4039" s="8">
        <v>33350</v>
      </c>
      <c r="D4039">
        <v>234</v>
      </c>
      <c r="E4039" t="s">
        <v>667</v>
      </c>
      <c r="F4039" t="s">
        <v>1748</v>
      </c>
      <c r="G4039" s="9">
        <v>44852</v>
      </c>
    </row>
    <row r="4040" spans="1:7" ht="14.25" customHeight="1">
      <c r="A4040" s="8">
        <f t="shared" si="15"/>
        <v>33350</v>
      </c>
      <c r="B4040" s="8"/>
      <c r="C4040" s="8">
        <v>33350</v>
      </c>
    </row>
    <row r="4041" spans="1:7" ht="14.25" customHeight="1">
      <c r="A4041" s="8">
        <f t="shared" si="15"/>
        <v>0</v>
      </c>
      <c r="B4041" s="8"/>
      <c r="C4041" s="8"/>
      <c r="F4041" t="s">
        <v>1626</v>
      </c>
      <c r="G4041">
        <v>62430000</v>
      </c>
    </row>
    <row r="4042" spans="1:7" ht="14.25" customHeight="1">
      <c r="A4042" s="8">
        <f t="shared" si="15"/>
        <v>730250</v>
      </c>
      <c r="B4042" s="8"/>
      <c r="C4042" s="8">
        <v>730250</v>
      </c>
      <c r="D4042">
        <v>4</v>
      </c>
      <c r="E4042" t="s">
        <v>579</v>
      </c>
      <c r="F4042" t="s">
        <v>1749</v>
      </c>
      <c r="G4042" s="9">
        <v>44572</v>
      </c>
    </row>
    <row r="4043" spans="1:7" ht="14.25" customHeight="1">
      <c r="A4043" s="8">
        <f t="shared" si="15"/>
        <v>23230</v>
      </c>
      <c r="B4043" s="8"/>
      <c r="C4043" s="8">
        <v>23230</v>
      </c>
      <c r="D4043">
        <v>9</v>
      </c>
      <c r="E4043" t="s">
        <v>667</v>
      </c>
      <c r="F4043" t="s">
        <v>1750</v>
      </c>
      <c r="G4043" s="9">
        <v>44582</v>
      </c>
    </row>
    <row r="4044" spans="1:7" ht="14.25" customHeight="1">
      <c r="A4044" s="8">
        <f t="shared" si="15"/>
        <v>43700</v>
      </c>
      <c r="B4044" s="8"/>
      <c r="C4044" s="8">
        <v>43700</v>
      </c>
      <c r="D4044">
        <v>16</v>
      </c>
      <c r="E4044" t="s">
        <v>667</v>
      </c>
      <c r="F4044" t="s">
        <v>1751</v>
      </c>
      <c r="G4044" s="9">
        <v>44607</v>
      </c>
    </row>
    <row r="4045" spans="1:7" ht="14.25" customHeight="1">
      <c r="A4045" s="8">
        <f t="shared" si="15"/>
        <v>948750</v>
      </c>
      <c r="B4045" s="8"/>
      <c r="C4045" s="8">
        <v>948750</v>
      </c>
      <c r="D4045">
        <v>179</v>
      </c>
      <c r="E4045" t="s">
        <v>579</v>
      </c>
      <c r="F4045" t="s">
        <v>1752</v>
      </c>
      <c r="G4045" s="9">
        <v>44732</v>
      </c>
    </row>
    <row r="4046" spans="1:7" ht="14.25" customHeight="1">
      <c r="A4046" s="8">
        <f t="shared" si="15"/>
        <v>3450</v>
      </c>
      <c r="B4046" s="8"/>
      <c r="C4046" s="8">
        <v>3450</v>
      </c>
      <c r="D4046">
        <v>142</v>
      </c>
      <c r="E4046" t="s">
        <v>667</v>
      </c>
      <c r="F4046" t="s">
        <v>1753</v>
      </c>
      <c r="G4046" s="9">
        <v>44754</v>
      </c>
    </row>
    <row r="4047" spans="1:7" ht="14.25" customHeight="1">
      <c r="A4047" s="8">
        <f t="shared" si="15"/>
        <v>3450</v>
      </c>
      <c r="B4047" s="8"/>
      <c r="C4047" s="8">
        <v>3450</v>
      </c>
      <c r="D4047">
        <v>140</v>
      </c>
      <c r="E4047" t="s">
        <v>667</v>
      </c>
      <c r="F4047" t="s">
        <v>1754</v>
      </c>
      <c r="G4047" s="9">
        <v>44767</v>
      </c>
    </row>
    <row r="4048" spans="1:7" ht="14.25" customHeight="1">
      <c r="A4048" s="8">
        <f t="shared" si="15"/>
        <v>460000</v>
      </c>
      <c r="B4048" s="8"/>
      <c r="C4048" s="8">
        <v>460000</v>
      </c>
      <c r="D4048">
        <v>261</v>
      </c>
      <c r="E4048" t="s">
        <v>579</v>
      </c>
      <c r="F4048" t="s">
        <v>1755</v>
      </c>
      <c r="G4048" s="9">
        <v>44789</v>
      </c>
    </row>
    <row r="4049" spans="1:7" ht="14.25" customHeight="1">
      <c r="A4049" s="8">
        <f t="shared" si="15"/>
        <v>3450</v>
      </c>
      <c r="B4049" s="8"/>
      <c r="C4049" s="8">
        <v>3450</v>
      </c>
      <c r="D4049">
        <v>172</v>
      </c>
      <c r="E4049" t="s">
        <v>667</v>
      </c>
      <c r="F4049" t="s">
        <v>1756</v>
      </c>
      <c r="G4049" s="9">
        <v>44790</v>
      </c>
    </row>
    <row r="4050" spans="1:7" ht="14.25" customHeight="1">
      <c r="A4050" s="8">
        <f t="shared" si="15"/>
        <v>4600</v>
      </c>
      <c r="B4050" s="8"/>
      <c r="C4050" s="8">
        <v>4600</v>
      </c>
      <c r="D4050">
        <v>173</v>
      </c>
      <c r="E4050" t="s">
        <v>667</v>
      </c>
      <c r="F4050" t="s">
        <v>1634</v>
      </c>
      <c r="G4050" s="9">
        <v>44790</v>
      </c>
    </row>
    <row r="4051" spans="1:7" ht="14.25" customHeight="1">
      <c r="A4051" s="8">
        <f t="shared" si="15"/>
        <v>3450</v>
      </c>
      <c r="B4051" s="8"/>
      <c r="C4051" s="8">
        <v>3450</v>
      </c>
      <c r="D4051">
        <v>184</v>
      </c>
      <c r="E4051" t="s">
        <v>667</v>
      </c>
      <c r="F4051" t="s">
        <v>1757</v>
      </c>
      <c r="G4051" s="9">
        <v>44803</v>
      </c>
    </row>
    <row r="4052" spans="1:7" ht="14.25" customHeight="1">
      <c r="A4052" s="8">
        <f t="shared" si="15"/>
        <v>11500</v>
      </c>
      <c r="B4052" s="8"/>
      <c r="C4052" s="8">
        <v>11500</v>
      </c>
      <c r="D4052">
        <v>231</v>
      </c>
      <c r="E4052" t="s">
        <v>667</v>
      </c>
      <c r="F4052" t="s">
        <v>1758</v>
      </c>
      <c r="G4052" s="9">
        <v>44846</v>
      </c>
    </row>
    <row r="4053" spans="1:7" ht="14.25" customHeight="1">
      <c r="A4053" s="8">
        <f t="shared" si="15"/>
        <v>3450</v>
      </c>
      <c r="B4053" s="8"/>
      <c r="C4053" s="8">
        <v>3450</v>
      </c>
      <c r="D4053">
        <v>242</v>
      </c>
      <c r="E4053" t="s">
        <v>667</v>
      </c>
      <c r="F4053" t="s">
        <v>1759</v>
      </c>
      <c r="G4053" s="9">
        <v>44861</v>
      </c>
    </row>
    <row r="4054" spans="1:7" ht="14.25" customHeight="1">
      <c r="A4054" s="8">
        <f t="shared" si="15"/>
        <v>2239280</v>
      </c>
      <c r="B4054" s="8"/>
      <c r="C4054" s="8">
        <v>2239280</v>
      </c>
    </row>
    <row r="4055" spans="1:7" ht="14.25" customHeight="1">
      <c r="A4055" s="8">
        <f t="shared" si="15"/>
        <v>0</v>
      </c>
      <c r="B4055" s="8"/>
      <c r="C4055" s="8"/>
      <c r="F4055" t="s">
        <v>1643</v>
      </c>
      <c r="G4055">
        <v>62520000</v>
      </c>
    </row>
    <row r="4056" spans="1:7" ht="14.25" customHeight="1">
      <c r="A4056" s="8">
        <f t="shared" si="15"/>
        <v>282480</v>
      </c>
      <c r="B4056" s="8"/>
      <c r="C4056" s="8">
        <v>282480</v>
      </c>
      <c r="D4056">
        <v>14</v>
      </c>
      <c r="E4056" t="s">
        <v>579</v>
      </c>
      <c r="F4056" t="s">
        <v>1644</v>
      </c>
      <c r="G4056" s="9">
        <v>44563</v>
      </c>
    </row>
    <row r="4057" spans="1:7" ht="14.25" customHeight="1">
      <c r="A4057" s="8">
        <f t="shared" si="15"/>
        <v>282480</v>
      </c>
      <c r="B4057" s="8"/>
      <c r="C4057" s="8">
        <v>282480</v>
      </c>
    </row>
    <row r="4058" spans="1:7" ht="14.25" customHeight="1">
      <c r="A4058" s="8">
        <f t="shared" si="15"/>
        <v>0</v>
      </c>
      <c r="B4058" s="8"/>
      <c r="C4058" s="8"/>
      <c r="F4058" t="s">
        <v>1488</v>
      </c>
      <c r="G4058">
        <v>6463</v>
      </c>
    </row>
    <row r="4059" spans="1:7" ht="14.25" customHeight="1">
      <c r="A4059" s="8">
        <f t="shared" si="15"/>
        <v>27600</v>
      </c>
      <c r="B4059" s="8"/>
      <c r="C4059" s="8">
        <v>27600</v>
      </c>
      <c r="D4059">
        <v>141</v>
      </c>
      <c r="E4059" t="s">
        <v>667</v>
      </c>
      <c r="F4059" t="s">
        <v>1760</v>
      </c>
      <c r="G4059" s="9">
        <v>44753</v>
      </c>
    </row>
    <row r="4060" spans="1:7" ht="14.25" customHeight="1">
      <c r="A4060" s="8">
        <f t="shared" si="15"/>
        <v>27600</v>
      </c>
      <c r="B4060" s="8"/>
      <c r="C4060" s="8">
        <v>27600</v>
      </c>
    </row>
    <row r="4061" spans="1:7" ht="14.25" customHeight="1">
      <c r="A4061" s="8">
        <f t="shared" si="15"/>
        <v>3230335</v>
      </c>
      <c r="B4061" s="8"/>
      <c r="C4061" s="8">
        <v>3230335</v>
      </c>
      <c r="E4061">
        <v>9405208</v>
      </c>
      <c r="F4061" t="s">
        <v>512</v>
      </c>
      <c r="G4061" t="s">
        <v>581</v>
      </c>
    </row>
    <row r="4062" spans="1:7" ht="14.25" customHeight="1">
      <c r="A4062" s="8">
        <f t="shared" si="15"/>
        <v>0</v>
      </c>
      <c r="B4062" s="8"/>
      <c r="C4062" s="8"/>
      <c r="D4062" t="s">
        <v>513</v>
      </c>
      <c r="G4062">
        <v>9405308</v>
      </c>
    </row>
    <row r="4063" spans="1:7" ht="14.25" customHeight="1">
      <c r="A4063" s="8">
        <f t="shared" si="15"/>
        <v>0</v>
      </c>
      <c r="B4063" s="8"/>
      <c r="C4063" s="8"/>
      <c r="F4063" t="s">
        <v>1626</v>
      </c>
      <c r="G4063">
        <v>62430000</v>
      </c>
    </row>
    <row r="4064" spans="1:7" ht="14.25" customHeight="1">
      <c r="A4064" s="8">
        <f t="shared" si="15"/>
        <v>2875</v>
      </c>
      <c r="B4064" s="8"/>
      <c r="C4064" s="8">
        <v>2875</v>
      </c>
      <c r="D4064">
        <v>32</v>
      </c>
      <c r="E4064" t="s">
        <v>667</v>
      </c>
      <c r="F4064" t="s">
        <v>1761</v>
      </c>
      <c r="G4064" s="9">
        <v>44616</v>
      </c>
    </row>
    <row r="4065" spans="1:7" ht="14.25" customHeight="1">
      <c r="A4065" s="8">
        <f t="shared" si="15"/>
        <v>23000</v>
      </c>
      <c r="B4065" s="8"/>
      <c r="C4065" s="8">
        <v>23000</v>
      </c>
      <c r="D4065">
        <v>157</v>
      </c>
      <c r="E4065" t="s">
        <v>579</v>
      </c>
      <c r="F4065" t="s">
        <v>1762</v>
      </c>
      <c r="G4065" s="9">
        <v>44714</v>
      </c>
    </row>
    <row r="4066" spans="1:7" ht="14.25" customHeight="1">
      <c r="A4066" s="8">
        <f t="shared" si="15"/>
        <v>25875</v>
      </c>
      <c r="B4066" s="8"/>
      <c r="C4066" s="8">
        <v>25875</v>
      </c>
    </row>
    <row r="4067" spans="1:7" ht="14.25" customHeight="1">
      <c r="A4067" s="8">
        <f t="shared" si="15"/>
        <v>0</v>
      </c>
      <c r="B4067" s="8"/>
      <c r="C4067" s="8"/>
      <c r="F4067" t="s">
        <v>1643</v>
      </c>
      <c r="G4067">
        <v>62520000</v>
      </c>
    </row>
    <row r="4068" spans="1:7" ht="14.25" customHeight="1">
      <c r="A4068" s="8">
        <f t="shared" si="15"/>
        <v>528359</v>
      </c>
      <c r="B4068" s="8"/>
      <c r="C4068" s="8">
        <v>528359</v>
      </c>
      <c r="D4068">
        <v>14</v>
      </c>
      <c r="E4068" t="s">
        <v>579</v>
      </c>
      <c r="F4068" t="s">
        <v>1644</v>
      </c>
      <c r="G4068" s="9">
        <v>44563</v>
      </c>
    </row>
    <row r="4069" spans="1:7" ht="14.25" customHeight="1">
      <c r="A4069" s="8">
        <f t="shared" si="15"/>
        <v>528359</v>
      </c>
      <c r="B4069" s="8"/>
      <c r="C4069" s="8">
        <v>528359</v>
      </c>
    </row>
    <row r="4070" spans="1:7" ht="14.25" customHeight="1">
      <c r="A4070" s="8">
        <f t="shared" si="15"/>
        <v>554234</v>
      </c>
      <c r="B4070" s="8"/>
      <c r="C4070" s="8">
        <v>554234</v>
      </c>
      <c r="E4070">
        <v>9405308</v>
      </c>
      <c r="F4070" t="s">
        <v>513</v>
      </c>
      <c r="G4070" t="s">
        <v>581</v>
      </c>
    </row>
    <row r="4071" spans="1:7" ht="14.25" customHeight="1">
      <c r="A4071" s="8">
        <f t="shared" si="15"/>
        <v>0</v>
      </c>
      <c r="B4071" s="8"/>
      <c r="C4071" s="8"/>
      <c r="D4071" t="s">
        <v>514</v>
      </c>
      <c r="G4071">
        <v>9405408</v>
      </c>
    </row>
    <row r="4072" spans="1:7" ht="14.25" customHeight="1">
      <c r="A4072" s="8">
        <f t="shared" si="15"/>
        <v>0</v>
      </c>
      <c r="B4072" s="8"/>
      <c r="C4072" s="8"/>
      <c r="F4072" t="s">
        <v>1071</v>
      </c>
      <c r="G4072">
        <v>60530000</v>
      </c>
    </row>
    <row r="4073" spans="1:7" ht="14.25" customHeight="1">
      <c r="A4073" s="8">
        <f t="shared" si="15"/>
        <v>345000</v>
      </c>
      <c r="B4073" s="8"/>
      <c r="C4073" s="8">
        <v>345000</v>
      </c>
      <c r="D4073">
        <v>203</v>
      </c>
      <c r="E4073" t="s">
        <v>587</v>
      </c>
      <c r="F4073" t="s">
        <v>1763</v>
      </c>
      <c r="G4073" s="9">
        <v>44734</v>
      </c>
    </row>
    <row r="4074" spans="1:7" ht="14.25" customHeight="1">
      <c r="A4074" s="8">
        <f t="shared" si="15"/>
        <v>345000</v>
      </c>
      <c r="B4074" s="8"/>
      <c r="C4074" s="8">
        <v>345000</v>
      </c>
    </row>
    <row r="4075" spans="1:7" ht="14.25" customHeight="1">
      <c r="A4075" s="8">
        <f t="shared" si="15"/>
        <v>0</v>
      </c>
      <c r="B4075" s="8"/>
      <c r="C4075" s="8"/>
      <c r="F4075" t="s">
        <v>1194</v>
      </c>
      <c r="G4075">
        <v>60531000</v>
      </c>
    </row>
    <row r="4076" spans="1:7" ht="14.25" customHeight="1">
      <c r="A4076" s="8">
        <f t="shared" si="15"/>
        <v>2358</v>
      </c>
      <c r="B4076" s="8"/>
      <c r="C4076" s="8">
        <v>2358</v>
      </c>
      <c r="D4076">
        <v>267</v>
      </c>
      <c r="E4076" t="s">
        <v>667</v>
      </c>
      <c r="F4076" t="s">
        <v>1747</v>
      </c>
      <c r="G4076" s="9">
        <v>44902</v>
      </c>
    </row>
    <row r="4077" spans="1:7" ht="14.25" customHeight="1">
      <c r="A4077" s="8">
        <f t="shared" si="15"/>
        <v>3450</v>
      </c>
      <c r="B4077" s="8"/>
      <c r="C4077" s="8">
        <v>3450</v>
      </c>
      <c r="D4077">
        <v>273</v>
      </c>
      <c r="E4077" t="s">
        <v>667</v>
      </c>
      <c r="F4077" t="s">
        <v>1764</v>
      </c>
      <c r="G4077" s="9">
        <v>44916</v>
      </c>
    </row>
    <row r="4078" spans="1:7" ht="14.25" customHeight="1">
      <c r="A4078" s="8">
        <f t="shared" si="15"/>
        <v>74750</v>
      </c>
      <c r="B4078" s="8"/>
      <c r="C4078" s="8">
        <v>74750</v>
      </c>
      <c r="D4078">
        <v>274</v>
      </c>
      <c r="E4078" t="s">
        <v>667</v>
      </c>
      <c r="F4078" t="s">
        <v>1765</v>
      </c>
      <c r="G4078" s="9">
        <v>44917</v>
      </c>
    </row>
    <row r="4079" spans="1:7" ht="14.25" customHeight="1">
      <c r="A4079" s="8">
        <f t="shared" si="15"/>
        <v>11500</v>
      </c>
      <c r="B4079" s="8"/>
      <c r="C4079" s="8">
        <v>11500</v>
      </c>
      <c r="D4079">
        <v>277</v>
      </c>
      <c r="E4079" t="s">
        <v>667</v>
      </c>
      <c r="F4079" t="s">
        <v>1728</v>
      </c>
      <c r="G4079" s="9">
        <v>44918</v>
      </c>
    </row>
    <row r="4080" spans="1:7" ht="14.25" customHeight="1">
      <c r="A4080" s="8">
        <f t="shared" si="15"/>
        <v>92058</v>
      </c>
      <c r="B4080" s="8"/>
      <c r="C4080" s="8">
        <v>92058</v>
      </c>
    </row>
    <row r="4081" spans="1:7" ht="14.25" customHeight="1">
      <c r="A4081" s="8">
        <f t="shared" si="15"/>
        <v>0</v>
      </c>
      <c r="B4081" s="8"/>
      <c r="C4081" s="8"/>
      <c r="F4081" t="s">
        <v>778</v>
      </c>
      <c r="G4081">
        <v>60532000</v>
      </c>
    </row>
    <row r="4082" spans="1:7" ht="14.25" customHeight="1">
      <c r="A4082" s="8">
        <f t="shared" ref="A4082:A4336" si="16">C4082-B4082</f>
        <v>345000</v>
      </c>
      <c r="B4082" s="8"/>
      <c r="C4082" s="8">
        <v>345000</v>
      </c>
      <c r="D4082">
        <v>40</v>
      </c>
      <c r="E4082" t="s">
        <v>587</v>
      </c>
      <c r="F4082" t="s">
        <v>1766</v>
      </c>
      <c r="G4082" s="9">
        <v>44638</v>
      </c>
    </row>
    <row r="4083" spans="1:7" ht="14.25" customHeight="1">
      <c r="A4083" s="8">
        <f t="shared" si="16"/>
        <v>345000</v>
      </c>
      <c r="B4083" s="8"/>
      <c r="C4083" s="8">
        <v>345000</v>
      </c>
      <c r="D4083">
        <v>41</v>
      </c>
      <c r="E4083" t="s">
        <v>587</v>
      </c>
      <c r="F4083" t="s">
        <v>1767</v>
      </c>
      <c r="G4083" s="9">
        <v>44638</v>
      </c>
    </row>
    <row r="4084" spans="1:7" ht="14.25" customHeight="1">
      <c r="A4084" s="8">
        <f t="shared" si="16"/>
        <v>345000</v>
      </c>
      <c r="B4084" s="8"/>
      <c r="C4084" s="8">
        <v>345000</v>
      </c>
      <c r="D4084">
        <v>42</v>
      </c>
      <c r="E4084" t="s">
        <v>587</v>
      </c>
      <c r="F4084" t="s">
        <v>1768</v>
      </c>
      <c r="G4084" s="9">
        <v>44638</v>
      </c>
    </row>
    <row r="4085" spans="1:7" ht="14.25" customHeight="1">
      <c r="A4085" s="8">
        <f t="shared" si="16"/>
        <v>345000</v>
      </c>
      <c r="B4085" s="8"/>
      <c r="C4085" s="8">
        <v>345000</v>
      </c>
      <c r="D4085">
        <v>43</v>
      </c>
      <c r="E4085" t="s">
        <v>587</v>
      </c>
      <c r="F4085" t="s">
        <v>1769</v>
      </c>
      <c r="G4085" s="9">
        <v>44638</v>
      </c>
    </row>
    <row r="4086" spans="1:7" ht="14.25" customHeight="1">
      <c r="A4086" s="8">
        <f t="shared" si="16"/>
        <v>345000</v>
      </c>
      <c r="B4086" s="8"/>
      <c r="C4086" s="8">
        <v>345000</v>
      </c>
      <c r="D4086">
        <v>92</v>
      </c>
      <c r="E4086" t="s">
        <v>587</v>
      </c>
      <c r="F4086" t="s">
        <v>1770</v>
      </c>
      <c r="G4086" s="9">
        <v>44670</v>
      </c>
    </row>
    <row r="4087" spans="1:7" ht="14.25" customHeight="1">
      <c r="A4087" s="8">
        <f t="shared" si="16"/>
        <v>345000</v>
      </c>
      <c r="B4087" s="8"/>
      <c r="C4087" s="8">
        <v>345000</v>
      </c>
      <c r="D4087">
        <v>93</v>
      </c>
      <c r="E4087" t="s">
        <v>587</v>
      </c>
      <c r="F4087" t="s">
        <v>1771</v>
      </c>
      <c r="G4087" s="9">
        <v>44670</v>
      </c>
    </row>
    <row r="4088" spans="1:7" ht="14.25" customHeight="1">
      <c r="A4088" s="8">
        <f t="shared" si="16"/>
        <v>345000</v>
      </c>
      <c r="B4088" s="8"/>
      <c r="C4088" s="8">
        <v>345000</v>
      </c>
      <c r="D4088">
        <v>96</v>
      </c>
      <c r="E4088" t="s">
        <v>587</v>
      </c>
      <c r="F4088" t="s">
        <v>1772</v>
      </c>
      <c r="G4088" s="9">
        <v>44670</v>
      </c>
    </row>
    <row r="4089" spans="1:7" ht="14.25" customHeight="1">
      <c r="A4089" s="8">
        <f t="shared" si="16"/>
        <v>345000</v>
      </c>
      <c r="B4089" s="8"/>
      <c r="C4089" s="8">
        <v>345000</v>
      </c>
      <c r="D4089">
        <v>106</v>
      </c>
      <c r="E4089" t="s">
        <v>587</v>
      </c>
      <c r="F4089" t="s">
        <v>1773</v>
      </c>
      <c r="G4089" s="9">
        <v>44676</v>
      </c>
    </row>
    <row r="4090" spans="1:7" ht="14.25" customHeight="1">
      <c r="A4090" s="8">
        <f t="shared" si="16"/>
        <v>345000</v>
      </c>
      <c r="B4090" s="8"/>
      <c r="C4090" s="8">
        <v>345000</v>
      </c>
      <c r="D4090">
        <v>339</v>
      </c>
      <c r="E4090" t="s">
        <v>587</v>
      </c>
      <c r="F4090" t="s">
        <v>1774</v>
      </c>
      <c r="G4090" s="9">
        <v>44783</v>
      </c>
    </row>
    <row r="4091" spans="1:7" ht="14.25" customHeight="1">
      <c r="A4091" s="8">
        <f t="shared" si="16"/>
        <v>345000</v>
      </c>
      <c r="B4091" s="8"/>
      <c r="C4091" s="8">
        <v>345000</v>
      </c>
      <c r="D4091">
        <v>342</v>
      </c>
      <c r="E4091" t="s">
        <v>587</v>
      </c>
      <c r="F4091" t="s">
        <v>1775</v>
      </c>
      <c r="G4091" s="9">
        <v>44783</v>
      </c>
    </row>
    <row r="4092" spans="1:7" ht="14.25" customHeight="1">
      <c r="A4092" s="8">
        <f t="shared" si="16"/>
        <v>345000</v>
      </c>
      <c r="B4092" s="8"/>
      <c r="C4092" s="8">
        <v>345000</v>
      </c>
      <c r="D4092">
        <v>343</v>
      </c>
      <c r="E4092" t="s">
        <v>587</v>
      </c>
      <c r="F4092" t="s">
        <v>1776</v>
      </c>
      <c r="G4092" s="9">
        <v>44783</v>
      </c>
    </row>
    <row r="4093" spans="1:7" ht="14.25" customHeight="1">
      <c r="A4093" s="8">
        <f t="shared" si="16"/>
        <v>345000</v>
      </c>
      <c r="B4093" s="8"/>
      <c r="C4093" s="8">
        <v>345000</v>
      </c>
      <c r="D4093">
        <v>365</v>
      </c>
      <c r="E4093" t="s">
        <v>587</v>
      </c>
      <c r="F4093" t="s">
        <v>1777</v>
      </c>
      <c r="G4093" s="9">
        <v>44805</v>
      </c>
    </row>
    <row r="4094" spans="1:7" ht="14.25" customHeight="1">
      <c r="A4094" s="8">
        <f t="shared" si="16"/>
        <v>345000</v>
      </c>
      <c r="B4094" s="8"/>
      <c r="C4094" s="8">
        <v>345000</v>
      </c>
      <c r="D4094">
        <v>383</v>
      </c>
      <c r="E4094" t="s">
        <v>587</v>
      </c>
      <c r="F4094" t="s">
        <v>1778</v>
      </c>
      <c r="G4094" s="9">
        <v>44812</v>
      </c>
    </row>
    <row r="4095" spans="1:7" ht="14.25" customHeight="1">
      <c r="A4095" s="8">
        <f t="shared" si="16"/>
        <v>345000</v>
      </c>
      <c r="B4095" s="8"/>
      <c r="C4095" s="8">
        <v>345000</v>
      </c>
      <c r="D4095">
        <v>384</v>
      </c>
      <c r="E4095" t="s">
        <v>587</v>
      </c>
      <c r="F4095" t="s">
        <v>1779</v>
      </c>
      <c r="G4095" s="9">
        <v>44812</v>
      </c>
    </row>
    <row r="4096" spans="1:7" ht="14.25" customHeight="1">
      <c r="A4096" s="8">
        <f t="shared" si="16"/>
        <v>345000</v>
      </c>
      <c r="B4096" s="8"/>
      <c r="C4096" s="8">
        <v>345000</v>
      </c>
      <c r="D4096">
        <v>436</v>
      </c>
      <c r="E4096" t="s">
        <v>587</v>
      </c>
      <c r="F4096" t="s">
        <v>1780</v>
      </c>
      <c r="G4096" s="9">
        <v>44831</v>
      </c>
    </row>
    <row r="4097" spans="1:7" ht="14.25" customHeight="1">
      <c r="A4097" s="8">
        <f t="shared" si="16"/>
        <v>345000</v>
      </c>
      <c r="B4097" s="8"/>
      <c r="C4097" s="8">
        <v>345000</v>
      </c>
      <c r="D4097">
        <v>437</v>
      </c>
      <c r="E4097" t="s">
        <v>587</v>
      </c>
      <c r="F4097" t="s">
        <v>1781</v>
      </c>
      <c r="G4097" s="9">
        <v>44831</v>
      </c>
    </row>
    <row r="4098" spans="1:7" ht="14.25" customHeight="1">
      <c r="A4098" s="8">
        <f t="shared" si="16"/>
        <v>345000</v>
      </c>
      <c r="B4098" s="8"/>
      <c r="C4098" s="8">
        <v>345000</v>
      </c>
      <c r="D4098">
        <v>522</v>
      </c>
      <c r="E4098" t="s">
        <v>587</v>
      </c>
      <c r="F4098" t="s">
        <v>1782</v>
      </c>
      <c r="G4098" s="9">
        <v>44879</v>
      </c>
    </row>
    <row r="4099" spans="1:7" ht="14.25" customHeight="1">
      <c r="A4099" s="8">
        <f t="shared" si="16"/>
        <v>5865000</v>
      </c>
      <c r="B4099" s="8"/>
      <c r="C4099" s="8">
        <v>5865000</v>
      </c>
    </row>
    <row r="4100" spans="1:7" ht="14.25" customHeight="1">
      <c r="A4100" s="8">
        <f t="shared" si="16"/>
        <v>0</v>
      </c>
      <c r="B4100" s="8"/>
      <c r="C4100" s="8"/>
      <c r="F4100" t="s">
        <v>1504</v>
      </c>
      <c r="G4100">
        <v>61830000</v>
      </c>
    </row>
    <row r="4101" spans="1:7" ht="14.25" customHeight="1">
      <c r="A4101" s="8">
        <f t="shared" si="16"/>
        <v>2875</v>
      </c>
      <c r="B4101" s="8"/>
      <c r="C4101" s="8">
        <v>2875</v>
      </c>
      <c r="D4101">
        <v>125</v>
      </c>
      <c r="E4101" t="s">
        <v>667</v>
      </c>
      <c r="F4101" t="s">
        <v>1783</v>
      </c>
      <c r="G4101" s="9">
        <v>44733</v>
      </c>
    </row>
    <row r="4102" spans="1:7" ht="14.25" customHeight="1">
      <c r="A4102" s="8">
        <f t="shared" si="16"/>
        <v>2875</v>
      </c>
      <c r="B4102" s="8"/>
      <c r="C4102" s="8">
        <v>2875</v>
      </c>
    </row>
    <row r="4103" spans="1:7" ht="14.25" customHeight="1">
      <c r="A4103" s="8">
        <f t="shared" si="16"/>
        <v>0</v>
      </c>
      <c r="B4103" s="8"/>
      <c r="C4103" s="8"/>
      <c r="F4103" t="s">
        <v>1784</v>
      </c>
      <c r="G4103">
        <v>62330000</v>
      </c>
    </row>
    <row r="4104" spans="1:7" ht="14.25" customHeight="1">
      <c r="A4104" s="8">
        <f t="shared" si="16"/>
        <v>-9365005</v>
      </c>
      <c r="B4104" s="8">
        <v>9365005</v>
      </c>
      <c r="C4104" s="8"/>
      <c r="D4104">
        <v>311</v>
      </c>
      <c r="E4104" t="s">
        <v>594</v>
      </c>
      <c r="F4104" t="s">
        <v>1785</v>
      </c>
      <c r="G4104" s="9">
        <v>44925</v>
      </c>
    </row>
    <row r="4105" spans="1:7" ht="14.25" customHeight="1">
      <c r="A4105" s="8">
        <f t="shared" si="16"/>
        <v>-9365005</v>
      </c>
      <c r="B4105" s="8">
        <v>9365005</v>
      </c>
      <c r="C4105" s="8"/>
    </row>
    <row r="4106" spans="1:7" ht="14.25" customHeight="1">
      <c r="A4106" s="8">
        <f t="shared" si="16"/>
        <v>0</v>
      </c>
      <c r="B4106" s="8"/>
      <c r="C4106" s="8"/>
      <c r="F4106" t="s">
        <v>1786</v>
      </c>
      <c r="G4106">
        <v>62420000</v>
      </c>
    </row>
    <row r="4107" spans="1:7" ht="14.25" customHeight="1">
      <c r="A4107" s="8">
        <f t="shared" si="16"/>
        <v>775713</v>
      </c>
      <c r="B4107" s="8"/>
      <c r="C4107" s="8">
        <v>775713</v>
      </c>
      <c r="D4107">
        <v>311</v>
      </c>
      <c r="E4107" t="s">
        <v>594</v>
      </c>
      <c r="F4107" t="s">
        <v>1787</v>
      </c>
      <c r="G4107" s="9">
        <v>44925</v>
      </c>
    </row>
    <row r="4108" spans="1:7" ht="14.25" customHeight="1">
      <c r="A4108" s="8">
        <f t="shared" si="16"/>
        <v>775713</v>
      </c>
      <c r="B4108" s="8"/>
      <c r="C4108" s="8">
        <v>775713</v>
      </c>
    </row>
    <row r="4109" spans="1:7" ht="14.25" customHeight="1">
      <c r="A4109" s="8">
        <f t="shared" si="16"/>
        <v>0</v>
      </c>
      <c r="B4109" s="8"/>
      <c r="C4109" s="8"/>
      <c r="F4109" t="s">
        <v>1626</v>
      </c>
      <c r="G4109">
        <v>62430000</v>
      </c>
    </row>
    <row r="4110" spans="1:7" ht="14.25" customHeight="1">
      <c r="A4110" s="8">
        <f t="shared" si="16"/>
        <v>3450</v>
      </c>
      <c r="B4110" s="8"/>
      <c r="C4110" s="8">
        <v>3450</v>
      </c>
      <c r="D4110">
        <v>82</v>
      </c>
      <c r="E4110" t="s">
        <v>667</v>
      </c>
      <c r="F4110" t="s">
        <v>1788</v>
      </c>
      <c r="G4110" s="9">
        <v>44690</v>
      </c>
    </row>
    <row r="4111" spans="1:7" ht="14.25" customHeight="1">
      <c r="A4111" s="8">
        <f t="shared" si="16"/>
        <v>3450</v>
      </c>
      <c r="B4111" s="8"/>
      <c r="C4111" s="8">
        <v>3450</v>
      </c>
      <c r="D4111">
        <v>89</v>
      </c>
      <c r="E4111" t="s">
        <v>667</v>
      </c>
      <c r="F4111" t="s">
        <v>1789</v>
      </c>
      <c r="G4111" s="9">
        <v>44699</v>
      </c>
    </row>
    <row r="4112" spans="1:7" ht="14.25" customHeight="1">
      <c r="A4112" s="8">
        <f t="shared" si="16"/>
        <v>3450</v>
      </c>
      <c r="B4112" s="8"/>
      <c r="C4112" s="8">
        <v>3450</v>
      </c>
      <c r="D4112">
        <v>103</v>
      </c>
      <c r="E4112" t="s">
        <v>667</v>
      </c>
      <c r="F4112" t="s">
        <v>1790</v>
      </c>
      <c r="G4112" s="9">
        <v>44720</v>
      </c>
    </row>
    <row r="4113" spans="1:7" ht="14.25" customHeight="1">
      <c r="A4113" s="8">
        <f t="shared" si="16"/>
        <v>3450</v>
      </c>
      <c r="B4113" s="8"/>
      <c r="C4113" s="8">
        <v>3450</v>
      </c>
      <c r="D4113">
        <v>110</v>
      </c>
      <c r="E4113" t="s">
        <v>667</v>
      </c>
      <c r="F4113" t="s">
        <v>1791</v>
      </c>
      <c r="G4113" s="9">
        <v>44730</v>
      </c>
    </row>
    <row r="4114" spans="1:7" ht="14.25" customHeight="1">
      <c r="A4114" s="8">
        <f t="shared" si="16"/>
        <v>3450</v>
      </c>
      <c r="B4114" s="8"/>
      <c r="C4114" s="8">
        <v>3450</v>
      </c>
      <c r="D4114">
        <v>117</v>
      </c>
      <c r="E4114" t="s">
        <v>667</v>
      </c>
      <c r="F4114" t="s">
        <v>1792</v>
      </c>
      <c r="G4114" s="9">
        <v>44732</v>
      </c>
    </row>
    <row r="4115" spans="1:7" ht="14.25" customHeight="1">
      <c r="A4115" s="8">
        <f t="shared" si="16"/>
        <v>3599</v>
      </c>
      <c r="B4115" s="8"/>
      <c r="C4115" s="8">
        <v>3599</v>
      </c>
      <c r="D4115">
        <v>46</v>
      </c>
      <c r="E4115" t="s">
        <v>594</v>
      </c>
      <c r="F4115" t="s">
        <v>645</v>
      </c>
      <c r="G4115" s="9">
        <v>44754</v>
      </c>
    </row>
    <row r="4116" spans="1:7" ht="14.25" customHeight="1">
      <c r="A4116" s="8">
        <f t="shared" si="16"/>
        <v>3450</v>
      </c>
      <c r="B4116" s="8"/>
      <c r="C4116" s="8">
        <v>3450</v>
      </c>
      <c r="D4116">
        <v>140</v>
      </c>
      <c r="E4116" t="s">
        <v>667</v>
      </c>
      <c r="F4116" t="s">
        <v>1754</v>
      </c>
      <c r="G4116" s="9">
        <v>44767</v>
      </c>
    </row>
    <row r="4117" spans="1:7" ht="14.25" customHeight="1">
      <c r="A4117" s="8">
        <f t="shared" si="16"/>
        <v>4600</v>
      </c>
      <c r="B4117" s="8"/>
      <c r="C4117" s="8">
        <v>4600</v>
      </c>
      <c r="D4117">
        <v>173</v>
      </c>
      <c r="E4117" t="s">
        <v>667</v>
      </c>
      <c r="F4117" t="s">
        <v>1634</v>
      </c>
      <c r="G4117" s="9">
        <v>44790</v>
      </c>
    </row>
    <row r="4118" spans="1:7" ht="14.25" customHeight="1">
      <c r="A4118" s="8">
        <f t="shared" si="16"/>
        <v>5750</v>
      </c>
      <c r="B4118" s="8"/>
      <c r="C4118" s="8">
        <v>5750</v>
      </c>
      <c r="D4118">
        <v>238</v>
      </c>
      <c r="E4118" t="s">
        <v>667</v>
      </c>
      <c r="F4118" t="s">
        <v>1793</v>
      </c>
      <c r="G4118" s="9">
        <v>44855</v>
      </c>
    </row>
    <row r="4119" spans="1:7" ht="14.25" customHeight="1">
      <c r="A4119" s="8">
        <f t="shared" si="16"/>
        <v>3450</v>
      </c>
      <c r="B4119" s="8"/>
      <c r="C4119" s="8">
        <v>3450</v>
      </c>
      <c r="D4119">
        <v>269</v>
      </c>
      <c r="E4119" t="s">
        <v>667</v>
      </c>
      <c r="F4119" t="s">
        <v>1794</v>
      </c>
      <c r="G4119" s="9">
        <v>44907</v>
      </c>
    </row>
    <row r="4120" spans="1:7" ht="14.25" customHeight="1">
      <c r="A4120" s="8">
        <f t="shared" si="16"/>
        <v>3450</v>
      </c>
      <c r="B4120" s="8"/>
      <c r="C4120" s="8">
        <v>3450</v>
      </c>
      <c r="D4120">
        <v>272</v>
      </c>
      <c r="E4120" t="s">
        <v>667</v>
      </c>
      <c r="F4120" t="s">
        <v>1795</v>
      </c>
      <c r="G4120" s="9">
        <v>44916</v>
      </c>
    </row>
    <row r="4121" spans="1:7" ht="14.25" customHeight="1">
      <c r="A4121" s="8">
        <f t="shared" si="16"/>
        <v>100125</v>
      </c>
      <c r="B4121" s="8"/>
      <c r="C4121" s="8">
        <v>100125</v>
      </c>
      <c r="D4121">
        <v>425</v>
      </c>
      <c r="E4121" t="s">
        <v>579</v>
      </c>
      <c r="F4121" t="s">
        <v>1796</v>
      </c>
      <c r="G4121" s="9">
        <v>44922</v>
      </c>
    </row>
    <row r="4122" spans="1:7" ht="14.25" customHeight="1">
      <c r="A4122" s="8">
        <f t="shared" si="16"/>
        <v>3450</v>
      </c>
      <c r="B4122" s="8"/>
      <c r="C4122" s="8">
        <v>3450</v>
      </c>
      <c r="D4122">
        <v>281</v>
      </c>
      <c r="E4122" t="s">
        <v>667</v>
      </c>
      <c r="F4122" t="s">
        <v>1797</v>
      </c>
      <c r="G4122" s="9">
        <v>44924</v>
      </c>
    </row>
    <row r="4123" spans="1:7" ht="14.25" customHeight="1">
      <c r="A4123" s="8">
        <f t="shared" si="16"/>
        <v>145124</v>
      </c>
      <c r="B4123" s="8"/>
      <c r="C4123" s="8">
        <v>145124</v>
      </c>
    </row>
    <row r="4124" spans="1:7" ht="14.25" customHeight="1">
      <c r="A4124" s="8">
        <f t="shared" si="16"/>
        <v>0</v>
      </c>
      <c r="B4124" s="8"/>
      <c r="C4124" s="8"/>
      <c r="F4124" t="s">
        <v>1488</v>
      </c>
      <c r="G4124">
        <v>6463</v>
      </c>
    </row>
    <row r="4125" spans="1:7" ht="14.25" customHeight="1">
      <c r="A4125" s="8">
        <f t="shared" si="16"/>
        <v>27600</v>
      </c>
      <c r="B4125" s="8"/>
      <c r="C4125" s="8">
        <v>27600</v>
      </c>
      <c r="D4125">
        <v>139</v>
      </c>
      <c r="E4125" t="s">
        <v>667</v>
      </c>
      <c r="F4125" t="s">
        <v>1798</v>
      </c>
      <c r="G4125" s="9">
        <v>44749</v>
      </c>
    </row>
    <row r="4126" spans="1:7" ht="14.25" customHeight="1">
      <c r="A4126" s="8">
        <f t="shared" si="16"/>
        <v>13800</v>
      </c>
      <c r="B4126" s="8"/>
      <c r="C4126" s="8">
        <v>13800</v>
      </c>
      <c r="D4126">
        <v>273</v>
      </c>
      <c r="E4126" t="s">
        <v>667</v>
      </c>
      <c r="F4126" t="s">
        <v>1799</v>
      </c>
      <c r="G4126" s="9">
        <v>44916</v>
      </c>
    </row>
    <row r="4127" spans="1:7" ht="14.25" customHeight="1">
      <c r="A4127" s="8">
        <f t="shared" si="16"/>
        <v>41400</v>
      </c>
      <c r="B4127" s="8"/>
      <c r="C4127" s="8">
        <v>41400</v>
      </c>
    </row>
    <row r="4128" spans="1:7" ht="14.25" customHeight="1">
      <c r="A4128" s="8">
        <f t="shared" si="16"/>
        <v>0</v>
      </c>
      <c r="B4128" s="8"/>
      <c r="C4128" s="8"/>
      <c r="F4128" t="s">
        <v>1800</v>
      </c>
      <c r="G4128">
        <v>67220000</v>
      </c>
    </row>
    <row r="4129" spans="1:7" ht="14.25" customHeight="1">
      <c r="A4129" s="8">
        <f t="shared" si="16"/>
        <v>-64935</v>
      </c>
      <c r="B4129" s="8">
        <v>64935</v>
      </c>
      <c r="C4129" s="8"/>
      <c r="D4129">
        <v>312</v>
      </c>
      <c r="E4129" t="s">
        <v>594</v>
      </c>
      <c r="F4129" t="s">
        <v>1801</v>
      </c>
      <c r="G4129" s="9">
        <v>44925</v>
      </c>
    </row>
    <row r="4130" spans="1:7" ht="14.25" customHeight="1">
      <c r="A4130" s="8">
        <f t="shared" si="16"/>
        <v>-64935</v>
      </c>
      <c r="B4130" s="8">
        <v>64935</v>
      </c>
      <c r="C4130" s="8"/>
    </row>
    <row r="4131" spans="1:7" ht="14.25" customHeight="1">
      <c r="A4131" s="8">
        <f t="shared" si="16"/>
        <v>-2162770</v>
      </c>
      <c r="B4131" s="8">
        <v>9429940</v>
      </c>
      <c r="C4131" s="8">
        <v>7267170</v>
      </c>
      <c r="E4131">
        <v>9405408</v>
      </c>
      <c r="F4131" t="s">
        <v>514</v>
      </c>
      <c r="G4131" t="s">
        <v>581</v>
      </c>
    </row>
    <row r="4132" spans="1:7" ht="14.25" customHeight="1">
      <c r="A4132" s="8">
        <f t="shared" si="16"/>
        <v>0</v>
      </c>
      <c r="B4132" s="8"/>
      <c r="C4132" s="8"/>
      <c r="D4132" t="s">
        <v>515</v>
      </c>
      <c r="G4132">
        <v>9406005</v>
      </c>
    </row>
    <row r="4133" spans="1:7" ht="14.25" customHeight="1">
      <c r="A4133" s="8">
        <f t="shared" si="16"/>
        <v>0</v>
      </c>
      <c r="B4133" s="8"/>
      <c r="C4133" s="8"/>
      <c r="F4133" t="s">
        <v>582</v>
      </c>
      <c r="G4133">
        <v>63240000</v>
      </c>
    </row>
    <row r="4134" spans="1:7" ht="14.25" customHeight="1">
      <c r="A4134" s="8">
        <f t="shared" si="16"/>
        <v>142973</v>
      </c>
      <c r="B4134" s="8"/>
      <c r="C4134" s="8">
        <v>142973</v>
      </c>
      <c r="D4134">
        <v>145</v>
      </c>
      <c r="E4134" t="s">
        <v>579</v>
      </c>
      <c r="F4134" t="s">
        <v>1802</v>
      </c>
      <c r="G4134" s="9">
        <v>44706</v>
      </c>
    </row>
    <row r="4135" spans="1:7" ht="14.25" customHeight="1">
      <c r="A4135" s="8">
        <f t="shared" si="16"/>
        <v>31081</v>
      </c>
      <c r="B4135" s="8"/>
      <c r="C4135" s="8">
        <v>31081</v>
      </c>
      <c r="D4135">
        <v>183</v>
      </c>
      <c r="E4135" t="s">
        <v>579</v>
      </c>
      <c r="F4135" t="s">
        <v>1803</v>
      </c>
      <c r="G4135" s="9">
        <v>44732</v>
      </c>
    </row>
    <row r="4136" spans="1:7" ht="14.25" customHeight="1">
      <c r="A4136" s="8">
        <f t="shared" si="16"/>
        <v>24865</v>
      </c>
      <c r="B4136" s="8"/>
      <c r="C4136" s="8">
        <v>24865</v>
      </c>
      <c r="D4136">
        <v>207</v>
      </c>
      <c r="E4136" t="s">
        <v>579</v>
      </c>
      <c r="F4136" t="s">
        <v>1804</v>
      </c>
      <c r="G4136" s="9">
        <v>44742</v>
      </c>
    </row>
    <row r="4137" spans="1:7" ht="14.25" customHeight="1">
      <c r="A4137" s="8">
        <f t="shared" si="16"/>
        <v>198919</v>
      </c>
      <c r="B4137" s="8"/>
      <c r="C4137" s="8">
        <v>198919</v>
      </c>
    </row>
    <row r="4138" spans="1:7" ht="14.25" customHeight="1">
      <c r="A4138" s="8">
        <f t="shared" si="16"/>
        <v>198919</v>
      </c>
      <c r="B4138" s="8"/>
      <c r="C4138" s="8">
        <v>198919</v>
      </c>
      <c r="E4138">
        <v>9406005</v>
      </c>
      <c r="F4138" t="s">
        <v>515</v>
      </c>
      <c r="G4138" t="s">
        <v>581</v>
      </c>
    </row>
    <row r="4139" spans="1:7" ht="14.25" customHeight="1">
      <c r="A4139" s="8">
        <f t="shared" si="16"/>
        <v>18074259</v>
      </c>
      <c r="B4139" s="8">
        <v>9429940</v>
      </c>
      <c r="C4139" s="8">
        <v>27504199</v>
      </c>
      <c r="E4139">
        <v>94</v>
      </c>
      <c r="F4139" t="s">
        <v>516</v>
      </c>
      <c r="G4139" t="s">
        <v>581</v>
      </c>
    </row>
    <row r="4140" spans="1:7" ht="14.25" customHeight="1">
      <c r="A4140" s="8">
        <f t="shared" si="16"/>
        <v>0</v>
      </c>
      <c r="B4140" s="8"/>
      <c r="C4140" s="8"/>
      <c r="D4140" t="s">
        <v>517</v>
      </c>
      <c r="G4140">
        <v>9502010</v>
      </c>
    </row>
    <row r="4141" spans="1:7" ht="14.25" customHeight="1">
      <c r="A4141" s="8">
        <f t="shared" si="16"/>
        <v>0</v>
      </c>
      <c r="B4141" s="8"/>
      <c r="C4141" s="8"/>
      <c r="F4141" t="s">
        <v>1282</v>
      </c>
      <c r="G4141">
        <v>64130000</v>
      </c>
    </row>
    <row r="4142" spans="1:7" ht="14.25" customHeight="1">
      <c r="A4142" s="8">
        <f t="shared" si="16"/>
        <v>2070</v>
      </c>
      <c r="B4142" s="8"/>
      <c r="C4142" s="8">
        <v>2070</v>
      </c>
      <c r="D4142">
        <v>4</v>
      </c>
      <c r="E4142" t="s">
        <v>594</v>
      </c>
      <c r="F4142" t="s">
        <v>1283</v>
      </c>
      <c r="G4142" s="9">
        <v>44592</v>
      </c>
    </row>
    <row r="4143" spans="1:7" ht="14.25" customHeight="1">
      <c r="A4143" s="8">
        <f t="shared" si="16"/>
        <v>8450</v>
      </c>
      <c r="B4143" s="8"/>
      <c r="C4143" s="8">
        <v>8450</v>
      </c>
      <c r="D4143">
        <v>9</v>
      </c>
      <c r="E4143" t="s">
        <v>594</v>
      </c>
      <c r="F4143" t="s">
        <v>1284</v>
      </c>
      <c r="G4143" s="9">
        <v>44620</v>
      </c>
    </row>
    <row r="4144" spans="1:7" ht="14.25" customHeight="1">
      <c r="A4144" s="8">
        <f t="shared" si="16"/>
        <v>9067</v>
      </c>
      <c r="B4144" s="8"/>
      <c r="C4144" s="8">
        <v>9067</v>
      </c>
      <c r="D4144">
        <v>14</v>
      </c>
      <c r="E4144" t="s">
        <v>594</v>
      </c>
      <c r="F4144" t="s">
        <v>1285</v>
      </c>
      <c r="G4144" s="9">
        <v>44651</v>
      </c>
    </row>
    <row r="4145" spans="1:7" ht="14.25" customHeight="1">
      <c r="A4145" s="8">
        <f t="shared" si="16"/>
        <v>9067</v>
      </c>
      <c r="B4145" s="8"/>
      <c r="C4145" s="8">
        <v>9067</v>
      </c>
      <c r="D4145">
        <v>19</v>
      </c>
      <c r="E4145" t="s">
        <v>594</v>
      </c>
      <c r="F4145" t="s">
        <v>1286</v>
      </c>
      <c r="G4145" s="9">
        <v>44681</v>
      </c>
    </row>
    <row r="4146" spans="1:7" ht="14.25" customHeight="1">
      <c r="A4146" s="8">
        <f t="shared" si="16"/>
        <v>17426</v>
      </c>
      <c r="B4146" s="8"/>
      <c r="C4146" s="8">
        <v>17426</v>
      </c>
      <c r="D4146">
        <v>24</v>
      </c>
      <c r="E4146" t="s">
        <v>594</v>
      </c>
      <c r="F4146" t="s">
        <v>1287</v>
      </c>
      <c r="G4146" s="9">
        <v>44712</v>
      </c>
    </row>
    <row r="4147" spans="1:7" ht="14.25" customHeight="1">
      <c r="A4147" s="8">
        <f t="shared" si="16"/>
        <v>17554</v>
      </c>
      <c r="B4147" s="8"/>
      <c r="C4147" s="8">
        <v>17554</v>
      </c>
      <c r="D4147">
        <v>32</v>
      </c>
      <c r="E4147" t="s">
        <v>594</v>
      </c>
      <c r="F4147" t="s">
        <v>1288</v>
      </c>
      <c r="G4147" s="9">
        <v>44742</v>
      </c>
    </row>
    <row r="4148" spans="1:7" ht="14.25" customHeight="1">
      <c r="A4148" s="8">
        <f t="shared" si="16"/>
        <v>8887</v>
      </c>
      <c r="B4148" s="8"/>
      <c r="C4148" s="8">
        <v>8887</v>
      </c>
      <c r="D4148">
        <v>65</v>
      </c>
      <c r="E4148" t="s">
        <v>594</v>
      </c>
      <c r="F4148" t="s">
        <v>1325</v>
      </c>
      <c r="G4148" s="9">
        <v>44772</v>
      </c>
    </row>
    <row r="4149" spans="1:7" ht="14.25" customHeight="1">
      <c r="A4149" s="8">
        <f t="shared" si="16"/>
        <v>8535</v>
      </c>
      <c r="B4149" s="8"/>
      <c r="C4149" s="8">
        <v>8535</v>
      </c>
      <c r="D4149">
        <v>75</v>
      </c>
      <c r="E4149" t="s">
        <v>594</v>
      </c>
      <c r="F4149" t="s">
        <v>1326</v>
      </c>
      <c r="G4149" s="9">
        <v>44804</v>
      </c>
    </row>
    <row r="4150" spans="1:7" ht="14.25" customHeight="1">
      <c r="A4150" s="8">
        <f t="shared" si="16"/>
        <v>10606</v>
      </c>
      <c r="B4150" s="8"/>
      <c r="C4150" s="8">
        <v>10606</v>
      </c>
      <c r="D4150">
        <v>130</v>
      </c>
      <c r="E4150" t="s">
        <v>594</v>
      </c>
      <c r="F4150" t="s">
        <v>1294</v>
      </c>
      <c r="G4150" s="9">
        <v>44834</v>
      </c>
    </row>
    <row r="4151" spans="1:7" ht="14.25" customHeight="1">
      <c r="A4151" s="8">
        <f t="shared" si="16"/>
        <v>11232</v>
      </c>
      <c r="B4151" s="8"/>
      <c r="C4151" s="8">
        <v>11232</v>
      </c>
      <c r="D4151">
        <v>138</v>
      </c>
      <c r="E4151" t="s">
        <v>594</v>
      </c>
      <c r="F4151" t="s">
        <v>1289</v>
      </c>
      <c r="G4151" s="9">
        <v>44865</v>
      </c>
    </row>
    <row r="4152" spans="1:7" ht="14.25" customHeight="1">
      <c r="A4152" s="8">
        <f t="shared" si="16"/>
        <v>10259</v>
      </c>
      <c r="B4152" s="8"/>
      <c r="C4152" s="8">
        <v>10259</v>
      </c>
      <c r="D4152">
        <v>176</v>
      </c>
      <c r="E4152" t="s">
        <v>594</v>
      </c>
      <c r="F4152" t="s">
        <v>1290</v>
      </c>
      <c r="G4152" s="9">
        <v>44895</v>
      </c>
    </row>
    <row r="4153" spans="1:7" ht="14.25" customHeight="1">
      <c r="A4153" s="8">
        <f t="shared" si="16"/>
        <v>12825</v>
      </c>
      <c r="B4153" s="8"/>
      <c r="C4153" s="8">
        <v>12825</v>
      </c>
      <c r="D4153">
        <v>194</v>
      </c>
      <c r="E4153" t="s">
        <v>594</v>
      </c>
      <c r="F4153" t="s">
        <v>1291</v>
      </c>
      <c r="G4153" s="9">
        <v>44925</v>
      </c>
    </row>
    <row r="4154" spans="1:7" ht="14.25" customHeight="1">
      <c r="A4154" s="8">
        <f t="shared" si="16"/>
        <v>125978</v>
      </c>
      <c r="B4154" s="8"/>
      <c r="C4154" s="8">
        <v>125978</v>
      </c>
    </row>
    <row r="4155" spans="1:7" ht="14.25" customHeight="1">
      <c r="A4155" s="8">
        <f t="shared" si="16"/>
        <v>0</v>
      </c>
      <c r="B4155" s="8"/>
      <c r="C4155" s="8"/>
      <c r="F4155" t="s">
        <v>1292</v>
      </c>
      <c r="G4155">
        <v>64140000</v>
      </c>
    </row>
    <row r="4156" spans="1:7" ht="14.25" customHeight="1">
      <c r="A4156" s="8">
        <f t="shared" si="16"/>
        <v>690</v>
      </c>
      <c r="B4156" s="8"/>
      <c r="C4156" s="8">
        <v>690</v>
      </c>
      <c r="D4156">
        <v>4</v>
      </c>
      <c r="E4156" t="s">
        <v>594</v>
      </c>
      <c r="F4156" t="s">
        <v>1283</v>
      </c>
      <c r="G4156" s="9">
        <v>44592</v>
      </c>
    </row>
    <row r="4157" spans="1:7" ht="14.25" customHeight="1">
      <c r="A4157" s="8">
        <f t="shared" si="16"/>
        <v>2816</v>
      </c>
      <c r="B4157" s="8"/>
      <c r="C4157" s="8">
        <v>2816</v>
      </c>
      <c r="D4157">
        <v>9</v>
      </c>
      <c r="E4157" t="s">
        <v>594</v>
      </c>
      <c r="F4157" t="s">
        <v>1284</v>
      </c>
      <c r="G4157" s="9">
        <v>44620</v>
      </c>
    </row>
    <row r="4158" spans="1:7" ht="14.25" customHeight="1">
      <c r="A4158" s="8">
        <f t="shared" si="16"/>
        <v>3022</v>
      </c>
      <c r="B4158" s="8"/>
      <c r="C4158" s="8">
        <v>3022</v>
      </c>
      <c r="D4158">
        <v>14</v>
      </c>
      <c r="E4158" t="s">
        <v>594</v>
      </c>
      <c r="F4158" t="s">
        <v>1285</v>
      </c>
      <c r="G4158" s="9">
        <v>44651</v>
      </c>
    </row>
    <row r="4159" spans="1:7" ht="14.25" customHeight="1">
      <c r="A4159" s="8">
        <f t="shared" si="16"/>
        <v>3022</v>
      </c>
      <c r="B4159" s="8"/>
      <c r="C4159" s="8">
        <v>3022</v>
      </c>
      <c r="D4159">
        <v>19</v>
      </c>
      <c r="E4159" t="s">
        <v>594</v>
      </c>
      <c r="F4159" t="s">
        <v>1286</v>
      </c>
      <c r="G4159" s="9">
        <v>44681</v>
      </c>
    </row>
    <row r="4160" spans="1:7" ht="14.25" customHeight="1">
      <c r="A4160" s="8">
        <f t="shared" si="16"/>
        <v>5809</v>
      </c>
      <c r="B4160" s="8"/>
      <c r="C4160" s="8">
        <v>5809</v>
      </c>
      <c r="D4160">
        <v>24</v>
      </c>
      <c r="E4160" t="s">
        <v>594</v>
      </c>
      <c r="F4160" t="s">
        <v>1287</v>
      </c>
      <c r="G4160" s="9">
        <v>44712</v>
      </c>
    </row>
    <row r="4161" spans="1:7" ht="14.25" customHeight="1">
      <c r="A4161" s="8">
        <f t="shared" si="16"/>
        <v>5851</v>
      </c>
      <c r="B4161" s="8"/>
      <c r="C4161" s="8">
        <v>5851</v>
      </c>
      <c r="D4161">
        <v>32</v>
      </c>
      <c r="E4161" t="s">
        <v>594</v>
      </c>
      <c r="F4161" t="s">
        <v>1288</v>
      </c>
      <c r="G4161" s="9">
        <v>44742</v>
      </c>
    </row>
    <row r="4162" spans="1:7" ht="14.25" customHeight="1">
      <c r="A4162" s="8">
        <f t="shared" si="16"/>
        <v>2962</v>
      </c>
      <c r="B4162" s="8"/>
      <c r="C4162" s="8">
        <v>2962</v>
      </c>
      <c r="D4162">
        <v>65</v>
      </c>
      <c r="E4162" t="s">
        <v>594</v>
      </c>
      <c r="F4162" t="s">
        <v>1325</v>
      </c>
      <c r="G4162" s="9">
        <v>44772</v>
      </c>
    </row>
    <row r="4163" spans="1:7" ht="14.25" customHeight="1">
      <c r="A4163" s="8">
        <f t="shared" si="16"/>
        <v>2845</v>
      </c>
      <c r="B4163" s="8"/>
      <c r="C4163" s="8">
        <v>2845</v>
      </c>
      <c r="D4163">
        <v>75</v>
      </c>
      <c r="E4163" t="s">
        <v>594</v>
      </c>
      <c r="F4163" t="s">
        <v>1326</v>
      </c>
      <c r="G4163" s="9">
        <v>44804</v>
      </c>
    </row>
    <row r="4164" spans="1:7" ht="14.25" customHeight="1">
      <c r="A4164" s="8">
        <f t="shared" si="16"/>
        <v>3535</v>
      </c>
      <c r="B4164" s="8"/>
      <c r="C4164" s="8">
        <v>3535</v>
      </c>
      <c r="D4164">
        <v>130</v>
      </c>
      <c r="E4164" t="s">
        <v>594</v>
      </c>
      <c r="F4164" t="s">
        <v>1294</v>
      </c>
      <c r="G4164" s="9">
        <v>44834</v>
      </c>
    </row>
    <row r="4165" spans="1:7" ht="14.25" customHeight="1">
      <c r="A4165" s="8">
        <f t="shared" si="16"/>
        <v>3744</v>
      </c>
      <c r="B4165" s="8"/>
      <c r="C4165" s="8">
        <v>3744</v>
      </c>
      <c r="D4165">
        <v>138</v>
      </c>
      <c r="E4165" t="s">
        <v>594</v>
      </c>
      <c r="F4165" t="s">
        <v>1289</v>
      </c>
      <c r="G4165" s="9">
        <v>44865</v>
      </c>
    </row>
    <row r="4166" spans="1:7" ht="14.25" customHeight="1">
      <c r="A4166" s="8">
        <f t="shared" si="16"/>
        <v>3420</v>
      </c>
      <c r="B4166" s="8"/>
      <c r="C4166" s="8">
        <v>3420</v>
      </c>
      <c r="D4166">
        <v>176</v>
      </c>
      <c r="E4166" t="s">
        <v>594</v>
      </c>
      <c r="F4166" t="s">
        <v>1290</v>
      </c>
      <c r="G4166" s="9">
        <v>44895</v>
      </c>
    </row>
    <row r="4167" spans="1:7" ht="14.25" customHeight="1">
      <c r="A4167" s="8">
        <f t="shared" si="16"/>
        <v>4275</v>
      </c>
      <c r="B4167" s="8"/>
      <c r="C4167" s="8">
        <v>4275</v>
      </c>
      <c r="D4167">
        <v>194</v>
      </c>
      <c r="E4167" t="s">
        <v>594</v>
      </c>
      <c r="F4167" t="s">
        <v>1291</v>
      </c>
      <c r="G4167" s="9">
        <v>44925</v>
      </c>
    </row>
    <row r="4168" spans="1:7" ht="14.25" customHeight="1">
      <c r="A4168" s="8">
        <f t="shared" si="16"/>
        <v>41992</v>
      </c>
      <c r="B4168" s="8"/>
      <c r="C4168" s="8">
        <v>41992</v>
      </c>
    </row>
    <row r="4169" spans="1:7" ht="14.25" customHeight="1">
      <c r="A4169" s="8">
        <f t="shared" si="16"/>
        <v>0</v>
      </c>
      <c r="B4169" s="8"/>
      <c r="C4169" s="8"/>
      <c r="F4169" t="s">
        <v>1293</v>
      </c>
      <c r="G4169">
        <v>64150000</v>
      </c>
    </row>
    <row r="4170" spans="1:7" ht="14.25" customHeight="1">
      <c r="A4170" s="8">
        <f t="shared" si="16"/>
        <v>1035</v>
      </c>
      <c r="B4170" s="8"/>
      <c r="C4170" s="8">
        <v>1035</v>
      </c>
      <c r="D4170">
        <v>4</v>
      </c>
      <c r="E4170" t="s">
        <v>594</v>
      </c>
      <c r="F4170" t="s">
        <v>1283</v>
      </c>
      <c r="G4170" s="9">
        <v>44592</v>
      </c>
    </row>
    <row r="4171" spans="1:7" ht="14.25" customHeight="1">
      <c r="A4171" s="8">
        <f t="shared" si="16"/>
        <v>4225</v>
      </c>
      <c r="B4171" s="8"/>
      <c r="C4171" s="8">
        <v>4225</v>
      </c>
      <c r="D4171">
        <v>9</v>
      </c>
      <c r="E4171" t="s">
        <v>594</v>
      </c>
      <c r="F4171" t="s">
        <v>1284</v>
      </c>
      <c r="G4171" s="9">
        <v>44620</v>
      </c>
    </row>
    <row r="4172" spans="1:7" ht="14.25" customHeight="1">
      <c r="A4172" s="8">
        <f t="shared" si="16"/>
        <v>4533</v>
      </c>
      <c r="B4172" s="8"/>
      <c r="C4172" s="8">
        <v>4533</v>
      </c>
      <c r="D4172">
        <v>14</v>
      </c>
      <c r="E4172" t="s">
        <v>594</v>
      </c>
      <c r="F4172" t="s">
        <v>1285</v>
      </c>
      <c r="G4172" s="9">
        <v>44651</v>
      </c>
    </row>
    <row r="4173" spans="1:7" ht="14.25" customHeight="1">
      <c r="A4173" s="8">
        <f t="shared" si="16"/>
        <v>4533</v>
      </c>
      <c r="B4173" s="8"/>
      <c r="C4173" s="8">
        <v>4533</v>
      </c>
      <c r="D4173">
        <v>19</v>
      </c>
      <c r="E4173" t="s">
        <v>594</v>
      </c>
      <c r="F4173" t="s">
        <v>1286</v>
      </c>
      <c r="G4173" s="9">
        <v>44681</v>
      </c>
    </row>
    <row r="4174" spans="1:7" ht="14.25" customHeight="1">
      <c r="A4174" s="8">
        <f t="shared" si="16"/>
        <v>8712</v>
      </c>
      <c r="B4174" s="8"/>
      <c r="C4174" s="8">
        <v>8712</v>
      </c>
      <c r="D4174">
        <v>24</v>
      </c>
      <c r="E4174" t="s">
        <v>594</v>
      </c>
      <c r="F4174" t="s">
        <v>1287</v>
      </c>
      <c r="G4174" s="9">
        <v>44712</v>
      </c>
    </row>
    <row r="4175" spans="1:7" ht="14.25" customHeight="1">
      <c r="A4175" s="8">
        <f t="shared" si="16"/>
        <v>5499</v>
      </c>
      <c r="B4175" s="8"/>
      <c r="C4175" s="8">
        <v>5499</v>
      </c>
      <c r="D4175">
        <v>24</v>
      </c>
      <c r="E4175" t="s">
        <v>594</v>
      </c>
      <c r="F4175" t="s">
        <v>1287</v>
      </c>
      <c r="G4175" s="9">
        <v>44712</v>
      </c>
    </row>
    <row r="4176" spans="1:7" ht="14.25" customHeight="1">
      <c r="A4176" s="8">
        <f t="shared" si="16"/>
        <v>8777</v>
      </c>
      <c r="B4176" s="8"/>
      <c r="C4176" s="8">
        <v>8777</v>
      </c>
      <c r="D4176">
        <v>32</v>
      </c>
      <c r="E4176" t="s">
        <v>594</v>
      </c>
      <c r="F4176" t="s">
        <v>1288</v>
      </c>
      <c r="G4176" s="9">
        <v>44742</v>
      </c>
    </row>
    <row r="4177" spans="1:7" ht="14.25" customHeight="1">
      <c r="A4177" s="8">
        <f t="shared" si="16"/>
        <v>4444</v>
      </c>
      <c r="B4177" s="8"/>
      <c r="C4177" s="8">
        <v>4444</v>
      </c>
      <c r="D4177">
        <v>65</v>
      </c>
      <c r="E4177" t="s">
        <v>594</v>
      </c>
      <c r="F4177" t="s">
        <v>1325</v>
      </c>
      <c r="G4177" s="9">
        <v>44772</v>
      </c>
    </row>
    <row r="4178" spans="1:7" ht="14.25" customHeight="1">
      <c r="A4178" s="8">
        <f t="shared" si="16"/>
        <v>4268</v>
      </c>
      <c r="B4178" s="8"/>
      <c r="C4178" s="8">
        <v>4268</v>
      </c>
      <c r="D4178">
        <v>75</v>
      </c>
      <c r="E4178" t="s">
        <v>594</v>
      </c>
      <c r="F4178" t="s">
        <v>1326</v>
      </c>
      <c r="G4178" s="9">
        <v>44804</v>
      </c>
    </row>
    <row r="4179" spans="1:7" ht="14.25" customHeight="1">
      <c r="A4179" s="8">
        <f t="shared" si="16"/>
        <v>5304</v>
      </c>
      <c r="B4179" s="8"/>
      <c r="C4179" s="8">
        <v>5304</v>
      </c>
      <c r="D4179">
        <v>130</v>
      </c>
      <c r="E4179" t="s">
        <v>594</v>
      </c>
      <c r="F4179" t="s">
        <v>1294</v>
      </c>
      <c r="G4179" s="9">
        <v>44834</v>
      </c>
    </row>
    <row r="4180" spans="1:7" ht="14.25" customHeight="1">
      <c r="A4180" s="8">
        <f t="shared" si="16"/>
        <v>5615</v>
      </c>
      <c r="B4180" s="8"/>
      <c r="C4180" s="8">
        <v>5615</v>
      </c>
      <c r="D4180">
        <v>138</v>
      </c>
      <c r="E4180" t="s">
        <v>594</v>
      </c>
      <c r="F4180" t="s">
        <v>1289</v>
      </c>
      <c r="G4180" s="9">
        <v>44865</v>
      </c>
    </row>
    <row r="4181" spans="1:7" ht="14.25" customHeight="1">
      <c r="A4181" s="8">
        <f t="shared" si="16"/>
        <v>5130</v>
      </c>
      <c r="B4181" s="8"/>
      <c r="C4181" s="8">
        <v>5130</v>
      </c>
      <c r="D4181">
        <v>176</v>
      </c>
      <c r="E4181" t="s">
        <v>594</v>
      </c>
      <c r="F4181" t="s">
        <v>1290</v>
      </c>
      <c r="G4181" s="9">
        <v>44895</v>
      </c>
    </row>
    <row r="4182" spans="1:7" ht="14.25" customHeight="1">
      <c r="A4182" s="8">
        <f t="shared" si="16"/>
        <v>6412</v>
      </c>
      <c r="B4182" s="8"/>
      <c r="C4182" s="8">
        <v>6412</v>
      </c>
      <c r="D4182">
        <v>194</v>
      </c>
      <c r="E4182" t="s">
        <v>594</v>
      </c>
      <c r="F4182" t="s">
        <v>1291</v>
      </c>
      <c r="G4182" s="9">
        <v>44925</v>
      </c>
    </row>
    <row r="4183" spans="1:7" ht="14.25" customHeight="1">
      <c r="A4183" s="8">
        <f t="shared" si="16"/>
        <v>68488</v>
      </c>
      <c r="B4183" s="8"/>
      <c r="C4183" s="8">
        <v>68488</v>
      </c>
    </row>
    <row r="4184" spans="1:7" ht="14.25" customHeight="1">
      <c r="A4184" s="8">
        <f t="shared" si="16"/>
        <v>0</v>
      </c>
      <c r="B4184" s="8"/>
      <c r="C4184" s="8"/>
      <c r="F4184" t="s">
        <v>1295</v>
      </c>
      <c r="G4184">
        <v>66110000</v>
      </c>
    </row>
    <row r="4185" spans="1:7" ht="14.25" customHeight="1">
      <c r="A4185" s="8">
        <f t="shared" si="16"/>
        <v>172500</v>
      </c>
      <c r="B4185" s="8"/>
      <c r="C4185" s="8">
        <v>172500</v>
      </c>
      <c r="D4185">
        <v>1</v>
      </c>
      <c r="E4185" t="s">
        <v>594</v>
      </c>
      <c r="F4185" t="s">
        <v>1296</v>
      </c>
      <c r="G4185" s="9">
        <v>44592</v>
      </c>
    </row>
    <row r="4186" spans="1:7" ht="14.25" customHeight="1">
      <c r="A4186" s="8">
        <f t="shared" si="16"/>
        <v>704229</v>
      </c>
      <c r="B4186" s="8"/>
      <c r="C4186" s="8">
        <v>704229</v>
      </c>
      <c r="D4186">
        <v>6</v>
      </c>
      <c r="E4186" t="s">
        <v>594</v>
      </c>
      <c r="F4186" t="s">
        <v>1297</v>
      </c>
      <c r="G4186" s="9">
        <v>44620</v>
      </c>
    </row>
    <row r="4187" spans="1:7" ht="14.25" customHeight="1">
      <c r="A4187" s="8">
        <f t="shared" si="16"/>
        <v>755558</v>
      </c>
      <c r="B4187" s="8"/>
      <c r="C4187" s="8">
        <v>755558</v>
      </c>
      <c r="D4187">
        <v>11</v>
      </c>
      <c r="E4187" t="s">
        <v>594</v>
      </c>
      <c r="F4187" t="s">
        <v>1298</v>
      </c>
      <c r="G4187" s="9">
        <v>44651</v>
      </c>
    </row>
    <row r="4188" spans="1:7" ht="14.25" customHeight="1">
      <c r="A4188" s="8">
        <f t="shared" si="16"/>
        <v>755558</v>
      </c>
      <c r="B4188" s="8"/>
      <c r="C4188" s="8">
        <v>755558</v>
      </c>
      <c r="D4188">
        <v>16</v>
      </c>
      <c r="E4188" t="s">
        <v>594</v>
      </c>
      <c r="F4188" t="s">
        <v>1299</v>
      </c>
      <c r="G4188" s="9">
        <v>44681</v>
      </c>
    </row>
    <row r="4189" spans="1:7" ht="14.25" customHeight="1">
      <c r="A4189" s="8">
        <f t="shared" si="16"/>
        <v>755558</v>
      </c>
      <c r="B4189" s="8"/>
      <c r="C4189" s="8">
        <v>755558</v>
      </c>
      <c r="D4189">
        <v>21</v>
      </c>
      <c r="E4189" t="s">
        <v>594</v>
      </c>
      <c r="F4189" t="s">
        <v>1300</v>
      </c>
      <c r="G4189" s="9">
        <v>44712</v>
      </c>
    </row>
    <row r="4190" spans="1:7" ht="14.25" customHeight="1">
      <c r="A4190" s="8">
        <f t="shared" si="16"/>
        <v>1462759</v>
      </c>
      <c r="B4190" s="8"/>
      <c r="C4190" s="8">
        <v>1462759</v>
      </c>
      <c r="D4190">
        <v>29</v>
      </c>
      <c r="E4190" t="s">
        <v>594</v>
      </c>
      <c r="F4190" t="s">
        <v>1301</v>
      </c>
      <c r="G4190" s="9">
        <v>44742</v>
      </c>
    </row>
    <row r="4191" spans="1:7" ht="14.25" customHeight="1">
      <c r="A4191" s="8">
        <f t="shared" si="16"/>
        <v>740637</v>
      </c>
      <c r="B4191" s="8"/>
      <c r="C4191" s="8">
        <v>740637</v>
      </c>
      <c r="D4191">
        <v>62</v>
      </c>
      <c r="E4191" t="s">
        <v>594</v>
      </c>
      <c r="F4191" t="s">
        <v>1327</v>
      </c>
      <c r="G4191" s="9">
        <v>44772</v>
      </c>
    </row>
    <row r="4192" spans="1:7" ht="14.25" customHeight="1">
      <c r="A4192" s="8">
        <f t="shared" si="16"/>
        <v>711247</v>
      </c>
      <c r="B4192" s="8"/>
      <c r="C4192" s="8">
        <v>711247</v>
      </c>
      <c r="D4192">
        <v>72</v>
      </c>
      <c r="E4192" t="s">
        <v>594</v>
      </c>
      <c r="F4192" t="s">
        <v>1328</v>
      </c>
      <c r="G4192" s="9">
        <v>44804</v>
      </c>
    </row>
    <row r="4193" spans="1:7" ht="14.25" customHeight="1">
      <c r="A4193" s="8">
        <f t="shared" si="16"/>
        <v>883907</v>
      </c>
      <c r="B4193" s="8"/>
      <c r="C4193" s="8">
        <v>883907</v>
      </c>
      <c r="D4193">
        <v>127</v>
      </c>
      <c r="E4193" t="s">
        <v>594</v>
      </c>
      <c r="F4193" t="s">
        <v>1329</v>
      </c>
      <c r="G4193" s="9">
        <v>44834</v>
      </c>
    </row>
    <row r="4194" spans="1:7" ht="14.25" customHeight="1">
      <c r="A4194" s="8">
        <f t="shared" si="16"/>
        <v>935994</v>
      </c>
      <c r="B4194" s="8"/>
      <c r="C4194" s="8">
        <v>935994</v>
      </c>
      <c r="D4194">
        <v>135</v>
      </c>
      <c r="E4194" t="s">
        <v>594</v>
      </c>
      <c r="F4194" t="s">
        <v>1302</v>
      </c>
      <c r="G4194" s="9">
        <v>44865</v>
      </c>
    </row>
    <row r="4195" spans="1:7" ht="14.25" customHeight="1">
      <c r="A4195" s="8">
        <f t="shared" si="16"/>
        <v>854971</v>
      </c>
      <c r="B4195" s="8"/>
      <c r="C4195" s="8">
        <v>854971</v>
      </c>
      <c r="D4195">
        <v>173</v>
      </c>
      <c r="E4195" t="s">
        <v>594</v>
      </c>
      <c r="F4195" t="s">
        <v>1303</v>
      </c>
      <c r="G4195" s="9">
        <v>44895</v>
      </c>
    </row>
    <row r="4196" spans="1:7" ht="14.25" customHeight="1">
      <c r="A4196" s="8">
        <f t="shared" si="16"/>
        <v>1173506</v>
      </c>
      <c r="B4196" s="8"/>
      <c r="C4196" s="8">
        <v>1173506</v>
      </c>
      <c r="D4196">
        <v>191</v>
      </c>
      <c r="E4196" t="s">
        <v>594</v>
      </c>
      <c r="F4196" t="s">
        <v>1304</v>
      </c>
      <c r="G4196" s="9">
        <v>44925</v>
      </c>
    </row>
    <row r="4197" spans="1:7" ht="14.25" customHeight="1">
      <c r="A4197" s="8">
        <f t="shared" si="16"/>
        <v>9906424</v>
      </c>
      <c r="B4197" s="8"/>
      <c r="C4197" s="8">
        <v>9906424</v>
      </c>
    </row>
    <row r="4198" spans="1:7" ht="14.25" customHeight="1">
      <c r="A4198" s="8">
        <f t="shared" si="16"/>
        <v>0</v>
      </c>
      <c r="B4198" s="8"/>
      <c r="C4198" s="8"/>
      <c r="F4198" t="s">
        <v>1330</v>
      </c>
      <c r="G4198">
        <v>66320000</v>
      </c>
    </row>
    <row r="4199" spans="1:7" ht="14.25" customHeight="1">
      <c r="A4199" s="8">
        <f t="shared" si="16"/>
        <v>17250</v>
      </c>
      <c r="B4199" s="8"/>
      <c r="C4199" s="8">
        <v>17250</v>
      </c>
      <c r="D4199">
        <v>7</v>
      </c>
      <c r="E4199" t="s">
        <v>594</v>
      </c>
      <c r="F4199" t="s">
        <v>1332</v>
      </c>
      <c r="G4199" s="9">
        <v>44620</v>
      </c>
    </row>
    <row r="4200" spans="1:7" ht="14.25" customHeight="1">
      <c r="A4200" s="8">
        <f t="shared" si="16"/>
        <v>17250</v>
      </c>
      <c r="B4200" s="8"/>
      <c r="C4200" s="8">
        <v>17250</v>
      </c>
      <c r="D4200">
        <v>12</v>
      </c>
      <c r="E4200" t="s">
        <v>594</v>
      </c>
      <c r="F4200" t="s">
        <v>1333</v>
      </c>
      <c r="G4200" s="9">
        <v>44651</v>
      </c>
    </row>
    <row r="4201" spans="1:7" ht="14.25" customHeight="1">
      <c r="A4201" s="8">
        <f t="shared" si="16"/>
        <v>17250</v>
      </c>
      <c r="B4201" s="8"/>
      <c r="C4201" s="8">
        <v>17250</v>
      </c>
      <c r="D4201">
        <v>17</v>
      </c>
      <c r="E4201" t="s">
        <v>594</v>
      </c>
      <c r="F4201" t="s">
        <v>1334</v>
      </c>
      <c r="G4201" s="9">
        <v>44681</v>
      </c>
    </row>
    <row r="4202" spans="1:7" ht="14.25" customHeight="1">
      <c r="A4202" s="8">
        <f t="shared" si="16"/>
        <v>17250</v>
      </c>
      <c r="B4202" s="8"/>
      <c r="C4202" s="8">
        <v>17250</v>
      </c>
      <c r="D4202">
        <v>22</v>
      </c>
      <c r="E4202" t="s">
        <v>594</v>
      </c>
      <c r="F4202" t="s">
        <v>1335</v>
      </c>
      <c r="G4202" s="9">
        <v>44712</v>
      </c>
    </row>
    <row r="4203" spans="1:7" ht="14.25" customHeight="1">
      <c r="A4203" s="8">
        <f t="shared" si="16"/>
        <v>17250</v>
      </c>
      <c r="B4203" s="8"/>
      <c r="C4203" s="8">
        <v>17250</v>
      </c>
      <c r="D4203">
        <v>30</v>
      </c>
      <c r="E4203" t="s">
        <v>594</v>
      </c>
      <c r="F4203" t="s">
        <v>1336</v>
      </c>
      <c r="G4203" s="9">
        <v>44742</v>
      </c>
    </row>
    <row r="4204" spans="1:7" ht="14.25" customHeight="1">
      <c r="A4204" s="8">
        <f t="shared" si="16"/>
        <v>17250</v>
      </c>
      <c r="B4204" s="8"/>
      <c r="C4204" s="8">
        <v>17250</v>
      </c>
      <c r="D4204">
        <v>63</v>
      </c>
      <c r="E4204" t="s">
        <v>594</v>
      </c>
      <c r="F4204" t="s">
        <v>1337</v>
      </c>
      <c r="G4204" s="9">
        <v>44772</v>
      </c>
    </row>
    <row r="4205" spans="1:7" ht="14.25" customHeight="1">
      <c r="A4205" s="8">
        <f t="shared" si="16"/>
        <v>15812</v>
      </c>
      <c r="B4205" s="8"/>
      <c r="C4205" s="8">
        <v>15812</v>
      </c>
      <c r="D4205">
        <v>73</v>
      </c>
      <c r="E4205" t="s">
        <v>594</v>
      </c>
      <c r="F4205" t="s">
        <v>1338</v>
      </c>
      <c r="G4205" s="9">
        <v>44804</v>
      </c>
    </row>
    <row r="4206" spans="1:7" ht="14.25" customHeight="1">
      <c r="A4206" s="8">
        <f t="shared" si="16"/>
        <v>32200</v>
      </c>
      <c r="B4206" s="8"/>
      <c r="C4206" s="8">
        <v>32200</v>
      </c>
      <c r="D4206">
        <v>128</v>
      </c>
      <c r="E4206" t="s">
        <v>594</v>
      </c>
      <c r="F4206" t="s">
        <v>1339</v>
      </c>
      <c r="G4206" s="9">
        <v>44834</v>
      </c>
    </row>
    <row r="4207" spans="1:7" ht="14.25" customHeight="1">
      <c r="A4207" s="8">
        <f t="shared" si="16"/>
        <v>33638</v>
      </c>
      <c r="B4207" s="8"/>
      <c r="C4207" s="8">
        <v>33638</v>
      </c>
      <c r="D4207">
        <v>136</v>
      </c>
      <c r="E4207" t="s">
        <v>594</v>
      </c>
      <c r="F4207" t="s">
        <v>1340</v>
      </c>
      <c r="G4207" s="9">
        <v>44865</v>
      </c>
    </row>
    <row r="4208" spans="1:7" ht="14.25" customHeight="1">
      <c r="A4208" s="8">
        <f t="shared" si="16"/>
        <v>57500</v>
      </c>
      <c r="B4208" s="8"/>
      <c r="C4208" s="8">
        <v>57500</v>
      </c>
      <c r="D4208">
        <v>174</v>
      </c>
      <c r="E4208" t="s">
        <v>594</v>
      </c>
      <c r="F4208" t="s">
        <v>1341</v>
      </c>
      <c r="G4208" s="9">
        <v>44895</v>
      </c>
    </row>
    <row r="4209" spans="1:7" ht="14.25" customHeight="1">
      <c r="A4209" s="8">
        <f t="shared" si="16"/>
        <v>57500</v>
      </c>
      <c r="B4209" s="8"/>
      <c r="C4209" s="8">
        <v>57500</v>
      </c>
      <c r="D4209">
        <v>192</v>
      </c>
      <c r="E4209" t="s">
        <v>594</v>
      </c>
      <c r="F4209" t="s">
        <v>1342</v>
      </c>
      <c r="G4209" s="9">
        <v>44925</v>
      </c>
    </row>
    <row r="4210" spans="1:7" ht="14.25" customHeight="1">
      <c r="A4210" s="8">
        <f t="shared" si="16"/>
        <v>300150</v>
      </c>
      <c r="B4210" s="8"/>
      <c r="C4210" s="8">
        <v>300150</v>
      </c>
    </row>
    <row r="4211" spans="1:7" ht="14.25" customHeight="1">
      <c r="A4211" s="8">
        <f t="shared" si="16"/>
        <v>0</v>
      </c>
      <c r="B4211" s="8"/>
      <c r="C4211" s="8"/>
      <c r="F4211" t="s">
        <v>1305</v>
      </c>
      <c r="G4211">
        <v>66340000</v>
      </c>
    </row>
    <row r="4212" spans="1:7" ht="14.25" customHeight="1">
      <c r="A4212" s="8">
        <f t="shared" si="16"/>
        <v>34500</v>
      </c>
      <c r="B4212" s="8"/>
      <c r="C4212" s="8">
        <v>34500</v>
      </c>
      <c r="D4212">
        <v>3</v>
      </c>
      <c r="E4212" t="s">
        <v>594</v>
      </c>
      <c r="F4212" t="s">
        <v>1306</v>
      </c>
      <c r="G4212" s="9">
        <v>44592</v>
      </c>
    </row>
    <row r="4213" spans="1:7" ht="14.25" customHeight="1">
      <c r="A4213" s="8">
        <f t="shared" si="16"/>
        <v>69000</v>
      </c>
      <c r="B4213" s="8"/>
      <c r="C4213" s="8">
        <v>69000</v>
      </c>
      <c r="D4213">
        <v>8</v>
      </c>
      <c r="E4213" t="s">
        <v>594</v>
      </c>
      <c r="F4213" t="s">
        <v>1307</v>
      </c>
      <c r="G4213" s="9">
        <v>44620</v>
      </c>
    </row>
    <row r="4214" spans="1:7" ht="14.25" customHeight="1">
      <c r="A4214" s="8">
        <f t="shared" si="16"/>
        <v>69000</v>
      </c>
      <c r="B4214" s="8"/>
      <c r="C4214" s="8">
        <v>69000</v>
      </c>
      <c r="D4214">
        <v>13</v>
      </c>
      <c r="E4214" t="s">
        <v>594</v>
      </c>
      <c r="F4214" t="s">
        <v>1308</v>
      </c>
      <c r="G4214" s="9">
        <v>44651</v>
      </c>
    </row>
    <row r="4215" spans="1:7" ht="14.25" customHeight="1">
      <c r="A4215" s="8">
        <f t="shared" si="16"/>
        <v>69000</v>
      </c>
      <c r="B4215" s="8"/>
      <c r="C4215" s="8">
        <v>69000</v>
      </c>
      <c r="D4215">
        <v>18</v>
      </c>
      <c r="E4215" t="s">
        <v>594</v>
      </c>
      <c r="F4215" t="s">
        <v>1309</v>
      </c>
      <c r="G4215" s="9">
        <v>44681</v>
      </c>
    </row>
    <row r="4216" spans="1:7" ht="14.25" customHeight="1">
      <c r="A4216" s="8">
        <f t="shared" si="16"/>
        <v>69000</v>
      </c>
      <c r="B4216" s="8"/>
      <c r="C4216" s="8">
        <v>69000</v>
      </c>
      <c r="D4216">
        <v>23</v>
      </c>
      <c r="E4216" t="s">
        <v>594</v>
      </c>
      <c r="F4216" t="s">
        <v>1310</v>
      </c>
      <c r="G4216" s="9">
        <v>44712</v>
      </c>
    </row>
    <row r="4217" spans="1:7" ht="14.25" customHeight="1">
      <c r="A4217" s="8">
        <f t="shared" si="16"/>
        <v>69000</v>
      </c>
      <c r="B4217" s="8"/>
      <c r="C4217" s="8">
        <v>69000</v>
      </c>
      <c r="D4217">
        <v>31</v>
      </c>
      <c r="E4217" t="s">
        <v>594</v>
      </c>
      <c r="F4217" t="s">
        <v>1311</v>
      </c>
      <c r="G4217" s="9">
        <v>44742</v>
      </c>
    </row>
    <row r="4218" spans="1:7" ht="14.25" customHeight="1">
      <c r="A4218" s="8">
        <f t="shared" si="16"/>
        <v>66700</v>
      </c>
      <c r="B4218" s="8"/>
      <c r="C4218" s="8">
        <v>66700</v>
      </c>
      <c r="D4218">
        <v>64</v>
      </c>
      <c r="E4218" t="s">
        <v>594</v>
      </c>
      <c r="F4218" t="s">
        <v>1343</v>
      </c>
      <c r="G4218" s="9">
        <v>44772</v>
      </c>
    </row>
    <row r="4219" spans="1:7" ht="14.25" customHeight="1">
      <c r="A4219" s="8">
        <f t="shared" si="16"/>
        <v>66125</v>
      </c>
      <c r="B4219" s="8"/>
      <c r="C4219" s="8">
        <v>66125</v>
      </c>
      <c r="D4219">
        <v>74</v>
      </c>
      <c r="E4219" t="s">
        <v>594</v>
      </c>
      <c r="F4219" t="s">
        <v>1344</v>
      </c>
      <c r="G4219" s="9">
        <v>44804</v>
      </c>
    </row>
    <row r="4220" spans="1:7" ht="14.25" customHeight="1">
      <c r="A4220" s="8">
        <f t="shared" si="16"/>
        <v>66700</v>
      </c>
      <c r="B4220" s="8"/>
      <c r="C4220" s="8">
        <v>66700</v>
      </c>
      <c r="D4220">
        <v>129</v>
      </c>
      <c r="E4220" t="s">
        <v>594</v>
      </c>
      <c r="F4220" t="s">
        <v>1345</v>
      </c>
      <c r="G4220" s="9">
        <v>44834</v>
      </c>
    </row>
    <row r="4221" spans="1:7" ht="14.25" customHeight="1">
      <c r="A4221" s="8">
        <f t="shared" si="16"/>
        <v>71875</v>
      </c>
      <c r="B4221" s="8"/>
      <c r="C4221" s="8">
        <v>71875</v>
      </c>
      <c r="D4221">
        <v>137</v>
      </c>
      <c r="E4221" t="s">
        <v>594</v>
      </c>
      <c r="F4221" t="s">
        <v>1312</v>
      </c>
      <c r="G4221" s="9">
        <v>44865</v>
      </c>
    </row>
    <row r="4222" spans="1:7" ht="14.25" customHeight="1">
      <c r="A4222" s="8">
        <f t="shared" si="16"/>
        <v>69000</v>
      </c>
      <c r="B4222" s="8"/>
      <c r="C4222" s="8">
        <v>69000</v>
      </c>
      <c r="D4222">
        <v>175</v>
      </c>
      <c r="E4222" t="s">
        <v>594</v>
      </c>
      <c r="F4222" t="s">
        <v>1313</v>
      </c>
      <c r="G4222" s="9">
        <v>44895</v>
      </c>
    </row>
    <row r="4223" spans="1:7" ht="14.25" customHeight="1">
      <c r="A4223" s="8">
        <f t="shared" si="16"/>
        <v>50600</v>
      </c>
      <c r="B4223" s="8"/>
      <c r="C4223" s="8">
        <v>50600</v>
      </c>
      <c r="D4223">
        <v>193</v>
      </c>
      <c r="E4223" t="s">
        <v>594</v>
      </c>
      <c r="F4223" t="s">
        <v>1314</v>
      </c>
      <c r="G4223" s="9">
        <v>44925</v>
      </c>
    </row>
    <row r="4224" spans="1:7" ht="14.25" customHeight="1">
      <c r="A4224" s="8">
        <f t="shared" si="16"/>
        <v>770500</v>
      </c>
      <c r="B4224" s="8"/>
      <c r="C4224" s="8">
        <v>770500</v>
      </c>
    </row>
    <row r="4225" spans="1:7" ht="14.25" customHeight="1">
      <c r="A4225" s="8">
        <f t="shared" si="16"/>
        <v>0</v>
      </c>
      <c r="B4225" s="8"/>
      <c r="C4225" s="8"/>
      <c r="F4225" t="s">
        <v>1315</v>
      </c>
      <c r="G4225">
        <v>66410000</v>
      </c>
    </row>
    <row r="4226" spans="1:7" ht="14.25" customHeight="1">
      <c r="A4226" s="8">
        <f t="shared" si="16"/>
        <v>13282</v>
      </c>
      <c r="B4226" s="8"/>
      <c r="C4226" s="8">
        <v>13282</v>
      </c>
      <c r="D4226">
        <v>5</v>
      </c>
      <c r="E4226" t="s">
        <v>594</v>
      </c>
      <c r="F4226" t="s">
        <v>1316</v>
      </c>
      <c r="G4226" s="9">
        <v>44592</v>
      </c>
    </row>
    <row r="4227" spans="1:7" ht="14.25" customHeight="1">
      <c r="A4227" s="8">
        <f t="shared" si="16"/>
        <v>61793</v>
      </c>
      <c r="B4227" s="8"/>
      <c r="C4227" s="8">
        <v>61793</v>
      </c>
      <c r="D4227">
        <v>10</v>
      </c>
      <c r="E4227" t="s">
        <v>594</v>
      </c>
      <c r="F4227" t="s">
        <v>1317</v>
      </c>
      <c r="G4227" s="9">
        <v>44620</v>
      </c>
    </row>
    <row r="4228" spans="1:7" ht="14.25" customHeight="1">
      <c r="A4228" s="8">
        <f t="shared" si="16"/>
        <v>65746</v>
      </c>
      <c r="B4228" s="8"/>
      <c r="C4228" s="8">
        <v>65746</v>
      </c>
      <c r="D4228">
        <v>15</v>
      </c>
      <c r="E4228" t="s">
        <v>594</v>
      </c>
      <c r="F4228" t="s">
        <v>1318</v>
      </c>
      <c r="G4228" s="9">
        <v>44651</v>
      </c>
    </row>
    <row r="4229" spans="1:7" ht="14.25" customHeight="1">
      <c r="A4229" s="8">
        <f t="shared" si="16"/>
        <v>65746</v>
      </c>
      <c r="B4229" s="8"/>
      <c r="C4229" s="8">
        <v>65746</v>
      </c>
      <c r="D4229">
        <v>20</v>
      </c>
      <c r="E4229" t="s">
        <v>594</v>
      </c>
      <c r="F4229" t="s">
        <v>1319</v>
      </c>
      <c r="G4229" s="9">
        <v>44681</v>
      </c>
    </row>
    <row r="4230" spans="1:7" ht="14.25" customHeight="1">
      <c r="A4230" s="8">
        <f t="shared" si="16"/>
        <v>119380</v>
      </c>
      <c r="B4230" s="8"/>
      <c r="C4230" s="8">
        <v>119380</v>
      </c>
      <c r="D4230">
        <v>25</v>
      </c>
      <c r="E4230" t="s">
        <v>594</v>
      </c>
      <c r="F4230" t="s">
        <v>1320</v>
      </c>
      <c r="G4230" s="9">
        <v>44712</v>
      </c>
    </row>
    <row r="4231" spans="1:7" ht="14.25" customHeight="1">
      <c r="A4231" s="8">
        <f t="shared" si="16"/>
        <v>120199</v>
      </c>
      <c r="B4231" s="8"/>
      <c r="C4231" s="8">
        <v>120199</v>
      </c>
      <c r="D4231">
        <v>33</v>
      </c>
      <c r="E4231" t="s">
        <v>594</v>
      </c>
      <c r="F4231" t="s">
        <v>1321</v>
      </c>
      <c r="G4231" s="9">
        <v>44742</v>
      </c>
    </row>
    <row r="4232" spans="1:7" ht="14.25" customHeight="1">
      <c r="A4232" s="8">
        <f t="shared" si="16"/>
        <v>64595</v>
      </c>
      <c r="B4232" s="8"/>
      <c r="C4232" s="8">
        <v>64595</v>
      </c>
      <c r="D4232">
        <v>66</v>
      </c>
      <c r="E4232" t="s">
        <v>594</v>
      </c>
      <c r="F4232" t="s">
        <v>1346</v>
      </c>
      <c r="G4232" s="9">
        <v>44772</v>
      </c>
    </row>
    <row r="4233" spans="1:7" ht="14.25" customHeight="1">
      <c r="A4233" s="8">
        <f t="shared" si="16"/>
        <v>62222</v>
      </c>
      <c r="B4233" s="8"/>
      <c r="C4233" s="8">
        <v>62222</v>
      </c>
      <c r="D4233">
        <v>76</v>
      </c>
      <c r="E4233" t="s">
        <v>594</v>
      </c>
      <c r="F4233" t="s">
        <v>1347</v>
      </c>
      <c r="G4233" s="9">
        <v>44804</v>
      </c>
    </row>
    <row r="4234" spans="1:7" ht="14.25" customHeight="1">
      <c r="A4234" s="8">
        <f t="shared" si="16"/>
        <v>76779</v>
      </c>
      <c r="B4234" s="8"/>
      <c r="C4234" s="8">
        <v>76779</v>
      </c>
      <c r="D4234">
        <v>131</v>
      </c>
      <c r="E4234" t="s">
        <v>594</v>
      </c>
      <c r="F4234" t="s">
        <v>1348</v>
      </c>
      <c r="G4234" s="9">
        <v>44834</v>
      </c>
    </row>
    <row r="4235" spans="1:7" ht="14.25" customHeight="1">
      <c r="A4235" s="8">
        <f t="shared" si="16"/>
        <v>80900</v>
      </c>
      <c r="B4235" s="8"/>
      <c r="C4235" s="8">
        <v>80900</v>
      </c>
      <c r="D4235">
        <v>139</v>
      </c>
      <c r="E4235" t="s">
        <v>594</v>
      </c>
      <c r="F4235" t="s">
        <v>1322</v>
      </c>
      <c r="G4235" s="9">
        <v>44865</v>
      </c>
    </row>
    <row r="4236" spans="1:7" ht="14.25" customHeight="1">
      <c r="A4236" s="8">
        <f t="shared" si="16"/>
        <v>76499</v>
      </c>
      <c r="B4236" s="8"/>
      <c r="C4236" s="8">
        <v>76499</v>
      </c>
      <c r="D4236">
        <v>177</v>
      </c>
      <c r="E4236" t="s">
        <v>594</v>
      </c>
      <c r="F4236" t="s">
        <v>1323</v>
      </c>
      <c r="G4236" s="9">
        <v>44895</v>
      </c>
    </row>
    <row r="4237" spans="1:7" ht="14.25" customHeight="1">
      <c r="A4237" s="8">
        <f t="shared" si="16"/>
        <v>92957</v>
      </c>
      <c r="B4237" s="8"/>
      <c r="C4237" s="8">
        <v>92957</v>
      </c>
      <c r="D4237">
        <v>195</v>
      </c>
      <c r="E4237" t="s">
        <v>594</v>
      </c>
      <c r="F4237" t="s">
        <v>1324</v>
      </c>
      <c r="G4237" s="9">
        <v>44925</v>
      </c>
    </row>
    <row r="4238" spans="1:7" ht="14.25" customHeight="1">
      <c r="A4238" s="8">
        <f t="shared" si="16"/>
        <v>900098</v>
      </c>
      <c r="B4238" s="8"/>
      <c r="C4238" s="8">
        <v>900098</v>
      </c>
    </row>
    <row r="4239" spans="1:7" ht="14.25" customHeight="1">
      <c r="A4239" s="8">
        <f t="shared" si="16"/>
        <v>12113631</v>
      </c>
      <c r="B4239" s="8"/>
      <c r="C4239" s="8">
        <v>12113631</v>
      </c>
      <c r="E4239">
        <v>9502010</v>
      </c>
      <c r="F4239" t="s">
        <v>517</v>
      </c>
      <c r="G4239" t="s">
        <v>581</v>
      </c>
    </row>
    <row r="4240" spans="1:7" ht="14.25" customHeight="1">
      <c r="A4240" s="8">
        <f t="shared" si="16"/>
        <v>0</v>
      </c>
      <c r="B4240" s="8"/>
      <c r="C4240" s="8"/>
      <c r="D4240" t="s">
        <v>518</v>
      </c>
      <c r="G4240">
        <v>9504002</v>
      </c>
    </row>
    <row r="4241" spans="1:7" ht="14.25" customHeight="1">
      <c r="A4241" s="8">
        <f t="shared" si="16"/>
        <v>0</v>
      </c>
      <c r="B4241" s="8"/>
      <c r="C4241" s="8"/>
      <c r="F4241" t="s">
        <v>590</v>
      </c>
      <c r="G4241">
        <v>61811000</v>
      </c>
    </row>
    <row r="4242" spans="1:7" ht="14.25" customHeight="1">
      <c r="A4242" s="8">
        <f t="shared" si="16"/>
        <v>2300</v>
      </c>
      <c r="B4242" s="8"/>
      <c r="C4242" s="8">
        <v>2300</v>
      </c>
      <c r="D4242">
        <v>153</v>
      </c>
      <c r="E4242" t="s">
        <v>667</v>
      </c>
      <c r="F4242" t="s">
        <v>1805</v>
      </c>
      <c r="G4242" s="9">
        <v>44764</v>
      </c>
    </row>
    <row r="4243" spans="1:7" ht="14.25" customHeight="1">
      <c r="A4243" s="8">
        <f t="shared" si="16"/>
        <v>2300</v>
      </c>
      <c r="B4243" s="8"/>
      <c r="C4243" s="8">
        <v>2300</v>
      </c>
    </row>
    <row r="4244" spans="1:7" ht="14.25" customHeight="1">
      <c r="A4244" s="8">
        <f t="shared" si="16"/>
        <v>2300</v>
      </c>
      <c r="B4244" s="8"/>
      <c r="C4244" s="8">
        <v>2300</v>
      </c>
      <c r="E4244">
        <v>9504002</v>
      </c>
      <c r="F4244" t="s">
        <v>518</v>
      </c>
      <c r="G4244" t="s">
        <v>581</v>
      </c>
    </row>
    <row r="4245" spans="1:7" ht="14.25" customHeight="1">
      <c r="A4245" s="8">
        <f t="shared" si="16"/>
        <v>0</v>
      </c>
      <c r="B4245" s="8"/>
      <c r="C4245" s="8"/>
      <c r="D4245" t="s">
        <v>519</v>
      </c>
      <c r="G4245">
        <v>9504005</v>
      </c>
    </row>
    <row r="4246" spans="1:7" ht="14.25" customHeight="1">
      <c r="A4246" s="8">
        <f t="shared" si="16"/>
        <v>0</v>
      </c>
      <c r="B4246" s="8"/>
      <c r="C4246" s="8"/>
      <c r="F4246" t="s">
        <v>582</v>
      </c>
      <c r="G4246">
        <v>63240000</v>
      </c>
    </row>
    <row r="4247" spans="1:7" ht="14.25" customHeight="1">
      <c r="A4247" s="8">
        <f t="shared" si="16"/>
        <v>644000</v>
      </c>
      <c r="B4247" s="8"/>
      <c r="C4247" s="8">
        <v>644000</v>
      </c>
      <c r="D4247">
        <v>195</v>
      </c>
      <c r="E4247" t="s">
        <v>579</v>
      </c>
      <c r="F4247" t="s">
        <v>1806</v>
      </c>
      <c r="G4247" s="9">
        <v>44740</v>
      </c>
    </row>
    <row r="4248" spans="1:7" ht="14.25" customHeight="1">
      <c r="A4248" s="8">
        <f t="shared" si="16"/>
        <v>322000</v>
      </c>
      <c r="B4248" s="8"/>
      <c r="C4248" s="8">
        <v>322000</v>
      </c>
      <c r="D4248">
        <v>269</v>
      </c>
      <c r="E4248" t="s">
        <v>579</v>
      </c>
      <c r="F4248" t="s">
        <v>1807</v>
      </c>
      <c r="G4248" s="9">
        <v>44803</v>
      </c>
    </row>
    <row r="4249" spans="1:7" ht="14.25" customHeight="1">
      <c r="A4249" s="8">
        <f t="shared" si="16"/>
        <v>644000</v>
      </c>
      <c r="B4249" s="8"/>
      <c r="C4249" s="8">
        <v>644000</v>
      </c>
      <c r="D4249">
        <v>348</v>
      </c>
      <c r="E4249" t="s">
        <v>579</v>
      </c>
      <c r="F4249" t="s">
        <v>1382</v>
      </c>
      <c r="G4249" s="9">
        <v>44865</v>
      </c>
    </row>
    <row r="4250" spans="1:7" ht="14.25" customHeight="1">
      <c r="A4250" s="8">
        <f t="shared" si="16"/>
        <v>644000</v>
      </c>
      <c r="B4250" s="8"/>
      <c r="C4250" s="8">
        <v>644000</v>
      </c>
      <c r="D4250">
        <v>364</v>
      </c>
      <c r="E4250" t="s">
        <v>579</v>
      </c>
      <c r="F4250" t="s">
        <v>1808</v>
      </c>
      <c r="G4250" s="9">
        <v>44879</v>
      </c>
    </row>
    <row r="4251" spans="1:7" ht="14.25" customHeight="1">
      <c r="A4251" s="8">
        <f t="shared" si="16"/>
        <v>2254000</v>
      </c>
      <c r="B4251" s="8"/>
      <c r="C4251" s="8">
        <v>2254000</v>
      </c>
    </row>
    <row r="4252" spans="1:7" ht="14.25" customHeight="1">
      <c r="A4252" s="8">
        <f t="shared" si="16"/>
        <v>0</v>
      </c>
      <c r="B4252" s="8"/>
      <c r="C4252" s="8"/>
      <c r="F4252" t="s">
        <v>1351</v>
      </c>
      <c r="G4252">
        <v>66180000</v>
      </c>
    </row>
    <row r="4253" spans="1:7" ht="14.25" customHeight="1">
      <c r="A4253" s="8">
        <f t="shared" si="16"/>
        <v>57500</v>
      </c>
      <c r="B4253" s="8"/>
      <c r="C4253" s="8">
        <v>57500</v>
      </c>
      <c r="D4253">
        <v>10</v>
      </c>
      <c r="E4253" t="s">
        <v>587</v>
      </c>
      <c r="F4253" t="s">
        <v>1809</v>
      </c>
      <c r="G4253" s="9">
        <v>44622</v>
      </c>
    </row>
    <row r="4254" spans="1:7" ht="14.25" customHeight="1">
      <c r="A4254" s="8">
        <f t="shared" si="16"/>
        <v>57500</v>
      </c>
      <c r="B4254" s="8"/>
      <c r="C4254" s="8">
        <v>57500</v>
      </c>
    </row>
    <row r="4255" spans="1:7" ht="14.25" customHeight="1">
      <c r="A4255" s="8">
        <f t="shared" si="16"/>
        <v>2311500</v>
      </c>
      <c r="B4255" s="8"/>
      <c r="C4255" s="8">
        <v>2311500</v>
      </c>
      <c r="E4255">
        <v>9504005</v>
      </c>
      <c r="F4255" t="s">
        <v>519</v>
      </c>
      <c r="G4255" t="s">
        <v>581</v>
      </c>
    </row>
    <row r="4256" spans="1:7" ht="14.25" customHeight="1">
      <c r="A4256" s="8">
        <f t="shared" si="16"/>
        <v>0</v>
      </c>
      <c r="B4256" s="8"/>
      <c r="C4256" s="8"/>
      <c r="D4256" t="s">
        <v>520</v>
      </c>
      <c r="G4256">
        <v>9504006</v>
      </c>
    </row>
    <row r="4257" spans="1:7" ht="14.25" customHeight="1">
      <c r="A4257" s="8">
        <f t="shared" si="16"/>
        <v>0</v>
      </c>
      <c r="B4257" s="8"/>
      <c r="C4257" s="8"/>
      <c r="F4257" t="s">
        <v>1399</v>
      </c>
      <c r="G4257">
        <v>62480000</v>
      </c>
    </row>
    <row r="4258" spans="1:7" ht="14.25" customHeight="1">
      <c r="A4258" s="8">
        <f t="shared" si="16"/>
        <v>11500</v>
      </c>
      <c r="B4258" s="8"/>
      <c r="C4258" s="8">
        <v>11500</v>
      </c>
      <c r="D4258">
        <v>242</v>
      </c>
      <c r="E4258" t="s">
        <v>579</v>
      </c>
      <c r="F4258" t="s">
        <v>1810</v>
      </c>
      <c r="G4258" s="9">
        <v>44771</v>
      </c>
    </row>
    <row r="4259" spans="1:7" ht="14.25" customHeight="1">
      <c r="A4259" s="8">
        <f t="shared" si="16"/>
        <v>5750</v>
      </c>
      <c r="B4259" s="8"/>
      <c r="C4259" s="8">
        <v>5750</v>
      </c>
      <c r="D4259">
        <v>239</v>
      </c>
      <c r="E4259" t="s">
        <v>667</v>
      </c>
      <c r="F4259" t="s">
        <v>1811</v>
      </c>
      <c r="G4259" s="9">
        <v>44855</v>
      </c>
    </row>
    <row r="4260" spans="1:7" ht="14.25" customHeight="1">
      <c r="A4260" s="8">
        <f t="shared" si="16"/>
        <v>17250</v>
      </c>
      <c r="B4260" s="8"/>
      <c r="C4260" s="8">
        <v>17250</v>
      </c>
    </row>
    <row r="4261" spans="1:7" ht="14.25" customHeight="1">
      <c r="A4261" s="8">
        <f t="shared" si="16"/>
        <v>17250</v>
      </c>
      <c r="B4261" s="8"/>
      <c r="C4261" s="8">
        <v>17250</v>
      </c>
      <c r="E4261">
        <v>9504006</v>
      </c>
      <c r="F4261" t="s">
        <v>520</v>
      </c>
      <c r="G4261" t="s">
        <v>581</v>
      </c>
    </row>
    <row r="4262" spans="1:7" ht="14.25" customHeight="1">
      <c r="A4262" s="8">
        <f t="shared" si="16"/>
        <v>0</v>
      </c>
      <c r="B4262" s="8"/>
      <c r="C4262" s="8"/>
      <c r="D4262" t="s">
        <v>521</v>
      </c>
      <c r="G4262">
        <v>9504009</v>
      </c>
    </row>
    <row r="4263" spans="1:7" ht="14.25" customHeight="1">
      <c r="A4263" s="8">
        <f t="shared" si="16"/>
        <v>0</v>
      </c>
      <c r="B4263" s="8"/>
      <c r="C4263" s="8"/>
      <c r="F4263" t="s">
        <v>1403</v>
      </c>
      <c r="G4263">
        <v>62810000</v>
      </c>
    </row>
    <row r="4264" spans="1:7" ht="14.25" customHeight="1">
      <c r="A4264" s="8">
        <f t="shared" si="16"/>
        <v>4873</v>
      </c>
      <c r="B4264" s="8"/>
      <c r="C4264" s="8">
        <v>4873</v>
      </c>
      <c r="D4264">
        <v>5</v>
      </c>
      <c r="E4264" t="s">
        <v>579</v>
      </c>
      <c r="F4264" t="s">
        <v>1404</v>
      </c>
      <c r="G4264" s="9">
        <v>44574</v>
      </c>
    </row>
    <row r="4265" spans="1:7" ht="14.25" customHeight="1">
      <c r="A4265" s="8">
        <f t="shared" si="16"/>
        <v>9746</v>
      </c>
      <c r="B4265" s="8"/>
      <c r="C4265" s="8">
        <v>9746</v>
      </c>
      <c r="D4265">
        <v>5</v>
      </c>
      <c r="E4265" t="s">
        <v>579</v>
      </c>
      <c r="F4265" t="s">
        <v>1404</v>
      </c>
      <c r="G4265" s="9">
        <v>44574</v>
      </c>
    </row>
    <row r="4266" spans="1:7" ht="14.25" customHeight="1">
      <c r="A4266" s="8">
        <f t="shared" si="16"/>
        <v>9746</v>
      </c>
      <c r="B4266" s="8"/>
      <c r="C4266" s="8">
        <v>9746</v>
      </c>
      <c r="D4266">
        <v>5</v>
      </c>
      <c r="E4266" t="s">
        <v>579</v>
      </c>
      <c r="F4266" t="s">
        <v>1404</v>
      </c>
      <c r="G4266" s="9">
        <v>44574</v>
      </c>
    </row>
    <row r="4267" spans="1:7" ht="14.25" customHeight="1">
      <c r="A4267" s="8">
        <f t="shared" si="16"/>
        <v>4873</v>
      </c>
      <c r="B4267" s="8"/>
      <c r="C4267" s="8">
        <v>4873</v>
      </c>
      <c r="D4267">
        <v>21</v>
      </c>
      <c r="E4267" t="s">
        <v>579</v>
      </c>
      <c r="F4267" t="s">
        <v>1405</v>
      </c>
      <c r="G4267" s="9">
        <v>44614</v>
      </c>
    </row>
    <row r="4268" spans="1:7" ht="14.25" customHeight="1">
      <c r="A4268" s="8">
        <f t="shared" si="16"/>
        <v>9746</v>
      </c>
      <c r="B4268" s="8"/>
      <c r="C4268" s="8">
        <v>9746</v>
      </c>
      <c r="D4268">
        <v>21</v>
      </c>
      <c r="E4268" t="s">
        <v>579</v>
      </c>
      <c r="F4268" t="s">
        <v>1405</v>
      </c>
      <c r="G4268" s="9">
        <v>44614</v>
      </c>
    </row>
    <row r="4269" spans="1:7" ht="14.25" customHeight="1">
      <c r="A4269" s="8">
        <f t="shared" si="16"/>
        <v>9746</v>
      </c>
      <c r="B4269" s="8"/>
      <c r="C4269" s="8">
        <v>9746</v>
      </c>
      <c r="D4269">
        <v>21</v>
      </c>
      <c r="E4269" t="s">
        <v>579</v>
      </c>
      <c r="F4269" t="s">
        <v>1405</v>
      </c>
      <c r="G4269" s="9">
        <v>44614</v>
      </c>
    </row>
    <row r="4270" spans="1:7" ht="14.25" customHeight="1">
      <c r="A4270" s="8">
        <f t="shared" si="16"/>
        <v>4873</v>
      </c>
      <c r="B4270" s="8"/>
      <c r="C4270" s="8">
        <v>4873</v>
      </c>
      <c r="D4270">
        <v>38</v>
      </c>
      <c r="E4270" t="s">
        <v>579</v>
      </c>
      <c r="F4270" t="s">
        <v>1406</v>
      </c>
      <c r="G4270" s="9">
        <v>44621</v>
      </c>
    </row>
    <row r="4271" spans="1:7" ht="14.25" customHeight="1">
      <c r="A4271" s="8">
        <f t="shared" si="16"/>
        <v>9746</v>
      </c>
      <c r="B4271" s="8"/>
      <c r="C4271" s="8">
        <v>9746</v>
      </c>
      <c r="D4271">
        <v>38</v>
      </c>
      <c r="E4271" t="s">
        <v>579</v>
      </c>
      <c r="F4271" t="s">
        <v>1406</v>
      </c>
      <c r="G4271" s="9">
        <v>44621</v>
      </c>
    </row>
    <row r="4272" spans="1:7" ht="14.25" customHeight="1">
      <c r="A4272" s="8">
        <f t="shared" si="16"/>
        <v>9746</v>
      </c>
      <c r="B4272" s="8"/>
      <c r="C4272" s="8">
        <v>9746</v>
      </c>
      <c r="D4272">
        <v>38</v>
      </c>
      <c r="E4272" t="s">
        <v>579</v>
      </c>
      <c r="F4272" t="s">
        <v>1406</v>
      </c>
      <c r="G4272" s="9">
        <v>44621</v>
      </c>
    </row>
    <row r="4273" spans="1:7" ht="14.25" customHeight="1">
      <c r="A4273" s="8">
        <f t="shared" si="16"/>
        <v>2875</v>
      </c>
      <c r="B4273" s="8"/>
      <c r="C4273" s="8">
        <v>2875</v>
      </c>
      <c r="D4273">
        <v>45</v>
      </c>
      <c r="E4273" t="s">
        <v>667</v>
      </c>
      <c r="F4273" t="s">
        <v>1812</v>
      </c>
      <c r="G4273" s="9">
        <v>44641</v>
      </c>
    </row>
    <row r="4274" spans="1:7" ht="14.25" customHeight="1">
      <c r="A4274" s="8">
        <f t="shared" si="16"/>
        <v>9746</v>
      </c>
      <c r="B4274" s="8"/>
      <c r="C4274" s="8">
        <v>9746</v>
      </c>
      <c r="D4274">
        <v>99</v>
      </c>
      <c r="E4274" t="s">
        <v>579</v>
      </c>
      <c r="F4274" t="s">
        <v>1407</v>
      </c>
      <c r="G4274" s="9">
        <v>44666</v>
      </c>
    </row>
    <row r="4275" spans="1:7" ht="14.25" customHeight="1">
      <c r="A4275" s="8">
        <f t="shared" si="16"/>
        <v>4873</v>
      </c>
      <c r="B4275" s="8"/>
      <c r="C4275" s="8">
        <v>4873</v>
      </c>
      <c r="D4275">
        <v>99</v>
      </c>
      <c r="E4275" t="s">
        <v>579</v>
      </c>
      <c r="F4275" t="s">
        <v>1407</v>
      </c>
      <c r="G4275" s="9">
        <v>44666</v>
      </c>
    </row>
    <row r="4276" spans="1:7" ht="14.25" customHeight="1">
      <c r="A4276" s="8">
        <f t="shared" si="16"/>
        <v>9746</v>
      </c>
      <c r="B4276" s="8"/>
      <c r="C4276" s="8">
        <v>9746</v>
      </c>
      <c r="D4276">
        <v>99</v>
      </c>
      <c r="E4276" t="s">
        <v>579</v>
      </c>
      <c r="F4276" t="s">
        <v>1407</v>
      </c>
      <c r="G4276" s="9">
        <v>44666</v>
      </c>
    </row>
    <row r="4277" spans="1:7" ht="14.25" customHeight="1">
      <c r="A4277" s="8">
        <f t="shared" si="16"/>
        <v>9746</v>
      </c>
      <c r="B4277" s="8"/>
      <c r="C4277" s="8">
        <v>9746</v>
      </c>
      <c r="D4277">
        <v>133</v>
      </c>
      <c r="E4277" t="s">
        <v>579</v>
      </c>
      <c r="F4277" t="s">
        <v>1409</v>
      </c>
      <c r="G4277" s="9">
        <v>44694</v>
      </c>
    </row>
    <row r="4278" spans="1:7" ht="14.25" customHeight="1">
      <c r="A4278" s="8">
        <f t="shared" si="16"/>
        <v>4873</v>
      </c>
      <c r="B4278" s="8"/>
      <c r="C4278" s="8">
        <v>4873</v>
      </c>
      <c r="D4278">
        <v>133</v>
      </c>
      <c r="E4278" t="s">
        <v>579</v>
      </c>
      <c r="F4278" t="s">
        <v>1409</v>
      </c>
      <c r="G4278" s="9">
        <v>44694</v>
      </c>
    </row>
    <row r="4279" spans="1:7" ht="14.25" customHeight="1">
      <c r="A4279" s="8">
        <f t="shared" si="16"/>
        <v>9746</v>
      </c>
      <c r="B4279" s="8"/>
      <c r="C4279" s="8">
        <v>9746</v>
      </c>
      <c r="D4279">
        <v>133</v>
      </c>
      <c r="E4279" t="s">
        <v>579</v>
      </c>
      <c r="F4279" t="s">
        <v>1409</v>
      </c>
      <c r="G4279" s="9">
        <v>44694</v>
      </c>
    </row>
    <row r="4280" spans="1:7" ht="14.25" customHeight="1">
      <c r="A4280" s="8">
        <f t="shared" si="16"/>
        <v>9746</v>
      </c>
      <c r="B4280" s="8"/>
      <c r="C4280" s="8">
        <v>9746</v>
      </c>
      <c r="D4280">
        <v>168</v>
      </c>
      <c r="E4280" t="s">
        <v>579</v>
      </c>
      <c r="F4280" t="s">
        <v>1410</v>
      </c>
      <c r="G4280" s="9">
        <v>44722</v>
      </c>
    </row>
    <row r="4281" spans="1:7" ht="14.25" customHeight="1">
      <c r="A4281" s="8">
        <f t="shared" si="16"/>
        <v>4873</v>
      </c>
      <c r="B4281" s="8"/>
      <c r="C4281" s="8">
        <v>4873</v>
      </c>
      <c r="D4281">
        <v>168</v>
      </c>
      <c r="E4281" t="s">
        <v>579</v>
      </c>
      <c r="F4281" t="s">
        <v>1410</v>
      </c>
      <c r="G4281" s="9">
        <v>44722</v>
      </c>
    </row>
    <row r="4282" spans="1:7" ht="14.25" customHeight="1">
      <c r="A4282" s="8">
        <f t="shared" si="16"/>
        <v>9746</v>
      </c>
      <c r="B4282" s="8"/>
      <c r="C4282" s="8">
        <v>9746</v>
      </c>
      <c r="D4282">
        <v>168</v>
      </c>
      <c r="E4282" t="s">
        <v>579</v>
      </c>
      <c r="F4282" t="s">
        <v>1410</v>
      </c>
      <c r="G4282" s="9">
        <v>44722</v>
      </c>
    </row>
    <row r="4283" spans="1:7" ht="14.25" customHeight="1">
      <c r="A4283" s="8">
        <f t="shared" si="16"/>
        <v>9746</v>
      </c>
      <c r="B4283" s="8"/>
      <c r="C4283" s="8">
        <v>9746</v>
      </c>
      <c r="D4283">
        <v>239</v>
      </c>
      <c r="E4283" t="s">
        <v>579</v>
      </c>
      <c r="F4283" t="s">
        <v>1411</v>
      </c>
      <c r="G4283" s="9">
        <v>44755</v>
      </c>
    </row>
    <row r="4284" spans="1:7" ht="14.25" customHeight="1">
      <c r="A4284" s="8">
        <f t="shared" si="16"/>
        <v>4873</v>
      </c>
      <c r="B4284" s="8"/>
      <c r="C4284" s="8">
        <v>4873</v>
      </c>
      <c r="D4284">
        <v>239</v>
      </c>
      <c r="E4284" t="s">
        <v>579</v>
      </c>
      <c r="F4284" t="s">
        <v>1411</v>
      </c>
      <c r="G4284" s="9">
        <v>44755</v>
      </c>
    </row>
    <row r="4285" spans="1:7" ht="14.25" customHeight="1">
      <c r="A4285" s="8">
        <f t="shared" si="16"/>
        <v>9746</v>
      </c>
      <c r="B4285" s="8"/>
      <c r="C4285" s="8">
        <v>9746</v>
      </c>
      <c r="D4285">
        <v>239</v>
      </c>
      <c r="E4285" t="s">
        <v>579</v>
      </c>
      <c r="F4285" t="s">
        <v>1411</v>
      </c>
      <c r="G4285" s="9">
        <v>44755</v>
      </c>
    </row>
    <row r="4286" spans="1:7" ht="14.25" customHeight="1">
      <c r="A4286" s="8">
        <f t="shared" si="16"/>
        <v>9746</v>
      </c>
      <c r="B4286" s="8"/>
      <c r="C4286" s="8">
        <v>9746</v>
      </c>
      <c r="D4286">
        <v>319</v>
      </c>
      <c r="E4286" t="s">
        <v>579</v>
      </c>
      <c r="F4286" t="s">
        <v>1413</v>
      </c>
      <c r="G4286" s="9">
        <v>44845</v>
      </c>
    </row>
    <row r="4287" spans="1:7" ht="14.25" customHeight="1">
      <c r="A4287" s="8">
        <f t="shared" si="16"/>
        <v>4873</v>
      </c>
      <c r="B4287" s="8"/>
      <c r="C4287" s="8">
        <v>4873</v>
      </c>
      <c r="D4287">
        <v>319</v>
      </c>
      <c r="E4287" t="s">
        <v>579</v>
      </c>
      <c r="F4287" t="s">
        <v>1413</v>
      </c>
      <c r="G4287" s="9">
        <v>44845</v>
      </c>
    </row>
    <row r="4288" spans="1:7" ht="14.25" customHeight="1">
      <c r="A4288" s="8">
        <f t="shared" si="16"/>
        <v>9746</v>
      </c>
      <c r="B4288" s="8"/>
      <c r="C4288" s="8">
        <v>9746</v>
      </c>
      <c r="D4288">
        <v>319</v>
      </c>
      <c r="E4288" t="s">
        <v>579</v>
      </c>
      <c r="F4288" t="s">
        <v>1413</v>
      </c>
      <c r="G4288" s="9">
        <v>44845</v>
      </c>
    </row>
    <row r="4289" spans="1:7" ht="14.25" customHeight="1">
      <c r="A4289" s="8">
        <f t="shared" si="16"/>
        <v>9746</v>
      </c>
      <c r="B4289" s="8"/>
      <c r="C4289" s="8">
        <v>9746</v>
      </c>
      <c r="D4289">
        <v>339</v>
      </c>
      <c r="E4289" t="s">
        <v>579</v>
      </c>
      <c r="F4289" t="s">
        <v>1414</v>
      </c>
      <c r="G4289" s="9">
        <v>44865</v>
      </c>
    </row>
    <row r="4290" spans="1:7" ht="14.25" customHeight="1">
      <c r="A4290" s="8">
        <f t="shared" si="16"/>
        <v>4873</v>
      </c>
      <c r="B4290" s="8"/>
      <c r="C4290" s="8">
        <v>4873</v>
      </c>
      <c r="D4290">
        <v>339</v>
      </c>
      <c r="E4290" t="s">
        <v>579</v>
      </c>
      <c r="F4290" t="s">
        <v>1414</v>
      </c>
      <c r="G4290" s="9">
        <v>44865</v>
      </c>
    </row>
    <row r="4291" spans="1:7" ht="14.25" customHeight="1">
      <c r="A4291" s="8">
        <f t="shared" si="16"/>
        <v>9746</v>
      </c>
      <c r="B4291" s="8"/>
      <c r="C4291" s="8">
        <v>9746</v>
      </c>
      <c r="D4291">
        <v>339</v>
      </c>
      <c r="E4291" t="s">
        <v>579</v>
      </c>
      <c r="F4291" t="s">
        <v>1414</v>
      </c>
      <c r="G4291" s="9">
        <v>44865</v>
      </c>
    </row>
    <row r="4292" spans="1:7" ht="14.25" customHeight="1">
      <c r="A4292" s="8">
        <f t="shared" si="16"/>
        <v>9746</v>
      </c>
      <c r="B4292" s="8"/>
      <c r="C4292" s="8">
        <v>9746</v>
      </c>
      <c r="D4292">
        <v>340</v>
      </c>
      <c r="E4292" t="s">
        <v>579</v>
      </c>
      <c r="F4292" t="s">
        <v>1415</v>
      </c>
      <c r="G4292" s="9">
        <v>44865</v>
      </c>
    </row>
    <row r="4293" spans="1:7" ht="14.25" customHeight="1">
      <c r="A4293" s="8">
        <f t="shared" si="16"/>
        <v>4873</v>
      </c>
      <c r="B4293" s="8"/>
      <c r="C4293" s="8">
        <v>4873</v>
      </c>
      <c r="D4293">
        <v>340</v>
      </c>
      <c r="E4293" t="s">
        <v>579</v>
      </c>
      <c r="F4293" t="s">
        <v>1415</v>
      </c>
      <c r="G4293" s="9">
        <v>44865</v>
      </c>
    </row>
    <row r="4294" spans="1:7" ht="14.25" customHeight="1">
      <c r="A4294" s="8">
        <f t="shared" si="16"/>
        <v>9746</v>
      </c>
      <c r="B4294" s="8"/>
      <c r="C4294" s="8">
        <v>9746</v>
      </c>
      <c r="D4294">
        <v>340</v>
      </c>
      <c r="E4294" t="s">
        <v>579</v>
      </c>
      <c r="F4294" t="s">
        <v>1415</v>
      </c>
      <c r="G4294" s="9">
        <v>44865</v>
      </c>
    </row>
    <row r="4295" spans="1:7" ht="14.25" customHeight="1">
      <c r="A4295" s="8">
        <f t="shared" si="16"/>
        <v>9746</v>
      </c>
      <c r="B4295" s="8"/>
      <c r="C4295" s="8">
        <v>9746</v>
      </c>
      <c r="D4295">
        <v>367</v>
      </c>
      <c r="E4295" t="s">
        <v>579</v>
      </c>
      <c r="F4295" t="s">
        <v>1416</v>
      </c>
      <c r="G4295" s="9">
        <v>44882</v>
      </c>
    </row>
    <row r="4296" spans="1:7" ht="14.25" customHeight="1">
      <c r="A4296" s="8">
        <f t="shared" si="16"/>
        <v>4873</v>
      </c>
      <c r="B4296" s="8"/>
      <c r="C4296" s="8">
        <v>4873</v>
      </c>
      <c r="D4296">
        <v>367</v>
      </c>
      <c r="E4296" t="s">
        <v>579</v>
      </c>
      <c r="F4296" t="s">
        <v>1416</v>
      </c>
      <c r="G4296" s="9">
        <v>44882</v>
      </c>
    </row>
    <row r="4297" spans="1:7" ht="14.25" customHeight="1">
      <c r="A4297" s="8">
        <f t="shared" si="16"/>
        <v>9746</v>
      </c>
      <c r="B4297" s="8"/>
      <c r="C4297" s="8">
        <v>9746</v>
      </c>
      <c r="D4297">
        <v>367</v>
      </c>
      <c r="E4297" t="s">
        <v>579</v>
      </c>
      <c r="F4297" t="s">
        <v>1416</v>
      </c>
      <c r="G4297" s="9">
        <v>44882</v>
      </c>
    </row>
    <row r="4298" spans="1:7" ht="14.25" customHeight="1">
      <c r="A4298" s="8">
        <f t="shared" si="16"/>
        <v>9746</v>
      </c>
      <c r="B4298" s="8"/>
      <c r="C4298" s="8">
        <v>9746</v>
      </c>
      <c r="D4298">
        <v>411</v>
      </c>
      <c r="E4298" t="s">
        <v>579</v>
      </c>
      <c r="F4298" t="s">
        <v>1417</v>
      </c>
      <c r="G4298" s="9">
        <v>44908</v>
      </c>
    </row>
    <row r="4299" spans="1:7" ht="14.25" customHeight="1">
      <c r="A4299" s="8">
        <f t="shared" si="16"/>
        <v>4873</v>
      </c>
      <c r="B4299" s="8"/>
      <c r="C4299" s="8">
        <v>4873</v>
      </c>
      <c r="D4299">
        <v>411</v>
      </c>
      <c r="E4299" t="s">
        <v>579</v>
      </c>
      <c r="F4299" t="s">
        <v>1417</v>
      </c>
      <c r="G4299" s="9">
        <v>44908</v>
      </c>
    </row>
    <row r="4300" spans="1:7" ht="14.25" customHeight="1">
      <c r="A4300" s="8">
        <f t="shared" si="16"/>
        <v>9746</v>
      </c>
      <c r="B4300" s="8"/>
      <c r="C4300" s="8">
        <v>9746</v>
      </c>
      <c r="D4300">
        <v>411</v>
      </c>
      <c r="E4300" t="s">
        <v>579</v>
      </c>
      <c r="F4300" t="s">
        <v>1417</v>
      </c>
      <c r="G4300" s="9">
        <v>44908</v>
      </c>
    </row>
    <row r="4301" spans="1:7" ht="14.25" customHeight="1">
      <c r="A4301" s="8">
        <f t="shared" si="16"/>
        <v>9746</v>
      </c>
      <c r="B4301" s="8"/>
      <c r="C4301" s="8">
        <v>9746</v>
      </c>
      <c r="D4301">
        <v>423</v>
      </c>
      <c r="E4301" t="s">
        <v>579</v>
      </c>
      <c r="F4301" t="s">
        <v>1418</v>
      </c>
      <c r="G4301" s="9">
        <v>44918</v>
      </c>
    </row>
    <row r="4302" spans="1:7" ht="14.25" customHeight="1">
      <c r="A4302" s="8">
        <f t="shared" si="16"/>
        <v>9746</v>
      </c>
      <c r="B4302" s="8"/>
      <c r="C4302" s="8">
        <v>9746</v>
      </c>
      <c r="D4302">
        <v>423</v>
      </c>
      <c r="E4302" t="s">
        <v>579</v>
      </c>
      <c r="F4302" t="s">
        <v>1418</v>
      </c>
      <c r="G4302" s="9">
        <v>44918</v>
      </c>
    </row>
    <row r="4303" spans="1:7" ht="14.25" customHeight="1">
      <c r="A4303" s="8">
        <f t="shared" si="16"/>
        <v>9746</v>
      </c>
      <c r="B4303" s="8"/>
      <c r="C4303" s="8">
        <v>9746</v>
      </c>
      <c r="D4303">
        <v>423</v>
      </c>
      <c r="E4303" t="s">
        <v>579</v>
      </c>
      <c r="F4303" t="s">
        <v>1418</v>
      </c>
      <c r="G4303" s="9">
        <v>44918</v>
      </c>
    </row>
    <row r="4304" spans="1:7" ht="14.25" customHeight="1">
      <c r="A4304" s="8">
        <f t="shared" si="16"/>
        <v>324494</v>
      </c>
      <c r="B4304" s="8"/>
      <c r="C4304" s="8">
        <v>324494</v>
      </c>
    </row>
    <row r="4305" spans="1:7" ht="14.25" customHeight="1">
      <c r="A4305" s="8">
        <f t="shared" si="16"/>
        <v>0</v>
      </c>
      <c r="B4305" s="8"/>
      <c r="C4305" s="8"/>
      <c r="F4305" t="s">
        <v>1262</v>
      </c>
      <c r="G4305">
        <v>62881000</v>
      </c>
    </row>
    <row r="4306" spans="1:7" ht="14.25" customHeight="1">
      <c r="A4306" s="8">
        <f t="shared" si="16"/>
        <v>9746</v>
      </c>
      <c r="B4306" s="8"/>
      <c r="C4306" s="8">
        <v>9746</v>
      </c>
      <c r="D4306">
        <v>11</v>
      </c>
      <c r="E4306" t="s">
        <v>579</v>
      </c>
      <c r="F4306" t="s">
        <v>1421</v>
      </c>
      <c r="G4306" s="9">
        <v>44592</v>
      </c>
    </row>
    <row r="4307" spans="1:7" ht="14.25" customHeight="1">
      <c r="A4307" s="8">
        <f t="shared" si="16"/>
        <v>9746</v>
      </c>
      <c r="B4307" s="8"/>
      <c r="C4307" s="8">
        <v>9746</v>
      </c>
      <c r="D4307">
        <v>11</v>
      </c>
      <c r="E4307" t="s">
        <v>579</v>
      </c>
      <c r="F4307" t="s">
        <v>1421</v>
      </c>
      <c r="G4307" s="9">
        <v>44592</v>
      </c>
    </row>
    <row r="4308" spans="1:7" ht="14.25" customHeight="1">
      <c r="A4308" s="8">
        <f t="shared" si="16"/>
        <v>14619</v>
      </c>
      <c r="B4308" s="8"/>
      <c r="C4308" s="8">
        <v>14619</v>
      </c>
      <c r="D4308">
        <v>11</v>
      </c>
      <c r="E4308" t="s">
        <v>579</v>
      </c>
      <c r="F4308" t="s">
        <v>1421</v>
      </c>
      <c r="G4308" s="9">
        <v>44592</v>
      </c>
    </row>
    <row r="4309" spans="1:7" ht="14.25" customHeight="1">
      <c r="A4309" s="8">
        <f t="shared" si="16"/>
        <v>10057</v>
      </c>
      <c r="B4309" s="8"/>
      <c r="C4309" s="8">
        <v>10057</v>
      </c>
      <c r="D4309">
        <v>24</v>
      </c>
      <c r="E4309" t="s">
        <v>579</v>
      </c>
      <c r="F4309" t="s">
        <v>1423</v>
      </c>
      <c r="G4309" s="9">
        <v>44617</v>
      </c>
    </row>
    <row r="4310" spans="1:7" ht="14.25" customHeight="1">
      <c r="A4310" s="8">
        <f t="shared" si="16"/>
        <v>10057</v>
      </c>
      <c r="B4310" s="8"/>
      <c r="C4310" s="8">
        <v>10057</v>
      </c>
      <c r="D4310">
        <v>24</v>
      </c>
      <c r="E4310" t="s">
        <v>579</v>
      </c>
      <c r="F4310" t="s">
        <v>1423</v>
      </c>
      <c r="G4310" s="9">
        <v>44617</v>
      </c>
    </row>
    <row r="4311" spans="1:7" ht="14.25" customHeight="1">
      <c r="A4311" s="8">
        <f t="shared" si="16"/>
        <v>13685</v>
      </c>
      <c r="B4311" s="8"/>
      <c r="C4311" s="8">
        <v>13685</v>
      </c>
      <c r="D4311">
        <v>24</v>
      </c>
      <c r="E4311" t="s">
        <v>579</v>
      </c>
      <c r="F4311" t="s">
        <v>1423</v>
      </c>
      <c r="G4311" s="9">
        <v>44617</v>
      </c>
    </row>
    <row r="4312" spans="1:7" ht="14.25" customHeight="1">
      <c r="A4312" s="8">
        <f t="shared" si="16"/>
        <v>9746</v>
      </c>
      <c r="B4312" s="8"/>
      <c r="C4312" s="8">
        <v>9746</v>
      </c>
      <c r="D4312">
        <v>74</v>
      </c>
      <c r="E4312" t="s">
        <v>579</v>
      </c>
      <c r="F4312" t="s">
        <v>1426</v>
      </c>
      <c r="G4312" s="9">
        <v>44651</v>
      </c>
    </row>
    <row r="4313" spans="1:7" ht="14.25" customHeight="1">
      <c r="A4313" s="8">
        <f t="shared" si="16"/>
        <v>9746</v>
      </c>
      <c r="B4313" s="8"/>
      <c r="C4313" s="8">
        <v>9746</v>
      </c>
      <c r="D4313">
        <v>74</v>
      </c>
      <c r="E4313" t="s">
        <v>579</v>
      </c>
      <c r="F4313" t="s">
        <v>1426</v>
      </c>
      <c r="G4313" s="9">
        <v>44651</v>
      </c>
    </row>
    <row r="4314" spans="1:7" ht="14.25" customHeight="1">
      <c r="A4314" s="8">
        <f t="shared" si="16"/>
        <v>10057</v>
      </c>
      <c r="B4314" s="8"/>
      <c r="C4314" s="8">
        <v>10057</v>
      </c>
      <c r="D4314">
        <v>111</v>
      </c>
      <c r="E4314" t="s">
        <v>579</v>
      </c>
      <c r="F4314" t="s">
        <v>1427</v>
      </c>
      <c r="G4314" s="9">
        <v>44684</v>
      </c>
    </row>
    <row r="4315" spans="1:7" ht="14.25" customHeight="1">
      <c r="A4315" s="8">
        <f t="shared" si="16"/>
        <v>10057</v>
      </c>
      <c r="B4315" s="8"/>
      <c r="C4315" s="8">
        <v>10057</v>
      </c>
      <c r="D4315">
        <v>111</v>
      </c>
      <c r="E4315" t="s">
        <v>579</v>
      </c>
      <c r="F4315" t="s">
        <v>1427</v>
      </c>
      <c r="G4315" s="9">
        <v>44684</v>
      </c>
    </row>
    <row r="4316" spans="1:7" ht="14.25" customHeight="1">
      <c r="A4316" s="8">
        <f t="shared" si="16"/>
        <v>13685</v>
      </c>
      <c r="B4316" s="8"/>
      <c r="C4316" s="8">
        <v>13685</v>
      </c>
      <c r="D4316">
        <v>111</v>
      </c>
      <c r="E4316" t="s">
        <v>579</v>
      </c>
      <c r="F4316" t="s">
        <v>1427</v>
      </c>
      <c r="G4316" s="9">
        <v>44684</v>
      </c>
    </row>
    <row r="4317" spans="1:7" ht="14.25" customHeight="1">
      <c r="A4317" s="8">
        <f t="shared" si="16"/>
        <v>10057</v>
      </c>
      <c r="B4317" s="8"/>
      <c r="C4317" s="8">
        <v>10057</v>
      </c>
      <c r="D4317">
        <v>162</v>
      </c>
      <c r="E4317" t="s">
        <v>579</v>
      </c>
      <c r="F4317" t="s">
        <v>1429</v>
      </c>
      <c r="G4317" s="9">
        <v>44715</v>
      </c>
    </row>
    <row r="4318" spans="1:7" ht="14.25" customHeight="1">
      <c r="A4318" s="8">
        <f t="shared" si="16"/>
        <v>10057</v>
      </c>
      <c r="B4318" s="8"/>
      <c r="C4318" s="8">
        <v>10057</v>
      </c>
      <c r="D4318">
        <v>162</v>
      </c>
      <c r="E4318" t="s">
        <v>579</v>
      </c>
      <c r="F4318" t="s">
        <v>1429</v>
      </c>
      <c r="G4318" s="9">
        <v>44715</v>
      </c>
    </row>
    <row r="4319" spans="1:7" ht="14.25" customHeight="1">
      <c r="A4319" s="8">
        <f t="shared" si="16"/>
        <v>10057</v>
      </c>
      <c r="B4319" s="8"/>
      <c r="C4319" s="8">
        <v>10057</v>
      </c>
      <c r="D4319">
        <v>162</v>
      </c>
      <c r="E4319" t="s">
        <v>579</v>
      </c>
      <c r="F4319" t="s">
        <v>1429</v>
      </c>
      <c r="G4319" s="9">
        <v>44715</v>
      </c>
    </row>
    <row r="4320" spans="1:7" ht="14.25" customHeight="1">
      <c r="A4320" s="8">
        <f t="shared" si="16"/>
        <v>13685</v>
      </c>
      <c r="B4320" s="8"/>
      <c r="C4320" s="8">
        <v>13685</v>
      </c>
      <c r="D4320">
        <v>162</v>
      </c>
      <c r="E4320" t="s">
        <v>579</v>
      </c>
      <c r="F4320" t="s">
        <v>1429</v>
      </c>
      <c r="G4320" s="9">
        <v>44715</v>
      </c>
    </row>
    <row r="4321" spans="1:7" ht="14.25" customHeight="1">
      <c r="A4321" s="8">
        <f t="shared" si="16"/>
        <v>9746</v>
      </c>
      <c r="B4321" s="8"/>
      <c r="C4321" s="8">
        <v>9746</v>
      </c>
      <c r="D4321">
        <v>227</v>
      </c>
      <c r="E4321" t="s">
        <v>579</v>
      </c>
      <c r="F4321" t="s">
        <v>1432</v>
      </c>
      <c r="G4321" s="9">
        <v>44743</v>
      </c>
    </row>
    <row r="4322" spans="1:7" ht="14.25" customHeight="1">
      <c r="A4322" s="8">
        <f t="shared" si="16"/>
        <v>9746</v>
      </c>
      <c r="B4322" s="8"/>
      <c r="C4322" s="8">
        <v>9746</v>
      </c>
      <c r="D4322">
        <v>227</v>
      </c>
      <c r="E4322" t="s">
        <v>579</v>
      </c>
      <c r="F4322" t="s">
        <v>1432</v>
      </c>
      <c r="G4322" s="9">
        <v>44743</v>
      </c>
    </row>
    <row r="4323" spans="1:7" ht="14.25" customHeight="1">
      <c r="A4323" s="8">
        <f t="shared" si="16"/>
        <v>9746</v>
      </c>
      <c r="B4323" s="8"/>
      <c r="C4323" s="8">
        <v>9746</v>
      </c>
      <c r="D4323">
        <v>227</v>
      </c>
      <c r="E4323" t="s">
        <v>579</v>
      </c>
      <c r="F4323" t="s">
        <v>1432</v>
      </c>
      <c r="G4323" s="9">
        <v>44743</v>
      </c>
    </row>
    <row r="4324" spans="1:7" ht="14.25" customHeight="1">
      <c r="A4324" s="8">
        <f t="shared" si="16"/>
        <v>9746</v>
      </c>
      <c r="B4324" s="8"/>
      <c r="C4324" s="8">
        <v>9746</v>
      </c>
      <c r="D4324">
        <v>241</v>
      </c>
      <c r="E4324" t="s">
        <v>579</v>
      </c>
      <c r="F4324" t="s">
        <v>1434</v>
      </c>
      <c r="G4324" s="9">
        <v>44769</v>
      </c>
    </row>
    <row r="4325" spans="1:7" ht="14.25" customHeight="1">
      <c r="A4325" s="8">
        <f t="shared" si="16"/>
        <v>9746</v>
      </c>
      <c r="B4325" s="8"/>
      <c r="C4325" s="8">
        <v>9746</v>
      </c>
      <c r="D4325">
        <v>241</v>
      </c>
      <c r="E4325" t="s">
        <v>579</v>
      </c>
      <c r="F4325" t="s">
        <v>1434</v>
      </c>
      <c r="G4325" s="9">
        <v>44769</v>
      </c>
    </row>
    <row r="4326" spans="1:7" ht="14.25" customHeight="1">
      <c r="A4326" s="8">
        <f t="shared" si="16"/>
        <v>9746</v>
      </c>
      <c r="B4326" s="8"/>
      <c r="C4326" s="8">
        <v>9746</v>
      </c>
      <c r="D4326">
        <v>241</v>
      </c>
      <c r="E4326" t="s">
        <v>579</v>
      </c>
      <c r="F4326" t="s">
        <v>1434</v>
      </c>
      <c r="G4326" s="9">
        <v>44769</v>
      </c>
    </row>
    <row r="4327" spans="1:7" ht="14.25" customHeight="1">
      <c r="A4327" s="8">
        <f t="shared" si="16"/>
        <v>10057</v>
      </c>
      <c r="B4327" s="8"/>
      <c r="C4327" s="8">
        <v>10057</v>
      </c>
      <c r="D4327">
        <v>281</v>
      </c>
      <c r="E4327" t="s">
        <v>579</v>
      </c>
      <c r="F4327" t="s">
        <v>1437</v>
      </c>
      <c r="G4327" s="9">
        <v>44809</v>
      </c>
    </row>
    <row r="4328" spans="1:7" ht="14.25" customHeight="1">
      <c r="A4328" s="8">
        <f t="shared" si="16"/>
        <v>10057</v>
      </c>
      <c r="B4328" s="8"/>
      <c r="C4328" s="8">
        <v>10057</v>
      </c>
      <c r="D4328">
        <v>281</v>
      </c>
      <c r="E4328" t="s">
        <v>579</v>
      </c>
      <c r="F4328" t="s">
        <v>1437</v>
      </c>
      <c r="G4328" s="9">
        <v>44809</v>
      </c>
    </row>
    <row r="4329" spans="1:7" ht="14.25" customHeight="1">
      <c r="A4329" s="8">
        <f t="shared" si="16"/>
        <v>10057</v>
      </c>
      <c r="B4329" s="8"/>
      <c r="C4329" s="8">
        <v>10057</v>
      </c>
      <c r="D4329">
        <v>281</v>
      </c>
      <c r="E4329" t="s">
        <v>579</v>
      </c>
      <c r="F4329" t="s">
        <v>1437</v>
      </c>
      <c r="G4329" s="9">
        <v>44809</v>
      </c>
    </row>
    <row r="4330" spans="1:7" ht="14.25" customHeight="1">
      <c r="A4330" s="8">
        <f t="shared" si="16"/>
        <v>13685</v>
      </c>
      <c r="B4330" s="8"/>
      <c r="C4330" s="8">
        <v>13685</v>
      </c>
      <c r="D4330">
        <v>281</v>
      </c>
      <c r="E4330" t="s">
        <v>579</v>
      </c>
      <c r="F4330" t="s">
        <v>1437</v>
      </c>
      <c r="G4330" s="9">
        <v>44809</v>
      </c>
    </row>
    <row r="4331" spans="1:7" ht="14.25" customHeight="1">
      <c r="A4331" s="8">
        <f t="shared" si="16"/>
        <v>9746</v>
      </c>
      <c r="B4331" s="8"/>
      <c r="C4331" s="8">
        <v>9746</v>
      </c>
      <c r="D4331">
        <v>309</v>
      </c>
      <c r="E4331" t="s">
        <v>579</v>
      </c>
      <c r="F4331" t="s">
        <v>1440</v>
      </c>
      <c r="G4331" s="9">
        <v>44834</v>
      </c>
    </row>
    <row r="4332" spans="1:7" ht="14.25" customHeight="1">
      <c r="A4332" s="8">
        <f t="shared" si="16"/>
        <v>9746</v>
      </c>
      <c r="B4332" s="8"/>
      <c r="C4332" s="8">
        <v>9746</v>
      </c>
      <c r="D4332">
        <v>309</v>
      </c>
      <c r="E4332" t="s">
        <v>579</v>
      </c>
      <c r="F4332" t="s">
        <v>1440</v>
      </c>
      <c r="G4332" s="9">
        <v>44834</v>
      </c>
    </row>
    <row r="4333" spans="1:7" ht="14.25" customHeight="1">
      <c r="A4333" s="8">
        <f t="shared" si="16"/>
        <v>9746</v>
      </c>
      <c r="B4333" s="8"/>
      <c r="C4333" s="8">
        <v>9746</v>
      </c>
      <c r="D4333">
        <v>309</v>
      </c>
      <c r="E4333" t="s">
        <v>579</v>
      </c>
      <c r="F4333" t="s">
        <v>1440</v>
      </c>
      <c r="G4333" s="9">
        <v>44834</v>
      </c>
    </row>
    <row r="4334" spans="1:7" ht="14.25" customHeight="1">
      <c r="A4334" s="8">
        <f t="shared" si="16"/>
        <v>9746</v>
      </c>
      <c r="B4334" s="8"/>
      <c r="C4334" s="8">
        <v>9746</v>
      </c>
      <c r="D4334">
        <v>362</v>
      </c>
      <c r="E4334" t="s">
        <v>579</v>
      </c>
      <c r="F4334" t="s">
        <v>1444</v>
      </c>
      <c r="G4334" s="9">
        <v>44874</v>
      </c>
    </row>
    <row r="4335" spans="1:7" ht="14.25" customHeight="1">
      <c r="A4335" s="8">
        <f t="shared" si="16"/>
        <v>9746</v>
      </c>
      <c r="B4335" s="8"/>
      <c r="C4335" s="8">
        <v>9746</v>
      </c>
      <c r="D4335">
        <v>362</v>
      </c>
      <c r="E4335" t="s">
        <v>579</v>
      </c>
      <c r="F4335" t="s">
        <v>1444</v>
      </c>
      <c r="G4335" s="9">
        <v>44874</v>
      </c>
    </row>
    <row r="4336" spans="1:7" ht="14.25" customHeight="1">
      <c r="A4336" s="8">
        <f t="shared" si="16"/>
        <v>9746</v>
      </c>
      <c r="B4336" s="8"/>
      <c r="C4336" s="8">
        <v>9746</v>
      </c>
      <c r="D4336">
        <v>362</v>
      </c>
      <c r="E4336" t="s">
        <v>579</v>
      </c>
      <c r="F4336" t="s">
        <v>1444</v>
      </c>
      <c r="G4336" s="9">
        <v>44874</v>
      </c>
    </row>
    <row r="4337" spans="1:7" ht="14.25" customHeight="1">
      <c r="A4337" s="8">
        <f t="shared" ref="A4337:A4591" si="17">C4337-B4337</f>
        <v>325866</v>
      </c>
      <c r="B4337" s="8"/>
      <c r="C4337" s="8">
        <v>325866</v>
      </c>
    </row>
    <row r="4338" spans="1:7" ht="14.25" customHeight="1">
      <c r="A4338" s="8">
        <f t="shared" si="17"/>
        <v>650361</v>
      </c>
      <c r="B4338" s="8"/>
      <c r="C4338" s="8">
        <v>650361</v>
      </c>
      <c r="E4338">
        <v>9504009</v>
      </c>
      <c r="F4338" t="s">
        <v>521</v>
      </c>
      <c r="G4338" t="s">
        <v>581</v>
      </c>
    </row>
    <row r="4339" spans="1:7" ht="14.25" customHeight="1">
      <c r="A4339" s="8">
        <f t="shared" si="17"/>
        <v>0</v>
      </c>
      <c r="B4339" s="8"/>
      <c r="C4339" s="8"/>
      <c r="D4339" t="s">
        <v>522</v>
      </c>
      <c r="G4339">
        <v>9504011</v>
      </c>
    </row>
    <row r="4340" spans="1:7" ht="14.25" customHeight="1">
      <c r="A4340" s="8">
        <f t="shared" si="17"/>
        <v>0</v>
      </c>
      <c r="B4340" s="8"/>
      <c r="C4340" s="8"/>
      <c r="F4340" t="s">
        <v>1446</v>
      </c>
      <c r="G4340">
        <v>6254000</v>
      </c>
    </row>
    <row r="4341" spans="1:7" ht="14.25" customHeight="1">
      <c r="A4341" s="8">
        <f t="shared" si="17"/>
        <v>-6916</v>
      </c>
      <c r="B4341" s="8">
        <v>6916</v>
      </c>
      <c r="C4341" s="8"/>
      <c r="D4341">
        <v>446</v>
      </c>
      <c r="E4341" t="s">
        <v>579</v>
      </c>
      <c r="F4341" t="s">
        <v>1813</v>
      </c>
      <c r="G4341" s="9">
        <v>44895</v>
      </c>
    </row>
    <row r="4342" spans="1:7" ht="14.25" customHeight="1">
      <c r="A4342" s="8">
        <f t="shared" si="17"/>
        <v>478038</v>
      </c>
      <c r="B4342" s="8"/>
      <c r="C4342" s="8">
        <v>478038</v>
      </c>
      <c r="D4342">
        <v>431</v>
      </c>
      <c r="E4342" t="s">
        <v>579</v>
      </c>
      <c r="F4342" t="s">
        <v>1448</v>
      </c>
      <c r="G4342" s="9">
        <v>44924</v>
      </c>
    </row>
    <row r="4343" spans="1:7" ht="14.25" customHeight="1">
      <c r="A4343" s="8">
        <f t="shared" si="17"/>
        <v>365456</v>
      </c>
      <c r="B4343" s="8"/>
      <c r="C4343" s="8">
        <v>365456</v>
      </c>
      <c r="D4343">
        <v>431</v>
      </c>
      <c r="E4343" t="s">
        <v>579</v>
      </c>
      <c r="F4343" t="s">
        <v>1448</v>
      </c>
      <c r="G4343" s="9">
        <v>44924</v>
      </c>
    </row>
    <row r="4344" spans="1:7" ht="14.25" customHeight="1">
      <c r="A4344" s="8">
        <f t="shared" si="17"/>
        <v>-6974</v>
      </c>
      <c r="B4344" s="8">
        <v>6974</v>
      </c>
      <c r="C4344" s="8"/>
      <c r="D4344">
        <v>447</v>
      </c>
      <c r="E4344" t="s">
        <v>579</v>
      </c>
      <c r="F4344" t="s">
        <v>1814</v>
      </c>
      <c r="G4344" s="9">
        <v>44925</v>
      </c>
    </row>
    <row r="4345" spans="1:7" ht="14.25" customHeight="1">
      <c r="A4345" s="8">
        <f t="shared" si="17"/>
        <v>829604</v>
      </c>
      <c r="B4345" s="8">
        <v>13890</v>
      </c>
      <c r="C4345" s="8">
        <v>843494</v>
      </c>
    </row>
    <row r="4346" spans="1:7" ht="14.25" customHeight="1">
      <c r="A4346" s="8">
        <f t="shared" si="17"/>
        <v>0</v>
      </c>
      <c r="B4346" s="8"/>
      <c r="C4346" s="8"/>
      <c r="F4346" t="s">
        <v>1449</v>
      </c>
      <c r="G4346">
        <v>62580000</v>
      </c>
    </row>
    <row r="4347" spans="1:7" ht="14.25" customHeight="1">
      <c r="A4347" s="8">
        <f t="shared" si="17"/>
        <v>260300</v>
      </c>
      <c r="B4347" s="8"/>
      <c r="C4347" s="8">
        <v>260300</v>
      </c>
      <c r="D4347">
        <v>214</v>
      </c>
      <c r="E4347" t="s">
        <v>579</v>
      </c>
      <c r="F4347" t="s">
        <v>1662</v>
      </c>
      <c r="G4347" s="9">
        <v>44754</v>
      </c>
    </row>
    <row r="4348" spans="1:7" ht="14.25" customHeight="1">
      <c r="A4348" s="8">
        <f t="shared" si="17"/>
        <v>62071</v>
      </c>
      <c r="B4348" s="8"/>
      <c r="C4348" s="8">
        <v>62071</v>
      </c>
      <c r="D4348">
        <v>380</v>
      </c>
      <c r="E4348" t="s">
        <v>579</v>
      </c>
      <c r="F4348" t="s">
        <v>1450</v>
      </c>
      <c r="G4348" s="9">
        <v>44889</v>
      </c>
    </row>
    <row r="4349" spans="1:7" ht="14.25" customHeight="1">
      <c r="A4349" s="8">
        <f t="shared" si="17"/>
        <v>322371</v>
      </c>
      <c r="B4349" s="8"/>
      <c r="C4349" s="8">
        <v>322371</v>
      </c>
    </row>
    <row r="4350" spans="1:7" ht="14.25" customHeight="1">
      <c r="A4350" s="8">
        <f t="shared" si="17"/>
        <v>0</v>
      </c>
      <c r="B4350" s="8"/>
      <c r="C4350" s="8"/>
      <c r="F4350" t="s">
        <v>1349</v>
      </c>
      <c r="G4350">
        <v>63300000</v>
      </c>
    </row>
    <row r="4351" spans="1:7" ht="14.25" customHeight="1">
      <c r="A4351" s="8">
        <f t="shared" si="17"/>
        <v>230000</v>
      </c>
      <c r="B4351" s="8"/>
      <c r="C4351" s="8">
        <v>230000</v>
      </c>
      <c r="D4351">
        <v>252</v>
      </c>
      <c r="E4351" t="s">
        <v>579</v>
      </c>
      <c r="F4351" t="s">
        <v>1815</v>
      </c>
      <c r="G4351" s="9">
        <v>44803</v>
      </c>
    </row>
    <row r="4352" spans="1:7" ht="14.25" customHeight="1">
      <c r="A4352" s="8">
        <f t="shared" si="17"/>
        <v>230000</v>
      </c>
      <c r="B4352" s="8"/>
      <c r="C4352" s="8">
        <v>230000</v>
      </c>
    </row>
    <row r="4353" spans="1:7" ht="14.25" customHeight="1">
      <c r="A4353" s="8">
        <f t="shared" si="17"/>
        <v>1381975</v>
      </c>
      <c r="B4353" s="8">
        <v>13890</v>
      </c>
      <c r="C4353" s="8">
        <v>1395865</v>
      </c>
      <c r="E4353">
        <v>9504011</v>
      </c>
      <c r="F4353" t="s">
        <v>522</v>
      </c>
      <c r="G4353" t="s">
        <v>581</v>
      </c>
    </row>
    <row r="4354" spans="1:7" ht="14.25" customHeight="1">
      <c r="A4354" s="8">
        <f t="shared" si="17"/>
        <v>0</v>
      </c>
      <c r="B4354" s="8"/>
      <c r="C4354" s="8"/>
      <c r="D4354" t="s">
        <v>523</v>
      </c>
      <c r="G4354">
        <v>9504013</v>
      </c>
    </row>
    <row r="4355" spans="1:7" ht="14.25" customHeight="1">
      <c r="A4355" s="8">
        <f t="shared" si="17"/>
        <v>0</v>
      </c>
      <c r="B4355" s="8"/>
      <c r="C4355" s="8"/>
      <c r="F4355" t="s">
        <v>1194</v>
      </c>
      <c r="G4355">
        <v>60531000</v>
      </c>
    </row>
    <row r="4356" spans="1:7" ht="14.25" customHeight="1">
      <c r="A4356" s="8">
        <f t="shared" si="17"/>
        <v>-80500</v>
      </c>
      <c r="B4356" s="8">
        <v>80500</v>
      </c>
      <c r="C4356" s="8"/>
      <c r="D4356">
        <v>120397</v>
      </c>
      <c r="E4356" t="s">
        <v>587</v>
      </c>
      <c r="F4356" t="s">
        <v>1816</v>
      </c>
      <c r="G4356" s="9">
        <v>44925</v>
      </c>
    </row>
    <row r="4357" spans="1:7" ht="14.25" customHeight="1">
      <c r="A4357" s="8">
        <f t="shared" si="17"/>
        <v>-80500</v>
      </c>
      <c r="B4357" s="8">
        <v>80500</v>
      </c>
      <c r="C4357" s="8"/>
    </row>
    <row r="4358" spans="1:7" ht="14.25" customHeight="1">
      <c r="A4358" s="8">
        <f t="shared" si="17"/>
        <v>0</v>
      </c>
      <c r="B4358" s="8"/>
      <c r="C4358" s="8"/>
      <c r="F4358" t="s">
        <v>778</v>
      </c>
      <c r="G4358">
        <v>60532000</v>
      </c>
    </row>
    <row r="4359" spans="1:7" ht="14.25" customHeight="1">
      <c r="A4359" s="8">
        <f t="shared" si="17"/>
        <v>80500</v>
      </c>
      <c r="B4359" s="8"/>
      <c r="C4359" s="8">
        <v>80500</v>
      </c>
      <c r="D4359">
        <v>222</v>
      </c>
      <c r="E4359" t="s">
        <v>587</v>
      </c>
      <c r="F4359" t="s">
        <v>1817</v>
      </c>
      <c r="G4359" s="9">
        <v>44742</v>
      </c>
    </row>
    <row r="4360" spans="1:7" ht="14.25" customHeight="1">
      <c r="A4360" s="8">
        <f t="shared" si="17"/>
        <v>80500</v>
      </c>
      <c r="B4360" s="8"/>
      <c r="C4360" s="8">
        <v>80500</v>
      </c>
    </row>
    <row r="4361" spans="1:7" ht="14.25" customHeight="1">
      <c r="A4361" s="8">
        <f t="shared" si="17"/>
        <v>0</v>
      </c>
      <c r="B4361" s="8"/>
      <c r="C4361" s="8"/>
      <c r="F4361" t="s">
        <v>592</v>
      </c>
      <c r="G4361">
        <v>63833</v>
      </c>
    </row>
    <row r="4362" spans="1:7" ht="14.25" customHeight="1">
      <c r="A4362" s="8">
        <f t="shared" si="17"/>
        <v>4025</v>
      </c>
      <c r="B4362" s="8"/>
      <c r="C4362" s="8">
        <v>4025</v>
      </c>
      <c r="D4362">
        <v>222</v>
      </c>
      <c r="E4362" t="s">
        <v>587</v>
      </c>
      <c r="F4362" t="s">
        <v>1817</v>
      </c>
      <c r="G4362" s="9">
        <v>44742</v>
      </c>
    </row>
    <row r="4363" spans="1:7" ht="14.25" customHeight="1">
      <c r="A4363" s="8">
        <f t="shared" si="17"/>
        <v>-4025</v>
      </c>
      <c r="B4363" s="8">
        <v>4025</v>
      </c>
      <c r="C4363" s="8"/>
      <c r="D4363">
        <v>120397</v>
      </c>
      <c r="E4363" t="s">
        <v>587</v>
      </c>
      <c r="F4363" t="s">
        <v>1816</v>
      </c>
      <c r="G4363" s="9">
        <v>44925</v>
      </c>
    </row>
    <row r="4364" spans="1:7" ht="14.25" customHeight="1">
      <c r="A4364" s="8">
        <f t="shared" si="17"/>
        <v>0</v>
      </c>
      <c r="B4364" s="8">
        <v>4025</v>
      </c>
      <c r="C4364" s="8">
        <v>4025</v>
      </c>
    </row>
    <row r="4365" spans="1:7" ht="14.25" customHeight="1">
      <c r="A4365" s="8">
        <f t="shared" si="17"/>
        <v>0</v>
      </c>
      <c r="B4365" s="8"/>
      <c r="C4365" s="8"/>
      <c r="F4365" t="s">
        <v>1271</v>
      </c>
      <c r="G4365">
        <v>63842000</v>
      </c>
    </row>
    <row r="4366" spans="1:7" ht="14.25" customHeight="1">
      <c r="A4366" s="8">
        <f t="shared" si="17"/>
        <v>333500</v>
      </c>
      <c r="B4366" s="8"/>
      <c r="C4366" s="8">
        <v>333500</v>
      </c>
      <c r="D4366">
        <v>19</v>
      </c>
      <c r="E4366" t="s">
        <v>667</v>
      </c>
      <c r="F4366" t="s">
        <v>1818</v>
      </c>
      <c r="G4366" s="9">
        <v>44610</v>
      </c>
    </row>
    <row r="4367" spans="1:7" ht="14.25" customHeight="1">
      <c r="A4367" s="8">
        <f t="shared" si="17"/>
        <v>276000</v>
      </c>
      <c r="B4367" s="8"/>
      <c r="C4367" s="8">
        <v>276000</v>
      </c>
      <c r="D4367">
        <v>60</v>
      </c>
      <c r="E4367" t="s">
        <v>587</v>
      </c>
      <c r="F4367" t="s">
        <v>1819</v>
      </c>
      <c r="G4367" s="9">
        <v>44610</v>
      </c>
    </row>
    <row r="4368" spans="1:7" ht="14.25" customHeight="1">
      <c r="A4368" s="8">
        <f t="shared" si="17"/>
        <v>57500</v>
      </c>
      <c r="B4368" s="8"/>
      <c r="C4368" s="8">
        <v>57500</v>
      </c>
      <c r="D4368">
        <v>222</v>
      </c>
      <c r="E4368" t="s">
        <v>587</v>
      </c>
      <c r="F4368" t="s">
        <v>1817</v>
      </c>
      <c r="G4368" s="9">
        <v>44742</v>
      </c>
    </row>
    <row r="4369" spans="1:7" ht="14.25" customHeight="1">
      <c r="A4369" s="8">
        <f t="shared" si="17"/>
        <v>276000</v>
      </c>
      <c r="B4369" s="8"/>
      <c r="C4369" s="8">
        <v>276000</v>
      </c>
      <c r="D4369">
        <v>222</v>
      </c>
      <c r="E4369" t="s">
        <v>587</v>
      </c>
      <c r="F4369" t="s">
        <v>1817</v>
      </c>
      <c r="G4369" s="9">
        <v>44742</v>
      </c>
    </row>
    <row r="4370" spans="1:7" ht="14.25" customHeight="1">
      <c r="A4370" s="8">
        <f t="shared" si="17"/>
        <v>-57500</v>
      </c>
      <c r="B4370" s="8">
        <v>57500</v>
      </c>
      <c r="C4370" s="8"/>
      <c r="D4370">
        <v>120397</v>
      </c>
      <c r="E4370" t="s">
        <v>587</v>
      </c>
      <c r="F4370" t="s">
        <v>1816</v>
      </c>
      <c r="G4370" s="9">
        <v>44925</v>
      </c>
    </row>
    <row r="4371" spans="1:7" ht="14.25" customHeight="1">
      <c r="A4371" s="8">
        <f t="shared" si="17"/>
        <v>-276000</v>
      </c>
      <c r="B4371" s="8">
        <v>276000</v>
      </c>
      <c r="C4371" s="8"/>
      <c r="D4371">
        <v>120397</v>
      </c>
      <c r="E4371" t="s">
        <v>587</v>
      </c>
      <c r="F4371" t="s">
        <v>1816</v>
      </c>
      <c r="G4371" s="9">
        <v>44925</v>
      </c>
    </row>
    <row r="4372" spans="1:7" ht="14.25" customHeight="1">
      <c r="A4372" s="8">
        <f t="shared" si="17"/>
        <v>609500</v>
      </c>
      <c r="B4372" s="8">
        <v>333500</v>
      </c>
      <c r="C4372" s="8">
        <v>943000</v>
      </c>
    </row>
    <row r="4373" spans="1:7" ht="14.25" customHeight="1">
      <c r="A4373" s="8">
        <f t="shared" si="17"/>
        <v>609500</v>
      </c>
      <c r="B4373" s="8">
        <v>418025</v>
      </c>
      <c r="C4373" s="8">
        <v>1027525</v>
      </c>
      <c r="E4373">
        <v>9504013</v>
      </c>
      <c r="F4373" t="s">
        <v>523</v>
      </c>
      <c r="G4373" t="s">
        <v>581</v>
      </c>
    </row>
    <row r="4374" spans="1:7" ht="14.25" customHeight="1">
      <c r="A4374" s="8">
        <f t="shared" si="17"/>
        <v>0</v>
      </c>
      <c r="B4374" s="8"/>
      <c r="C4374" s="8"/>
      <c r="D4374" t="s">
        <v>524</v>
      </c>
      <c r="G4374">
        <v>9504015</v>
      </c>
    </row>
    <row r="4375" spans="1:7" ht="14.25" customHeight="1">
      <c r="A4375" s="8">
        <f t="shared" si="17"/>
        <v>0</v>
      </c>
      <c r="B4375" s="8"/>
      <c r="C4375" s="8"/>
      <c r="F4375" t="s">
        <v>1172</v>
      </c>
      <c r="G4375">
        <v>60550000</v>
      </c>
    </row>
    <row r="4376" spans="1:7" ht="14.25" customHeight="1">
      <c r="A4376" s="8">
        <f t="shared" si="17"/>
        <v>59800</v>
      </c>
      <c r="B4376" s="8"/>
      <c r="C4376" s="8">
        <v>59800</v>
      </c>
      <c r="D4376">
        <v>20</v>
      </c>
      <c r="E4376" t="s">
        <v>579</v>
      </c>
      <c r="F4376" t="s">
        <v>1820</v>
      </c>
      <c r="G4376" s="9">
        <v>44613</v>
      </c>
    </row>
    <row r="4377" spans="1:7" ht="14.25" customHeight="1">
      <c r="A4377" s="8">
        <f t="shared" si="17"/>
        <v>40250</v>
      </c>
      <c r="B4377" s="8"/>
      <c r="C4377" s="8">
        <v>40250</v>
      </c>
      <c r="D4377">
        <v>283</v>
      </c>
      <c r="E4377" t="s">
        <v>579</v>
      </c>
      <c r="F4377" t="s">
        <v>1670</v>
      </c>
      <c r="G4377" s="9">
        <v>44812</v>
      </c>
    </row>
    <row r="4378" spans="1:7" ht="14.25" customHeight="1">
      <c r="A4378" s="8">
        <f t="shared" si="17"/>
        <v>100050</v>
      </c>
      <c r="B4378" s="8"/>
      <c r="C4378" s="8">
        <v>100050</v>
      </c>
    </row>
    <row r="4379" spans="1:7" ht="14.25" customHeight="1">
      <c r="A4379" s="8">
        <f t="shared" si="17"/>
        <v>0</v>
      </c>
      <c r="B4379" s="8"/>
      <c r="C4379" s="8"/>
      <c r="F4379" t="s">
        <v>1504</v>
      </c>
      <c r="G4379">
        <v>61830000</v>
      </c>
    </row>
    <row r="4380" spans="1:7" ht="14.25" customHeight="1">
      <c r="A4380" s="8">
        <f t="shared" si="17"/>
        <v>1150</v>
      </c>
      <c r="B4380" s="8"/>
      <c r="C4380" s="8">
        <v>1150</v>
      </c>
      <c r="D4380">
        <v>21</v>
      </c>
      <c r="E4380" t="s">
        <v>667</v>
      </c>
      <c r="F4380" t="s">
        <v>1719</v>
      </c>
      <c r="G4380" s="9">
        <v>44610</v>
      </c>
    </row>
    <row r="4381" spans="1:7" ht="14.25" customHeight="1">
      <c r="A4381" s="8">
        <f t="shared" si="17"/>
        <v>5750</v>
      </c>
      <c r="B4381" s="8"/>
      <c r="C4381" s="8">
        <v>5750</v>
      </c>
      <c r="D4381">
        <v>96</v>
      </c>
      <c r="E4381" t="s">
        <v>667</v>
      </c>
      <c r="F4381" t="s">
        <v>1821</v>
      </c>
      <c r="G4381" s="9">
        <v>44708</v>
      </c>
    </row>
    <row r="4382" spans="1:7" ht="14.25" customHeight="1">
      <c r="A4382" s="8">
        <f t="shared" si="17"/>
        <v>6900</v>
      </c>
      <c r="B4382" s="8"/>
      <c r="C4382" s="8">
        <v>6900</v>
      </c>
    </row>
    <row r="4383" spans="1:7" ht="14.25" customHeight="1">
      <c r="A4383" s="8">
        <f t="shared" si="17"/>
        <v>0</v>
      </c>
      <c r="B4383" s="8"/>
      <c r="C4383" s="8"/>
      <c r="F4383" t="s">
        <v>1514</v>
      </c>
      <c r="G4383">
        <v>63831000</v>
      </c>
    </row>
    <row r="4384" spans="1:7" ht="14.25" customHeight="1">
      <c r="A4384" s="8">
        <f t="shared" si="17"/>
        <v>204240</v>
      </c>
      <c r="B4384" s="8"/>
      <c r="C4384" s="8">
        <v>204240</v>
      </c>
      <c r="D4384">
        <v>45</v>
      </c>
      <c r="E4384" t="s">
        <v>579</v>
      </c>
      <c r="F4384" t="s">
        <v>1822</v>
      </c>
      <c r="G4384" s="9">
        <v>44629</v>
      </c>
    </row>
    <row r="4385" spans="1:7" ht="14.25" customHeight="1">
      <c r="A4385" s="8">
        <f t="shared" si="17"/>
        <v>34500</v>
      </c>
      <c r="B4385" s="8"/>
      <c r="C4385" s="8">
        <v>34500</v>
      </c>
      <c r="D4385">
        <v>42</v>
      </c>
      <c r="E4385" t="s">
        <v>667</v>
      </c>
      <c r="F4385" t="s">
        <v>1823</v>
      </c>
      <c r="G4385" s="9">
        <v>44638</v>
      </c>
    </row>
    <row r="4386" spans="1:7" ht="14.25" customHeight="1">
      <c r="A4386" s="8">
        <f t="shared" si="17"/>
        <v>238740</v>
      </c>
      <c r="B4386" s="8"/>
      <c r="C4386" s="8">
        <v>238740</v>
      </c>
    </row>
    <row r="4387" spans="1:7" ht="14.25" customHeight="1">
      <c r="A4387" s="8">
        <f t="shared" si="17"/>
        <v>0</v>
      </c>
      <c r="B4387" s="8"/>
      <c r="C4387" s="8"/>
      <c r="F4387" t="s">
        <v>592</v>
      </c>
      <c r="G4387">
        <v>63833</v>
      </c>
    </row>
    <row r="4388" spans="1:7" ht="14.25" customHeight="1">
      <c r="A4388" s="8">
        <f t="shared" si="17"/>
        <v>58075</v>
      </c>
      <c r="B4388" s="8"/>
      <c r="C4388" s="8">
        <v>58075</v>
      </c>
      <c r="D4388">
        <v>136</v>
      </c>
      <c r="E4388" t="s">
        <v>667</v>
      </c>
      <c r="F4388" t="s">
        <v>1824</v>
      </c>
      <c r="G4388" s="9">
        <v>44743</v>
      </c>
    </row>
    <row r="4389" spans="1:7" ht="14.25" customHeight="1">
      <c r="A4389" s="8">
        <f t="shared" si="17"/>
        <v>8050</v>
      </c>
      <c r="B4389" s="8"/>
      <c r="C4389" s="8">
        <v>8050</v>
      </c>
      <c r="D4389">
        <v>143</v>
      </c>
      <c r="E4389" t="s">
        <v>667</v>
      </c>
      <c r="F4389" t="s">
        <v>1825</v>
      </c>
      <c r="G4389" s="9">
        <v>44761</v>
      </c>
    </row>
    <row r="4390" spans="1:7" ht="14.25" customHeight="1">
      <c r="A4390" s="8">
        <f t="shared" si="17"/>
        <v>21850</v>
      </c>
      <c r="B4390" s="8"/>
      <c r="C4390" s="8">
        <v>21850</v>
      </c>
      <c r="D4390">
        <v>145</v>
      </c>
      <c r="E4390" t="s">
        <v>667</v>
      </c>
      <c r="F4390" t="s">
        <v>1826</v>
      </c>
      <c r="G4390" s="9">
        <v>44761</v>
      </c>
    </row>
    <row r="4391" spans="1:7" ht="14.25" customHeight="1">
      <c r="A4391" s="8">
        <f t="shared" si="17"/>
        <v>24725</v>
      </c>
      <c r="B4391" s="8"/>
      <c r="C4391" s="8">
        <v>24725</v>
      </c>
      <c r="D4391">
        <v>150</v>
      </c>
      <c r="E4391" t="s">
        <v>667</v>
      </c>
      <c r="F4391" t="s">
        <v>1827</v>
      </c>
      <c r="G4391" s="9">
        <v>44761</v>
      </c>
    </row>
    <row r="4392" spans="1:7" ht="14.25" customHeight="1">
      <c r="A4392" s="8">
        <f t="shared" si="17"/>
        <v>59225</v>
      </c>
      <c r="B4392" s="8"/>
      <c r="C4392" s="8">
        <v>59225</v>
      </c>
      <c r="D4392">
        <v>148</v>
      </c>
      <c r="E4392" t="s">
        <v>667</v>
      </c>
      <c r="F4392" t="s">
        <v>1828</v>
      </c>
      <c r="G4392" s="9">
        <v>44762</v>
      </c>
    </row>
    <row r="4393" spans="1:7" ht="14.25" customHeight="1">
      <c r="A4393" s="8">
        <f t="shared" si="17"/>
        <v>41400</v>
      </c>
      <c r="B4393" s="8"/>
      <c r="C4393" s="8">
        <v>41400</v>
      </c>
      <c r="D4393">
        <v>153</v>
      </c>
      <c r="E4393" t="s">
        <v>667</v>
      </c>
      <c r="F4393" t="s">
        <v>1805</v>
      </c>
      <c r="G4393" s="9">
        <v>44764</v>
      </c>
    </row>
    <row r="4394" spans="1:7" ht="14.25" customHeight="1">
      <c r="A4394" s="8">
        <f t="shared" si="17"/>
        <v>14662</v>
      </c>
      <c r="B4394" s="8"/>
      <c r="C4394" s="8">
        <v>14662</v>
      </c>
      <c r="D4394">
        <v>163</v>
      </c>
      <c r="E4394" t="s">
        <v>667</v>
      </c>
      <c r="F4394" t="s">
        <v>1539</v>
      </c>
      <c r="G4394" s="9">
        <v>44783</v>
      </c>
    </row>
    <row r="4395" spans="1:7" ht="14.25" customHeight="1">
      <c r="A4395" s="8">
        <f t="shared" si="17"/>
        <v>1035</v>
      </c>
      <c r="B4395" s="8"/>
      <c r="C4395" s="8">
        <v>1035</v>
      </c>
      <c r="D4395">
        <v>161</v>
      </c>
      <c r="E4395" t="s">
        <v>667</v>
      </c>
      <c r="F4395" t="s">
        <v>1540</v>
      </c>
      <c r="G4395" s="9">
        <v>44783</v>
      </c>
    </row>
    <row r="4396" spans="1:7" ht="14.25" customHeight="1">
      <c r="A4396" s="8">
        <f t="shared" si="17"/>
        <v>16790</v>
      </c>
      <c r="B4396" s="8"/>
      <c r="C4396" s="8">
        <v>16790</v>
      </c>
      <c r="D4396">
        <v>164</v>
      </c>
      <c r="E4396" t="s">
        <v>667</v>
      </c>
      <c r="F4396" t="s">
        <v>1541</v>
      </c>
      <c r="G4396" s="9">
        <v>44784</v>
      </c>
    </row>
    <row r="4397" spans="1:7" ht="14.25" customHeight="1">
      <c r="A4397" s="8">
        <f t="shared" si="17"/>
        <v>33235</v>
      </c>
      <c r="B4397" s="8"/>
      <c r="C4397" s="8">
        <v>33235</v>
      </c>
      <c r="D4397">
        <v>181</v>
      </c>
      <c r="E4397" t="s">
        <v>667</v>
      </c>
      <c r="F4397" t="s">
        <v>1829</v>
      </c>
      <c r="G4397" s="9">
        <v>44796</v>
      </c>
    </row>
    <row r="4398" spans="1:7" ht="14.25" customHeight="1">
      <c r="A4398" s="8">
        <f t="shared" si="17"/>
        <v>1035</v>
      </c>
      <c r="B4398" s="8"/>
      <c r="C4398" s="8">
        <v>1035</v>
      </c>
      <c r="D4398">
        <v>183</v>
      </c>
      <c r="E4398" t="s">
        <v>667</v>
      </c>
      <c r="F4398" t="s">
        <v>1544</v>
      </c>
      <c r="G4398" s="9">
        <v>44802</v>
      </c>
    </row>
    <row r="4399" spans="1:7" ht="14.25" customHeight="1">
      <c r="A4399" s="8">
        <f t="shared" si="17"/>
        <v>205850</v>
      </c>
      <c r="B4399" s="8"/>
      <c r="C4399" s="8">
        <v>205850</v>
      </c>
      <c r="D4399">
        <v>325</v>
      </c>
      <c r="E4399" t="s">
        <v>579</v>
      </c>
      <c r="F4399" t="s">
        <v>1830</v>
      </c>
      <c r="G4399" s="9">
        <v>44858</v>
      </c>
    </row>
    <row r="4400" spans="1:7" ht="14.25" customHeight="1">
      <c r="A4400" s="8">
        <f t="shared" si="17"/>
        <v>99590</v>
      </c>
      <c r="B4400" s="8"/>
      <c r="C4400" s="8">
        <v>99590</v>
      </c>
      <c r="D4400">
        <v>352</v>
      </c>
      <c r="E4400" t="s">
        <v>579</v>
      </c>
      <c r="F4400" t="s">
        <v>1831</v>
      </c>
      <c r="G4400" s="9">
        <v>44874</v>
      </c>
    </row>
    <row r="4401" spans="1:7" ht="14.25" customHeight="1">
      <c r="A4401" s="8">
        <f t="shared" si="17"/>
        <v>585523</v>
      </c>
      <c r="B4401" s="8"/>
      <c r="C4401" s="8">
        <v>585523</v>
      </c>
    </row>
    <row r="4402" spans="1:7" ht="14.25" customHeight="1">
      <c r="A4402" s="8">
        <f t="shared" si="17"/>
        <v>931212</v>
      </c>
      <c r="B4402" s="8"/>
      <c r="C4402" s="8">
        <v>931212</v>
      </c>
      <c r="E4402">
        <v>9504015</v>
      </c>
      <c r="F4402" t="s">
        <v>524</v>
      </c>
      <c r="G4402" t="s">
        <v>581</v>
      </c>
    </row>
    <row r="4403" spans="1:7" ht="14.25" customHeight="1">
      <c r="A4403" s="8">
        <f t="shared" si="17"/>
        <v>0</v>
      </c>
      <c r="B4403" s="8"/>
      <c r="C4403" s="8"/>
      <c r="D4403" t="s">
        <v>525</v>
      </c>
      <c r="G4403">
        <v>9504016</v>
      </c>
    </row>
    <row r="4404" spans="1:7" ht="14.25" customHeight="1">
      <c r="A4404" s="8">
        <f t="shared" si="17"/>
        <v>0</v>
      </c>
      <c r="B4404" s="8"/>
      <c r="C4404" s="8"/>
      <c r="F4404" t="s">
        <v>1559</v>
      </c>
      <c r="G4404">
        <v>63181000</v>
      </c>
    </row>
    <row r="4405" spans="1:7" ht="14.25" customHeight="1">
      <c r="A4405" s="8">
        <f t="shared" si="17"/>
        <v>345</v>
      </c>
      <c r="B4405" s="8"/>
      <c r="C4405" s="8">
        <v>345</v>
      </c>
      <c r="D4405">
        <v>271</v>
      </c>
      <c r="E4405" t="s">
        <v>587</v>
      </c>
      <c r="F4405" t="s">
        <v>1832</v>
      </c>
      <c r="G4405" s="9">
        <v>44575</v>
      </c>
    </row>
    <row r="4406" spans="1:7" ht="14.25" customHeight="1">
      <c r="A4406" s="8">
        <f t="shared" si="17"/>
        <v>35</v>
      </c>
      <c r="B4406" s="8"/>
      <c r="C4406" s="8">
        <v>35</v>
      </c>
      <c r="D4406">
        <v>272</v>
      </c>
      <c r="E4406" t="s">
        <v>587</v>
      </c>
      <c r="F4406" t="s">
        <v>1832</v>
      </c>
      <c r="G4406" s="9">
        <v>44575</v>
      </c>
    </row>
    <row r="4407" spans="1:7" ht="14.25" customHeight="1">
      <c r="A4407" s="8">
        <f t="shared" si="17"/>
        <v>345</v>
      </c>
      <c r="B4407" s="8"/>
      <c r="C4407" s="8">
        <v>345</v>
      </c>
      <c r="D4407">
        <v>288</v>
      </c>
      <c r="E4407" t="s">
        <v>587</v>
      </c>
      <c r="F4407" t="s">
        <v>1833</v>
      </c>
      <c r="G4407" s="9">
        <v>44580</v>
      </c>
    </row>
    <row r="4408" spans="1:7" ht="14.25" customHeight="1">
      <c r="A4408" s="8">
        <f t="shared" si="17"/>
        <v>35</v>
      </c>
      <c r="B4408" s="8"/>
      <c r="C4408" s="8">
        <v>35</v>
      </c>
      <c r="D4408">
        <v>290</v>
      </c>
      <c r="E4408" t="s">
        <v>587</v>
      </c>
      <c r="F4408" t="s">
        <v>1833</v>
      </c>
      <c r="G4408" s="9">
        <v>44580</v>
      </c>
    </row>
    <row r="4409" spans="1:7" ht="14.25" customHeight="1">
      <c r="A4409" s="8">
        <f t="shared" si="17"/>
        <v>35</v>
      </c>
      <c r="B4409" s="8"/>
      <c r="C4409" s="8">
        <v>35</v>
      </c>
      <c r="D4409">
        <v>293</v>
      </c>
      <c r="E4409" t="s">
        <v>587</v>
      </c>
      <c r="F4409" t="s">
        <v>1834</v>
      </c>
      <c r="G4409" s="9">
        <v>44580</v>
      </c>
    </row>
    <row r="4410" spans="1:7" ht="14.25" customHeight="1">
      <c r="A4410" s="8">
        <f t="shared" si="17"/>
        <v>35</v>
      </c>
      <c r="B4410" s="8"/>
      <c r="C4410" s="8">
        <v>35</v>
      </c>
      <c r="D4410">
        <v>314</v>
      </c>
      <c r="E4410" t="s">
        <v>587</v>
      </c>
      <c r="F4410" t="s">
        <v>1734</v>
      </c>
      <c r="G4410" s="9">
        <v>44593</v>
      </c>
    </row>
    <row r="4411" spans="1:7" ht="14.25" customHeight="1">
      <c r="A4411" s="8">
        <f t="shared" si="17"/>
        <v>379</v>
      </c>
      <c r="B4411" s="8"/>
      <c r="C4411" s="8">
        <v>379</v>
      </c>
      <c r="D4411">
        <v>648</v>
      </c>
      <c r="E4411" t="s">
        <v>587</v>
      </c>
      <c r="F4411" t="s">
        <v>1835</v>
      </c>
      <c r="G4411" s="9">
        <v>44721</v>
      </c>
    </row>
    <row r="4412" spans="1:7" ht="14.25" customHeight="1">
      <c r="A4412" s="8">
        <f t="shared" si="17"/>
        <v>379</v>
      </c>
      <c r="B4412" s="8"/>
      <c r="C4412" s="8">
        <v>379</v>
      </c>
      <c r="D4412">
        <v>884</v>
      </c>
      <c r="E4412" t="s">
        <v>587</v>
      </c>
      <c r="F4412" t="s">
        <v>1571</v>
      </c>
      <c r="G4412" s="9">
        <v>44900</v>
      </c>
    </row>
    <row r="4413" spans="1:7" ht="14.25" customHeight="1">
      <c r="A4413" s="8">
        <f t="shared" si="17"/>
        <v>379</v>
      </c>
      <c r="B4413" s="8"/>
      <c r="C4413" s="8">
        <v>379</v>
      </c>
      <c r="D4413">
        <v>892</v>
      </c>
      <c r="E4413" t="s">
        <v>587</v>
      </c>
      <c r="F4413" t="s">
        <v>1571</v>
      </c>
      <c r="G4413" s="9">
        <v>44900</v>
      </c>
    </row>
    <row r="4414" spans="1:7" ht="14.25" customHeight="1">
      <c r="A4414" s="8">
        <f t="shared" si="17"/>
        <v>379</v>
      </c>
      <c r="B4414" s="8"/>
      <c r="C4414" s="8">
        <v>379</v>
      </c>
      <c r="D4414">
        <v>937</v>
      </c>
      <c r="E4414" t="s">
        <v>587</v>
      </c>
      <c r="F4414" t="s">
        <v>1595</v>
      </c>
      <c r="G4414" s="9">
        <v>44914</v>
      </c>
    </row>
    <row r="4415" spans="1:7" ht="14.25" customHeight="1">
      <c r="A4415" s="8">
        <f t="shared" si="17"/>
        <v>379</v>
      </c>
      <c r="B4415" s="8"/>
      <c r="C4415" s="8">
        <v>379</v>
      </c>
      <c r="D4415">
        <v>943</v>
      </c>
      <c r="E4415" t="s">
        <v>587</v>
      </c>
      <c r="F4415" t="s">
        <v>1571</v>
      </c>
      <c r="G4415" s="9">
        <v>44914</v>
      </c>
    </row>
    <row r="4416" spans="1:7" ht="14.25" customHeight="1">
      <c r="A4416" s="8">
        <f t="shared" si="17"/>
        <v>2726</v>
      </c>
      <c r="B4416" s="8"/>
      <c r="C4416" s="8">
        <v>2726</v>
      </c>
    </row>
    <row r="4417" spans="1:7" ht="14.25" customHeight="1">
      <c r="A4417" s="8">
        <f t="shared" si="17"/>
        <v>0</v>
      </c>
      <c r="B4417" s="8"/>
      <c r="C4417" s="8"/>
      <c r="F4417" t="s">
        <v>1836</v>
      </c>
      <c r="G4417">
        <v>6381</v>
      </c>
    </row>
    <row r="4418" spans="1:7" ht="14.25" customHeight="1">
      <c r="A4418" s="8">
        <f t="shared" si="17"/>
        <v>345</v>
      </c>
      <c r="B4418" s="8"/>
      <c r="C4418" s="8">
        <v>345</v>
      </c>
      <c r="D4418">
        <v>291</v>
      </c>
      <c r="E4418" t="s">
        <v>587</v>
      </c>
      <c r="F4418" t="s">
        <v>1834</v>
      </c>
      <c r="G4418" s="9">
        <v>44580</v>
      </c>
    </row>
    <row r="4419" spans="1:7" ht="14.25" customHeight="1">
      <c r="A4419" s="8">
        <f t="shared" si="17"/>
        <v>345</v>
      </c>
      <c r="B4419" s="8"/>
      <c r="C4419" s="8">
        <v>345</v>
      </c>
    </row>
    <row r="4420" spans="1:7" ht="14.25" customHeight="1">
      <c r="A4420" s="8">
        <f t="shared" si="17"/>
        <v>3070</v>
      </c>
      <c r="B4420" s="8"/>
      <c r="C4420" s="8">
        <v>3070</v>
      </c>
      <c r="E4420">
        <v>9504016</v>
      </c>
      <c r="F4420" t="s">
        <v>525</v>
      </c>
      <c r="G4420" t="s">
        <v>581</v>
      </c>
    </row>
    <row r="4421" spans="1:7" ht="14.25" customHeight="1">
      <c r="A4421" s="8">
        <f t="shared" si="17"/>
        <v>0</v>
      </c>
      <c r="B4421" s="8"/>
      <c r="C4421" s="8"/>
      <c r="D4421" t="s">
        <v>526</v>
      </c>
      <c r="G4421">
        <v>9504019</v>
      </c>
    </row>
    <row r="4422" spans="1:7" ht="14.25" customHeight="1">
      <c r="A4422" s="8">
        <f t="shared" si="17"/>
        <v>0</v>
      </c>
      <c r="B4422" s="8"/>
      <c r="C4422" s="8"/>
      <c r="F4422" t="s">
        <v>1470</v>
      </c>
      <c r="G4422">
        <v>65820000</v>
      </c>
    </row>
    <row r="4423" spans="1:7" ht="14.25" customHeight="1">
      <c r="A4423" s="8">
        <f t="shared" si="17"/>
        <v>345000</v>
      </c>
      <c r="B4423" s="8"/>
      <c r="C4423" s="8">
        <v>345000</v>
      </c>
      <c r="D4423">
        <v>440</v>
      </c>
      <c r="E4423" t="s">
        <v>587</v>
      </c>
      <c r="F4423" t="s">
        <v>1837</v>
      </c>
      <c r="G4423" s="9">
        <v>44834</v>
      </c>
    </row>
    <row r="4424" spans="1:7" ht="14.25" customHeight="1">
      <c r="A4424" s="8">
        <f t="shared" si="17"/>
        <v>345000</v>
      </c>
      <c r="B4424" s="8"/>
      <c r="C4424" s="8">
        <v>345000</v>
      </c>
    </row>
    <row r="4425" spans="1:7" ht="14.25" customHeight="1">
      <c r="A4425" s="8">
        <f t="shared" si="17"/>
        <v>345000</v>
      </c>
      <c r="B4425" s="8"/>
      <c r="C4425" s="8">
        <v>345000</v>
      </c>
      <c r="E4425">
        <v>9504019</v>
      </c>
      <c r="F4425" t="s">
        <v>526</v>
      </c>
      <c r="G4425" t="s">
        <v>581</v>
      </c>
    </row>
    <row r="4426" spans="1:7" ht="14.25" customHeight="1">
      <c r="A4426" s="8">
        <f t="shared" si="17"/>
        <v>6252169</v>
      </c>
      <c r="B4426" s="8">
        <v>431915</v>
      </c>
      <c r="C4426" s="8">
        <v>6684084</v>
      </c>
      <c r="E4426">
        <v>95040</v>
      </c>
      <c r="F4426" t="s">
        <v>527</v>
      </c>
      <c r="G4426" t="s">
        <v>581</v>
      </c>
    </row>
    <row r="4427" spans="1:7" ht="14.25" customHeight="1">
      <c r="A4427" s="8">
        <f t="shared" si="17"/>
        <v>0</v>
      </c>
      <c r="B4427" s="8"/>
      <c r="C4427" s="8"/>
      <c r="D4427" t="s">
        <v>528</v>
      </c>
      <c r="G4427">
        <v>9506003</v>
      </c>
    </row>
    <row r="4428" spans="1:7" ht="14.25" customHeight="1">
      <c r="A4428" s="8">
        <f t="shared" si="17"/>
        <v>0</v>
      </c>
      <c r="B4428" s="8"/>
      <c r="C4428" s="8"/>
      <c r="F4428" t="s">
        <v>1202</v>
      </c>
      <c r="G4428">
        <v>63180000</v>
      </c>
    </row>
    <row r="4429" spans="1:7" ht="14.25" customHeight="1">
      <c r="A4429" s="8">
        <f t="shared" si="17"/>
        <v>17871</v>
      </c>
      <c r="B4429" s="8"/>
      <c r="C4429" s="8">
        <v>17871</v>
      </c>
      <c r="D4429">
        <v>156</v>
      </c>
      <c r="E4429" t="s">
        <v>594</v>
      </c>
      <c r="F4429" t="s">
        <v>1838</v>
      </c>
      <c r="G4429" s="9">
        <v>44872</v>
      </c>
    </row>
    <row r="4430" spans="1:7" ht="14.25" customHeight="1">
      <c r="A4430" s="8">
        <f t="shared" si="17"/>
        <v>4290</v>
      </c>
      <c r="B4430" s="8"/>
      <c r="C4430" s="8">
        <v>4290</v>
      </c>
      <c r="D4430">
        <v>157</v>
      </c>
      <c r="E4430" t="s">
        <v>594</v>
      </c>
      <c r="F4430" t="s">
        <v>1838</v>
      </c>
      <c r="G4430" s="9">
        <v>44872</v>
      </c>
    </row>
    <row r="4431" spans="1:7" ht="14.25" customHeight="1">
      <c r="A4431" s="8">
        <f t="shared" si="17"/>
        <v>22161</v>
      </c>
      <c r="B4431" s="8"/>
      <c r="C4431" s="8">
        <v>22161</v>
      </c>
    </row>
    <row r="4432" spans="1:7" ht="14.25" customHeight="1">
      <c r="A4432" s="8">
        <f t="shared" si="17"/>
        <v>0</v>
      </c>
      <c r="B4432" s="8"/>
      <c r="C4432" s="8"/>
      <c r="F4432" t="s">
        <v>1839</v>
      </c>
      <c r="G4432">
        <v>63420000</v>
      </c>
    </row>
    <row r="4433" spans="1:7" ht="14.25" customHeight="1">
      <c r="A4433" s="8">
        <f t="shared" si="17"/>
        <v>3394581</v>
      </c>
      <c r="B4433" s="8"/>
      <c r="C4433" s="8">
        <v>3394581</v>
      </c>
      <c r="D4433">
        <v>13</v>
      </c>
      <c r="E4433" t="s">
        <v>579</v>
      </c>
      <c r="F4433" t="s">
        <v>1840</v>
      </c>
      <c r="G4433" s="9">
        <v>44592</v>
      </c>
    </row>
    <row r="4434" spans="1:7" ht="14.25" customHeight="1">
      <c r="A4434" s="8">
        <f t="shared" si="17"/>
        <v>334179</v>
      </c>
      <c r="B4434" s="8"/>
      <c r="C4434" s="8">
        <v>334179</v>
      </c>
      <c r="D4434">
        <v>42</v>
      </c>
      <c r="E4434" t="s">
        <v>579</v>
      </c>
      <c r="F4434" t="s">
        <v>1841</v>
      </c>
      <c r="G4434" s="9">
        <v>44627</v>
      </c>
    </row>
    <row r="4435" spans="1:7" ht="14.25" customHeight="1">
      <c r="A4435" s="8">
        <f t="shared" si="17"/>
        <v>750127</v>
      </c>
      <c r="B4435" s="8"/>
      <c r="C4435" s="8">
        <v>750127</v>
      </c>
      <c r="D4435">
        <v>73</v>
      </c>
      <c r="E4435" t="s">
        <v>579</v>
      </c>
      <c r="F4435" t="s">
        <v>1842</v>
      </c>
      <c r="G4435" s="9">
        <v>44651</v>
      </c>
    </row>
    <row r="4436" spans="1:7" ht="14.25" customHeight="1">
      <c r="A4436" s="8">
        <f t="shared" si="17"/>
        <v>301743</v>
      </c>
      <c r="B4436" s="8"/>
      <c r="C4436" s="8">
        <v>301743</v>
      </c>
      <c r="D4436">
        <v>91</v>
      </c>
      <c r="E4436" t="s">
        <v>579</v>
      </c>
      <c r="F4436" t="s">
        <v>1843</v>
      </c>
      <c r="G4436" s="9">
        <v>44658</v>
      </c>
    </row>
    <row r="4437" spans="1:7" ht="14.25" customHeight="1">
      <c r="A4437" s="8">
        <f t="shared" si="17"/>
        <v>4231276</v>
      </c>
      <c r="B4437" s="8"/>
      <c r="C4437" s="8">
        <v>4231276</v>
      </c>
      <c r="D4437">
        <v>125</v>
      </c>
      <c r="E4437" t="s">
        <v>579</v>
      </c>
      <c r="F4437" t="s">
        <v>1844</v>
      </c>
      <c r="G4437" s="9">
        <v>44690</v>
      </c>
    </row>
    <row r="4438" spans="1:7" ht="14.25" customHeight="1">
      <c r="A4438" s="8">
        <f t="shared" si="17"/>
        <v>1240488</v>
      </c>
      <c r="B4438" s="8"/>
      <c r="C4438" s="8">
        <v>1240488</v>
      </c>
      <c r="D4438">
        <v>170</v>
      </c>
      <c r="E4438" t="s">
        <v>579</v>
      </c>
      <c r="F4438" t="s">
        <v>1845</v>
      </c>
      <c r="G4438" s="9">
        <v>44725</v>
      </c>
    </row>
    <row r="4439" spans="1:7" ht="14.25" customHeight="1">
      <c r="A4439" s="8">
        <f t="shared" si="17"/>
        <v>94294</v>
      </c>
      <c r="B4439" s="8"/>
      <c r="C4439" s="8">
        <v>94294</v>
      </c>
      <c r="D4439">
        <v>180</v>
      </c>
      <c r="E4439" t="s">
        <v>579</v>
      </c>
      <c r="F4439" t="s">
        <v>1846</v>
      </c>
      <c r="G4439" s="9">
        <v>44732</v>
      </c>
    </row>
    <row r="4440" spans="1:7" ht="14.25" customHeight="1">
      <c r="A4440" s="8">
        <f t="shared" si="17"/>
        <v>94294</v>
      </c>
      <c r="B4440" s="8"/>
      <c r="C4440" s="8">
        <v>94294</v>
      </c>
      <c r="D4440">
        <v>200</v>
      </c>
      <c r="E4440" t="s">
        <v>579</v>
      </c>
      <c r="F4440" t="s">
        <v>1847</v>
      </c>
      <c r="G4440" s="9">
        <v>44741</v>
      </c>
    </row>
    <row r="4441" spans="1:7" ht="14.25" customHeight="1">
      <c r="A4441" s="8">
        <f t="shared" si="17"/>
        <v>94294</v>
      </c>
      <c r="B4441" s="8"/>
      <c r="C4441" s="8">
        <v>94294</v>
      </c>
      <c r="D4441">
        <v>201</v>
      </c>
      <c r="E4441" t="s">
        <v>579</v>
      </c>
      <c r="F4441" t="s">
        <v>1848</v>
      </c>
      <c r="G4441" s="9">
        <v>44741</v>
      </c>
    </row>
    <row r="4442" spans="1:7" ht="14.25" customHeight="1">
      <c r="A4442" s="8">
        <f t="shared" si="17"/>
        <v>301743</v>
      </c>
      <c r="B4442" s="8"/>
      <c r="C4442" s="8">
        <v>301743</v>
      </c>
      <c r="D4442">
        <v>230</v>
      </c>
      <c r="E4442" t="s">
        <v>579</v>
      </c>
      <c r="F4442" t="s">
        <v>1849</v>
      </c>
      <c r="G4442" s="9">
        <v>44748</v>
      </c>
    </row>
    <row r="4443" spans="1:7" ht="14.25" customHeight="1">
      <c r="A4443" s="8">
        <f t="shared" si="17"/>
        <v>2394611</v>
      </c>
      <c r="B4443" s="8"/>
      <c r="C4443" s="8">
        <v>2394611</v>
      </c>
      <c r="D4443">
        <v>221</v>
      </c>
      <c r="E4443" t="s">
        <v>579</v>
      </c>
      <c r="F4443" t="s">
        <v>1850</v>
      </c>
      <c r="G4443" s="9">
        <v>44760</v>
      </c>
    </row>
    <row r="4444" spans="1:7" ht="14.25" customHeight="1">
      <c r="A4444" s="8">
        <f t="shared" si="17"/>
        <v>150874</v>
      </c>
      <c r="B4444" s="8"/>
      <c r="C4444" s="8">
        <v>150874</v>
      </c>
      <c r="D4444">
        <v>222</v>
      </c>
      <c r="E4444" t="s">
        <v>579</v>
      </c>
      <c r="F4444" t="s">
        <v>1851</v>
      </c>
      <c r="G4444" s="9">
        <v>44760</v>
      </c>
    </row>
    <row r="4445" spans="1:7" ht="14.25" customHeight="1">
      <c r="A4445" s="8">
        <f t="shared" si="17"/>
        <v>75434</v>
      </c>
      <c r="B4445" s="8"/>
      <c r="C4445" s="8">
        <v>75434</v>
      </c>
      <c r="D4445">
        <v>223</v>
      </c>
      <c r="E4445" t="s">
        <v>579</v>
      </c>
      <c r="F4445" t="s">
        <v>1852</v>
      </c>
      <c r="G4445" s="9">
        <v>44760</v>
      </c>
    </row>
    <row r="4446" spans="1:7" ht="14.25" customHeight="1">
      <c r="A4446" s="8">
        <f t="shared" si="17"/>
        <v>377177</v>
      </c>
      <c r="B4446" s="8"/>
      <c r="C4446" s="8">
        <v>377177</v>
      </c>
      <c r="D4446">
        <v>240</v>
      </c>
      <c r="E4446" t="s">
        <v>579</v>
      </c>
      <c r="F4446" t="s">
        <v>1853</v>
      </c>
      <c r="G4446" s="9">
        <v>44761</v>
      </c>
    </row>
    <row r="4447" spans="1:7" ht="14.25" customHeight="1">
      <c r="A4447" s="8">
        <f t="shared" si="17"/>
        <v>94293</v>
      </c>
      <c r="B4447" s="8"/>
      <c r="C4447" s="8">
        <v>94293</v>
      </c>
      <c r="D4447">
        <v>250</v>
      </c>
      <c r="E4447" t="s">
        <v>579</v>
      </c>
      <c r="F4447" t="s">
        <v>1854</v>
      </c>
      <c r="G4447" s="9">
        <v>44790</v>
      </c>
    </row>
    <row r="4448" spans="1:7" ht="14.25" customHeight="1">
      <c r="A4448" s="8">
        <f t="shared" si="17"/>
        <v>188593</v>
      </c>
      <c r="B4448" s="8"/>
      <c r="C4448" s="8">
        <v>188593</v>
      </c>
      <c r="D4448">
        <v>282</v>
      </c>
      <c r="E4448" t="s">
        <v>579</v>
      </c>
      <c r="F4448" t="s">
        <v>1855</v>
      </c>
      <c r="G4448" s="9">
        <v>44810</v>
      </c>
    </row>
    <row r="4449" spans="1:7" ht="14.25" customHeight="1">
      <c r="A4449" s="8">
        <f t="shared" si="17"/>
        <v>970335</v>
      </c>
      <c r="B4449" s="8"/>
      <c r="C4449" s="8">
        <v>970335</v>
      </c>
      <c r="D4449">
        <v>284</v>
      </c>
      <c r="E4449" t="s">
        <v>579</v>
      </c>
      <c r="F4449" t="s">
        <v>1856</v>
      </c>
      <c r="G4449" s="9">
        <v>44811</v>
      </c>
    </row>
    <row r="4450" spans="1:7" ht="14.25" customHeight="1">
      <c r="A4450" s="8">
        <f t="shared" si="17"/>
        <v>188593</v>
      </c>
      <c r="B4450" s="8"/>
      <c r="C4450" s="8">
        <v>188593</v>
      </c>
      <c r="D4450">
        <v>286</v>
      </c>
      <c r="E4450" t="s">
        <v>579</v>
      </c>
      <c r="F4450" t="s">
        <v>1857</v>
      </c>
      <c r="G4450" s="9">
        <v>44816</v>
      </c>
    </row>
    <row r="4451" spans="1:7" ht="14.25" customHeight="1">
      <c r="A4451" s="8">
        <f t="shared" si="17"/>
        <v>2562528</v>
      </c>
      <c r="B4451" s="8"/>
      <c r="C4451" s="8">
        <v>2562528</v>
      </c>
      <c r="D4451">
        <v>318</v>
      </c>
      <c r="E4451" t="s">
        <v>579</v>
      </c>
      <c r="F4451" t="s">
        <v>1858</v>
      </c>
      <c r="G4451" s="9">
        <v>44844</v>
      </c>
    </row>
    <row r="4452" spans="1:7" ht="14.25" customHeight="1">
      <c r="A4452" s="8">
        <f t="shared" si="17"/>
        <v>3562832</v>
      </c>
      <c r="B4452" s="8"/>
      <c r="C4452" s="8">
        <v>3562832</v>
      </c>
      <c r="D4452">
        <v>337</v>
      </c>
      <c r="E4452" t="s">
        <v>579</v>
      </c>
      <c r="F4452" t="s">
        <v>1859</v>
      </c>
      <c r="G4452" s="9">
        <v>44858</v>
      </c>
    </row>
    <row r="4453" spans="1:7" ht="14.25" customHeight="1">
      <c r="A4453" s="8">
        <f t="shared" si="17"/>
        <v>302496</v>
      </c>
      <c r="B4453" s="8"/>
      <c r="C4453" s="8">
        <v>302496</v>
      </c>
      <c r="D4453">
        <v>366</v>
      </c>
      <c r="E4453" t="s">
        <v>579</v>
      </c>
      <c r="F4453" t="s">
        <v>1860</v>
      </c>
      <c r="G4453" s="9">
        <v>44882</v>
      </c>
    </row>
    <row r="4454" spans="1:7" ht="14.25" customHeight="1">
      <c r="A4454" s="8">
        <f t="shared" si="17"/>
        <v>360157</v>
      </c>
      <c r="B4454" s="8"/>
      <c r="C4454" s="8">
        <v>360157</v>
      </c>
      <c r="D4454">
        <v>406</v>
      </c>
      <c r="E4454" t="s">
        <v>579</v>
      </c>
      <c r="F4454" t="s">
        <v>1861</v>
      </c>
      <c r="G4454" s="9">
        <v>44903</v>
      </c>
    </row>
    <row r="4455" spans="1:7" ht="14.25" customHeight="1">
      <c r="A4455" s="8">
        <f t="shared" si="17"/>
        <v>22064942</v>
      </c>
      <c r="B4455" s="8"/>
      <c r="C4455" s="8">
        <v>22064942</v>
      </c>
    </row>
    <row r="4456" spans="1:7" ht="14.25" customHeight="1">
      <c r="A4456" s="8">
        <f t="shared" si="17"/>
        <v>22087102</v>
      </c>
      <c r="B4456" s="8"/>
      <c r="C4456" s="8">
        <v>22087102</v>
      </c>
      <c r="E4456">
        <v>9506003</v>
      </c>
      <c r="F4456" t="s">
        <v>528</v>
      </c>
      <c r="G4456" t="s">
        <v>581</v>
      </c>
    </row>
    <row r="4457" spans="1:7" ht="14.25" customHeight="1">
      <c r="A4457" s="8">
        <f t="shared" si="17"/>
        <v>0</v>
      </c>
      <c r="B4457" s="8"/>
      <c r="C4457" s="8"/>
      <c r="D4457" t="s">
        <v>529</v>
      </c>
      <c r="G4457">
        <v>9506005</v>
      </c>
    </row>
    <row r="4458" spans="1:7" ht="14.25" customHeight="1">
      <c r="A4458" s="8">
        <f t="shared" si="17"/>
        <v>0</v>
      </c>
      <c r="B4458" s="8"/>
      <c r="C4458" s="8"/>
      <c r="F4458" t="s">
        <v>582</v>
      </c>
      <c r="G4458">
        <v>63240000</v>
      </c>
    </row>
    <row r="4459" spans="1:7" ht="14.25" customHeight="1">
      <c r="A4459" s="8">
        <f t="shared" si="17"/>
        <v>432122</v>
      </c>
      <c r="B4459" s="8"/>
      <c r="C4459" s="8">
        <v>432122</v>
      </c>
      <c r="D4459">
        <v>34</v>
      </c>
      <c r="E4459" t="s">
        <v>579</v>
      </c>
      <c r="F4459" t="s">
        <v>1862</v>
      </c>
      <c r="G4459" s="9">
        <v>44587</v>
      </c>
    </row>
    <row r="4460" spans="1:7" ht="14.25" customHeight="1">
      <c r="A4460" s="8">
        <f t="shared" si="17"/>
        <v>644000</v>
      </c>
      <c r="B4460" s="8"/>
      <c r="C4460" s="8">
        <v>644000</v>
      </c>
      <c r="D4460">
        <v>15</v>
      </c>
      <c r="E4460" t="s">
        <v>579</v>
      </c>
      <c r="F4460" t="s">
        <v>1863</v>
      </c>
      <c r="G4460" s="9">
        <v>44592</v>
      </c>
    </row>
    <row r="4461" spans="1:7" ht="14.25" customHeight="1">
      <c r="A4461" s="8">
        <f t="shared" si="17"/>
        <v>920000</v>
      </c>
      <c r="B4461" s="8"/>
      <c r="C4461" s="8">
        <v>920000</v>
      </c>
      <c r="D4461">
        <v>25</v>
      </c>
      <c r="E4461" t="s">
        <v>579</v>
      </c>
      <c r="F4461" t="s">
        <v>1864</v>
      </c>
      <c r="G4461" s="9">
        <v>44618</v>
      </c>
    </row>
    <row r="4462" spans="1:7" ht="14.25" customHeight="1">
      <c r="A4462" s="8">
        <f t="shared" si="17"/>
        <v>426837</v>
      </c>
      <c r="B4462" s="8"/>
      <c r="C4462" s="8">
        <v>426837</v>
      </c>
      <c r="D4462">
        <v>30</v>
      </c>
      <c r="E4462" t="s">
        <v>579</v>
      </c>
      <c r="F4462" t="s">
        <v>1865</v>
      </c>
      <c r="G4462" s="9">
        <v>44620</v>
      </c>
    </row>
    <row r="4463" spans="1:7" ht="14.25" customHeight="1">
      <c r="A4463" s="8">
        <f t="shared" si="17"/>
        <v>230000</v>
      </c>
      <c r="B4463" s="8"/>
      <c r="C4463" s="8">
        <v>230000</v>
      </c>
      <c r="D4463">
        <v>30</v>
      </c>
      <c r="E4463" t="s">
        <v>579</v>
      </c>
      <c r="F4463" t="s">
        <v>1866</v>
      </c>
      <c r="G4463" s="9">
        <v>44620</v>
      </c>
    </row>
    <row r="4464" spans="1:7" ht="14.25" customHeight="1">
      <c r="A4464" s="8">
        <f t="shared" si="17"/>
        <v>920000</v>
      </c>
      <c r="B4464" s="8"/>
      <c r="C4464" s="8">
        <v>920000</v>
      </c>
      <c r="D4464">
        <v>63</v>
      </c>
      <c r="E4464" t="s">
        <v>579</v>
      </c>
      <c r="F4464" t="s">
        <v>1867</v>
      </c>
      <c r="G4464" s="9">
        <v>44646</v>
      </c>
    </row>
    <row r="4465" spans="1:7" ht="14.25" customHeight="1">
      <c r="A4465" s="8">
        <f t="shared" si="17"/>
        <v>644000</v>
      </c>
      <c r="B4465" s="8"/>
      <c r="C4465" s="8">
        <v>644000</v>
      </c>
      <c r="D4465">
        <v>184</v>
      </c>
      <c r="E4465" t="s">
        <v>579</v>
      </c>
      <c r="F4465" t="s">
        <v>1868</v>
      </c>
      <c r="G4465" s="9">
        <v>44736</v>
      </c>
    </row>
    <row r="4466" spans="1:7" ht="14.25" customHeight="1">
      <c r="A4466" s="8">
        <f t="shared" si="17"/>
        <v>644000</v>
      </c>
      <c r="B4466" s="8"/>
      <c r="C4466" s="8">
        <v>644000</v>
      </c>
      <c r="D4466">
        <v>185</v>
      </c>
      <c r="E4466" t="s">
        <v>579</v>
      </c>
      <c r="F4466" t="s">
        <v>1869</v>
      </c>
      <c r="G4466" s="9">
        <v>44736</v>
      </c>
    </row>
    <row r="4467" spans="1:7" ht="14.25" customHeight="1">
      <c r="A4467" s="8">
        <f t="shared" si="17"/>
        <v>644000</v>
      </c>
      <c r="B4467" s="8"/>
      <c r="C4467" s="8">
        <v>644000</v>
      </c>
      <c r="D4467">
        <v>186</v>
      </c>
      <c r="E4467" t="s">
        <v>579</v>
      </c>
      <c r="F4467" t="s">
        <v>1870</v>
      </c>
      <c r="G4467" s="9">
        <v>44736</v>
      </c>
    </row>
    <row r="4468" spans="1:7" ht="14.25" customHeight="1">
      <c r="A4468" s="8">
        <f t="shared" si="17"/>
        <v>920000</v>
      </c>
      <c r="B4468" s="8"/>
      <c r="C4468" s="8">
        <v>920000</v>
      </c>
      <c r="D4468">
        <v>196</v>
      </c>
      <c r="E4468" t="s">
        <v>579</v>
      </c>
      <c r="F4468" t="s">
        <v>1871</v>
      </c>
      <c r="G4468" s="9">
        <v>44740</v>
      </c>
    </row>
    <row r="4469" spans="1:7" ht="14.25" customHeight="1">
      <c r="A4469" s="8">
        <f t="shared" si="17"/>
        <v>920000</v>
      </c>
      <c r="B4469" s="8"/>
      <c r="C4469" s="8">
        <v>920000</v>
      </c>
      <c r="D4469">
        <v>268</v>
      </c>
      <c r="E4469" t="s">
        <v>579</v>
      </c>
      <c r="F4469" t="s">
        <v>1872</v>
      </c>
      <c r="G4469" s="9">
        <v>44802</v>
      </c>
    </row>
    <row r="4470" spans="1:7" ht="14.25" customHeight="1">
      <c r="A4470" s="8">
        <f t="shared" si="17"/>
        <v>920000</v>
      </c>
      <c r="B4470" s="8"/>
      <c r="C4470" s="8">
        <v>920000</v>
      </c>
      <c r="D4470">
        <v>343</v>
      </c>
      <c r="E4470" t="s">
        <v>579</v>
      </c>
      <c r="F4470" t="s">
        <v>1382</v>
      </c>
      <c r="G4470" s="9">
        <v>44865</v>
      </c>
    </row>
    <row r="4471" spans="1:7" ht="14.25" customHeight="1">
      <c r="A4471" s="8">
        <f t="shared" si="17"/>
        <v>460000</v>
      </c>
      <c r="B4471" s="8"/>
      <c r="C4471" s="8">
        <v>460000</v>
      </c>
      <c r="D4471">
        <v>347</v>
      </c>
      <c r="E4471" t="s">
        <v>579</v>
      </c>
      <c r="F4471" t="s">
        <v>1381</v>
      </c>
      <c r="G4471" s="9">
        <v>44865</v>
      </c>
    </row>
    <row r="4472" spans="1:7" ht="14.25" customHeight="1">
      <c r="A4472" s="8">
        <f t="shared" si="17"/>
        <v>368000</v>
      </c>
      <c r="B4472" s="8"/>
      <c r="C4472" s="8">
        <v>368000</v>
      </c>
      <c r="D4472">
        <v>373</v>
      </c>
      <c r="E4472" t="s">
        <v>579</v>
      </c>
      <c r="F4472" t="s">
        <v>1873</v>
      </c>
      <c r="G4472" s="9">
        <v>44869</v>
      </c>
    </row>
    <row r="4473" spans="1:7" ht="14.25" customHeight="1">
      <c r="A4473" s="8">
        <f t="shared" si="17"/>
        <v>644000</v>
      </c>
      <c r="B4473" s="8"/>
      <c r="C4473" s="8">
        <v>644000</v>
      </c>
      <c r="D4473">
        <v>385</v>
      </c>
      <c r="E4473" t="s">
        <v>579</v>
      </c>
      <c r="F4473" t="s">
        <v>1874</v>
      </c>
      <c r="G4473" s="9">
        <v>44895</v>
      </c>
    </row>
    <row r="4474" spans="1:7" ht="14.25" customHeight="1">
      <c r="A4474" s="8">
        <f t="shared" si="17"/>
        <v>644000</v>
      </c>
      <c r="B4474" s="8"/>
      <c r="C4474" s="8">
        <v>644000</v>
      </c>
      <c r="D4474">
        <v>440</v>
      </c>
      <c r="E4474" t="s">
        <v>579</v>
      </c>
      <c r="F4474" t="s">
        <v>1875</v>
      </c>
      <c r="G4474" s="9">
        <v>44925</v>
      </c>
    </row>
    <row r="4475" spans="1:7" ht="14.25" customHeight="1">
      <c r="A4475" s="8">
        <f t="shared" si="17"/>
        <v>188313</v>
      </c>
      <c r="B4475" s="8"/>
      <c r="C4475" s="8">
        <v>188313</v>
      </c>
      <c r="D4475">
        <v>441</v>
      </c>
      <c r="E4475" t="s">
        <v>579</v>
      </c>
      <c r="F4475" t="s">
        <v>1876</v>
      </c>
      <c r="G4475" s="9">
        <v>44925</v>
      </c>
    </row>
    <row r="4476" spans="1:7" ht="14.25" customHeight="1">
      <c r="A4476" s="8">
        <f t="shared" si="17"/>
        <v>282469</v>
      </c>
      <c r="B4476" s="8"/>
      <c r="C4476" s="8">
        <v>282469</v>
      </c>
      <c r="D4476">
        <v>442</v>
      </c>
      <c r="E4476" t="s">
        <v>579</v>
      </c>
      <c r="F4476" t="s">
        <v>1877</v>
      </c>
      <c r="G4476" s="9">
        <v>44925</v>
      </c>
    </row>
    <row r="4477" spans="1:7" ht="14.25" customHeight="1">
      <c r="A4477" s="8">
        <f t="shared" si="17"/>
        <v>460000</v>
      </c>
      <c r="B4477" s="8"/>
      <c r="C4477" s="8">
        <v>460000</v>
      </c>
      <c r="D4477">
        <v>200</v>
      </c>
      <c r="E4477" t="s">
        <v>594</v>
      </c>
      <c r="F4477" t="s">
        <v>1878</v>
      </c>
      <c r="G4477" s="9">
        <v>44925</v>
      </c>
    </row>
    <row r="4478" spans="1:7" ht="14.25" customHeight="1">
      <c r="A4478" s="8">
        <f t="shared" si="17"/>
        <v>460000</v>
      </c>
      <c r="B4478" s="8"/>
      <c r="C4478" s="8">
        <v>460000</v>
      </c>
      <c r="D4478">
        <v>201</v>
      </c>
      <c r="E4478" t="s">
        <v>594</v>
      </c>
      <c r="F4478" t="s">
        <v>1879</v>
      </c>
      <c r="G4478" s="9">
        <v>44925</v>
      </c>
    </row>
    <row r="4479" spans="1:7" ht="14.25" customHeight="1">
      <c r="A4479" s="8">
        <f t="shared" si="17"/>
        <v>460000</v>
      </c>
      <c r="B4479" s="8"/>
      <c r="C4479" s="8">
        <v>460000</v>
      </c>
      <c r="D4479">
        <v>202</v>
      </c>
      <c r="E4479" t="s">
        <v>594</v>
      </c>
      <c r="F4479" t="s">
        <v>1880</v>
      </c>
      <c r="G4479" s="9">
        <v>44925</v>
      </c>
    </row>
    <row r="4480" spans="1:7" ht="14.25" customHeight="1">
      <c r="A4480" s="8">
        <f t="shared" si="17"/>
        <v>322000</v>
      </c>
      <c r="B4480" s="8"/>
      <c r="C4480" s="8">
        <v>322000</v>
      </c>
      <c r="D4480">
        <v>203</v>
      </c>
      <c r="E4480" t="s">
        <v>594</v>
      </c>
      <c r="F4480" t="s">
        <v>1881</v>
      </c>
      <c r="G4480" s="9">
        <v>44925</v>
      </c>
    </row>
    <row r="4481" spans="1:7" ht="14.25" customHeight="1">
      <c r="A4481" s="8">
        <f t="shared" si="17"/>
        <v>43125</v>
      </c>
      <c r="B4481" s="8"/>
      <c r="C4481" s="8">
        <v>43125</v>
      </c>
      <c r="D4481">
        <v>204</v>
      </c>
      <c r="E4481" t="s">
        <v>594</v>
      </c>
      <c r="F4481" t="s">
        <v>1882</v>
      </c>
      <c r="G4481" s="9">
        <v>44925</v>
      </c>
    </row>
    <row r="4482" spans="1:7" ht="14.25" customHeight="1">
      <c r="A4482" s="8">
        <f t="shared" si="17"/>
        <v>12596865</v>
      </c>
      <c r="B4482" s="8"/>
      <c r="C4482" s="8">
        <v>12596865</v>
      </c>
    </row>
    <row r="4483" spans="1:7" ht="14.25" customHeight="1">
      <c r="A4483" s="8">
        <f t="shared" si="17"/>
        <v>12596865</v>
      </c>
      <c r="B4483" s="8"/>
      <c r="C4483" s="8">
        <v>12596865</v>
      </c>
      <c r="E4483">
        <v>9506005</v>
      </c>
      <c r="F4483" t="s">
        <v>529</v>
      </c>
      <c r="G4483" t="s">
        <v>581</v>
      </c>
    </row>
    <row r="4484" spans="1:7" ht="14.25" customHeight="1">
      <c r="A4484" s="8">
        <f t="shared" si="17"/>
        <v>0</v>
      </c>
      <c r="B4484" s="8"/>
      <c r="C4484" s="8"/>
      <c r="D4484" t="s">
        <v>530</v>
      </c>
      <c r="G4484">
        <v>9506016</v>
      </c>
    </row>
    <row r="4485" spans="1:7" ht="14.25" customHeight="1">
      <c r="A4485" s="8">
        <f t="shared" si="17"/>
        <v>0</v>
      </c>
      <c r="B4485" s="8"/>
      <c r="C4485" s="8"/>
      <c r="F4485" t="s">
        <v>1202</v>
      </c>
      <c r="G4485">
        <v>63180000</v>
      </c>
    </row>
    <row r="4486" spans="1:7" ht="14.25" customHeight="1">
      <c r="A4486" s="8">
        <f t="shared" si="17"/>
        <v>49489</v>
      </c>
      <c r="B4486" s="8"/>
      <c r="C4486" s="8">
        <v>49489</v>
      </c>
      <c r="D4486">
        <v>506</v>
      </c>
      <c r="E4486" t="s">
        <v>587</v>
      </c>
      <c r="F4486" t="s">
        <v>1883</v>
      </c>
      <c r="G4486" s="9">
        <v>44600</v>
      </c>
    </row>
    <row r="4487" spans="1:7" ht="14.25" customHeight="1">
      <c r="A4487" s="8">
        <f t="shared" si="17"/>
        <v>2605</v>
      </c>
      <c r="B4487" s="8"/>
      <c r="C4487" s="8">
        <v>2605</v>
      </c>
      <c r="D4487">
        <v>57</v>
      </c>
      <c r="E4487" t="s">
        <v>594</v>
      </c>
      <c r="F4487" t="s">
        <v>1884</v>
      </c>
      <c r="G4487" s="9">
        <v>44760</v>
      </c>
    </row>
    <row r="4488" spans="1:7" ht="14.25" customHeight="1">
      <c r="A4488" s="8">
        <f t="shared" si="17"/>
        <v>471</v>
      </c>
      <c r="B4488" s="8"/>
      <c r="C4488" s="8">
        <v>471</v>
      </c>
      <c r="D4488">
        <v>58</v>
      </c>
      <c r="E4488" t="s">
        <v>594</v>
      </c>
      <c r="F4488" t="s">
        <v>1885</v>
      </c>
      <c r="G4488" s="9">
        <v>44760</v>
      </c>
    </row>
    <row r="4489" spans="1:7" ht="14.25" customHeight="1">
      <c r="A4489" s="8">
        <f t="shared" si="17"/>
        <v>2605</v>
      </c>
      <c r="B4489" s="8"/>
      <c r="C4489" s="8">
        <v>2605</v>
      </c>
      <c r="D4489">
        <v>59</v>
      </c>
      <c r="E4489" t="s">
        <v>594</v>
      </c>
      <c r="F4489" t="s">
        <v>1886</v>
      </c>
      <c r="G4489" s="9">
        <v>44760</v>
      </c>
    </row>
    <row r="4490" spans="1:7" ht="14.25" customHeight="1">
      <c r="A4490" s="8">
        <f t="shared" si="17"/>
        <v>2605</v>
      </c>
      <c r="B4490" s="8"/>
      <c r="C4490" s="8">
        <v>2605</v>
      </c>
      <c r="D4490">
        <v>67</v>
      </c>
      <c r="E4490" t="s">
        <v>594</v>
      </c>
      <c r="F4490" t="s">
        <v>1887</v>
      </c>
      <c r="G4490" s="9">
        <v>44760</v>
      </c>
    </row>
    <row r="4491" spans="1:7" ht="14.25" customHeight="1">
      <c r="A4491" s="8">
        <f t="shared" si="17"/>
        <v>4071</v>
      </c>
      <c r="B4491" s="8"/>
      <c r="C4491" s="8">
        <v>4071</v>
      </c>
      <c r="D4491">
        <v>56</v>
      </c>
      <c r="E4491" t="s">
        <v>594</v>
      </c>
      <c r="F4491" t="s">
        <v>1888</v>
      </c>
      <c r="G4491" s="9">
        <v>44760</v>
      </c>
    </row>
    <row r="4492" spans="1:7" ht="14.25" customHeight="1">
      <c r="A4492" s="8">
        <f t="shared" si="17"/>
        <v>4980</v>
      </c>
      <c r="B4492" s="8"/>
      <c r="C4492" s="8">
        <v>4980</v>
      </c>
      <c r="D4492">
        <v>60</v>
      </c>
      <c r="E4492" t="s">
        <v>594</v>
      </c>
      <c r="F4492" t="s">
        <v>1889</v>
      </c>
      <c r="G4492" s="9">
        <v>44764</v>
      </c>
    </row>
    <row r="4493" spans="1:7" ht="14.25" customHeight="1">
      <c r="A4493" s="8">
        <f t="shared" si="17"/>
        <v>2490</v>
      </c>
      <c r="B4493" s="8"/>
      <c r="C4493" s="8">
        <v>2490</v>
      </c>
      <c r="D4493">
        <v>61</v>
      </c>
      <c r="E4493" t="s">
        <v>594</v>
      </c>
      <c r="F4493" t="s">
        <v>1890</v>
      </c>
      <c r="G4493" s="9">
        <v>44764</v>
      </c>
    </row>
    <row r="4494" spans="1:7" ht="14.25" customHeight="1">
      <c r="A4494" s="8">
        <f t="shared" si="17"/>
        <v>2490</v>
      </c>
      <c r="B4494" s="8"/>
      <c r="C4494" s="8">
        <v>2490</v>
      </c>
      <c r="D4494">
        <v>68</v>
      </c>
      <c r="E4494" t="s">
        <v>594</v>
      </c>
      <c r="F4494" t="s">
        <v>1891</v>
      </c>
      <c r="G4494" s="9">
        <v>44784</v>
      </c>
    </row>
    <row r="4495" spans="1:7" ht="14.25" customHeight="1">
      <c r="A4495" s="8">
        <f t="shared" si="17"/>
        <v>3622</v>
      </c>
      <c r="B4495" s="8"/>
      <c r="C4495" s="8">
        <v>3622</v>
      </c>
      <c r="D4495">
        <v>69</v>
      </c>
      <c r="E4495" t="s">
        <v>594</v>
      </c>
      <c r="F4495" t="s">
        <v>1892</v>
      </c>
      <c r="G4495" s="9">
        <v>44784</v>
      </c>
    </row>
    <row r="4496" spans="1:7" ht="14.25" customHeight="1">
      <c r="A4496" s="8">
        <f t="shared" si="17"/>
        <v>18440</v>
      </c>
      <c r="B4496" s="8"/>
      <c r="C4496" s="8">
        <v>18440</v>
      </c>
      <c r="D4496">
        <v>70</v>
      </c>
      <c r="E4496" t="s">
        <v>594</v>
      </c>
      <c r="F4496" t="s">
        <v>1893</v>
      </c>
      <c r="G4496" s="9">
        <v>44784</v>
      </c>
    </row>
    <row r="4497" spans="1:7" ht="14.25" customHeight="1">
      <c r="A4497" s="8">
        <f t="shared" si="17"/>
        <v>9890</v>
      </c>
      <c r="B4497" s="8"/>
      <c r="C4497" s="8">
        <v>9890</v>
      </c>
      <c r="D4497">
        <v>100</v>
      </c>
      <c r="E4497" t="s">
        <v>594</v>
      </c>
      <c r="F4497" t="s">
        <v>1894</v>
      </c>
      <c r="G4497" s="9">
        <v>44832</v>
      </c>
    </row>
    <row r="4498" spans="1:7" ht="14.25" customHeight="1">
      <c r="A4498" s="8">
        <f t="shared" si="17"/>
        <v>2605</v>
      </c>
      <c r="B4498" s="8"/>
      <c r="C4498" s="8">
        <v>2605</v>
      </c>
      <c r="D4498">
        <v>101</v>
      </c>
      <c r="E4498" t="s">
        <v>594</v>
      </c>
      <c r="F4498" t="s">
        <v>1895</v>
      </c>
      <c r="G4498" s="9">
        <v>44832</v>
      </c>
    </row>
    <row r="4499" spans="1:7" ht="14.25" customHeight="1">
      <c r="A4499" s="8">
        <f t="shared" si="17"/>
        <v>3847</v>
      </c>
      <c r="B4499" s="8"/>
      <c r="C4499" s="8">
        <v>3847</v>
      </c>
      <c r="D4499">
        <v>102</v>
      </c>
      <c r="E4499" t="s">
        <v>594</v>
      </c>
      <c r="F4499" t="s">
        <v>1896</v>
      </c>
      <c r="G4499" s="9">
        <v>44832</v>
      </c>
    </row>
    <row r="4500" spans="1:7" ht="14.25" customHeight="1">
      <c r="A4500" s="8">
        <f t="shared" si="17"/>
        <v>3847</v>
      </c>
      <c r="B4500" s="8"/>
      <c r="C4500" s="8">
        <v>3847</v>
      </c>
      <c r="D4500">
        <v>103</v>
      </c>
      <c r="E4500" t="s">
        <v>594</v>
      </c>
      <c r="F4500" t="s">
        <v>1897</v>
      </c>
      <c r="G4500" s="9">
        <v>44832</v>
      </c>
    </row>
    <row r="4501" spans="1:7" ht="14.25" customHeight="1">
      <c r="A4501" s="8">
        <f t="shared" si="17"/>
        <v>17768</v>
      </c>
      <c r="B4501" s="8"/>
      <c r="C4501" s="8">
        <v>17768</v>
      </c>
      <c r="D4501">
        <v>133</v>
      </c>
      <c r="E4501" t="s">
        <v>594</v>
      </c>
      <c r="F4501" t="s">
        <v>1898</v>
      </c>
      <c r="G4501" s="9">
        <v>44862</v>
      </c>
    </row>
    <row r="4502" spans="1:7" ht="14.25" customHeight="1">
      <c r="A4502" s="8">
        <f t="shared" si="17"/>
        <v>11759</v>
      </c>
      <c r="B4502" s="8"/>
      <c r="C4502" s="8">
        <v>11759</v>
      </c>
      <c r="D4502">
        <v>134</v>
      </c>
      <c r="E4502" t="s">
        <v>594</v>
      </c>
      <c r="F4502" t="s">
        <v>1898</v>
      </c>
      <c r="G4502" s="9">
        <v>44862</v>
      </c>
    </row>
    <row r="4503" spans="1:7" ht="14.25" customHeight="1">
      <c r="A4503" s="8">
        <f t="shared" si="17"/>
        <v>143582</v>
      </c>
      <c r="B4503" s="8"/>
      <c r="C4503" s="8">
        <v>143582</v>
      </c>
    </row>
    <row r="4504" spans="1:7" ht="14.25" customHeight="1">
      <c r="A4504" s="8">
        <f t="shared" si="17"/>
        <v>0</v>
      </c>
      <c r="B4504" s="8"/>
      <c r="C4504" s="8"/>
      <c r="F4504" t="s">
        <v>1559</v>
      </c>
      <c r="G4504">
        <v>63181000</v>
      </c>
    </row>
    <row r="4505" spans="1:7" ht="14.25" customHeight="1">
      <c r="A4505" s="8">
        <f t="shared" si="17"/>
        <v>4531</v>
      </c>
      <c r="B4505" s="8"/>
      <c r="C4505" s="8">
        <v>4531</v>
      </c>
      <c r="D4505">
        <v>179</v>
      </c>
      <c r="E4505" t="s">
        <v>594</v>
      </c>
      <c r="F4505" t="s">
        <v>1899</v>
      </c>
      <c r="G4505" s="9">
        <v>44896</v>
      </c>
    </row>
    <row r="4506" spans="1:7" ht="14.25" customHeight="1">
      <c r="A4506" s="8">
        <f t="shared" si="17"/>
        <v>4531</v>
      </c>
      <c r="B4506" s="8"/>
      <c r="C4506" s="8">
        <v>4531</v>
      </c>
    </row>
    <row r="4507" spans="1:7" ht="14.25" customHeight="1">
      <c r="A4507" s="8">
        <f t="shared" si="17"/>
        <v>148113</v>
      </c>
      <c r="B4507" s="8"/>
      <c r="C4507" s="8">
        <v>148113</v>
      </c>
      <c r="E4507">
        <v>9506016</v>
      </c>
      <c r="F4507" t="s">
        <v>530</v>
      </c>
      <c r="G4507" t="s">
        <v>581</v>
      </c>
    </row>
    <row r="4508" spans="1:7" ht="14.25" customHeight="1">
      <c r="A4508" s="8">
        <f t="shared" si="17"/>
        <v>53197881</v>
      </c>
      <c r="B4508" s="8">
        <v>431915</v>
      </c>
      <c r="C4508" s="8">
        <v>53629796</v>
      </c>
      <c r="E4508">
        <v>95</v>
      </c>
      <c r="F4508" t="s">
        <v>531</v>
      </c>
      <c r="G4508" t="s">
        <v>581</v>
      </c>
    </row>
    <row r="4509" spans="1:7" ht="14.25" customHeight="1">
      <c r="A4509" s="8">
        <f t="shared" si="17"/>
        <v>0</v>
      </c>
      <c r="B4509" s="8"/>
      <c r="C4509" s="8"/>
      <c r="D4509" t="s">
        <v>532</v>
      </c>
      <c r="G4509">
        <v>9602010</v>
      </c>
    </row>
    <row r="4510" spans="1:7" ht="14.25" customHeight="1">
      <c r="A4510" s="8">
        <f t="shared" si="17"/>
        <v>0</v>
      </c>
      <c r="B4510" s="8"/>
      <c r="C4510" s="8"/>
      <c r="F4510" t="s">
        <v>1282</v>
      </c>
      <c r="G4510">
        <v>64130000</v>
      </c>
    </row>
    <row r="4511" spans="1:7" ht="14.25" customHeight="1">
      <c r="A4511" s="8">
        <f t="shared" si="17"/>
        <v>6403</v>
      </c>
      <c r="B4511" s="8"/>
      <c r="C4511" s="8">
        <v>6403</v>
      </c>
      <c r="D4511">
        <v>4</v>
      </c>
      <c r="E4511" t="s">
        <v>594</v>
      </c>
      <c r="F4511" t="s">
        <v>1283</v>
      </c>
      <c r="G4511" s="9">
        <v>44592</v>
      </c>
    </row>
    <row r="4512" spans="1:7" ht="14.25" customHeight="1">
      <c r="A4512" s="8">
        <f t="shared" si="17"/>
        <v>10625</v>
      </c>
      <c r="B4512" s="8"/>
      <c r="C4512" s="8">
        <v>10625</v>
      </c>
      <c r="D4512">
        <v>9</v>
      </c>
      <c r="E4512" t="s">
        <v>594</v>
      </c>
      <c r="F4512" t="s">
        <v>1284</v>
      </c>
      <c r="G4512" s="9">
        <v>44620</v>
      </c>
    </row>
    <row r="4513" spans="1:7" ht="14.25" customHeight="1">
      <c r="A4513" s="8">
        <f t="shared" si="17"/>
        <v>10997</v>
      </c>
      <c r="B4513" s="8"/>
      <c r="C4513" s="8">
        <v>10997</v>
      </c>
      <c r="D4513">
        <v>14</v>
      </c>
      <c r="E4513" t="s">
        <v>594</v>
      </c>
      <c r="F4513" t="s">
        <v>1285</v>
      </c>
      <c r="G4513" s="9">
        <v>44651</v>
      </c>
    </row>
    <row r="4514" spans="1:7" ht="14.25" customHeight="1">
      <c r="A4514" s="8">
        <f t="shared" si="17"/>
        <v>10997</v>
      </c>
      <c r="B4514" s="8"/>
      <c r="C4514" s="8">
        <v>10997</v>
      </c>
      <c r="D4514">
        <v>19</v>
      </c>
      <c r="E4514" t="s">
        <v>594</v>
      </c>
      <c r="F4514" t="s">
        <v>1286</v>
      </c>
      <c r="G4514" s="9">
        <v>44681</v>
      </c>
    </row>
    <row r="4515" spans="1:7" ht="14.25" customHeight="1">
      <c r="A4515" s="8">
        <f t="shared" si="17"/>
        <v>10997</v>
      </c>
      <c r="B4515" s="8"/>
      <c r="C4515" s="8">
        <v>10997</v>
      </c>
      <c r="D4515">
        <v>24</v>
      </c>
      <c r="E4515" t="s">
        <v>594</v>
      </c>
      <c r="F4515" t="s">
        <v>1287</v>
      </c>
      <c r="G4515" s="9">
        <v>44712</v>
      </c>
    </row>
    <row r="4516" spans="1:7" ht="14.25" customHeight="1">
      <c r="A4516" s="8">
        <f t="shared" si="17"/>
        <v>10997</v>
      </c>
      <c r="B4516" s="8"/>
      <c r="C4516" s="8">
        <v>10997</v>
      </c>
      <c r="D4516">
        <v>32</v>
      </c>
      <c r="E4516" t="s">
        <v>594</v>
      </c>
      <c r="F4516" t="s">
        <v>1288</v>
      </c>
      <c r="G4516" s="9">
        <v>44742</v>
      </c>
    </row>
    <row r="4517" spans="1:7" ht="14.25" customHeight="1">
      <c r="A4517" s="8">
        <f t="shared" si="17"/>
        <v>10997</v>
      </c>
      <c r="B4517" s="8"/>
      <c r="C4517" s="8">
        <v>10997</v>
      </c>
      <c r="D4517">
        <v>65</v>
      </c>
      <c r="E4517" t="s">
        <v>594</v>
      </c>
      <c r="F4517" t="s">
        <v>1325</v>
      </c>
      <c r="G4517" s="9">
        <v>44772</v>
      </c>
    </row>
    <row r="4518" spans="1:7" ht="14.25" customHeight="1">
      <c r="A4518" s="8">
        <f t="shared" si="17"/>
        <v>10997</v>
      </c>
      <c r="B4518" s="8"/>
      <c r="C4518" s="8">
        <v>10997</v>
      </c>
      <c r="D4518">
        <v>75</v>
      </c>
      <c r="E4518" t="s">
        <v>594</v>
      </c>
      <c r="F4518" t="s">
        <v>1326</v>
      </c>
      <c r="G4518" s="9">
        <v>44804</v>
      </c>
    </row>
    <row r="4519" spans="1:7" ht="14.25" customHeight="1">
      <c r="A4519" s="8">
        <f t="shared" si="17"/>
        <v>10997</v>
      </c>
      <c r="B4519" s="8"/>
      <c r="C4519" s="8">
        <v>10997</v>
      </c>
      <c r="D4519">
        <v>130</v>
      </c>
      <c r="E4519" t="s">
        <v>594</v>
      </c>
      <c r="F4519" t="s">
        <v>1294</v>
      </c>
      <c r="G4519" s="9">
        <v>44834</v>
      </c>
    </row>
    <row r="4520" spans="1:7" ht="14.25" customHeight="1">
      <c r="A4520" s="8">
        <f t="shared" si="17"/>
        <v>10997</v>
      </c>
      <c r="B4520" s="8"/>
      <c r="C4520" s="8">
        <v>10997</v>
      </c>
      <c r="D4520">
        <v>138</v>
      </c>
      <c r="E4520" t="s">
        <v>594</v>
      </c>
      <c r="F4520" t="s">
        <v>1289</v>
      </c>
      <c r="G4520" s="9">
        <v>44865</v>
      </c>
    </row>
    <row r="4521" spans="1:7" ht="14.25" customHeight="1">
      <c r="A4521" s="8">
        <f t="shared" si="17"/>
        <v>10625</v>
      </c>
      <c r="B4521" s="8"/>
      <c r="C4521" s="8">
        <v>10625</v>
      </c>
      <c r="D4521">
        <v>176</v>
      </c>
      <c r="E4521" t="s">
        <v>594</v>
      </c>
      <c r="F4521" t="s">
        <v>1290</v>
      </c>
      <c r="G4521" s="9">
        <v>44895</v>
      </c>
    </row>
    <row r="4522" spans="1:7" ht="14.25" customHeight="1">
      <c r="A4522" s="8">
        <f t="shared" si="17"/>
        <v>13715</v>
      </c>
      <c r="B4522" s="8"/>
      <c r="C4522" s="8">
        <v>13715</v>
      </c>
      <c r="D4522">
        <v>194</v>
      </c>
      <c r="E4522" t="s">
        <v>594</v>
      </c>
      <c r="F4522" t="s">
        <v>1291</v>
      </c>
      <c r="G4522" s="9">
        <v>44925</v>
      </c>
    </row>
    <row r="4523" spans="1:7" ht="14.25" customHeight="1">
      <c r="A4523" s="8">
        <f t="shared" si="17"/>
        <v>129347</v>
      </c>
      <c r="B4523" s="8"/>
      <c r="C4523" s="8">
        <v>129347</v>
      </c>
    </row>
    <row r="4524" spans="1:7" ht="14.25" customHeight="1">
      <c r="A4524" s="8">
        <f t="shared" si="17"/>
        <v>0</v>
      </c>
      <c r="B4524" s="8"/>
      <c r="C4524" s="8"/>
      <c r="F4524" t="s">
        <v>1292</v>
      </c>
      <c r="G4524">
        <v>64140000</v>
      </c>
    </row>
    <row r="4525" spans="1:7" ht="14.25" customHeight="1">
      <c r="A4525" s="8">
        <f t="shared" si="17"/>
        <v>2134</v>
      </c>
      <c r="B4525" s="8"/>
      <c r="C4525" s="8">
        <v>2134</v>
      </c>
      <c r="D4525">
        <v>4</v>
      </c>
      <c r="E4525" t="s">
        <v>594</v>
      </c>
      <c r="F4525" t="s">
        <v>1283</v>
      </c>
      <c r="G4525" s="9">
        <v>44592</v>
      </c>
    </row>
    <row r="4526" spans="1:7" ht="14.25" customHeight="1">
      <c r="A4526" s="8">
        <f t="shared" si="17"/>
        <v>3542</v>
      </c>
      <c r="B4526" s="8"/>
      <c r="C4526" s="8">
        <v>3542</v>
      </c>
      <c r="D4526">
        <v>9</v>
      </c>
      <c r="E4526" t="s">
        <v>594</v>
      </c>
      <c r="F4526" t="s">
        <v>1284</v>
      </c>
      <c r="G4526" s="9">
        <v>44620</v>
      </c>
    </row>
    <row r="4527" spans="1:7" ht="14.25" customHeight="1">
      <c r="A4527" s="8">
        <f t="shared" si="17"/>
        <v>3666</v>
      </c>
      <c r="B4527" s="8"/>
      <c r="C4527" s="8">
        <v>3666</v>
      </c>
      <c r="D4527">
        <v>14</v>
      </c>
      <c r="E4527" t="s">
        <v>594</v>
      </c>
      <c r="F4527" t="s">
        <v>1285</v>
      </c>
      <c r="G4527" s="9">
        <v>44651</v>
      </c>
    </row>
    <row r="4528" spans="1:7" ht="14.25" customHeight="1">
      <c r="A4528" s="8">
        <f t="shared" si="17"/>
        <v>3666</v>
      </c>
      <c r="B4528" s="8"/>
      <c r="C4528" s="8">
        <v>3666</v>
      </c>
      <c r="D4528">
        <v>19</v>
      </c>
      <c r="E4528" t="s">
        <v>594</v>
      </c>
      <c r="F4528" t="s">
        <v>1286</v>
      </c>
      <c r="G4528" s="9">
        <v>44681</v>
      </c>
    </row>
    <row r="4529" spans="1:7" ht="14.25" customHeight="1">
      <c r="A4529" s="8">
        <f t="shared" si="17"/>
        <v>3666</v>
      </c>
      <c r="B4529" s="8"/>
      <c r="C4529" s="8">
        <v>3666</v>
      </c>
      <c r="D4529">
        <v>24</v>
      </c>
      <c r="E4529" t="s">
        <v>594</v>
      </c>
      <c r="F4529" t="s">
        <v>1287</v>
      </c>
      <c r="G4529" s="9">
        <v>44712</v>
      </c>
    </row>
    <row r="4530" spans="1:7" ht="14.25" customHeight="1">
      <c r="A4530" s="8">
        <f t="shared" si="17"/>
        <v>3666</v>
      </c>
      <c r="B4530" s="8"/>
      <c r="C4530" s="8">
        <v>3666</v>
      </c>
      <c r="D4530">
        <v>32</v>
      </c>
      <c r="E4530" t="s">
        <v>594</v>
      </c>
      <c r="F4530" t="s">
        <v>1288</v>
      </c>
      <c r="G4530" s="9">
        <v>44742</v>
      </c>
    </row>
    <row r="4531" spans="1:7" ht="14.25" customHeight="1">
      <c r="A4531" s="8">
        <f t="shared" si="17"/>
        <v>3666</v>
      </c>
      <c r="B4531" s="8"/>
      <c r="C4531" s="8">
        <v>3666</v>
      </c>
      <c r="D4531">
        <v>65</v>
      </c>
      <c r="E4531" t="s">
        <v>594</v>
      </c>
      <c r="F4531" t="s">
        <v>1325</v>
      </c>
      <c r="G4531" s="9">
        <v>44772</v>
      </c>
    </row>
    <row r="4532" spans="1:7" ht="14.25" customHeight="1">
      <c r="A4532" s="8">
        <f t="shared" si="17"/>
        <v>3666</v>
      </c>
      <c r="B4532" s="8"/>
      <c r="C4532" s="8">
        <v>3666</v>
      </c>
      <c r="D4532">
        <v>75</v>
      </c>
      <c r="E4532" t="s">
        <v>594</v>
      </c>
      <c r="F4532" t="s">
        <v>1326</v>
      </c>
      <c r="G4532" s="9">
        <v>44804</v>
      </c>
    </row>
    <row r="4533" spans="1:7" ht="14.25" customHeight="1">
      <c r="A4533" s="8">
        <f t="shared" si="17"/>
        <v>3666</v>
      </c>
      <c r="B4533" s="8"/>
      <c r="C4533" s="8">
        <v>3666</v>
      </c>
      <c r="D4533">
        <v>130</v>
      </c>
      <c r="E4533" t="s">
        <v>594</v>
      </c>
      <c r="F4533" t="s">
        <v>1294</v>
      </c>
      <c r="G4533" s="9">
        <v>44834</v>
      </c>
    </row>
    <row r="4534" spans="1:7" ht="14.25" customHeight="1">
      <c r="A4534" s="8">
        <f t="shared" si="17"/>
        <v>3666</v>
      </c>
      <c r="B4534" s="8"/>
      <c r="C4534" s="8">
        <v>3666</v>
      </c>
      <c r="D4534">
        <v>138</v>
      </c>
      <c r="E4534" t="s">
        <v>594</v>
      </c>
      <c r="F4534" t="s">
        <v>1289</v>
      </c>
      <c r="G4534" s="9">
        <v>44865</v>
      </c>
    </row>
    <row r="4535" spans="1:7" ht="14.25" customHeight="1">
      <c r="A4535" s="8">
        <f t="shared" si="17"/>
        <v>3542</v>
      </c>
      <c r="B4535" s="8"/>
      <c r="C4535" s="8">
        <v>3542</v>
      </c>
      <c r="D4535">
        <v>176</v>
      </c>
      <c r="E4535" t="s">
        <v>594</v>
      </c>
      <c r="F4535" t="s">
        <v>1290</v>
      </c>
      <c r="G4535" s="9">
        <v>44895</v>
      </c>
    </row>
    <row r="4536" spans="1:7" ht="14.25" customHeight="1">
      <c r="A4536" s="8">
        <f t="shared" si="17"/>
        <v>4571</v>
      </c>
      <c r="B4536" s="8"/>
      <c r="C4536" s="8">
        <v>4571</v>
      </c>
      <c r="D4536">
        <v>194</v>
      </c>
      <c r="E4536" t="s">
        <v>594</v>
      </c>
      <c r="F4536" t="s">
        <v>1291</v>
      </c>
      <c r="G4536" s="9">
        <v>44925</v>
      </c>
    </row>
    <row r="4537" spans="1:7" ht="14.25" customHeight="1">
      <c r="A4537" s="8">
        <f t="shared" si="17"/>
        <v>43119</v>
      </c>
      <c r="B4537" s="8"/>
      <c r="C4537" s="8">
        <v>43119</v>
      </c>
    </row>
    <row r="4538" spans="1:7" ht="14.25" customHeight="1">
      <c r="A4538" s="8">
        <f t="shared" si="17"/>
        <v>0</v>
      </c>
      <c r="B4538" s="8"/>
      <c r="C4538" s="8"/>
      <c r="F4538" t="s">
        <v>1293</v>
      </c>
      <c r="G4538">
        <v>64150000</v>
      </c>
    </row>
    <row r="4539" spans="1:7" ht="14.25" customHeight="1">
      <c r="A4539" s="8">
        <f t="shared" si="17"/>
        <v>3202</v>
      </c>
      <c r="B4539" s="8"/>
      <c r="C4539" s="8">
        <v>3202</v>
      </c>
      <c r="D4539">
        <v>4</v>
      </c>
      <c r="E4539" t="s">
        <v>594</v>
      </c>
      <c r="F4539" t="s">
        <v>1283</v>
      </c>
      <c r="G4539" s="9">
        <v>44592</v>
      </c>
    </row>
    <row r="4540" spans="1:7" ht="14.25" customHeight="1">
      <c r="A4540" s="8">
        <f t="shared" si="17"/>
        <v>5312</v>
      </c>
      <c r="B4540" s="8"/>
      <c r="C4540" s="8">
        <v>5312</v>
      </c>
      <c r="D4540">
        <v>9</v>
      </c>
      <c r="E4540" t="s">
        <v>594</v>
      </c>
      <c r="F4540" t="s">
        <v>1284</v>
      </c>
      <c r="G4540" s="9">
        <v>44620</v>
      </c>
    </row>
    <row r="4541" spans="1:7" ht="14.25" customHeight="1">
      <c r="A4541" s="8">
        <f t="shared" si="17"/>
        <v>5499</v>
      </c>
      <c r="B4541" s="8"/>
      <c r="C4541" s="8">
        <v>5499</v>
      </c>
      <c r="D4541">
        <v>14</v>
      </c>
      <c r="E4541" t="s">
        <v>594</v>
      </c>
      <c r="F4541" t="s">
        <v>1285</v>
      </c>
      <c r="G4541" s="9">
        <v>44651</v>
      </c>
    </row>
    <row r="4542" spans="1:7" ht="14.25" customHeight="1">
      <c r="A4542" s="8">
        <f t="shared" si="17"/>
        <v>5499</v>
      </c>
      <c r="B4542" s="8"/>
      <c r="C4542" s="8">
        <v>5499</v>
      </c>
      <c r="D4542">
        <v>19</v>
      </c>
      <c r="E4542" t="s">
        <v>594</v>
      </c>
      <c r="F4542" t="s">
        <v>1286</v>
      </c>
      <c r="G4542" s="9">
        <v>44681</v>
      </c>
    </row>
    <row r="4543" spans="1:7" ht="14.25" customHeight="1">
      <c r="A4543" s="8">
        <f t="shared" si="17"/>
        <v>5499</v>
      </c>
      <c r="B4543" s="8"/>
      <c r="C4543" s="8">
        <v>5499</v>
      </c>
      <c r="D4543">
        <v>32</v>
      </c>
      <c r="E4543" t="s">
        <v>594</v>
      </c>
      <c r="F4543" t="s">
        <v>1288</v>
      </c>
      <c r="G4543" s="9">
        <v>44742</v>
      </c>
    </row>
    <row r="4544" spans="1:7" ht="14.25" customHeight="1">
      <c r="A4544" s="8">
        <f t="shared" si="17"/>
        <v>5499</v>
      </c>
      <c r="B4544" s="8"/>
      <c r="C4544" s="8">
        <v>5499</v>
      </c>
      <c r="D4544">
        <v>65</v>
      </c>
      <c r="E4544" t="s">
        <v>594</v>
      </c>
      <c r="F4544" t="s">
        <v>1325</v>
      </c>
      <c r="G4544" s="9">
        <v>44772</v>
      </c>
    </row>
    <row r="4545" spans="1:7" ht="14.25" customHeight="1">
      <c r="A4545" s="8">
        <f t="shared" si="17"/>
        <v>5499</v>
      </c>
      <c r="B4545" s="8"/>
      <c r="C4545" s="8">
        <v>5499</v>
      </c>
      <c r="D4545">
        <v>75</v>
      </c>
      <c r="E4545" t="s">
        <v>594</v>
      </c>
      <c r="F4545" t="s">
        <v>1326</v>
      </c>
      <c r="G4545" s="9">
        <v>44804</v>
      </c>
    </row>
    <row r="4546" spans="1:7" ht="14.25" customHeight="1">
      <c r="A4546" s="8">
        <f t="shared" si="17"/>
        <v>5499</v>
      </c>
      <c r="B4546" s="8"/>
      <c r="C4546" s="8">
        <v>5499</v>
      </c>
      <c r="D4546">
        <v>130</v>
      </c>
      <c r="E4546" t="s">
        <v>594</v>
      </c>
      <c r="F4546" t="s">
        <v>1294</v>
      </c>
      <c r="G4546" s="9">
        <v>44834</v>
      </c>
    </row>
    <row r="4547" spans="1:7" ht="14.25" customHeight="1">
      <c r="A4547" s="8">
        <f t="shared" si="17"/>
        <v>5499</v>
      </c>
      <c r="B4547" s="8"/>
      <c r="C4547" s="8">
        <v>5499</v>
      </c>
      <c r="D4547">
        <v>138</v>
      </c>
      <c r="E4547" t="s">
        <v>594</v>
      </c>
      <c r="F4547" t="s">
        <v>1289</v>
      </c>
      <c r="G4547" s="9">
        <v>44865</v>
      </c>
    </row>
    <row r="4548" spans="1:7" ht="14.25" customHeight="1">
      <c r="A4548" s="8">
        <f t="shared" si="17"/>
        <v>5312</v>
      </c>
      <c r="B4548" s="8"/>
      <c r="C4548" s="8">
        <v>5312</v>
      </c>
      <c r="D4548">
        <v>176</v>
      </c>
      <c r="E4548" t="s">
        <v>594</v>
      </c>
      <c r="F4548" t="s">
        <v>1290</v>
      </c>
      <c r="G4548" s="9">
        <v>44895</v>
      </c>
    </row>
    <row r="4549" spans="1:7" ht="14.25" customHeight="1">
      <c r="A4549" s="8">
        <f t="shared" si="17"/>
        <v>6857</v>
      </c>
      <c r="B4549" s="8"/>
      <c r="C4549" s="8">
        <v>6857</v>
      </c>
      <c r="D4549">
        <v>194</v>
      </c>
      <c r="E4549" t="s">
        <v>594</v>
      </c>
      <c r="F4549" t="s">
        <v>1291</v>
      </c>
      <c r="G4549" s="9">
        <v>44925</v>
      </c>
    </row>
    <row r="4550" spans="1:7" ht="14.25" customHeight="1">
      <c r="A4550" s="8">
        <f t="shared" si="17"/>
        <v>59178</v>
      </c>
      <c r="B4550" s="8"/>
      <c r="C4550" s="8">
        <v>59178</v>
      </c>
    </row>
    <row r="4551" spans="1:7" ht="14.25" customHeight="1">
      <c r="A4551" s="8">
        <f t="shared" si="17"/>
        <v>0</v>
      </c>
      <c r="B4551" s="8"/>
      <c r="C4551" s="8"/>
      <c r="F4551" t="s">
        <v>1295</v>
      </c>
      <c r="G4551">
        <v>66110000</v>
      </c>
    </row>
    <row r="4552" spans="1:7" ht="14.25" customHeight="1">
      <c r="A4552" s="8">
        <f t="shared" si="17"/>
        <v>533641</v>
      </c>
      <c r="B4552" s="8"/>
      <c r="C4552" s="8">
        <v>533641</v>
      </c>
      <c r="D4552">
        <v>1</v>
      </c>
      <c r="E4552" t="s">
        <v>594</v>
      </c>
      <c r="F4552" t="s">
        <v>1296</v>
      </c>
      <c r="G4552" s="9">
        <v>44592</v>
      </c>
    </row>
    <row r="4553" spans="1:7" ht="14.25" customHeight="1">
      <c r="A4553" s="8">
        <f t="shared" si="17"/>
        <v>885388</v>
      </c>
      <c r="B4553" s="8"/>
      <c r="C4553" s="8">
        <v>885388</v>
      </c>
      <c r="D4553">
        <v>6</v>
      </c>
      <c r="E4553" t="s">
        <v>594</v>
      </c>
      <c r="F4553" t="s">
        <v>1297</v>
      </c>
      <c r="G4553" s="9">
        <v>44620</v>
      </c>
    </row>
    <row r="4554" spans="1:7" ht="14.25" customHeight="1">
      <c r="A4554" s="8">
        <f t="shared" si="17"/>
        <v>916502</v>
      </c>
      <c r="B4554" s="8"/>
      <c r="C4554" s="8">
        <v>916502</v>
      </c>
      <c r="D4554">
        <v>11</v>
      </c>
      <c r="E4554" t="s">
        <v>594</v>
      </c>
      <c r="F4554" t="s">
        <v>1298</v>
      </c>
      <c r="G4554" s="9">
        <v>44651</v>
      </c>
    </row>
    <row r="4555" spans="1:7" ht="14.25" customHeight="1">
      <c r="A4555" s="8">
        <f t="shared" si="17"/>
        <v>916502</v>
      </c>
      <c r="B4555" s="8"/>
      <c r="C4555" s="8">
        <v>916502</v>
      </c>
      <c r="D4555">
        <v>16</v>
      </c>
      <c r="E4555" t="s">
        <v>594</v>
      </c>
      <c r="F4555" t="s">
        <v>1299</v>
      </c>
      <c r="G4555" s="9">
        <v>44681</v>
      </c>
    </row>
    <row r="4556" spans="1:7" ht="14.25" customHeight="1">
      <c r="A4556" s="8">
        <f t="shared" si="17"/>
        <v>916502</v>
      </c>
      <c r="B4556" s="8"/>
      <c r="C4556" s="8">
        <v>916502</v>
      </c>
      <c r="D4556">
        <v>21</v>
      </c>
      <c r="E4556" t="s">
        <v>594</v>
      </c>
      <c r="F4556" t="s">
        <v>1300</v>
      </c>
      <c r="G4556" s="9">
        <v>44712</v>
      </c>
    </row>
    <row r="4557" spans="1:7" ht="14.25" customHeight="1">
      <c r="A4557" s="8">
        <f t="shared" si="17"/>
        <v>916502</v>
      </c>
      <c r="B4557" s="8"/>
      <c r="C4557" s="8">
        <v>916502</v>
      </c>
      <c r="D4557">
        <v>29</v>
      </c>
      <c r="E4557" t="s">
        <v>594</v>
      </c>
      <c r="F4557" t="s">
        <v>1301</v>
      </c>
      <c r="G4557" s="9">
        <v>44742</v>
      </c>
    </row>
    <row r="4558" spans="1:7" ht="14.25" customHeight="1">
      <c r="A4558" s="8">
        <f t="shared" si="17"/>
        <v>916502</v>
      </c>
      <c r="B4558" s="8"/>
      <c r="C4558" s="8">
        <v>916502</v>
      </c>
      <c r="D4558">
        <v>62</v>
      </c>
      <c r="E4558" t="s">
        <v>594</v>
      </c>
      <c r="F4558" t="s">
        <v>1327</v>
      </c>
      <c r="G4558" s="9">
        <v>44772</v>
      </c>
    </row>
    <row r="4559" spans="1:7" ht="14.25" customHeight="1">
      <c r="A4559" s="8">
        <f t="shared" si="17"/>
        <v>916502</v>
      </c>
      <c r="B4559" s="8"/>
      <c r="C4559" s="8">
        <v>916502</v>
      </c>
      <c r="D4559">
        <v>72</v>
      </c>
      <c r="E4559" t="s">
        <v>594</v>
      </c>
      <c r="F4559" t="s">
        <v>1328</v>
      </c>
      <c r="G4559" s="9">
        <v>44804</v>
      </c>
    </row>
    <row r="4560" spans="1:7" ht="14.25" customHeight="1">
      <c r="A4560" s="8">
        <f t="shared" si="17"/>
        <v>916502</v>
      </c>
      <c r="B4560" s="8"/>
      <c r="C4560" s="8">
        <v>916502</v>
      </c>
      <c r="D4560">
        <v>127</v>
      </c>
      <c r="E4560" t="s">
        <v>594</v>
      </c>
      <c r="F4560" t="s">
        <v>1329</v>
      </c>
      <c r="G4560" s="9">
        <v>44834</v>
      </c>
    </row>
    <row r="4561" spans="1:7" ht="14.25" customHeight="1">
      <c r="A4561" s="8">
        <f t="shared" si="17"/>
        <v>916502</v>
      </c>
      <c r="B4561" s="8"/>
      <c r="C4561" s="8">
        <v>916502</v>
      </c>
      <c r="D4561">
        <v>135</v>
      </c>
      <c r="E4561" t="s">
        <v>594</v>
      </c>
      <c r="F4561" t="s">
        <v>1302</v>
      </c>
      <c r="G4561" s="9">
        <v>44865</v>
      </c>
    </row>
    <row r="4562" spans="1:7" ht="14.25" customHeight="1">
      <c r="A4562" s="8">
        <f t="shared" si="17"/>
        <v>885388</v>
      </c>
      <c r="B4562" s="8"/>
      <c r="C4562" s="8">
        <v>885388</v>
      </c>
      <c r="D4562">
        <v>173</v>
      </c>
      <c r="E4562" t="s">
        <v>594</v>
      </c>
      <c r="F4562" t="s">
        <v>1303</v>
      </c>
      <c r="G4562" s="9">
        <v>44895</v>
      </c>
    </row>
    <row r="4563" spans="1:7" ht="14.25" customHeight="1">
      <c r="A4563" s="8">
        <f t="shared" si="17"/>
        <v>1142924</v>
      </c>
      <c r="B4563" s="8"/>
      <c r="C4563" s="8">
        <v>1142924</v>
      </c>
      <c r="D4563">
        <v>191</v>
      </c>
      <c r="E4563" t="s">
        <v>594</v>
      </c>
      <c r="F4563" t="s">
        <v>1304</v>
      </c>
      <c r="G4563" s="9">
        <v>44925</v>
      </c>
    </row>
    <row r="4564" spans="1:7" ht="14.25" customHeight="1">
      <c r="A4564" s="8">
        <f t="shared" si="17"/>
        <v>10779356</v>
      </c>
      <c r="B4564" s="8"/>
      <c r="C4564" s="8">
        <v>10779356</v>
      </c>
    </row>
    <row r="4565" spans="1:7" ht="14.25" customHeight="1">
      <c r="A4565" s="8">
        <f t="shared" si="17"/>
        <v>0</v>
      </c>
      <c r="B4565" s="8"/>
      <c r="C4565" s="8"/>
      <c r="F4565" t="s">
        <v>1330</v>
      </c>
      <c r="G4565">
        <v>66320000</v>
      </c>
    </row>
    <row r="4566" spans="1:7" ht="14.25" customHeight="1">
      <c r="A4566" s="8">
        <f t="shared" si="17"/>
        <v>17250</v>
      </c>
      <c r="B4566" s="8"/>
      <c r="C4566" s="8">
        <v>17250</v>
      </c>
      <c r="D4566">
        <v>2</v>
      </c>
      <c r="E4566" t="s">
        <v>594</v>
      </c>
      <c r="F4566" t="s">
        <v>1331</v>
      </c>
      <c r="G4566" s="9">
        <v>44592</v>
      </c>
    </row>
    <row r="4567" spans="1:7" ht="14.25" customHeight="1">
      <c r="A4567" s="8">
        <f t="shared" si="17"/>
        <v>25875</v>
      </c>
      <c r="B4567" s="8"/>
      <c r="C4567" s="8">
        <v>25875</v>
      </c>
      <c r="D4567">
        <v>7</v>
      </c>
      <c r="E4567" t="s">
        <v>594</v>
      </c>
      <c r="F4567" t="s">
        <v>1332</v>
      </c>
      <c r="G4567" s="9">
        <v>44620</v>
      </c>
    </row>
    <row r="4568" spans="1:7" ht="14.25" customHeight="1">
      <c r="A4568" s="8">
        <f t="shared" si="17"/>
        <v>25875</v>
      </c>
      <c r="B4568" s="8"/>
      <c r="C4568" s="8">
        <v>25875</v>
      </c>
      <c r="D4568">
        <v>12</v>
      </c>
      <c r="E4568" t="s">
        <v>594</v>
      </c>
      <c r="F4568" t="s">
        <v>1333</v>
      </c>
      <c r="G4568" s="9">
        <v>44651</v>
      </c>
    </row>
    <row r="4569" spans="1:7" ht="14.25" customHeight="1">
      <c r="A4569" s="8">
        <f t="shared" si="17"/>
        <v>25875</v>
      </c>
      <c r="B4569" s="8"/>
      <c r="C4569" s="8">
        <v>25875</v>
      </c>
      <c r="D4569">
        <v>17</v>
      </c>
      <c r="E4569" t="s">
        <v>594</v>
      </c>
      <c r="F4569" t="s">
        <v>1334</v>
      </c>
      <c r="G4569" s="9">
        <v>44681</v>
      </c>
    </row>
    <row r="4570" spans="1:7" ht="14.25" customHeight="1">
      <c r="A4570" s="8">
        <f t="shared" si="17"/>
        <v>25875</v>
      </c>
      <c r="B4570" s="8"/>
      <c r="C4570" s="8">
        <v>25875</v>
      </c>
      <c r="D4570">
        <v>22</v>
      </c>
      <c r="E4570" t="s">
        <v>594</v>
      </c>
      <c r="F4570" t="s">
        <v>1335</v>
      </c>
      <c r="G4570" s="9">
        <v>44712</v>
      </c>
    </row>
    <row r="4571" spans="1:7" ht="14.25" customHeight="1">
      <c r="A4571" s="8">
        <f t="shared" si="17"/>
        <v>25875</v>
      </c>
      <c r="B4571" s="8"/>
      <c r="C4571" s="8">
        <v>25875</v>
      </c>
      <c r="D4571">
        <v>30</v>
      </c>
      <c r="E4571" t="s">
        <v>594</v>
      </c>
      <c r="F4571" t="s">
        <v>1336</v>
      </c>
      <c r="G4571" s="9">
        <v>44742</v>
      </c>
    </row>
    <row r="4572" spans="1:7" ht="14.25" customHeight="1">
      <c r="A4572" s="8">
        <f t="shared" si="17"/>
        <v>25875</v>
      </c>
      <c r="B4572" s="8"/>
      <c r="C4572" s="8">
        <v>25875</v>
      </c>
      <c r="D4572">
        <v>63</v>
      </c>
      <c r="E4572" t="s">
        <v>594</v>
      </c>
      <c r="F4572" t="s">
        <v>1337</v>
      </c>
      <c r="G4572" s="9">
        <v>44772</v>
      </c>
    </row>
    <row r="4573" spans="1:7" ht="14.25" customHeight="1">
      <c r="A4573" s="8">
        <f t="shared" si="17"/>
        <v>25875</v>
      </c>
      <c r="B4573" s="8"/>
      <c r="C4573" s="8">
        <v>25875</v>
      </c>
      <c r="D4573">
        <v>73</v>
      </c>
      <c r="E4573" t="s">
        <v>594</v>
      </c>
      <c r="F4573" t="s">
        <v>1338</v>
      </c>
      <c r="G4573" s="9">
        <v>44804</v>
      </c>
    </row>
    <row r="4574" spans="1:7" ht="14.25" customHeight="1">
      <c r="A4574" s="8">
        <f t="shared" si="17"/>
        <v>25875</v>
      </c>
      <c r="B4574" s="8"/>
      <c r="C4574" s="8">
        <v>25875</v>
      </c>
      <c r="D4574">
        <v>128</v>
      </c>
      <c r="E4574" t="s">
        <v>594</v>
      </c>
      <c r="F4574" t="s">
        <v>1339</v>
      </c>
      <c r="G4574" s="9">
        <v>44834</v>
      </c>
    </row>
    <row r="4575" spans="1:7" ht="14.25" customHeight="1">
      <c r="A4575" s="8">
        <f t="shared" si="17"/>
        <v>25875</v>
      </c>
      <c r="B4575" s="8"/>
      <c r="C4575" s="8">
        <v>25875</v>
      </c>
      <c r="D4575">
        <v>136</v>
      </c>
      <c r="E4575" t="s">
        <v>594</v>
      </c>
      <c r="F4575" t="s">
        <v>1340</v>
      </c>
      <c r="G4575" s="9">
        <v>44865</v>
      </c>
    </row>
    <row r="4576" spans="1:7" ht="14.25" customHeight="1">
      <c r="A4576" s="8">
        <f t="shared" si="17"/>
        <v>25875</v>
      </c>
      <c r="B4576" s="8"/>
      <c r="C4576" s="8">
        <v>25875</v>
      </c>
      <c r="D4576">
        <v>174</v>
      </c>
      <c r="E4576" t="s">
        <v>594</v>
      </c>
      <c r="F4576" t="s">
        <v>1341</v>
      </c>
      <c r="G4576" s="9">
        <v>44895</v>
      </c>
    </row>
    <row r="4577" spans="1:7" ht="14.25" customHeight="1">
      <c r="A4577" s="8">
        <f t="shared" si="17"/>
        <v>25875</v>
      </c>
      <c r="B4577" s="8"/>
      <c r="C4577" s="8">
        <v>25875</v>
      </c>
      <c r="D4577">
        <v>192</v>
      </c>
      <c r="E4577" t="s">
        <v>594</v>
      </c>
      <c r="F4577" t="s">
        <v>1342</v>
      </c>
      <c r="G4577" s="9">
        <v>44925</v>
      </c>
    </row>
    <row r="4578" spans="1:7" ht="14.25" customHeight="1">
      <c r="A4578" s="8">
        <f t="shared" si="17"/>
        <v>301875</v>
      </c>
      <c r="B4578" s="8"/>
      <c r="C4578" s="8">
        <v>301875</v>
      </c>
    </row>
    <row r="4579" spans="1:7" ht="14.25" customHeight="1">
      <c r="A4579" s="8">
        <f t="shared" si="17"/>
        <v>0</v>
      </c>
      <c r="B4579" s="8"/>
      <c r="C4579" s="8"/>
      <c r="F4579" t="s">
        <v>1305</v>
      </c>
      <c r="G4579">
        <v>66340000</v>
      </c>
    </row>
    <row r="4580" spans="1:7" ht="14.25" customHeight="1">
      <c r="A4580" s="8">
        <f t="shared" si="17"/>
        <v>34500</v>
      </c>
      <c r="B4580" s="8"/>
      <c r="C4580" s="8">
        <v>34500</v>
      </c>
      <c r="D4580">
        <v>3</v>
      </c>
      <c r="E4580" t="s">
        <v>594</v>
      </c>
      <c r="F4580" t="s">
        <v>1306</v>
      </c>
      <c r="G4580" s="9">
        <v>44592</v>
      </c>
    </row>
    <row r="4581" spans="1:7" ht="14.25" customHeight="1">
      <c r="A4581" s="8">
        <f t="shared" si="17"/>
        <v>65550</v>
      </c>
      <c r="B4581" s="8"/>
      <c r="C4581" s="8">
        <v>65550</v>
      </c>
      <c r="D4581">
        <v>8</v>
      </c>
      <c r="E4581" t="s">
        <v>594</v>
      </c>
      <c r="F4581" t="s">
        <v>1307</v>
      </c>
      <c r="G4581" s="9">
        <v>44620</v>
      </c>
    </row>
    <row r="4582" spans="1:7" ht="14.25" customHeight="1">
      <c r="A4582" s="8">
        <f t="shared" si="17"/>
        <v>69000</v>
      </c>
      <c r="B4582" s="8"/>
      <c r="C4582" s="8">
        <v>69000</v>
      </c>
      <c r="D4582">
        <v>13</v>
      </c>
      <c r="E4582" t="s">
        <v>594</v>
      </c>
      <c r="F4582" t="s">
        <v>1308</v>
      </c>
      <c r="G4582" s="9">
        <v>44651</v>
      </c>
    </row>
    <row r="4583" spans="1:7" ht="14.25" customHeight="1">
      <c r="A4583" s="8">
        <f t="shared" si="17"/>
        <v>69000</v>
      </c>
      <c r="B4583" s="8"/>
      <c r="C4583" s="8">
        <v>69000</v>
      </c>
      <c r="D4583">
        <v>18</v>
      </c>
      <c r="E4583" t="s">
        <v>594</v>
      </c>
      <c r="F4583" t="s">
        <v>1309</v>
      </c>
      <c r="G4583" s="9">
        <v>44681</v>
      </c>
    </row>
    <row r="4584" spans="1:7" ht="14.25" customHeight="1">
      <c r="A4584" s="8">
        <f t="shared" si="17"/>
        <v>69000</v>
      </c>
      <c r="B4584" s="8"/>
      <c r="C4584" s="8">
        <v>69000</v>
      </c>
      <c r="D4584">
        <v>23</v>
      </c>
      <c r="E4584" t="s">
        <v>594</v>
      </c>
      <c r="F4584" t="s">
        <v>1310</v>
      </c>
      <c r="G4584" s="9">
        <v>44712</v>
      </c>
    </row>
    <row r="4585" spans="1:7" ht="14.25" customHeight="1">
      <c r="A4585" s="8">
        <f t="shared" si="17"/>
        <v>69000</v>
      </c>
      <c r="B4585" s="8"/>
      <c r="C4585" s="8">
        <v>69000</v>
      </c>
      <c r="D4585">
        <v>31</v>
      </c>
      <c r="E4585" t="s">
        <v>594</v>
      </c>
      <c r="F4585" t="s">
        <v>1311</v>
      </c>
      <c r="G4585" s="9">
        <v>44742</v>
      </c>
    </row>
    <row r="4586" spans="1:7" ht="14.25" customHeight="1">
      <c r="A4586" s="8">
        <f t="shared" si="17"/>
        <v>69000</v>
      </c>
      <c r="B4586" s="8"/>
      <c r="C4586" s="8">
        <v>69000</v>
      </c>
      <c r="D4586">
        <v>64</v>
      </c>
      <c r="E4586" t="s">
        <v>594</v>
      </c>
      <c r="F4586" t="s">
        <v>1343</v>
      </c>
      <c r="G4586" s="9">
        <v>44772</v>
      </c>
    </row>
    <row r="4587" spans="1:7" ht="14.25" customHeight="1">
      <c r="A4587" s="8">
        <f t="shared" si="17"/>
        <v>69000</v>
      </c>
      <c r="B4587" s="8"/>
      <c r="C4587" s="8">
        <v>69000</v>
      </c>
      <c r="D4587">
        <v>74</v>
      </c>
      <c r="E4587" t="s">
        <v>594</v>
      </c>
      <c r="F4587" t="s">
        <v>1344</v>
      </c>
      <c r="G4587" s="9">
        <v>44804</v>
      </c>
    </row>
    <row r="4588" spans="1:7" ht="14.25" customHeight="1">
      <c r="A4588" s="8">
        <f t="shared" si="17"/>
        <v>69000</v>
      </c>
      <c r="B4588" s="8"/>
      <c r="C4588" s="8">
        <v>69000</v>
      </c>
      <c r="D4588">
        <v>129</v>
      </c>
      <c r="E4588" t="s">
        <v>594</v>
      </c>
      <c r="F4588" t="s">
        <v>1345</v>
      </c>
      <c r="G4588" s="9">
        <v>44834</v>
      </c>
    </row>
    <row r="4589" spans="1:7" ht="14.25" customHeight="1">
      <c r="A4589" s="8">
        <f t="shared" si="17"/>
        <v>69000</v>
      </c>
      <c r="B4589" s="8"/>
      <c r="C4589" s="8">
        <v>69000</v>
      </c>
      <c r="D4589">
        <v>137</v>
      </c>
      <c r="E4589" t="s">
        <v>594</v>
      </c>
      <c r="F4589" t="s">
        <v>1312</v>
      </c>
      <c r="G4589" s="9">
        <v>44865</v>
      </c>
    </row>
    <row r="4590" spans="1:7" ht="14.25" customHeight="1">
      <c r="A4590" s="8">
        <f t="shared" si="17"/>
        <v>65550</v>
      </c>
      <c r="B4590" s="8"/>
      <c r="C4590" s="8">
        <v>65550</v>
      </c>
      <c r="D4590">
        <v>175</v>
      </c>
      <c r="E4590" t="s">
        <v>594</v>
      </c>
      <c r="F4590" t="s">
        <v>1313</v>
      </c>
      <c r="G4590" s="9">
        <v>44895</v>
      </c>
    </row>
    <row r="4591" spans="1:7" ht="14.25" customHeight="1">
      <c r="A4591" s="8">
        <f t="shared" si="17"/>
        <v>69000</v>
      </c>
      <c r="B4591" s="8"/>
      <c r="C4591" s="8">
        <v>69000</v>
      </c>
      <c r="D4591">
        <v>193</v>
      </c>
      <c r="E4591" t="s">
        <v>594</v>
      </c>
      <c r="F4591" t="s">
        <v>1314</v>
      </c>
      <c r="G4591" s="9">
        <v>44925</v>
      </c>
    </row>
    <row r="4592" spans="1:7" ht="14.25" customHeight="1">
      <c r="A4592" s="8">
        <f t="shared" ref="A4592:A4846" si="18">C4592-B4592</f>
        <v>786600</v>
      </c>
      <c r="B4592" s="8"/>
      <c r="C4592" s="8">
        <v>786600</v>
      </c>
    </row>
    <row r="4593" spans="1:7" ht="14.25" customHeight="1">
      <c r="A4593" s="8">
        <f t="shared" si="18"/>
        <v>0</v>
      </c>
      <c r="B4593" s="8"/>
      <c r="C4593" s="8"/>
      <c r="F4593" t="s">
        <v>1315</v>
      </c>
      <c r="G4593">
        <v>66410000</v>
      </c>
    </row>
    <row r="4594" spans="1:7" ht="14.25" customHeight="1">
      <c r="A4594" s="8">
        <f t="shared" si="18"/>
        <v>45538</v>
      </c>
      <c r="B4594" s="8"/>
      <c r="C4594" s="8">
        <v>45538</v>
      </c>
      <c r="D4594">
        <v>5</v>
      </c>
      <c r="E4594" t="s">
        <v>594</v>
      </c>
      <c r="F4594" t="s">
        <v>1316</v>
      </c>
      <c r="G4594" s="9">
        <v>44592</v>
      </c>
    </row>
    <row r="4595" spans="1:7" ht="14.25" customHeight="1">
      <c r="A4595" s="8">
        <f t="shared" si="18"/>
        <v>74400</v>
      </c>
      <c r="B4595" s="8"/>
      <c r="C4595" s="8">
        <v>74400</v>
      </c>
      <c r="D4595">
        <v>10</v>
      </c>
      <c r="E4595" t="s">
        <v>594</v>
      </c>
      <c r="F4595" t="s">
        <v>1317</v>
      </c>
      <c r="G4595" s="9">
        <v>44620</v>
      </c>
    </row>
    <row r="4596" spans="1:7" ht="14.25" customHeight="1">
      <c r="A4596" s="8">
        <f t="shared" si="18"/>
        <v>77019</v>
      </c>
      <c r="B4596" s="8"/>
      <c r="C4596" s="8">
        <v>77019</v>
      </c>
      <c r="D4596">
        <v>15</v>
      </c>
      <c r="E4596" t="s">
        <v>594</v>
      </c>
      <c r="F4596" t="s">
        <v>1318</v>
      </c>
      <c r="G4596" s="9">
        <v>44651</v>
      </c>
    </row>
    <row r="4597" spans="1:7" ht="14.25" customHeight="1">
      <c r="A4597" s="8">
        <f t="shared" si="18"/>
        <v>77019</v>
      </c>
      <c r="B4597" s="8"/>
      <c r="C4597" s="8">
        <v>77019</v>
      </c>
      <c r="D4597">
        <v>20</v>
      </c>
      <c r="E4597" t="s">
        <v>594</v>
      </c>
      <c r="F4597" t="s">
        <v>1319</v>
      </c>
      <c r="G4597" s="9">
        <v>44681</v>
      </c>
    </row>
    <row r="4598" spans="1:7" ht="14.25" customHeight="1">
      <c r="A4598" s="8">
        <f t="shared" si="18"/>
        <v>77019</v>
      </c>
      <c r="B4598" s="8"/>
      <c r="C4598" s="8">
        <v>77019</v>
      </c>
      <c r="D4598">
        <v>25</v>
      </c>
      <c r="E4598" t="s">
        <v>594</v>
      </c>
      <c r="F4598" t="s">
        <v>1320</v>
      </c>
      <c r="G4598" s="9">
        <v>44712</v>
      </c>
    </row>
    <row r="4599" spans="1:7" ht="14.25" customHeight="1">
      <c r="A4599" s="8">
        <f t="shared" si="18"/>
        <v>77019</v>
      </c>
      <c r="B4599" s="8"/>
      <c r="C4599" s="8">
        <v>77019</v>
      </c>
      <c r="D4599">
        <v>33</v>
      </c>
      <c r="E4599" t="s">
        <v>594</v>
      </c>
      <c r="F4599" t="s">
        <v>1321</v>
      </c>
      <c r="G4599" s="9">
        <v>44742</v>
      </c>
    </row>
    <row r="4600" spans="1:7" ht="14.25" customHeight="1">
      <c r="A4600" s="8">
        <f t="shared" si="18"/>
        <v>77019</v>
      </c>
      <c r="B4600" s="8"/>
      <c r="C4600" s="8">
        <v>77019</v>
      </c>
      <c r="D4600">
        <v>66</v>
      </c>
      <c r="E4600" t="s">
        <v>594</v>
      </c>
      <c r="F4600" t="s">
        <v>1346</v>
      </c>
      <c r="G4600" s="9">
        <v>44772</v>
      </c>
    </row>
    <row r="4601" spans="1:7" ht="14.25" customHeight="1">
      <c r="A4601" s="8">
        <f t="shared" si="18"/>
        <v>77019</v>
      </c>
      <c r="B4601" s="8"/>
      <c r="C4601" s="8">
        <v>77019</v>
      </c>
      <c r="D4601">
        <v>76</v>
      </c>
      <c r="E4601" t="s">
        <v>594</v>
      </c>
      <c r="F4601" t="s">
        <v>1347</v>
      </c>
      <c r="G4601" s="9">
        <v>44804</v>
      </c>
    </row>
    <row r="4602" spans="1:7" ht="14.25" customHeight="1">
      <c r="A4602" s="8">
        <f t="shared" si="18"/>
        <v>77019</v>
      </c>
      <c r="B4602" s="8"/>
      <c r="C4602" s="8">
        <v>77019</v>
      </c>
      <c r="D4602">
        <v>131</v>
      </c>
      <c r="E4602" t="s">
        <v>594</v>
      </c>
      <c r="F4602" t="s">
        <v>1348</v>
      </c>
      <c r="G4602" s="9">
        <v>44834</v>
      </c>
    </row>
    <row r="4603" spans="1:7" ht="14.25" customHeight="1">
      <c r="A4603" s="8">
        <f t="shared" si="18"/>
        <v>77020</v>
      </c>
      <c r="B4603" s="8"/>
      <c r="C4603" s="8">
        <v>77020</v>
      </c>
      <c r="D4603">
        <v>139</v>
      </c>
      <c r="E4603" t="s">
        <v>594</v>
      </c>
      <c r="F4603" t="s">
        <v>1322</v>
      </c>
      <c r="G4603" s="9">
        <v>44865</v>
      </c>
    </row>
    <row r="4604" spans="1:7" ht="14.25" customHeight="1">
      <c r="A4604" s="8">
        <f t="shared" si="18"/>
        <v>74400</v>
      </c>
      <c r="B4604" s="8"/>
      <c r="C4604" s="8">
        <v>74400</v>
      </c>
      <c r="D4604">
        <v>177</v>
      </c>
      <c r="E4604" t="s">
        <v>594</v>
      </c>
      <c r="F4604" t="s">
        <v>1323</v>
      </c>
      <c r="G4604" s="9">
        <v>44895</v>
      </c>
    </row>
    <row r="4605" spans="1:7" ht="14.25" customHeight="1">
      <c r="A4605" s="8">
        <f t="shared" si="18"/>
        <v>94454</v>
      </c>
      <c r="B4605" s="8"/>
      <c r="C4605" s="8">
        <v>94454</v>
      </c>
      <c r="D4605">
        <v>195</v>
      </c>
      <c r="E4605" t="s">
        <v>594</v>
      </c>
      <c r="F4605" t="s">
        <v>1324</v>
      </c>
      <c r="G4605" s="9">
        <v>44925</v>
      </c>
    </row>
    <row r="4606" spans="1:7" ht="14.25" customHeight="1">
      <c r="A4606" s="8">
        <f t="shared" si="18"/>
        <v>904945</v>
      </c>
      <c r="B4606" s="8"/>
      <c r="C4606" s="8">
        <v>904945</v>
      </c>
    </row>
    <row r="4607" spans="1:7" ht="14.25" customHeight="1">
      <c r="A4607" s="8">
        <f t="shared" si="18"/>
        <v>13004421</v>
      </c>
      <c r="B4607" s="8"/>
      <c r="C4607" s="8">
        <v>13004421</v>
      </c>
      <c r="E4607">
        <v>9602010</v>
      </c>
      <c r="F4607" t="s">
        <v>532</v>
      </c>
      <c r="G4607" t="s">
        <v>581</v>
      </c>
    </row>
    <row r="4608" spans="1:7" ht="14.25" customHeight="1">
      <c r="A4608" s="8">
        <f t="shared" si="18"/>
        <v>0</v>
      </c>
      <c r="B4608" s="8"/>
      <c r="C4608" s="8"/>
      <c r="D4608" t="s">
        <v>533</v>
      </c>
      <c r="G4608">
        <v>9602011</v>
      </c>
    </row>
    <row r="4609" spans="1:7" ht="14.25" customHeight="1">
      <c r="A4609" s="8">
        <f t="shared" si="18"/>
        <v>0</v>
      </c>
      <c r="B4609" s="8"/>
      <c r="C4609" s="8"/>
      <c r="F4609" t="s">
        <v>1349</v>
      </c>
      <c r="G4609">
        <v>63300000</v>
      </c>
    </row>
    <row r="4610" spans="1:7" ht="14.25" customHeight="1">
      <c r="A4610" s="8">
        <f t="shared" si="18"/>
        <v>657800</v>
      </c>
      <c r="B4610" s="8"/>
      <c r="C4610" s="8">
        <v>657800</v>
      </c>
      <c r="D4610">
        <v>20</v>
      </c>
      <c r="E4610" t="s">
        <v>667</v>
      </c>
      <c r="F4610" t="s">
        <v>1900</v>
      </c>
      <c r="G4610" s="9">
        <v>44610</v>
      </c>
    </row>
    <row r="4611" spans="1:7" ht="14.25" customHeight="1">
      <c r="A4611" s="8">
        <f t="shared" si="18"/>
        <v>657800</v>
      </c>
      <c r="B4611" s="8"/>
      <c r="C4611" s="8">
        <v>657800</v>
      </c>
    </row>
    <row r="4612" spans="1:7" ht="14.25" customHeight="1">
      <c r="A4612" s="8">
        <f t="shared" si="18"/>
        <v>657800</v>
      </c>
      <c r="B4612" s="8"/>
      <c r="C4612" s="8">
        <v>657800</v>
      </c>
      <c r="E4612">
        <v>9602011</v>
      </c>
      <c r="F4612" t="s">
        <v>533</v>
      </c>
      <c r="G4612" t="s">
        <v>581</v>
      </c>
    </row>
    <row r="4613" spans="1:7" ht="14.25" customHeight="1">
      <c r="A4613" s="8">
        <f t="shared" si="18"/>
        <v>0</v>
      </c>
      <c r="B4613" s="8"/>
      <c r="C4613" s="8"/>
      <c r="D4613" t="s">
        <v>534</v>
      </c>
      <c r="G4613">
        <v>9604005</v>
      </c>
    </row>
    <row r="4614" spans="1:7" ht="14.25" customHeight="1">
      <c r="A4614" s="8">
        <f t="shared" si="18"/>
        <v>0</v>
      </c>
      <c r="B4614" s="8"/>
      <c r="C4614" s="8"/>
      <c r="F4614" t="s">
        <v>582</v>
      </c>
      <c r="G4614">
        <v>63240000</v>
      </c>
    </row>
    <row r="4615" spans="1:7" ht="14.25" customHeight="1">
      <c r="A4615" s="8">
        <f t="shared" si="18"/>
        <v>322000</v>
      </c>
      <c r="B4615" s="8"/>
      <c r="C4615" s="8">
        <v>322000</v>
      </c>
      <c r="D4615">
        <v>269</v>
      </c>
      <c r="E4615" t="s">
        <v>579</v>
      </c>
      <c r="F4615" t="s">
        <v>1807</v>
      </c>
      <c r="G4615" s="9">
        <v>44803</v>
      </c>
    </row>
    <row r="4616" spans="1:7" ht="14.25" customHeight="1">
      <c r="A4616" s="8">
        <f t="shared" si="18"/>
        <v>621621</v>
      </c>
      <c r="B4616" s="8"/>
      <c r="C4616" s="8">
        <v>621621</v>
      </c>
      <c r="D4616">
        <v>375</v>
      </c>
      <c r="E4616" t="s">
        <v>594</v>
      </c>
      <c r="F4616" t="s">
        <v>1901</v>
      </c>
      <c r="G4616" s="9">
        <v>44925</v>
      </c>
    </row>
    <row r="4617" spans="1:7" ht="14.25" customHeight="1">
      <c r="A4617" s="8">
        <f t="shared" si="18"/>
        <v>621621</v>
      </c>
      <c r="B4617" s="8"/>
      <c r="C4617" s="8">
        <v>621621</v>
      </c>
      <c r="D4617">
        <v>376</v>
      </c>
      <c r="E4617" t="s">
        <v>594</v>
      </c>
      <c r="F4617" t="s">
        <v>1902</v>
      </c>
      <c r="G4617" s="9">
        <v>44925</v>
      </c>
    </row>
    <row r="4618" spans="1:7" ht="14.25" customHeight="1">
      <c r="A4618" s="8">
        <f t="shared" si="18"/>
        <v>941562</v>
      </c>
      <c r="B4618" s="8"/>
      <c r="C4618" s="8">
        <v>941562</v>
      </c>
      <c r="D4618">
        <v>377</v>
      </c>
      <c r="E4618" t="s">
        <v>594</v>
      </c>
      <c r="F4618" t="s">
        <v>1903</v>
      </c>
      <c r="G4618" s="9">
        <v>44925</v>
      </c>
    </row>
    <row r="4619" spans="1:7" ht="14.25" customHeight="1">
      <c r="A4619" s="8">
        <f t="shared" si="18"/>
        <v>941562</v>
      </c>
      <c r="B4619" s="8"/>
      <c r="C4619" s="8">
        <v>941562</v>
      </c>
      <c r="D4619">
        <v>378</v>
      </c>
      <c r="E4619" t="s">
        <v>594</v>
      </c>
      <c r="F4619" t="s">
        <v>1904</v>
      </c>
      <c r="G4619" s="9">
        <v>44925</v>
      </c>
    </row>
    <row r="4620" spans="1:7" ht="14.25" customHeight="1">
      <c r="A4620" s="8">
        <f t="shared" si="18"/>
        <v>3448367</v>
      </c>
      <c r="B4620" s="8"/>
      <c r="C4620" s="8">
        <v>3448367</v>
      </c>
    </row>
    <row r="4621" spans="1:7" ht="14.25" customHeight="1">
      <c r="A4621" s="8">
        <f t="shared" si="18"/>
        <v>0</v>
      </c>
      <c r="B4621" s="8"/>
      <c r="C4621" s="8"/>
      <c r="F4621" t="s">
        <v>1905</v>
      </c>
      <c r="G4621">
        <v>63710000</v>
      </c>
    </row>
    <row r="4622" spans="1:7" ht="14.25" customHeight="1">
      <c r="A4622" s="8">
        <f t="shared" si="18"/>
        <v>92000</v>
      </c>
      <c r="B4622" s="8"/>
      <c r="C4622" s="8">
        <v>92000</v>
      </c>
      <c r="D4622">
        <v>167</v>
      </c>
      <c r="E4622" t="s">
        <v>1126</v>
      </c>
      <c r="F4622" t="s">
        <v>1906</v>
      </c>
      <c r="G4622" s="9">
        <v>44813</v>
      </c>
    </row>
    <row r="4623" spans="1:7" ht="14.25" customHeight="1">
      <c r="A4623" s="8">
        <f t="shared" si="18"/>
        <v>92000</v>
      </c>
      <c r="B4623" s="8"/>
      <c r="C4623" s="8">
        <v>92000</v>
      </c>
      <c r="D4623">
        <v>168</v>
      </c>
      <c r="E4623" t="s">
        <v>1126</v>
      </c>
      <c r="F4623" t="s">
        <v>1907</v>
      </c>
      <c r="G4623" s="9">
        <v>44834</v>
      </c>
    </row>
    <row r="4624" spans="1:7" ht="14.25" customHeight="1">
      <c r="A4624" s="8">
        <f t="shared" si="18"/>
        <v>-92000</v>
      </c>
      <c r="B4624" s="8">
        <v>92000</v>
      </c>
      <c r="C4624" s="8"/>
      <c r="D4624">
        <v>208</v>
      </c>
      <c r="E4624" t="s">
        <v>1126</v>
      </c>
      <c r="F4624" t="s">
        <v>1908</v>
      </c>
      <c r="G4624" s="9">
        <v>44925</v>
      </c>
    </row>
    <row r="4625" spans="1:7" ht="14.25" customHeight="1">
      <c r="A4625" s="8">
        <f t="shared" si="18"/>
        <v>-92000</v>
      </c>
      <c r="B4625" s="8">
        <v>92000</v>
      </c>
      <c r="C4625" s="8"/>
      <c r="D4625">
        <v>209</v>
      </c>
      <c r="E4625" t="s">
        <v>1126</v>
      </c>
      <c r="F4625" t="s">
        <v>1909</v>
      </c>
      <c r="G4625" s="9">
        <v>44925</v>
      </c>
    </row>
    <row r="4626" spans="1:7" ht="14.25" customHeight="1">
      <c r="A4626" s="8">
        <f t="shared" si="18"/>
        <v>0</v>
      </c>
      <c r="B4626" s="8">
        <v>184000</v>
      </c>
      <c r="C4626" s="8">
        <v>184000</v>
      </c>
    </row>
    <row r="4627" spans="1:7" ht="14.25" customHeight="1">
      <c r="A4627" s="8">
        <f t="shared" si="18"/>
        <v>0</v>
      </c>
      <c r="B4627" s="8"/>
      <c r="C4627" s="8"/>
      <c r="F4627" t="s">
        <v>1351</v>
      </c>
      <c r="G4627">
        <v>66180000</v>
      </c>
    </row>
    <row r="4628" spans="1:7" ht="14.25" customHeight="1">
      <c r="A4628" s="8">
        <f t="shared" si="18"/>
        <v>92000</v>
      </c>
      <c r="B4628" s="8"/>
      <c r="C4628" s="8">
        <v>92000</v>
      </c>
      <c r="D4628">
        <v>124</v>
      </c>
      <c r="E4628" t="s">
        <v>587</v>
      </c>
      <c r="F4628" t="s">
        <v>1910</v>
      </c>
      <c r="G4628" s="9">
        <v>44678</v>
      </c>
    </row>
    <row r="4629" spans="1:7" ht="14.25" customHeight="1">
      <c r="A4629" s="8">
        <f t="shared" si="18"/>
        <v>92000</v>
      </c>
      <c r="B4629" s="8"/>
      <c r="C4629" s="8">
        <v>92000</v>
      </c>
      <c r="D4629">
        <v>157</v>
      </c>
      <c r="E4629" t="s">
        <v>587</v>
      </c>
      <c r="F4629" t="s">
        <v>1911</v>
      </c>
      <c r="G4629" s="9">
        <v>44711</v>
      </c>
    </row>
    <row r="4630" spans="1:7" ht="14.25" customHeight="1">
      <c r="A4630" s="8">
        <f t="shared" si="18"/>
        <v>92000</v>
      </c>
      <c r="B4630" s="8"/>
      <c r="C4630" s="8">
        <v>92000</v>
      </c>
      <c r="D4630">
        <v>15</v>
      </c>
      <c r="E4630" t="s">
        <v>1126</v>
      </c>
      <c r="F4630" t="s">
        <v>1912</v>
      </c>
      <c r="G4630" s="9">
        <v>44742</v>
      </c>
    </row>
    <row r="4631" spans="1:7" ht="14.25" customHeight="1">
      <c r="A4631" s="8">
        <f t="shared" si="18"/>
        <v>92000</v>
      </c>
      <c r="B4631" s="8"/>
      <c r="C4631" s="8">
        <v>92000</v>
      </c>
      <c r="D4631">
        <v>50</v>
      </c>
      <c r="E4631" t="s">
        <v>1126</v>
      </c>
      <c r="F4631" t="s">
        <v>1913</v>
      </c>
      <c r="G4631" s="9">
        <v>44768</v>
      </c>
    </row>
    <row r="4632" spans="1:7" ht="14.25" customHeight="1">
      <c r="A4632" s="8">
        <f t="shared" si="18"/>
        <v>92000</v>
      </c>
      <c r="B4632" s="8"/>
      <c r="C4632" s="8">
        <v>92000</v>
      </c>
      <c r="D4632">
        <v>375</v>
      </c>
      <c r="E4632" t="s">
        <v>587</v>
      </c>
      <c r="F4632" t="s">
        <v>1914</v>
      </c>
      <c r="G4632" s="9">
        <v>44811</v>
      </c>
    </row>
    <row r="4633" spans="1:7" ht="14.25" customHeight="1">
      <c r="A4633" s="8">
        <f t="shared" si="18"/>
        <v>460000</v>
      </c>
      <c r="B4633" s="8"/>
      <c r="C4633" s="8">
        <v>460000</v>
      </c>
    </row>
    <row r="4634" spans="1:7" ht="14.25" customHeight="1">
      <c r="A4634" s="8">
        <f t="shared" si="18"/>
        <v>3908367</v>
      </c>
      <c r="B4634" s="8">
        <v>184000</v>
      </c>
      <c r="C4634" s="8">
        <v>4092367</v>
      </c>
      <c r="E4634">
        <v>9604005</v>
      </c>
      <c r="F4634" t="s">
        <v>534</v>
      </c>
      <c r="G4634" t="s">
        <v>581</v>
      </c>
    </row>
    <row r="4635" spans="1:7" ht="14.25" customHeight="1">
      <c r="A4635" s="8">
        <f t="shared" si="18"/>
        <v>0</v>
      </c>
      <c r="B4635" s="8"/>
      <c r="C4635" s="8"/>
      <c r="D4635" t="s">
        <v>535</v>
      </c>
      <c r="G4635">
        <v>9604006</v>
      </c>
    </row>
    <row r="4636" spans="1:7" ht="14.25" customHeight="1">
      <c r="A4636" s="8">
        <f t="shared" si="18"/>
        <v>0</v>
      </c>
      <c r="B4636" s="8"/>
      <c r="C4636" s="8"/>
      <c r="F4636" t="s">
        <v>1399</v>
      </c>
      <c r="G4636">
        <v>62480000</v>
      </c>
    </row>
    <row r="4637" spans="1:7" ht="14.25" customHeight="1">
      <c r="A4637" s="8">
        <f t="shared" si="18"/>
        <v>11500</v>
      </c>
      <c r="B4637" s="8"/>
      <c r="C4637" s="8">
        <v>11500</v>
      </c>
      <c r="D4637">
        <v>242</v>
      </c>
      <c r="E4637" t="s">
        <v>579</v>
      </c>
      <c r="F4637" t="s">
        <v>1810</v>
      </c>
      <c r="G4637" s="9">
        <v>44771</v>
      </c>
    </row>
    <row r="4638" spans="1:7" ht="14.25" customHeight="1">
      <c r="A4638" s="8">
        <f t="shared" si="18"/>
        <v>5750</v>
      </c>
      <c r="B4638" s="8"/>
      <c r="C4638" s="8">
        <v>5750</v>
      </c>
      <c r="D4638">
        <v>171</v>
      </c>
      <c r="E4638" t="s">
        <v>667</v>
      </c>
      <c r="F4638" t="s">
        <v>1658</v>
      </c>
      <c r="G4638" s="9">
        <v>44790</v>
      </c>
    </row>
    <row r="4639" spans="1:7" ht="14.25" customHeight="1">
      <c r="A4639" s="8">
        <f t="shared" si="18"/>
        <v>17250</v>
      </c>
      <c r="B4639" s="8"/>
      <c r="C4639" s="8">
        <v>17250</v>
      </c>
    </row>
    <row r="4640" spans="1:7" ht="14.25" customHeight="1">
      <c r="A4640" s="8">
        <f t="shared" si="18"/>
        <v>17250</v>
      </c>
      <c r="B4640" s="8"/>
      <c r="C4640" s="8">
        <v>17250</v>
      </c>
      <c r="E4640">
        <v>9604006</v>
      </c>
      <c r="F4640" t="s">
        <v>535</v>
      </c>
      <c r="G4640" t="s">
        <v>581</v>
      </c>
    </row>
    <row r="4641" spans="1:7" ht="14.25" customHeight="1">
      <c r="A4641" s="8">
        <f t="shared" si="18"/>
        <v>0</v>
      </c>
      <c r="B4641" s="8"/>
      <c r="C4641" s="8"/>
      <c r="D4641" t="s">
        <v>536</v>
      </c>
      <c r="G4641">
        <v>9604009</v>
      </c>
    </row>
    <row r="4642" spans="1:7" ht="14.25" customHeight="1">
      <c r="A4642" s="8">
        <f t="shared" si="18"/>
        <v>0</v>
      </c>
      <c r="B4642" s="8"/>
      <c r="C4642" s="8"/>
      <c r="F4642" t="s">
        <v>1403</v>
      </c>
      <c r="G4642">
        <v>62810000</v>
      </c>
    </row>
    <row r="4643" spans="1:7" ht="14.25" customHeight="1">
      <c r="A4643" s="8">
        <f t="shared" si="18"/>
        <v>2437</v>
      </c>
      <c r="B4643" s="8"/>
      <c r="C4643" s="8">
        <v>2437</v>
      </c>
      <c r="D4643">
        <v>5</v>
      </c>
      <c r="E4643" t="s">
        <v>579</v>
      </c>
      <c r="F4643" t="s">
        <v>1404</v>
      </c>
      <c r="G4643" s="9">
        <v>44574</v>
      </c>
    </row>
    <row r="4644" spans="1:7" ht="14.25" customHeight="1">
      <c r="A4644" s="8">
        <f t="shared" si="18"/>
        <v>2875</v>
      </c>
      <c r="B4644" s="8"/>
      <c r="C4644" s="8">
        <v>2875</v>
      </c>
      <c r="D4644">
        <v>8</v>
      </c>
      <c r="E4644" t="s">
        <v>667</v>
      </c>
      <c r="F4644" t="s">
        <v>1915</v>
      </c>
      <c r="G4644" s="9">
        <v>44581</v>
      </c>
    </row>
    <row r="4645" spans="1:7" ht="14.25" customHeight="1">
      <c r="A4645" s="8">
        <f t="shared" si="18"/>
        <v>2437</v>
      </c>
      <c r="B4645" s="8"/>
      <c r="C4645" s="8">
        <v>2437</v>
      </c>
      <c r="D4645">
        <v>21</v>
      </c>
      <c r="E4645" t="s">
        <v>579</v>
      </c>
      <c r="F4645" t="s">
        <v>1405</v>
      </c>
      <c r="G4645" s="9">
        <v>44614</v>
      </c>
    </row>
    <row r="4646" spans="1:7" ht="14.25" customHeight="1">
      <c r="A4646" s="8">
        <f t="shared" si="18"/>
        <v>2437</v>
      </c>
      <c r="B4646" s="8"/>
      <c r="C4646" s="8">
        <v>2437</v>
      </c>
      <c r="D4646">
        <v>38</v>
      </c>
      <c r="E4646" t="s">
        <v>579</v>
      </c>
      <c r="F4646" t="s">
        <v>1406</v>
      </c>
      <c r="G4646" s="9">
        <v>44621</v>
      </c>
    </row>
    <row r="4647" spans="1:7" ht="14.25" customHeight="1">
      <c r="A4647" s="8">
        <f t="shared" si="18"/>
        <v>2875</v>
      </c>
      <c r="B4647" s="8"/>
      <c r="C4647" s="8">
        <v>2875</v>
      </c>
      <c r="D4647">
        <v>45</v>
      </c>
      <c r="E4647" t="s">
        <v>667</v>
      </c>
      <c r="F4647" t="s">
        <v>1812</v>
      </c>
      <c r="G4647" s="9">
        <v>44641</v>
      </c>
    </row>
    <row r="4648" spans="1:7" ht="14.25" customHeight="1">
      <c r="A4648" s="8">
        <f t="shared" si="18"/>
        <v>2437</v>
      </c>
      <c r="B4648" s="8"/>
      <c r="C4648" s="8">
        <v>2437</v>
      </c>
      <c r="D4648">
        <v>99</v>
      </c>
      <c r="E4648" t="s">
        <v>579</v>
      </c>
      <c r="F4648" t="s">
        <v>1407</v>
      </c>
      <c r="G4648" s="9">
        <v>44666</v>
      </c>
    </row>
    <row r="4649" spans="1:7" ht="14.25" customHeight="1">
      <c r="A4649" s="8">
        <f t="shared" si="18"/>
        <v>2437</v>
      </c>
      <c r="B4649" s="8"/>
      <c r="C4649" s="8">
        <v>2437</v>
      </c>
      <c r="D4649">
        <v>99</v>
      </c>
      <c r="E4649" t="s">
        <v>579</v>
      </c>
      <c r="F4649" t="s">
        <v>1407</v>
      </c>
      <c r="G4649" s="9">
        <v>44666</v>
      </c>
    </row>
    <row r="4650" spans="1:7" ht="14.25" customHeight="1">
      <c r="A4650" s="8">
        <f t="shared" si="18"/>
        <v>2437</v>
      </c>
      <c r="B4650" s="8"/>
      <c r="C4650" s="8">
        <v>2437</v>
      </c>
      <c r="D4650">
        <v>133</v>
      </c>
      <c r="E4650" t="s">
        <v>579</v>
      </c>
      <c r="F4650" t="s">
        <v>1409</v>
      </c>
      <c r="G4650" s="9">
        <v>44694</v>
      </c>
    </row>
    <row r="4651" spans="1:7" ht="14.25" customHeight="1">
      <c r="A4651" s="8">
        <f t="shared" si="18"/>
        <v>2437</v>
      </c>
      <c r="B4651" s="8"/>
      <c r="C4651" s="8">
        <v>2437</v>
      </c>
      <c r="D4651">
        <v>133</v>
      </c>
      <c r="E4651" t="s">
        <v>579</v>
      </c>
      <c r="F4651" t="s">
        <v>1409</v>
      </c>
      <c r="G4651" s="9">
        <v>44694</v>
      </c>
    </row>
    <row r="4652" spans="1:7" ht="14.25" customHeight="1">
      <c r="A4652" s="8">
        <f t="shared" si="18"/>
        <v>2437</v>
      </c>
      <c r="B4652" s="8"/>
      <c r="C4652" s="8">
        <v>2437</v>
      </c>
      <c r="D4652">
        <v>168</v>
      </c>
      <c r="E4652" t="s">
        <v>579</v>
      </c>
      <c r="F4652" t="s">
        <v>1410</v>
      </c>
      <c r="G4652" s="9">
        <v>44722</v>
      </c>
    </row>
    <row r="4653" spans="1:7" ht="14.25" customHeight="1">
      <c r="A4653" s="8">
        <f t="shared" si="18"/>
        <v>2437</v>
      </c>
      <c r="B4653" s="8"/>
      <c r="C4653" s="8">
        <v>2437</v>
      </c>
      <c r="D4653">
        <v>168</v>
      </c>
      <c r="E4653" t="s">
        <v>579</v>
      </c>
      <c r="F4653" t="s">
        <v>1410</v>
      </c>
      <c r="G4653" s="9">
        <v>44722</v>
      </c>
    </row>
    <row r="4654" spans="1:7" ht="14.25" customHeight="1">
      <c r="A4654" s="8">
        <f t="shared" si="18"/>
        <v>2437</v>
      </c>
      <c r="B4654" s="8"/>
      <c r="C4654" s="8">
        <v>2437</v>
      </c>
      <c r="D4654">
        <v>239</v>
      </c>
      <c r="E4654" t="s">
        <v>579</v>
      </c>
      <c r="F4654" t="s">
        <v>1411</v>
      </c>
      <c r="G4654" s="9">
        <v>44755</v>
      </c>
    </row>
    <row r="4655" spans="1:7" ht="14.25" customHeight="1">
      <c r="A4655" s="8">
        <f t="shared" si="18"/>
        <v>2437</v>
      </c>
      <c r="B4655" s="8"/>
      <c r="C4655" s="8">
        <v>2437</v>
      </c>
      <c r="D4655">
        <v>239</v>
      </c>
      <c r="E4655" t="s">
        <v>579</v>
      </c>
      <c r="F4655" t="s">
        <v>1411</v>
      </c>
      <c r="G4655" s="9">
        <v>44755</v>
      </c>
    </row>
    <row r="4656" spans="1:7" ht="14.25" customHeight="1">
      <c r="A4656" s="8">
        <f t="shared" si="18"/>
        <v>11500</v>
      </c>
      <c r="B4656" s="8"/>
      <c r="C4656" s="8">
        <v>11500</v>
      </c>
      <c r="D4656">
        <v>166</v>
      </c>
      <c r="E4656" t="s">
        <v>667</v>
      </c>
      <c r="F4656" t="s">
        <v>1916</v>
      </c>
      <c r="G4656" s="9">
        <v>44785</v>
      </c>
    </row>
    <row r="4657" spans="1:7" ht="14.25" customHeight="1">
      <c r="A4657" s="8">
        <f t="shared" si="18"/>
        <v>2437</v>
      </c>
      <c r="B4657" s="8"/>
      <c r="C4657" s="8">
        <v>2437</v>
      </c>
      <c r="D4657">
        <v>319</v>
      </c>
      <c r="E4657" t="s">
        <v>579</v>
      </c>
      <c r="F4657" t="s">
        <v>1413</v>
      </c>
      <c r="G4657" s="9">
        <v>44845</v>
      </c>
    </row>
    <row r="4658" spans="1:7" ht="14.25" customHeight="1">
      <c r="A4658" s="8">
        <f t="shared" si="18"/>
        <v>2437</v>
      </c>
      <c r="B4658" s="8"/>
      <c r="C4658" s="8">
        <v>2437</v>
      </c>
      <c r="D4658">
        <v>319</v>
      </c>
      <c r="E4658" t="s">
        <v>579</v>
      </c>
      <c r="F4658" t="s">
        <v>1413</v>
      </c>
      <c r="G4658" s="9">
        <v>44845</v>
      </c>
    </row>
    <row r="4659" spans="1:7" ht="14.25" customHeight="1">
      <c r="A4659" s="8">
        <f t="shared" si="18"/>
        <v>2437</v>
      </c>
      <c r="B4659" s="8"/>
      <c r="C4659" s="8">
        <v>2437</v>
      </c>
      <c r="D4659">
        <v>339</v>
      </c>
      <c r="E4659" t="s">
        <v>579</v>
      </c>
      <c r="F4659" t="s">
        <v>1414</v>
      </c>
      <c r="G4659" s="9">
        <v>44865</v>
      </c>
    </row>
    <row r="4660" spans="1:7" ht="14.25" customHeight="1">
      <c r="A4660" s="8">
        <f t="shared" si="18"/>
        <v>2437</v>
      </c>
      <c r="B4660" s="8"/>
      <c r="C4660" s="8">
        <v>2437</v>
      </c>
      <c r="D4660">
        <v>339</v>
      </c>
      <c r="E4660" t="s">
        <v>579</v>
      </c>
      <c r="F4660" t="s">
        <v>1414</v>
      </c>
      <c r="G4660" s="9">
        <v>44865</v>
      </c>
    </row>
    <row r="4661" spans="1:7" ht="14.25" customHeight="1">
      <c r="A4661" s="8">
        <f t="shared" si="18"/>
        <v>2437</v>
      </c>
      <c r="B4661" s="8"/>
      <c r="C4661" s="8">
        <v>2437</v>
      </c>
      <c r="D4661">
        <v>340</v>
      </c>
      <c r="E4661" t="s">
        <v>579</v>
      </c>
      <c r="F4661" t="s">
        <v>1415</v>
      </c>
      <c r="G4661" s="9">
        <v>44865</v>
      </c>
    </row>
    <row r="4662" spans="1:7" ht="14.25" customHeight="1">
      <c r="A4662" s="8">
        <f t="shared" si="18"/>
        <v>2437</v>
      </c>
      <c r="B4662" s="8"/>
      <c r="C4662" s="8">
        <v>2437</v>
      </c>
      <c r="D4662">
        <v>340</v>
      </c>
      <c r="E4662" t="s">
        <v>579</v>
      </c>
      <c r="F4662" t="s">
        <v>1415</v>
      </c>
      <c r="G4662" s="9">
        <v>44865</v>
      </c>
    </row>
    <row r="4663" spans="1:7" ht="14.25" customHeight="1">
      <c r="A4663" s="8">
        <f t="shared" si="18"/>
        <v>2437</v>
      </c>
      <c r="B4663" s="8"/>
      <c r="C4663" s="8">
        <v>2437</v>
      </c>
      <c r="D4663">
        <v>367</v>
      </c>
      <c r="E4663" t="s">
        <v>579</v>
      </c>
      <c r="F4663" t="s">
        <v>1416</v>
      </c>
      <c r="G4663" s="9">
        <v>44882</v>
      </c>
    </row>
    <row r="4664" spans="1:7" ht="14.25" customHeight="1">
      <c r="A4664" s="8">
        <f t="shared" si="18"/>
        <v>2437</v>
      </c>
      <c r="B4664" s="8"/>
      <c r="C4664" s="8">
        <v>2437</v>
      </c>
      <c r="D4664">
        <v>367</v>
      </c>
      <c r="E4664" t="s">
        <v>579</v>
      </c>
      <c r="F4664" t="s">
        <v>1416</v>
      </c>
      <c r="G4664" s="9">
        <v>44882</v>
      </c>
    </row>
    <row r="4665" spans="1:7" ht="14.25" customHeight="1">
      <c r="A4665" s="8">
        <f t="shared" si="18"/>
        <v>2437</v>
      </c>
      <c r="B4665" s="8"/>
      <c r="C4665" s="8">
        <v>2437</v>
      </c>
      <c r="D4665">
        <v>411</v>
      </c>
      <c r="E4665" t="s">
        <v>579</v>
      </c>
      <c r="F4665" t="s">
        <v>1417</v>
      </c>
      <c r="G4665" s="9">
        <v>44908</v>
      </c>
    </row>
    <row r="4666" spans="1:7" ht="14.25" customHeight="1">
      <c r="A4666" s="8">
        <f t="shared" si="18"/>
        <v>2437</v>
      </c>
      <c r="B4666" s="8"/>
      <c r="C4666" s="8">
        <v>2437</v>
      </c>
      <c r="D4666">
        <v>411</v>
      </c>
      <c r="E4666" t="s">
        <v>579</v>
      </c>
      <c r="F4666" t="s">
        <v>1417</v>
      </c>
      <c r="G4666" s="9">
        <v>44908</v>
      </c>
    </row>
    <row r="4667" spans="1:7" ht="14.25" customHeight="1">
      <c r="A4667" s="8">
        <f t="shared" si="18"/>
        <v>9746</v>
      </c>
      <c r="B4667" s="8"/>
      <c r="C4667" s="8">
        <v>9746</v>
      </c>
      <c r="D4667">
        <v>423</v>
      </c>
      <c r="E4667" t="s">
        <v>579</v>
      </c>
      <c r="F4667" t="s">
        <v>1418</v>
      </c>
      <c r="G4667" s="9">
        <v>44918</v>
      </c>
    </row>
    <row r="4668" spans="1:7" ht="14.25" customHeight="1">
      <c r="A4668" s="8">
        <f t="shared" si="18"/>
        <v>9746</v>
      </c>
      <c r="B4668" s="8"/>
      <c r="C4668" s="8">
        <v>9746</v>
      </c>
      <c r="D4668">
        <v>423</v>
      </c>
      <c r="E4668" t="s">
        <v>579</v>
      </c>
      <c r="F4668" t="s">
        <v>1418</v>
      </c>
      <c r="G4668" s="9">
        <v>44918</v>
      </c>
    </row>
    <row r="4669" spans="1:7" ht="14.25" customHeight="1">
      <c r="A4669" s="8">
        <f t="shared" si="18"/>
        <v>13685</v>
      </c>
      <c r="B4669" s="8"/>
      <c r="C4669" s="8">
        <v>13685</v>
      </c>
      <c r="D4669">
        <v>423</v>
      </c>
      <c r="E4669" t="s">
        <v>579</v>
      </c>
      <c r="F4669" t="s">
        <v>1418</v>
      </c>
      <c r="G4669" s="9">
        <v>44918</v>
      </c>
    </row>
    <row r="4670" spans="1:7" ht="14.25" customHeight="1">
      <c r="A4670" s="8">
        <f t="shared" si="18"/>
        <v>101601</v>
      </c>
      <c r="B4670" s="8"/>
      <c r="C4670" s="8">
        <v>101601</v>
      </c>
    </row>
    <row r="4671" spans="1:7" ht="14.25" customHeight="1">
      <c r="A4671" s="8">
        <f t="shared" si="18"/>
        <v>0</v>
      </c>
      <c r="B4671" s="8"/>
      <c r="C4671" s="8"/>
      <c r="F4671" t="s">
        <v>1262</v>
      </c>
      <c r="G4671">
        <v>62881000</v>
      </c>
    </row>
    <row r="4672" spans="1:7" ht="14.25" customHeight="1">
      <c r="A4672" s="8">
        <f t="shared" si="18"/>
        <v>9746</v>
      </c>
      <c r="B4672" s="8"/>
      <c r="C4672" s="8">
        <v>9746</v>
      </c>
      <c r="D4672">
        <v>11</v>
      </c>
      <c r="E4672" t="s">
        <v>579</v>
      </c>
      <c r="F4672" t="s">
        <v>1421</v>
      </c>
      <c r="G4672" s="9">
        <v>44592</v>
      </c>
    </row>
    <row r="4673" spans="1:7" ht="14.25" customHeight="1">
      <c r="A4673" s="8">
        <f t="shared" si="18"/>
        <v>9746</v>
      </c>
      <c r="B4673" s="8"/>
      <c r="C4673" s="8">
        <v>9746</v>
      </c>
      <c r="D4673">
        <v>11</v>
      </c>
      <c r="E4673" t="s">
        <v>579</v>
      </c>
      <c r="F4673" t="s">
        <v>1421</v>
      </c>
      <c r="G4673" s="9">
        <v>44592</v>
      </c>
    </row>
    <row r="4674" spans="1:7" ht="14.25" customHeight="1">
      <c r="A4674" s="8">
        <f t="shared" si="18"/>
        <v>10057</v>
      </c>
      <c r="B4674" s="8"/>
      <c r="C4674" s="8">
        <v>10057</v>
      </c>
      <c r="D4674">
        <v>24</v>
      </c>
      <c r="E4674" t="s">
        <v>579</v>
      </c>
      <c r="F4674" t="s">
        <v>1423</v>
      </c>
      <c r="G4674" s="9">
        <v>44617</v>
      </c>
    </row>
    <row r="4675" spans="1:7" ht="14.25" customHeight="1">
      <c r="A4675" s="8">
        <f t="shared" si="18"/>
        <v>10057</v>
      </c>
      <c r="B4675" s="8"/>
      <c r="C4675" s="8">
        <v>10057</v>
      </c>
      <c r="D4675">
        <v>24</v>
      </c>
      <c r="E4675" t="s">
        <v>579</v>
      </c>
      <c r="F4675" t="s">
        <v>1423</v>
      </c>
      <c r="G4675" s="9">
        <v>44617</v>
      </c>
    </row>
    <row r="4676" spans="1:7" ht="14.25" customHeight="1">
      <c r="A4676" s="8">
        <f t="shared" si="18"/>
        <v>9746</v>
      </c>
      <c r="B4676" s="8"/>
      <c r="C4676" s="8">
        <v>9746</v>
      </c>
      <c r="D4676">
        <v>74</v>
      </c>
      <c r="E4676" t="s">
        <v>579</v>
      </c>
      <c r="F4676" t="s">
        <v>1426</v>
      </c>
      <c r="G4676" s="9">
        <v>44651</v>
      </c>
    </row>
    <row r="4677" spans="1:7" ht="14.25" customHeight="1">
      <c r="A4677" s="8">
        <f t="shared" si="18"/>
        <v>10057</v>
      </c>
      <c r="B4677" s="8"/>
      <c r="C4677" s="8">
        <v>10057</v>
      </c>
      <c r="D4677">
        <v>111</v>
      </c>
      <c r="E4677" t="s">
        <v>579</v>
      </c>
      <c r="F4677" t="s">
        <v>1427</v>
      </c>
      <c r="G4677" s="9">
        <v>44684</v>
      </c>
    </row>
    <row r="4678" spans="1:7" ht="14.25" customHeight="1">
      <c r="A4678" s="8">
        <f t="shared" si="18"/>
        <v>10057</v>
      </c>
      <c r="B4678" s="8"/>
      <c r="C4678" s="8">
        <v>10057</v>
      </c>
      <c r="D4678">
        <v>162</v>
      </c>
      <c r="E4678" t="s">
        <v>579</v>
      </c>
      <c r="F4678" t="s">
        <v>1429</v>
      </c>
      <c r="G4678" s="9">
        <v>44715</v>
      </c>
    </row>
    <row r="4679" spans="1:7" ht="14.25" customHeight="1">
      <c r="A4679" s="8">
        <f t="shared" si="18"/>
        <v>9746</v>
      </c>
      <c r="B4679" s="8"/>
      <c r="C4679" s="8">
        <v>9746</v>
      </c>
      <c r="D4679">
        <v>227</v>
      </c>
      <c r="E4679" t="s">
        <v>579</v>
      </c>
      <c r="F4679" t="s">
        <v>1432</v>
      </c>
      <c r="G4679" s="9">
        <v>44743</v>
      </c>
    </row>
    <row r="4680" spans="1:7" ht="14.25" customHeight="1">
      <c r="A4680" s="8">
        <f t="shared" si="18"/>
        <v>13685</v>
      </c>
      <c r="B4680" s="8"/>
      <c r="C4680" s="8">
        <v>13685</v>
      </c>
      <c r="D4680">
        <v>227</v>
      </c>
      <c r="E4680" t="s">
        <v>579</v>
      </c>
      <c r="F4680" t="s">
        <v>1432</v>
      </c>
      <c r="G4680" s="9">
        <v>44743</v>
      </c>
    </row>
    <row r="4681" spans="1:7" ht="14.25" customHeight="1">
      <c r="A4681" s="8">
        <f t="shared" si="18"/>
        <v>11500</v>
      </c>
      <c r="B4681" s="8"/>
      <c r="C4681" s="8">
        <v>11500</v>
      </c>
      <c r="D4681">
        <v>138</v>
      </c>
      <c r="E4681" t="s">
        <v>667</v>
      </c>
      <c r="F4681" t="s">
        <v>1917</v>
      </c>
      <c r="G4681" s="9">
        <v>44748</v>
      </c>
    </row>
    <row r="4682" spans="1:7" ht="14.25" customHeight="1">
      <c r="A4682" s="8">
        <f t="shared" si="18"/>
        <v>9746</v>
      </c>
      <c r="B4682" s="8"/>
      <c r="C4682" s="8">
        <v>9746</v>
      </c>
      <c r="D4682">
        <v>241</v>
      </c>
      <c r="E4682" t="s">
        <v>579</v>
      </c>
      <c r="F4682" t="s">
        <v>1434</v>
      </c>
      <c r="G4682" s="9">
        <v>44769</v>
      </c>
    </row>
    <row r="4683" spans="1:7" ht="14.25" customHeight="1">
      <c r="A4683" s="8">
        <f t="shared" si="18"/>
        <v>13685</v>
      </c>
      <c r="B4683" s="8"/>
      <c r="C4683" s="8">
        <v>13685</v>
      </c>
      <c r="D4683">
        <v>241</v>
      </c>
      <c r="E4683" t="s">
        <v>579</v>
      </c>
      <c r="F4683" t="s">
        <v>1434</v>
      </c>
      <c r="G4683" s="9">
        <v>44769</v>
      </c>
    </row>
    <row r="4684" spans="1:7" ht="14.25" customHeight="1">
      <c r="A4684" s="8">
        <f t="shared" si="18"/>
        <v>10057</v>
      </c>
      <c r="B4684" s="8"/>
      <c r="C4684" s="8">
        <v>10057</v>
      </c>
      <c r="D4684">
        <v>281</v>
      </c>
      <c r="E4684" t="s">
        <v>579</v>
      </c>
      <c r="F4684" t="s">
        <v>1437</v>
      </c>
      <c r="G4684" s="9">
        <v>44809</v>
      </c>
    </row>
    <row r="4685" spans="1:7" ht="14.25" customHeight="1">
      <c r="A4685" s="8">
        <f t="shared" si="18"/>
        <v>9746</v>
      </c>
      <c r="B4685" s="8"/>
      <c r="C4685" s="8">
        <v>9746</v>
      </c>
      <c r="D4685">
        <v>293</v>
      </c>
      <c r="E4685" t="s">
        <v>579</v>
      </c>
      <c r="F4685" t="s">
        <v>1659</v>
      </c>
      <c r="G4685" s="9">
        <v>44821</v>
      </c>
    </row>
    <row r="4686" spans="1:7" ht="14.25" customHeight="1">
      <c r="A4686" s="8">
        <f t="shared" si="18"/>
        <v>9746</v>
      </c>
      <c r="B4686" s="8"/>
      <c r="C4686" s="8">
        <v>9746</v>
      </c>
      <c r="D4686">
        <v>309</v>
      </c>
      <c r="E4686" t="s">
        <v>579</v>
      </c>
      <c r="F4686" t="s">
        <v>1440</v>
      </c>
      <c r="G4686" s="9">
        <v>44834</v>
      </c>
    </row>
    <row r="4687" spans="1:7" ht="14.25" customHeight="1">
      <c r="A4687" s="8">
        <f t="shared" si="18"/>
        <v>9746</v>
      </c>
      <c r="B4687" s="8"/>
      <c r="C4687" s="8">
        <v>9746</v>
      </c>
      <c r="D4687">
        <v>309</v>
      </c>
      <c r="E4687" t="s">
        <v>579</v>
      </c>
      <c r="F4687" t="s">
        <v>1440</v>
      </c>
      <c r="G4687" s="9">
        <v>44834</v>
      </c>
    </row>
    <row r="4688" spans="1:7" ht="14.25" customHeight="1">
      <c r="A4688" s="8">
        <f t="shared" si="18"/>
        <v>13685</v>
      </c>
      <c r="B4688" s="8"/>
      <c r="C4688" s="8">
        <v>13685</v>
      </c>
      <c r="D4688">
        <v>309</v>
      </c>
      <c r="E4688" t="s">
        <v>579</v>
      </c>
      <c r="F4688" t="s">
        <v>1440</v>
      </c>
      <c r="G4688" s="9">
        <v>44834</v>
      </c>
    </row>
    <row r="4689" spans="1:7" ht="14.25" customHeight="1">
      <c r="A4689" s="8">
        <f t="shared" si="18"/>
        <v>9746</v>
      </c>
      <c r="B4689" s="8"/>
      <c r="C4689" s="8">
        <v>9746</v>
      </c>
      <c r="D4689">
        <v>362</v>
      </c>
      <c r="E4689" t="s">
        <v>579</v>
      </c>
      <c r="F4689" t="s">
        <v>1444</v>
      </c>
      <c r="G4689" s="9">
        <v>44874</v>
      </c>
    </row>
    <row r="4690" spans="1:7" ht="14.25" customHeight="1">
      <c r="A4690" s="8">
        <f t="shared" si="18"/>
        <v>9746</v>
      </c>
      <c r="B4690" s="8"/>
      <c r="C4690" s="8">
        <v>9746</v>
      </c>
      <c r="D4690">
        <v>362</v>
      </c>
      <c r="E4690" t="s">
        <v>579</v>
      </c>
      <c r="F4690" t="s">
        <v>1444</v>
      </c>
      <c r="G4690" s="9">
        <v>44874</v>
      </c>
    </row>
    <row r="4691" spans="1:7" ht="14.25" customHeight="1">
      <c r="A4691" s="8">
        <f t="shared" si="18"/>
        <v>13685</v>
      </c>
      <c r="B4691" s="8"/>
      <c r="C4691" s="8">
        <v>13685</v>
      </c>
      <c r="D4691">
        <v>362</v>
      </c>
      <c r="E4691" t="s">
        <v>579</v>
      </c>
      <c r="F4691" t="s">
        <v>1444</v>
      </c>
      <c r="G4691" s="9">
        <v>44874</v>
      </c>
    </row>
    <row r="4692" spans="1:7" ht="14.25" customHeight="1">
      <c r="A4692" s="8">
        <f t="shared" si="18"/>
        <v>213986</v>
      </c>
      <c r="B4692" s="8"/>
      <c r="C4692" s="8">
        <v>213986</v>
      </c>
    </row>
    <row r="4693" spans="1:7" ht="14.25" customHeight="1">
      <c r="A4693" s="8">
        <f t="shared" si="18"/>
        <v>315588</v>
      </c>
      <c r="B4693" s="8"/>
      <c r="C4693" s="8">
        <v>315588</v>
      </c>
      <c r="E4693">
        <v>9604009</v>
      </c>
      <c r="F4693" t="s">
        <v>536</v>
      </c>
      <c r="G4693" t="s">
        <v>581</v>
      </c>
    </row>
    <row r="4694" spans="1:7" ht="14.25" customHeight="1">
      <c r="A4694" s="8">
        <f t="shared" si="18"/>
        <v>0</v>
      </c>
      <c r="B4694" s="8"/>
      <c r="C4694" s="8"/>
      <c r="D4694" t="s">
        <v>537</v>
      </c>
      <c r="G4694">
        <v>9604011</v>
      </c>
    </row>
    <row r="4695" spans="1:7" ht="14.25" customHeight="1">
      <c r="A4695" s="8">
        <f t="shared" si="18"/>
        <v>0</v>
      </c>
      <c r="B4695" s="8"/>
      <c r="C4695" s="8"/>
      <c r="F4695" t="s">
        <v>1446</v>
      </c>
      <c r="G4695">
        <v>6254000</v>
      </c>
    </row>
    <row r="4696" spans="1:7" ht="14.25" customHeight="1">
      <c r="A4696" s="8">
        <f t="shared" si="18"/>
        <v>44184</v>
      </c>
      <c r="B4696" s="8"/>
      <c r="C4696" s="8">
        <v>44184</v>
      </c>
      <c r="D4696">
        <v>216</v>
      </c>
      <c r="E4696" t="s">
        <v>579</v>
      </c>
      <c r="F4696" t="s">
        <v>1447</v>
      </c>
      <c r="G4696" s="9">
        <v>44743</v>
      </c>
    </row>
    <row r="4697" spans="1:7" ht="14.25" customHeight="1">
      <c r="A4697" s="8">
        <f t="shared" si="18"/>
        <v>44184</v>
      </c>
      <c r="B4697" s="8"/>
      <c r="C4697" s="8">
        <v>44184</v>
      </c>
    </row>
    <row r="4698" spans="1:7" ht="14.25" customHeight="1">
      <c r="A4698" s="8">
        <f t="shared" si="18"/>
        <v>0</v>
      </c>
      <c r="B4698" s="8"/>
      <c r="C4698" s="8"/>
      <c r="F4698" t="s">
        <v>1449</v>
      </c>
      <c r="G4698">
        <v>62580000</v>
      </c>
    </row>
    <row r="4699" spans="1:7" ht="14.25" customHeight="1">
      <c r="A4699" s="8">
        <f t="shared" si="18"/>
        <v>88510</v>
      </c>
      <c r="B4699" s="8"/>
      <c r="C4699" s="8">
        <v>88510</v>
      </c>
      <c r="D4699">
        <v>214</v>
      </c>
      <c r="E4699" t="s">
        <v>579</v>
      </c>
      <c r="F4699" t="s">
        <v>1662</v>
      </c>
      <c r="G4699" s="9">
        <v>44754</v>
      </c>
    </row>
    <row r="4700" spans="1:7" ht="14.25" customHeight="1">
      <c r="A4700" s="8">
        <f t="shared" si="18"/>
        <v>50454</v>
      </c>
      <c r="B4700" s="8"/>
      <c r="C4700" s="8">
        <v>50454</v>
      </c>
      <c r="D4700">
        <v>380</v>
      </c>
      <c r="E4700" t="s">
        <v>579</v>
      </c>
      <c r="F4700" t="s">
        <v>1450</v>
      </c>
      <c r="G4700" s="9">
        <v>44889</v>
      </c>
    </row>
    <row r="4701" spans="1:7" ht="14.25" customHeight="1">
      <c r="A4701" s="8">
        <f t="shared" si="18"/>
        <v>138964</v>
      </c>
      <c r="B4701" s="8"/>
      <c r="C4701" s="8">
        <v>138964</v>
      </c>
    </row>
    <row r="4702" spans="1:7" ht="14.25" customHeight="1">
      <c r="A4702" s="8">
        <f t="shared" si="18"/>
        <v>0</v>
      </c>
      <c r="B4702" s="8"/>
      <c r="C4702" s="8"/>
      <c r="F4702" t="s">
        <v>1349</v>
      </c>
      <c r="G4702">
        <v>63300000</v>
      </c>
    </row>
    <row r="4703" spans="1:7" ht="14.25" customHeight="1">
      <c r="A4703" s="8">
        <f t="shared" si="18"/>
        <v>-75900</v>
      </c>
      <c r="B4703" s="8">
        <v>75900</v>
      </c>
      <c r="C4703" s="8"/>
      <c r="D4703">
        <v>170</v>
      </c>
      <c r="E4703" t="s">
        <v>667</v>
      </c>
      <c r="F4703" t="s">
        <v>1918</v>
      </c>
      <c r="G4703" s="9">
        <v>44786</v>
      </c>
    </row>
    <row r="4704" spans="1:7" ht="14.25" customHeight="1">
      <c r="A4704" s="8">
        <f t="shared" si="18"/>
        <v>230000</v>
      </c>
      <c r="B4704" s="8"/>
      <c r="C4704" s="8">
        <v>230000</v>
      </c>
      <c r="D4704">
        <v>252</v>
      </c>
      <c r="E4704" t="s">
        <v>579</v>
      </c>
      <c r="F4704" t="s">
        <v>1815</v>
      </c>
      <c r="G4704" s="9">
        <v>44803</v>
      </c>
    </row>
    <row r="4705" spans="1:7" ht="14.25" customHeight="1">
      <c r="A4705" s="8">
        <f t="shared" si="18"/>
        <v>154100</v>
      </c>
      <c r="B4705" s="8">
        <v>75900</v>
      </c>
      <c r="C4705" s="8">
        <v>230000</v>
      </c>
    </row>
    <row r="4706" spans="1:7" ht="14.25" customHeight="1">
      <c r="A4706" s="8">
        <f t="shared" si="18"/>
        <v>337248</v>
      </c>
      <c r="B4706" s="8">
        <v>75900</v>
      </c>
      <c r="C4706" s="8">
        <v>413148</v>
      </c>
      <c r="E4706">
        <v>9604011</v>
      </c>
      <c r="F4706" t="s">
        <v>537</v>
      </c>
      <c r="G4706" t="s">
        <v>581</v>
      </c>
    </row>
    <row r="4707" spans="1:7" ht="14.25" customHeight="1">
      <c r="A4707" s="8">
        <f t="shared" si="18"/>
        <v>0</v>
      </c>
      <c r="B4707" s="8"/>
      <c r="C4707" s="8"/>
      <c r="D4707" t="s">
        <v>538</v>
      </c>
      <c r="G4707">
        <v>9604014</v>
      </c>
    </row>
    <row r="4708" spans="1:7" ht="14.25" customHeight="1">
      <c r="A4708" s="8">
        <f t="shared" si="18"/>
        <v>0</v>
      </c>
      <c r="B4708" s="8"/>
      <c r="C4708" s="8"/>
      <c r="F4708" t="s">
        <v>1474</v>
      </c>
      <c r="G4708">
        <v>62650000</v>
      </c>
    </row>
    <row r="4709" spans="1:7" ht="14.25" customHeight="1">
      <c r="A4709" s="8">
        <f t="shared" si="18"/>
        <v>115115</v>
      </c>
      <c r="B4709" s="8"/>
      <c r="C4709" s="8">
        <v>115115</v>
      </c>
      <c r="D4709">
        <v>224</v>
      </c>
      <c r="E4709" t="s">
        <v>667</v>
      </c>
      <c r="F4709" t="s">
        <v>1919</v>
      </c>
      <c r="G4709" s="9">
        <v>44833</v>
      </c>
    </row>
    <row r="4710" spans="1:7" ht="14.25" customHeight="1">
      <c r="A4710" s="8">
        <f t="shared" si="18"/>
        <v>115115</v>
      </c>
      <c r="B4710" s="8"/>
      <c r="C4710" s="8">
        <v>115115</v>
      </c>
    </row>
    <row r="4711" spans="1:7" ht="14.25" customHeight="1">
      <c r="A4711" s="8">
        <f t="shared" si="18"/>
        <v>0</v>
      </c>
      <c r="B4711" s="8"/>
      <c r="C4711" s="8"/>
      <c r="F4711" t="s">
        <v>1482</v>
      </c>
      <c r="G4711">
        <v>62660000</v>
      </c>
    </row>
    <row r="4712" spans="1:7" ht="14.25" customHeight="1">
      <c r="A4712" s="8">
        <f t="shared" si="18"/>
        <v>1440490</v>
      </c>
      <c r="B4712" s="8"/>
      <c r="C4712" s="8">
        <v>1440490</v>
      </c>
      <c r="D4712">
        <v>370</v>
      </c>
      <c r="E4712" t="s">
        <v>579</v>
      </c>
      <c r="F4712" t="s">
        <v>1920</v>
      </c>
      <c r="G4712" s="9">
        <v>44882</v>
      </c>
    </row>
    <row r="4713" spans="1:7" ht="14.25" customHeight="1">
      <c r="A4713" s="8">
        <f t="shared" si="18"/>
        <v>1440490</v>
      </c>
      <c r="B4713" s="8"/>
      <c r="C4713" s="8">
        <v>1440490</v>
      </c>
    </row>
    <row r="4714" spans="1:7" ht="14.25" customHeight="1">
      <c r="A4714" s="8">
        <f t="shared" si="18"/>
        <v>1555605</v>
      </c>
      <c r="B4714" s="8"/>
      <c r="C4714" s="8">
        <v>1555605</v>
      </c>
      <c r="E4714">
        <v>9604014</v>
      </c>
      <c r="F4714" t="s">
        <v>538</v>
      </c>
      <c r="G4714" t="s">
        <v>581</v>
      </c>
    </row>
    <row r="4715" spans="1:7" ht="14.25" customHeight="1">
      <c r="A4715" s="8">
        <f t="shared" si="18"/>
        <v>0</v>
      </c>
      <c r="B4715" s="8"/>
      <c r="C4715" s="8"/>
      <c r="D4715" t="s">
        <v>539</v>
      </c>
      <c r="G4715">
        <v>9604015</v>
      </c>
    </row>
    <row r="4716" spans="1:7" ht="14.25" customHeight="1">
      <c r="A4716" s="8">
        <f t="shared" si="18"/>
        <v>0</v>
      </c>
      <c r="B4716" s="8"/>
      <c r="C4716" s="8"/>
      <c r="F4716" t="s">
        <v>1172</v>
      </c>
      <c r="G4716">
        <v>60550000</v>
      </c>
    </row>
    <row r="4717" spans="1:7" ht="14.25" customHeight="1">
      <c r="A4717" s="8">
        <f t="shared" si="18"/>
        <v>46403</v>
      </c>
      <c r="B4717" s="8"/>
      <c r="C4717" s="8">
        <v>46403</v>
      </c>
      <c r="D4717">
        <v>178</v>
      </c>
      <c r="E4717" t="s">
        <v>579</v>
      </c>
      <c r="F4717" t="s">
        <v>1495</v>
      </c>
      <c r="G4717" s="9">
        <v>44729</v>
      </c>
    </row>
    <row r="4718" spans="1:7" ht="14.25" customHeight="1">
      <c r="A4718" s="8">
        <f t="shared" si="18"/>
        <v>17250</v>
      </c>
      <c r="B4718" s="8"/>
      <c r="C4718" s="8">
        <v>17250</v>
      </c>
      <c r="D4718">
        <v>187</v>
      </c>
      <c r="E4718" t="s">
        <v>579</v>
      </c>
      <c r="F4718" t="s">
        <v>1921</v>
      </c>
      <c r="G4718" s="9">
        <v>44734</v>
      </c>
    </row>
    <row r="4719" spans="1:7" ht="14.25" customHeight="1">
      <c r="A4719" s="8">
        <f t="shared" si="18"/>
        <v>40250</v>
      </c>
      <c r="B4719" s="8"/>
      <c r="C4719" s="8">
        <v>40250</v>
      </c>
      <c r="D4719">
        <v>283</v>
      </c>
      <c r="E4719" t="s">
        <v>579</v>
      </c>
      <c r="F4719" t="s">
        <v>1670</v>
      </c>
      <c r="G4719" s="9">
        <v>44812</v>
      </c>
    </row>
    <row r="4720" spans="1:7" ht="14.25" customHeight="1">
      <c r="A4720" s="8">
        <f t="shared" si="18"/>
        <v>103902</v>
      </c>
      <c r="B4720" s="8"/>
      <c r="C4720" s="8">
        <v>103902</v>
      </c>
    </row>
    <row r="4721" spans="1:7" ht="14.25" customHeight="1">
      <c r="A4721" s="8">
        <f t="shared" si="18"/>
        <v>0</v>
      </c>
      <c r="B4721" s="8"/>
      <c r="C4721" s="8"/>
      <c r="F4721" t="s">
        <v>1514</v>
      </c>
      <c r="G4721">
        <v>63831000</v>
      </c>
    </row>
    <row r="4722" spans="1:7" ht="14.25" customHeight="1">
      <c r="A4722" s="8">
        <f t="shared" si="18"/>
        <v>55775</v>
      </c>
      <c r="B4722" s="8"/>
      <c r="C4722" s="8">
        <v>55775</v>
      </c>
      <c r="D4722">
        <v>29</v>
      </c>
      <c r="E4722" t="s">
        <v>667</v>
      </c>
      <c r="F4722" t="s">
        <v>1922</v>
      </c>
      <c r="G4722" s="9">
        <v>44616</v>
      </c>
    </row>
    <row r="4723" spans="1:7" ht="14.25" customHeight="1">
      <c r="A4723" s="8">
        <f t="shared" si="18"/>
        <v>23000</v>
      </c>
      <c r="B4723" s="8"/>
      <c r="C4723" s="8">
        <v>23000</v>
      </c>
      <c r="D4723">
        <v>27</v>
      </c>
      <c r="E4723" t="s">
        <v>667</v>
      </c>
      <c r="F4723" t="s">
        <v>1729</v>
      </c>
      <c r="G4723" s="9">
        <v>44617</v>
      </c>
    </row>
    <row r="4724" spans="1:7" ht="14.25" customHeight="1">
      <c r="A4724" s="8">
        <f t="shared" si="18"/>
        <v>78775</v>
      </c>
      <c r="B4724" s="8"/>
      <c r="C4724" s="8">
        <v>78775</v>
      </c>
    </row>
    <row r="4725" spans="1:7" ht="14.25" customHeight="1">
      <c r="A4725" s="8">
        <f t="shared" si="18"/>
        <v>0</v>
      </c>
      <c r="B4725" s="8"/>
      <c r="C4725" s="8"/>
      <c r="F4725" t="s">
        <v>592</v>
      </c>
      <c r="G4725">
        <v>63833</v>
      </c>
    </row>
    <row r="4726" spans="1:7" ht="14.25" customHeight="1">
      <c r="A4726" s="8">
        <f t="shared" si="18"/>
        <v>14662</v>
      </c>
      <c r="B4726" s="8"/>
      <c r="C4726" s="8">
        <v>14662</v>
      </c>
      <c r="D4726">
        <v>163</v>
      </c>
      <c r="E4726" t="s">
        <v>667</v>
      </c>
      <c r="F4726" t="s">
        <v>1539</v>
      </c>
      <c r="G4726" s="9">
        <v>44783</v>
      </c>
    </row>
    <row r="4727" spans="1:7" ht="14.25" customHeight="1">
      <c r="A4727" s="8">
        <f t="shared" si="18"/>
        <v>1035</v>
      </c>
      <c r="B4727" s="8"/>
      <c r="C4727" s="8">
        <v>1035</v>
      </c>
      <c r="D4727">
        <v>161</v>
      </c>
      <c r="E4727" t="s">
        <v>667</v>
      </c>
      <c r="F4727" t="s">
        <v>1540</v>
      </c>
      <c r="G4727" s="9">
        <v>44783</v>
      </c>
    </row>
    <row r="4728" spans="1:7" ht="14.25" customHeight="1">
      <c r="A4728" s="8">
        <f t="shared" si="18"/>
        <v>16790</v>
      </c>
      <c r="B4728" s="8"/>
      <c r="C4728" s="8">
        <v>16790</v>
      </c>
      <c r="D4728">
        <v>164</v>
      </c>
      <c r="E4728" t="s">
        <v>667</v>
      </c>
      <c r="F4728" t="s">
        <v>1541</v>
      </c>
      <c r="G4728" s="9">
        <v>44784</v>
      </c>
    </row>
    <row r="4729" spans="1:7" ht="14.25" customHeight="1">
      <c r="A4729" s="8">
        <f t="shared" si="18"/>
        <v>29900</v>
      </c>
      <c r="B4729" s="8"/>
      <c r="C4729" s="8">
        <v>29900</v>
      </c>
      <c r="D4729">
        <v>182</v>
      </c>
      <c r="E4729" t="s">
        <v>667</v>
      </c>
      <c r="F4729" t="s">
        <v>1923</v>
      </c>
      <c r="G4729" s="9">
        <v>44802</v>
      </c>
    </row>
    <row r="4730" spans="1:7" ht="14.25" customHeight="1">
      <c r="A4730" s="8">
        <f t="shared" si="18"/>
        <v>1035</v>
      </c>
      <c r="B4730" s="8"/>
      <c r="C4730" s="8">
        <v>1035</v>
      </c>
      <c r="D4730">
        <v>183</v>
      </c>
      <c r="E4730" t="s">
        <v>667</v>
      </c>
      <c r="F4730" t="s">
        <v>1544</v>
      </c>
      <c r="G4730" s="9">
        <v>44802</v>
      </c>
    </row>
    <row r="4731" spans="1:7" ht="14.25" customHeight="1">
      <c r="A4731" s="8">
        <f t="shared" si="18"/>
        <v>9028</v>
      </c>
      <c r="B4731" s="8"/>
      <c r="C4731" s="8">
        <v>9028</v>
      </c>
      <c r="D4731">
        <v>187</v>
      </c>
      <c r="E4731" t="s">
        <v>667</v>
      </c>
      <c r="F4731" t="s">
        <v>1924</v>
      </c>
      <c r="G4731" s="9">
        <v>44803</v>
      </c>
    </row>
    <row r="4732" spans="1:7" ht="14.25" customHeight="1">
      <c r="A4732" s="8">
        <f t="shared" si="18"/>
        <v>3105</v>
      </c>
      <c r="B4732" s="8"/>
      <c r="C4732" s="8">
        <v>3105</v>
      </c>
      <c r="D4732">
        <v>188</v>
      </c>
      <c r="E4732" t="s">
        <v>667</v>
      </c>
      <c r="F4732" t="s">
        <v>1925</v>
      </c>
      <c r="G4732" s="9">
        <v>44803</v>
      </c>
    </row>
    <row r="4733" spans="1:7" ht="14.25" customHeight="1">
      <c r="A4733" s="8">
        <f t="shared" si="18"/>
        <v>2760</v>
      </c>
      <c r="B4733" s="8"/>
      <c r="C4733" s="8">
        <v>2760</v>
      </c>
      <c r="D4733">
        <v>191</v>
      </c>
      <c r="E4733" t="s">
        <v>667</v>
      </c>
      <c r="F4733" t="s">
        <v>1926</v>
      </c>
      <c r="G4733" s="9">
        <v>44803</v>
      </c>
    </row>
    <row r="4734" spans="1:7" ht="14.25" customHeight="1">
      <c r="A4734" s="8">
        <f t="shared" si="18"/>
        <v>7820</v>
      </c>
      <c r="B4734" s="8"/>
      <c r="C4734" s="8">
        <v>7820</v>
      </c>
      <c r="D4734">
        <v>192</v>
      </c>
      <c r="E4734" t="s">
        <v>667</v>
      </c>
      <c r="F4734" t="s">
        <v>1927</v>
      </c>
      <c r="G4734" s="9">
        <v>44804</v>
      </c>
    </row>
    <row r="4735" spans="1:7" ht="14.25" customHeight="1">
      <c r="A4735" s="8">
        <f t="shared" si="18"/>
        <v>10810</v>
      </c>
      <c r="B4735" s="8"/>
      <c r="C4735" s="8">
        <v>10810</v>
      </c>
      <c r="D4735">
        <v>195</v>
      </c>
      <c r="E4735" t="s">
        <v>667</v>
      </c>
      <c r="F4735" t="s">
        <v>1928</v>
      </c>
      <c r="G4735" s="9">
        <v>44805</v>
      </c>
    </row>
    <row r="4736" spans="1:7" ht="14.25" customHeight="1">
      <c r="A4736" s="8">
        <f t="shared" si="18"/>
        <v>49450</v>
      </c>
      <c r="B4736" s="8"/>
      <c r="C4736" s="8">
        <v>49450</v>
      </c>
      <c r="D4736">
        <v>276</v>
      </c>
      <c r="E4736" t="s">
        <v>579</v>
      </c>
      <c r="F4736" t="s">
        <v>1929</v>
      </c>
      <c r="G4736" s="9">
        <v>44809</v>
      </c>
    </row>
    <row r="4737" spans="1:7" ht="14.25" customHeight="1">
      <c r="A4737" s="8">
        <f t="shared" si="18"/>
        <v>48875</v>
      </c>
      <c r="B4737" s="8"/>
      <c r="C4737" s="8">
        <v>48875</v>
      </c>
      <c r="D4737">
        <v>277</v>
      </c>
      <c r="E4737" t="s">
        <v>579</v>
      </c>
      <c r="F4737" t="s">
        <v>1930</v>
      </c>
      <c r="G4737" s="9">
        <v>44809</v>
      </c>
    </row>
    <row r="4738" spans="1:7" ht="14.25" customHeight="1">
      <c r="A4738" s="8">
        <f t="shared" si="18"/>
        <v>47150</v>
      </c>
      <c r="B4738" s="8"/>
      <c r="C4738" s="8">
        <v>47150</v>
      </c>
      <c r="D4738">
        <v>278</v>
      </c>
      <c r="E4738" t="s">
        <v>579</v>
      </c>
      <c r="F4738" t="s">
        <v>1931</v>
      </c>
      <c r="G4738" s="9">
        <v>44809</v>
      </c>
    </row>
    <row r="4739" spans="1:7" ht="14.25" customHeight="1">
      <c r="A4739" s="8">
        <f t="shared" si="18"/>
        <v>52325</v>
      </c>
      <c r="B4739" s="8"/>
      <c r="C4739" s="8">
        <v>52325</v>
      </c>
      <c r="D4739">
        <v>279</v>
      </c>
      <c r="E4739" t="s">
        <v>579</v>
      </c>
      <c r="F4739" t="s">
        <v>1932</v>
      </c>
      <c r="G4739" s="9">
        <v>44809</v>
      </c>
    </row>
    <row r="4740" spans="1:7" ht="14.25" customHeight="1">
      <c r="A4740" s="8">
        <f t="shared" si="18"/>
        <v>46000</v>
      </c>
      <c r="B4740" s="8"/>
      <c r="C4740" s="8">
        <v>46000</v>
      </c>
      <c r="D4740">
        <v>280</v>
      </c>
      <c r="E4740" t="s">
        <v>579</v>
      </c>
      <c r="F4740" t="s">
        <v>1933</v>
      </c>
      <c r="G4740" s="9">
        <v>44809</v>
      </c>
    </row>
    <row r="4741" spans="1:7" ht="14.25" customHeight="1">
      <c r="A4741" s="8">
        <f t="shared" si="18"/>
        <v>19838</v>
      </c>
      <c r="B4741" s="8"/>
      <c r="C4741" s="8">
        <v>19838</v>
      </c>
      <c r="D4741">
        <v>206</v>
      </c>
      <c r="E4741" t="s">
        <v>667</v>
      </c>
      <c r="F4741" t="s">
        <v>1934</v>
      </c>
      <c r="G4741" s="9">
        <v>44817</v>
      </c>
    </row>
    <row r="4742" spans="1:7" ht="14.25" customHeight="1">
      <c r="A4742" s="8">
        <f t="shared" si="18"/>
        <v>59800</v>
      </c>
      <c r="B4742" s="8"/>
      <c r="C4742" s="8">
        <v>59800</v>
      </c>
      <c r="D4742">
        <v>208</v>
      </c>
      <c r="E4742" t="s">
        <v>667</v>
      </c>
      <c r="F4742" t="s">
        <v>1935</v>
      </c>
      <c r="G4742" s="9">
        <v>44817</v>
      </c>
    </row>
    <row r="4743" spans="1:7" ht="14.25" customHeight="1">
      <c r="A4743" s="8">
        <f t="shared" si="18"/>
        <v>24725</v>
      </c>
      <c r="B4743" s="8"/>
      <c r="C4743" s="8">
        <v>24725</v>
      </c>
      <c r="D4743">
        <v>209</v>
      </c>
      <c r="E4743" t="s">
        <v>667</v>
      </c>
      <c r="F4743" t="s">
        <v>1936</v>
      </c>
      <c r="G4743" s="9">
        <v>44818</v>
      </c>
    </row>
    <row r="4744" spans="1:7" ht="14.25" customHeight="1">
      <c r="A4744" s="8">
        <f t="shared" si="18"/>
        <v>8619</v>
      </c>
      <c r="B4744" s="8"/>
      <c r="C4744" s="8">
        <v>8619</v>
      </c>
      <c r="D4744">
        <v>210</v>
      </c>
      <c r="E4744" t="s">
        <v>667</v>
      </c>
      <c r="F4744" t="s">
        <v>1937</v>
      </c>
      <c r="G4744" s="9">
        <v>44818</v>
      </c>
    </row>
    <row r="4745" spans="1:7" ht="14.25" customHeight="1">
      <c r="A4745" s="8">
        <f t="shared" si="18"/>
        <v>3215</v>
      </c>
      <c r="B4745" s="8"/>
      <c r="C4745" s="8">
        <v>3215</v>
      </c>
      <c r="D4745">
        <v>211</v>
      </c>
      <c r="E4745" t="s">
        <v>667</v>
      </c>
      <c r="F4745" t="s">
        <v>1938</v>
      </c>
      <c r="G4745" s="9">
        <v>44819</v>
      </c>
    </row>
    <row r="4746" spans="1:7" ht="14.25" customHeight="1">
      <c r="A4746" s="8">
        <f t="shared" si="18"/>
        <v>3680</v>
      </c>
      <c r="B4746" s="8"/>
      <c r="C4746" s="8">
        <v>3680</v>
      </c>
      <c r="D4746">
        <v>212</v>
      </c>
      <c r="E4746" t="s">
        <v>667</v>
      </c>
      <c r="F4746" t="s">
        <v>1939</v>
      </c>
      <c r="G4746" s="9">
        <v>44819</v>
      </c>
    </row>
    <row r="4747" spans="1:7" ht="14.25" customHeight="1">
      <c r="A4747" s="8">
        <f t="shared" si="18"/>
        <v>5716</v>
      </c>
      <c r="B4747" s="8"/>
      <c r="C4747" s="8">
        <v>5716</v>
      </c>
      <c r="D4747">
        <v>213</v>
      </c>
      <c r="E4747" t="s">
        <v>667</v>
      </c>
      <c r="F4747" t="s">
        <v>1940</v>
      </c>
      <c r="G4747" s="9">
        <v>44819</v>
      </c>
    </row>
    <row r="4748" spans="1:7" ht="14.25" customHeight="1">
      <c r="A4748" s="8">
        <f t="shared" si="18"/>
        <v>466338</v>
      </c>
      <c r="B4748" s="8"/>
      <c r="C4748" s="8">
        <v>466338</v>
      </c>
    </row>
    <row r="4749" spans="1:7" ht="14.25" customHeight="1">
      <c r="A4749" s="8">
        <f t="shared" si="18"/>
        <v>649015</v>
      </c>
      <c r="B4749" s="8"/>
      <c r="C4749" s="8">
        <v>649015</v>
      </c>
      <c r="E4749">
        <v>9604015</v>
      </c>
      <c r="F4749" t="s">
        <v>539</v>
      </c>
      <c r="G4749" t="s">
        <v>581</v>
      </c>
    </row>
    <row r="4750" spans="1:7" ht="14.25" customHeight="1">
      <c r="A4750" s="8">
        <f t="shared" si="18"/>
        <v>0</v>
      </c>
      <c r="B4750" s="8"/>
      <c r="C4750" s="8"/>
      <c r="D4750" t="s">
        <v>540</v>
      </c>
      <c r="G4750">
        <v>9604016</v>
      </c>
    </row>
    <row r="4751" spans="1:7" ht="14.25" customHeight="1">
      <c r="A4751" s="8">
        <f t="shared" si="18"/>
        <v>0</v>
      </c>
      <c r="B4751" s="8"/>
      <c r="C4751" s="8"/>
      <c r="F4751" t="s">
        <v>1559</v>
      </c>
      <c r="G4751">
        <v>63181000</v>
      </c>
    </row>
    <row r="4752" spans="1:7" ht="14.25" customHeight="1">
      <c r="A4752" s="8">
        <f t="shared" si="18"/>
        <v>345</v>
      </c>
      <c r="B4752" s="8"/>
      <c r="C4752" s="8">
        <v>345</v>
      </c>
      <c r="D4752">
        <v>285</v>
      </c>
      <c r="E4752" t="s">
        <v>587</v>
      </c>
      <c r="F4752" t="s">
        <v>1941</v>
      </c>
      <c r="G4752" s="9">
        <v>44580</v>
      </c>
    </row>
    <row r="4753" spans="1:7" ht="14.25" customHeight="1">
      <c r="A4753" s="8">
        <f t="shared" si="18"/>
        <v>35</v>
      </c>
      <c r="B4753" s="8"/>
      <c r="C4753" s="8">
        <v>35</v>
      </c>
      <c r="D4753">
        <v>287</v>
      </c>
      <c r="E4753" t="s">
        <v>587</v>
      </c>
      <c r="F4753" t="s">
        <v>1941</v>
      </c>
      <c r="G4753" s="9">
        <v>44580</v>
      </c>
    </row>
    <row r="4754" spans="1:7" ht="14.25" customHeight="1">
      <c r="A4754" s="8">
        <f t="shared" si="18"/>
        <v>345</v>
      </c>
      <c r="B4754" s="8"/>
      <c r="C4754" s="8">
        <v>345</v>
      </c>
      <c r="D4754">
        <v>315</v>
      </c>
      <c r="E4754" t="s">
        <v>587</v>
      </c>
      <c r="F4754" t="s">
        <v>1942</v>
      </c>
      <c r="G4754" s="9">
        <v>44593</v>
      </c>
    </row>
    <row r="4755" spans="1:7" ht="14.25" customHeight="1">
      <c r="A4755" s="8">
        <f t="shared" si="18"/>
        <v>35</v>
      </c>
      <c r="B4755" s="8"/>
      <c r="C4755" s="8">
        <v>35</v>
      </c>
      <c r="D4755">
        <v>317</v>
      </c>
      <c r="E4755" t="s">
        <v>587</v>
      </c>
      <c r="F4755" t="s">
        <v>1942</v>
      </c>
      <c r="G4755" s="9">
        <v>44593</v>
      </c>
    </row>
    <row r="4756" spans="1:7" ht="14.25" customHeight="1">
      <c r="A4756" s="8">
        <f t="shared" si="18"/>
        <v>379</v>
      </c>
      <c r="B4756" s="8"/>
      <c r="C4756" s="8">
        <v>379</v>
      </c>
      <c r="D4756">
        <v>871</v>
      </c>
      <c r="E4756" t="s">
        <v>587</v>
      </c>
      <c r="F4756" t="s">
        <v>1943</v>
      </c>
      <c r="G4756" s="9">
        <v>44900</v>
      </c>
    </row>
    <row r="4757" spans="1:7" ht="14.25" customHeight="1">
      <c r="A4757" s="8">
        <f t="shared" si="18"/>
        <v>379</v>
      </c>
      <c r="B4757" s="8"/>
      <c r="C4757" s="8">
        <v>379</v>
      </c>
      <c r="D4757">
        <v>875</v>
      </c>
      <c r="E4757" t="s">
        <v>587</v>
      </c>
      <c r="F4757" t="s">
        <v>1571</v>
      </c>
      <c r="G4757" s="9">
        <v>44900</v>
      </c>
    </row>
    <row r="4758" spans="1:7" ht="14.25" customHeight="1">
      <c r="A4758" s="8">
        <f t="shared" si="18"/>
        <v>379</v>
      </c>
      <c r="B4758" s="8"/>
      <c r="C4758" s="8">
        <v>379</v>
      </c>
      <c r="D4758">
        <v>913</v>
      </c>
      <c r="E4758" t="s">
        <v>587</v>
      </c>
      <c r="F4758" t="s">
        <v>1595</v>
      </c>
      <c r="G4758" s="9">
        <v>44914</v>
      </c>
    </row>
    <row r="4759" spans="1:7" ht="14.25" customHeight="1">
      <c r="A4759" s="8">
        <f t="shared" si="18"/>
        <v>379</v>
      </c>
      <c r="B4759" s="8"/>
      <c r="C4759" s="8">
        <v>379</v>
      </c>
      <c r="D4759">
        <v>925</v>
      </c>
      <c r="E4759" t="s">
        <v>587</v>
      </c>
      <c r="F4759" t="s">
        <v>1595</v>
      </c>
      <c r="G4759" s="9">
        <v>44914</v>
      </c>
    </row>
    <row r="4760" spans="1:7" ht="14.25" customHeight="1">
      <c r="A4760" s="8">
        <f t="shared" si="18"/>
        <v>379</v>
      </c>
      <c r="B4760" s="8"/>
      <c r="C4760" s="8">
        <v>379</v>
      </c>
      <c r="D4760">
        <v>933</v>
      </c>
      <c r="E4760" t="s">
        <v>587</v>
      </c>
      <c r="F4760" t="s">
        <v>1596</v>
      </c>
      <c r="G4760" s="9">
        <v>44914</v>
      </c>
    </row>
    <row r="4761" spans="1:7" ht="14.25" customHeight="1">
      <c r="A4761" s="8">
        <f t="shared" si="18"/>
        <v>2657</v>
      </c>
      <c r="B4761" s="8"/>
      <c r="C4761" s="8">
        <v>2657</v>
      </c>
    </row>
    <row r="4762" spans="1:7" ht="14.25" customHeight="1">
      <c r="A4762" s="8">
        <f t="shared" si="18"/>
        <v>2657</v>
      </c>
      <c r="B4762" s="8"/>
      <c r="C4762" s="8">
        <v>2657</v>
      </c>
      <c r="E4762">
        <v>9604016</v>
      </c>
      <c r="F4762" t="s">
        <v>540</v>
      </c>
      <c r="G4762" t="s">
        <v>581</v>
      </c>
    </row>
    <row r="4763" spans="1:7" ht="14.25" customHeight="1">
      <c r="A4763" s="8">
        <f t="shared" si="18"/>
        <v>6785729</v>
      </c>
      <c r="B4763" s="8">
        <v>259900</v>
      </c>
      <c r="C4763" s="8">
        <v>7045629</v>
      </c>
      <c r="E4763">
        <v>96040</v>
      </c>
      <c r="F4763" t="s">
        <v>541</v>
      </c>
      <c r="G4763" t="s">
        <v>581</v>
      </c>
    </row>
    <row r="4764" spans="1:7" ht="14.25" customHeight="1">
      <c r="A4764" s="8">
        <f t="shared" si="18"/>
        <v>0</v>
      </c>
      <c r="B4764" s="8"/>
      <c r="C4764" s="8"/>
      <c r="D4764" t="s">
        <v>542</v>
      </c>
      <c r="G4764">
        <v>9606005</v>
      </c>
    </row>
    <row r="4765" spans="1:7" ht="14.25" customHeight="1">
      <c r="A4765" s="8">
        <f t="shared" si="18"/>
        <v>0</v>
      </c>
      <c r="B4765" s="8"/>
      <c r="C4765" s="8"/>
      <c r="F4765" t="s">
        <v>582</v>
      </c>
      <c r="G4765">
        <v>63240000</v>
      </c>
    </row>
    <row r="4766" spans="1:7" ht="14.25" customHeight="1">
      <c r="A4766" s="8">
        <f t="shared" si="18"/>
        <v>487878</v>
      </c>
      <c r="B4766" s="8"/>
      <c r="C4766" s="8">
        <v>487878</v>
      </c>
      <c r="D4766">
        <v>34</v>
      </c>
      <c r="E4766" t="s">
        <v>579</v>
      </c>
      <c r="F4766" t="s">
        <v>1862</v>
      </c>
      <c r="G4766" s="9">
        <v>44587</v>
      </c>
    </row>
    <row r="4767" spans="1:7" ht="14.25" customHeight="1">
      <c r="A4767" s="8">
        <f t="shared" si="18"/>
        <v>217163</v>
      </c>
      <c r="B4767" s="8"/>
      <c r="C4767" s="8">
        <v>217163</v>
      </c>
      <c r="D4767">
        <v>30</v>
      </c>
      <c r="E4767" t="s">
        <v>579</v>
      </c>
      <c r="F4767" t="s">
        <v>1865</v>
      </c>
      <c r="G4767" s="9">
        <v>44620</v>
      </c>
    </row>
    <row r="4768" spans="1:7" ht="14.25" customHeight="1">
      <c r="A4768" s="8">
        <f t="shared" si="18"/>
        <v>460000</v>
      </c>
      <c r="B4768" s="8"/>
      <c r="C4768" s="8">
        <v>460000</v>
      </c>
      <c r="D4768">
        <v>347</v>
      </c>
      <c r="E4768" t="s">
        <v>579</v>
      </c>
      <c r="F4768" t="s">
        <v>1381</v>
      </c>
      <c r="G4768" s="9">
        <v>44865</v>
      </c>
    </row>
    <row r="4769" spans="1:7" ht="14.25" customHeight="1">
      <c r="A4769" s="8">
        <f t="shared" si="18"/>
        <v>920000</v>
      </c>
      <c r="B4769" s="8"/>
      <c r="C4769" s="8">
        <v>920000</v>
      </c>
      <c r="D4769">
        <v>386</v>
      </c>
      <c r="E4769" t="s">
        <v>579</v>
      </c>
      <c r="F4769" t="s">
        <v>1944</v>
      </c>
      <c r="G4769" s="9">
        <v>44895</v>
      </c>
    </row>
    <row r="4770" spans="1:7" ht="14.25" customHeight="1">
      <c r="A4770" s="8">
        <f t="shared" si="18"/>
        <v>403106</v>
      </c>
      <c r="B4770" s="8"/>
      <c r="C4770" s="8">
        <v>403106</v>
      </c>
      <c r="D4770">
        <v>426</v>
      </c>
      <c r="E4770" t="s">
        <v>579</v>
      </c>
      <c r="F4770" t="s">
        <v>1945</v>
      </c>
      <c r="G4770" s="9">
        <v>44922</v>
      </c>
    </row>
    <row r="4771" spans="1:7" ht="14.25" customHeight="1">
      <c r="A4771" s="8">
        <f t="shared" si="18"/>
        <v>441357</v>
      </c>
      <c r="B4771" s="8"/>
      <c r="C4771" s="8">
        <v>441357</v>
      </c>
      <c r="D4771">
        <v>427</v>
      </c>
      <c r="E4771" t="s">
        <v>579</v>
      </c>
      <c r="F4771" t="s">
        <v>1946</v>
      </c>
      <c r="G4771" s="9">
        <v>44922</v>
      </c>
    </row>
    <row r="4772" spans="1:7" ht="14.25" customHeight="1">
      <c r="A4772" s="8">
        <f t="shared" si="18"/>
        <v>141235</v>
      </c>
      <c r="B4772" s="8"/>
      <c r="C4772" s="8">
        <v>141235</v>
      </c>
      <c r="D4772">
        <v>428</v>
      </c>
      <c r="E4772" t="s">
        <v>579</v>
      </c>
      <c r="F4772" t="s">
        <v>1947</v>
      </c>
      <c r="G4772" s="9">
        <v>44922</v>
      </c>
    </row>
    <row r="4773" spans="1:7" ht="14.25" customHeight="1">
      <c r="A4773" s="8">
        <f t="shared" si="18"/>
        <v>920000</v>
      </c>
      <c r="B4773" s="8"/>
      <c r="C4773" s="8">
        <v>920000</v>
      </c>
      <c r="D4773">
        <v>438</v>
      </c>
      <c r="E4773" t="s">
        <v>579</v>
      </c>
      <c r="F4773" t="s">
        <v>1948</v>
      </c>
      <c r="G4773" s="9">
        <v>44925</v>
      </c>
    </row>
    <row r="4774" spans="1:7" ht="14.25" customHeight="1">
      <c r="A4774" s="8">
        <f t="shared" si="18"/>
        <v>753250</v>
      </c>
      <c r="B4774" s="8"/>
      <c r="C4774" s="8">
        <v>753250</v>
      </c>
      <c r="D4774">
        <v>441</v>
      </c>
      <c r="E4774" t="s">
        <v>579</v>
      </c>
      <c r="F4774" t="s">
        <v>1876</v>
      </c>
      <c r="G4774" s="9">
        <v>44925</v>
      </c>
    </row>
    <row r="4775" spans="1:7" ht="14.25" customHeight="1">
      <c r="A4775" s="8">
        <f t="shared" si="18"/>
        <v>659094</v>
      </c>
      <c r="B4775" s="8"/>
      <c r="C4775" s="8">
        <v>659094</v>
      </c>
      <c r="D4775">
        <v>442</v>
      </c>
      <c r="E4775" t="s">
        <v>579</v>
      </c>
      <c r="F4775" t="s">
        <v>1877</v>
      </c>
      <c r="G4775" s="9">
        <v>44925</v>
      </c>
    </row>
    <row r="4776" spans="1:7" ht="14.25" customHeight="1">
      <c r="A4776" s="8">
        <f t="shared" si="18"/>
        <v>215625</v>
      </c>
      <c r="B4776" s="8"/>
      <c r="C4776" s="8">
        <v>215625</v>
      </c>
      <c r="D4776">
        <v>443</v>
      </c>
      <c r="E4776" t="s">
        <v>579</v>
      </c>
      <c r="F4776" t="s">
        <v>1949</v>
      </c>
      <c r="G4776" s="9">
        <v>44925</v>
      </c>
    </row>
    <row r="4777" spans="1:7" ht="14.25" customHeight="1">
      <c r="A4777" s="8">
        <f t="shared" si="18"/>
        <v>435135</v>
      </c>
      <c r="B4777" s="8"/>
      <c r="C4777" s="8">
        <v>435135</v>
      </c>
      <c r="D4777">
        <v>444</v>
      </c>
      <c r="E4777" t="s">
        <v>579</v>
      </c>
      <c r="F4777" t="s">
        <v>1950</v>
      </c>
      <c r="G4777" s="9">
        <v>44925</v>
      </c>
    </row>
    <row r="4778" spans="1:7" ht="14.25" customHeight="1">
      <c r="A4778" s="8">
        <f t="shared" si="18"/>
        <v>460000</v>
      </c>
      <c r="B4778" s="8"/>
      <c r="C4778" s="8">
        <v>460000</v>
      </c>
      <c r="D4778">
        <v>200</v>
      </c>
      <c r="E4778" t="s">
        <v>594</v>
      </c>
      <c r="F4778" t="s">
        <v>1878</v>
      </c>
      <c r="G4778" s="9">
        <v>44925</v>
      </c>
    </row>
    <row r="4779" spans="1:7" ht="14.25" customHeight="1">
      <c r="A4779" s="8">
        <f t="shared" si="18"/>
        <v>460000</v>
      </c>
      <c r="B4779" s="8"/>
      <c r="C4779" s="8">
        <v>460000</v>
      </c>
      <c r="D4779">
        <v>201</v>
      </c>
      <c r="E4779" t="s">
        <v>594</v>
      </c>
      <c r="F4779" t="s">
        <v>1879</v>
      </c>
      <c r="G4779" s="9">
        <v>44925</v>
      </c>
    </row>
    <row r="4780" spans="1:7" ht="14.25" customHeight="1">
      <c r="A4780" s="8">
        <f t="shared" si="18"/>
        <v>460000</v>
      </c>
      <c r="B4780" s="8"/>
      <c r="C4780" s="8">
        <v>460000</v>
      </c>
      <c r="D4780">
        <v>202</v>
      </c>
      <c r="E4780" t="s">
        <v>594</v>
      </c>
      <c r="F4780" t="s">
        <v>1880</v>
      </c>
      <c r="G4780" s="9">
        <v>44925</v>
      </c>
    </row>
    <row r="4781" spans="1:7" ht="14.25" customHeight="1">
      <c r="A4781" s="8">
        <f t="shared" si="18"/>
        <v>322000</v>
      </c>
      <c r="B4781" s="8"/>
      <c r="C4781" s="8">
        <v>322000</v>
      </c>
      <c r="D4781">
        <v>203</v>
      </c>
      <c r="E4781" t="s">
        <v>594</v>
      </c>
      <c r="F4781" t="s">
        <v>1881</v>
      </c>
      <c r="G4781" s="9">
        <v>44925</v>
      </c>
    </row>
    <row r="4782" spans="1:7" ht="14.25" customHeight="1">
      <c r="A4782" s="8">
        <f t="shared" si="18"/>
        <v>43125</v>
      </c>
      <c r="B4782" s="8"/>
      <c r="C4782" s="8">
        <v>43125</v>
      </c>
      <c r="D4782">
        <v>204</v>
      </c>
      <c r="E4782" t="s">
        <v>594</v>
      </c>
      <c r="F4782" t="s">
        <v>1882</v>
      </c>
      <c r="G4782" s="9">
        <v>44925</v>
      </c>
    </row>
    <row r="4783" spans="1:7" ht="14.25" customHeight="1">
      <c r="A4783" s="8">
        <f t="shared" si="18"/>
        <v>729711</v>
      </c>
      <c r="B4783" s="8"/>
      <c r="C4783" s="8">
        <v>729711</v>
      </c>
      <c r="D4783">
        <v>372</v>
      </c>
      <c r="E4783" t="s">
        <v>594</v>
      </c>
      <c r="F4783" t="s">
        <v>1951</v>
      </c>
      <c r="G4783" s="9">
        <v>44925</v>
      </c>
    </row>
    <row r="4784" spans="1:7" ht="14.25" customHeight="1">
      <c r="A4784" s="8">
        <f t="shared" si="18"/>
        <v>8528678</v>
      </c>
      <c r="B4784" s="8"/>
      <c r="C4784" s="8">
        <v>8528678</v>
      </c>
    </row>
    <row r="4785" spans="1:7" ht="14.25" customHeight="1">
      <c r="A4785" s="8">
        <f t="shared" si="18"/>
        <v>8528678</v>
      </c>
      <c r="B4785" s="8"/>
      <c r="C4785" s="8">
        <v>8528678</v>
      </c>
      <c r="E4785">
        <v>9606005</v>
      </c>
      <c r="F4785" t="s">
        <v>542</v>
      </c>
      <c r="G4785" t="s">
        <v>581</v>
      </c>
    </row>
    <row r="4786" spans="1:7" ht="14.25" customHeight="1">
      <c r="A4786" s="8">
        <f t="shared" si="18"/>
        <v>28976628</v>
      </c>
      <c r="B4786" s="8">
        <v>259900</v>
      </c>
      <c r="C4786" s="8">
        <v>29236528</v>
      </c>
      <c r="E4786">
        <v>96</v>
      </c>
      <c r="F4786" t="s">
        <v>543</v>
      </c>
      <c r="G4786" t="s">
        <v>581</v>
      </c>
    </row>
    <row r="4787" spans="1:7" ht="14.25" customHeight="1">
      <c r="A4787" s="8">
        <f t="shared" si="18"/>
        <v>0</v>
      </c>
      <c r="B4787" s="8"/>
      <c r="C4787" s="8"/>
      <c r="D4787" t="s">
        <v>544</v>
      </c>
      <c r="G4787">
        <v>9702010</v>
      </c>
    </row>
    <row r="4788" spans="1:7" ht="14.25" customHeight="1">
      <c r="A4788" s="8">
        <f t="shared" si="18"/>
        <v>0</v>
      </c>
      <c r="B4788" s="8"/>
      <c r="C4788" s="8"/>
      <c r="F4788" t="s">
        <v>1282</v>
      </c>
      <c r="G4788">
        <v>64130000</v>
      </c>
    </row>
    <row r="4789" spans="1:7" ht="14.25" customHeight="1">
      <c r="A4789" s="8">
        <f t="shared" si="18"/>
        <v>14729</v>
      </c>
      <c r="B4789" s="8"/>
      <c r="C4789" s="8">
        <v>14729</v>
      </c>
      <c r="D4789">
        <v>4</v>
      </c>
      <c r="E4789" t="s">
        <v>594</v>
      </c>
      <c r="F4789" t="s">
        <v>1283</v>
      </c>
      <c r="G4789" s="9">
        <v>44592</v>
      </c>
    </row>
    <row r="4790" spans="1:7" ht="14.25" customHeight="1">
      <c r="A4790" s="8">
        <f t="shared" si="18"/>
        <v>15225</v>
      </c>
      <c r="B4790" s="8"/>
      <c r="C4790" s="8">
        <v>15225</v>
      </c>
      <c r="D4790">
        <v>9</v>
      </c>
      <c r="E4790" t="s">
        <v>594</v>
      </c>
      <c r="F4790" t="s">
        <v>1284</v>
      </c>
      <c r="G4790" s="9">
        <v>44620</v>
      </c>
    </row>
    <row r="4791" spans="1:7" ht="14.25" customHeight="1">
      <c r="A4791" s="8">
        <f t="shared" si="18"/>
        <v>15226</v>
      </c>
      <c r="B4791" s="8"/>
      <c r="C4791" s="8">
        <v>15226</v>
      </c>
      <c r="D4791">
        <v>14</v>
      </c>
      <c r="E4791" t="s">
        <v>594</v>
      </c>
      <c r="F4791" t="s">
        <v>1285</v>
      </c>
      <c r="G4791" s="9">
        <v>44651</v>
      </c>
    </row>
    <row r="4792" spans="1:7" ht="14.25" customHeight="1">
      <c r="A4792" s="8">
        <f t="shared" si="18"/>
        <v>7776</v>
      </c>
      <c r="B4792" s="8"/>
      <c r="C4792" s="8">
        <v>7776</v>
      </c>
      <c r="D4792">
        <v>19</v>
      </c>
      <c r="E4792" t="s">
        <v>594</v>
      </c>
      <c r="F4792" t="s">
        <v>1286</v>
      </c>
      <c r="G4792" s="9">
        <v>44681</v>
      </c>
    </row>
    <row r="4793" spans="1:7" ht="14.25" customHeight="1">
      <c r="A4793" s="8">
        <f t="shared" si="18"/>
        <v>15225</v>
      </c>
      <c r="B4793" s="8"/>
      <c r="C4793" s="8">
        <v>15225</v>
      </c>
      <c r="D4793">
        <v>24</v>
      </c>
      <c r="E4793" t="s">
        <v>594</v>
      </c>
      <c r="F4793" t="s">
        <v>1287</v>
      </c>
      <c r="G4793" s="9">
        <v>44712</v>
      </c>
    </row>
    <row r="4794" spans="1:7" ht="14.25" customHeight="1">
      <c r="A4794" s="8">
        <f t="shared" si="18"/>
        <v>15223</v>
      </c>
      <c r="B4794" s="8"/>
      <c r="C4794" s="8">
        <v>15223</v>
      </c>
      <c r="D4794">
        <v>32</v>
      </c>
      <c r="E4794" t="s">
        <v>594</v>
      </c>
      <c r="F4794" t="s">
        <v>1288</v>
      </c>
      <c r="G4794" s="9">
        <v>44742</v>
      </c>
    </row>
    <row r="4795" spans="1:7" ht="14.25" customHeight="1">
      <c r="A4795" s="8">
        <f t="shared" si="18"/>
        <v>14756</v>
      </c>
      <c r="B4795" s="8"/>
      <c r="C4795" s="8">
        <v>14756</v>
      </c>
      <c r="D4795">
        <v>65</v>
      </c>
      <c r="E4795" t="s">
        <v>594</v>
      </c>
      <c r="F4795" t="s">
        <v>1325</v>
      </c>
      <c r="G4795" s="9">
        <v>44772</v>
      </c>
    </row>
    <row r="4796" spans="1:7" ht="14.25" customHeight="1">
      <c r="A4796" s="8">
        <f t="shared" si="18"/>
        <v>15225</v>
      </c>
      <c r="B4796" s="8"/>
      <c r="C4796" s="8">
        <v>15225</v>
      </c>
      <c r="D4796">
        <v>75</v>
      </c>
      <c r="E4796" t="s">
        <v>594</v>
      </c>
      <c r="F4796" t="s">
        <v>1326</v>
      </c>
      <c r="G4796" s="9">
        <v>44804</v>
      </c>
    </row>
    <row r="4797" spans="1:7" ht="14.25" customHeight="1">
      <c r="A4797" s="8">
        <f t="shared" si="18"/>
        <v>23206</v>
      </c>
      <c r="B4797" s="8"/>
      <c r="C4797" s="8">
        <v>23206</v>
      </c>
      <c r="D4797">
        <v>130</v>
      </c>
      <c r="E4797" t="s">
        <v>594</v>
      </c>
      <c r="F4797" t="s">
        <v>1294</v>
      </c>
      <c r="G4797" s="9">
        <v>44834</v>
      </c>
    </row>
    <row r="4798" spans="1:7" ht="14.25" customHeight="1">
      <c r="A4798" s="8">
        <f t="shared" si="18"/>
        <v>15030</v>
      </c>
      <c r="B4798" s="8"/>
      <c r="C4798" s="8">
        <v>15030</v>
      </c>
      <c r="D4798">
        <v>138</v>
      </c>
      <c r="E4798" t="s">
        <v>594</v>
      </c>
      <c r="F4798" t="s">
        <v>1289</v>
      </c>
      <c r="G4798" s="9">
        <v>44865</v>
      </c>
    </row>
    <row r="4799" spans="1:7" ht="14.25" customHeight="1">
      <c r="A4799" s="8">
        <f t="shared" si="18"/>
        <v>22008</v>
      </c>
      <c r="B4799" s="8"/>
      <c r="C4799" s="8">
        <v>22008</v>
      </c>
      <c r="D4799">
        <v>176</v>
      </c>
      <c r="E4799" t="s">
        <v>594</v>
      </c>
      <c r="F4799" t="s">
        <v>1290</v>
      </c>
      <c r="G4799" s="9">
        <v>44895</v>
      </c>
    </row>
    <row r="4800" spans="1:7" ht="14.25" customHeight="1">
      <c r="A4800" s="8">
        <f t="shared" si="18"/>
        <v>31566</v>
      </c>
      <c r="B4800" s="8"/>
      <c r="C4800" s="8">
        <v>31566</v>
      </c>
      <c r="D4800">
        <v>194</v>
      </c>
      <c r="E4800" t="s">
        <v>594</v>
      </c>
      <c r="F4800" t="s">
        <v>1291</v>
      </c>
      <c r="G4800" s="9">
        <v>44925</v>
      </c>
    </row>
    <row r="4801" spans="1:7" ht="14.25" customHeight="1">
      <c r="A4801" s="8">
        <f t="shared" si="18"/>
        <v>205194</v>
      </c>
      <c r="B4801" s="8"/>
      <c r="C4801" s="8">
        <v>205194</v>
      </c>
    </row>
    <row r="4802" spans="1:7" ht="14.25" customHeight="1">
      <c r="A4802" s="8">
        <f t="shared" si="18"/>
        <v>0</v>
      </c>
      <c r="B4802" s="8"/>
      <c r="C4802" s="8"/>
      <c r="F4802" t="s">
        <v>1292</v>
      </c>
      <c r="G4802">
        <v>64140000</v>
      </c>
    </row>
    <row r="4803" spans="1:7" ht="14.25" customHeight="1">
      <c r="A4803" s="8">
        <f t="shared" si="18"/>
        <v>4909</v>
      </c>
      <c r="B4803" s="8"/>
      <c r="C4803" s="8">
        <v>4909</v>
      </c>
      <c r="D4803">
        <v>4</v>
      </c>
      <c r="E4803" t="s">
        <v>594</v>
      </c>
      <c r="F4803" t="s">
        <v>1283</v>
      </c>
      <c r="G4803" s="9">
        <v>44592</v>
      </c>
    </row>
    <row r="4804" spans="1:7" ht="14.25" customHeight="1">
      <c r="A4804" s="8">
        <f t="shared" si="18"/>
        <v>5075</v>
      </c>
      <c r="B4804" s="8"/>
      <c r="C4804" s="8">
        <v>5075</v>
      </c>
      <c r="D4804">
        <v>9</v>
      </c>
      <c r="E4804" t="s">
        <v>594</v>
      </c>
      <c r="F4804" t="s">
        <v>1284</v>
      </c>
      <c r="G4804" s="9">
        <v>44620</v>
      </c>
    </row>
    <row r="4805" spans="1:7" ht="14.25" customHeight="1">
      <c r="A4805" s="8">
        <f t="shared" si="18"/>
        <v>5075</v>
      </c>
      <c r="B4805" s="8"/>
      <c r="C4805" s="8">
        <v>5075</v>
      </c>
      <c r="D4805">
        <v>14</v>
      </c>
      <c r="E4805" t="s">
        <v>594</v>
      </c>
      <c r="F4805" t="s">
        <v>1285</v>
      </c>
      <c r="G4805" s="9">
        <v>44651</v>
      </c>
    </row>
    <row r="4806" spans="1:7" ht="14.25" customHeight="1">
      <c r="A4806" s="8">
        <f t="shared" si="18"/>
        <v>2593</v>
      </c>
      <c r="B4806" s="8"/>
      <c r="C4806" s="8">
        <v>2593</v>
      </c>
      <c r="D4806">
        <v>19</v>
      </c>
      <c r="E4806" t="s">
        <v>594</v>
      </c>
      <c r="F4806" t="s">
        <v>1286</v>
      </c>
      <c r="G4806" s="9">
        <v>44681</v>
      </c>
    </row>
    <row r="4807" spans="1:7" ht="14.25" customHeight="1">
      <c r="A4807" s="8">
        <f t="shared" si="18"/>
        <v>5075</v>
      </c>
      <c r="B4807" s="8"/>
      <c r="C4807" s="8">
        <v>5075</v>
      </c>
      <c r="D4807">
        <v>24</v>
      </c>
      <c r="E4807" t="s">
        <v>594</v>
      </c>
      <c r="F4807" t="s">
        <v>1287</v>
      </c>
      <c r="G4807" s="9">
        <v>44712</v>
      </c>
    </row>
    <row r="4808" spans="1:7" ht="14.25" customHeight="1">
      <c r="A4808" s="8">
        <f t="shared" si="18"/>
        <v>5073</v>
      </c>
      <c r="B4808" s="8"/>
      <c r="C4808" s="8">
        <v>5073</v>
      </c>
      <c r="D4808">
        <v>32</v>
      </c>
      <c r="E4808" t="s">
        <v>594</v>
      </c>
      <c r="F4808" t="s">
        <v>1288</v>
      </c>
      <c r="G4808" s="9">
        <v>44742</v>
      </c>
    </row>
    <row r="4809" spans="1:7" ht="14.25" customHeight="1">
      <c r="A4809" s="8">
        <f t="shared" si="18"/>
        <v>4919</v>
      </c>
      <c r="B4809" s="8"/>
      <c r="C4809" s="8">
        <v>4919</v>
      </c>
      <c r="D4809">
        <v>65</v>
      </c>
      <c r="E4809" t="s">
        <v>594</v>
      </c>
      <c r="F4809" t="s">
        <v>1325</v>
      </c>
      <c r="G4809" s="9">
        <v>44772</v>
      </c>
    </row>
    <row r="4810" spans="1:7" ht="14.25" customHeight="1">
      <c r="A4810" s="8">
        <f t="shared" si="18"/>
        <v>5075</v>
      </c>
      <c r="B4810" s="8"/>
      <c r="C4810" s="8">
        <v>5075</v>
      </c>
      <c r="D4810">
        <v>75</v>
      </c>
      <c r="E4810" t="s">
        <v>594</v>
      </c>
      <c r="F4810" t="s">
        <v>1326</v>
      </c>
      <c r="G4810" s="9">
        <v>44804</v>
      </c>
    </row>
    <row r="4811" spans="1:7" ht="14.25" customHeight="1">
      <c r="A4811" s="8">
        <f t="shared" si="18"/>
        <v>7736</v>
      </c>
      <c r="B4811" s="8"/>
      <c r="C4811" s="8">
        <v>7736</v>
      </c>
      <c r="D4811">
        <v>130</v>
      </c>
      <c r="E4811" t="s">
        <v>594</v>
      </c>
      <c r="F4811" t="s">
        <v>1294</v>
      </c>
      <c r="G4811" s="9">
        <v>44834</v>
      </c>
    </row>
    <row r="4812" spans="1:7" ht="14.25" customHeight="1">
      <c r="A4812" s="8">
        <f t="shared" si="18"/>
        <v>5011</v>
      </c>
      <c r="B4812" s="8"/>
      <c r="C4812" s="8">
        <v>5011</v>
      </c>
      <c r="D4812">
        <v>138</v>
      </c>
      <c r="E4812" t="s">
        <v>594</v>
      </c>
      <c r="F4812" t="s">
        <v>1289</v>
      </c>
      <c r="G4812" s="9">
        <v>44865</v>
      </c>
    </row>
    <row r="4813" spans="1:7" ht="14.25" customHeight="1">
      <c r="A4813" s="8">
        <f t="shared" si="18"/>
        <v>7335</v>
      </c>
      <c r="B4813" s="8"/>
      <c r="C4813" s="8">
        <v>7335</v>
      </c>
      <c r="D4813">
        <v>176</v>
      </c>
      <c r="E4813" t="s">
        <v>594</v>
      </c>
      <c r="F4813" t="s">
        <v>1290</v>
      </c>
      <c r="G4813" s="9">
        <v>44895</v>
      </c>
    </row>
    <row r="4814" spans="1:7" ht="14.25" customHeight="1">
      <c r="A4814" s="8">
        <f t="shared" si="18"/>
        <v>10523</v>
      </c>
      <c r="B4814" s="8"/>
      <c r="C4814" s="8">
        <v>10523</v>
      </c>
      <c r="D4814">
        <v>194</v>
      </c>
      <c r="E4814" t="s">
        <v>594</v>
      </c>
      <c r="F4814" t="s">
        <v>1291</v>
      </c>
      <c r="G4814" s="9">
        <v>44925</v>
      </c>
    </row>
    <row r="4815" spans="1:7" ht="14.25" customHeight="1">
      <c r="A4815" s="8">
        <f t="shared" si="18"/>
        <v>68397</v>
      </c>
      <c r="B4815" s="8"/>
      <c r="C4815" s="8">
        <v>68397</v>
      </c>
    </row>
    <row r="4816" spans="1:7" ht="14.25" customHeight="1">
      <c r="A4816" s="8">
        <f t="shared" si="18"/>
        <v>0</v>
      </c>
      <c r="B4816" s="8"/>
      <c r="C4816" s="8"/>
      <c r="F4816" t="s">
        <v>1293</v>
      </c>
      <c r="G4816">
        <v>64150000</v>
      </c>
    </row>
    <row r="4817" spans="1:7" ht="14.25" customHeight="1">
      <c r="A4817" s="8">
        <f t="shared" si="18"/>
        <v>7365</v>
      </c>
      <c r="B4817" s="8"/>
      <c r="C4817" s="8">
        <v>7365</v>
      </c>
      <c r="D4817">
        <v>4</v>
      </c>
      <c r="E4817" t="s">
        <v>594</v>
      </c>
      <c r="F4817" t="s">
        <v>1283</v>
      </c>
      <c r="G4817" s="9">
        <v>44592</v>
      </c>
    </row>
    <row r="4818" spans="1:7" ht="14.25" customHeight="1">
      <c r="A4818" s="8">
        <f t="shared" si="18"/>
        <v>7613</v>
      </c>
      <c r="B4818" s="8"/>
      <c r="C4818" s="8">
        <v>7613</v>
      </c>
      <c r="D4818">
        <v>9</v>
      </c>
      <c r="E4818" t="s">
        <v>594</v>
      </c>
      <c r="F4818" t="s">
        <v>1284</v>
      </c>
      <c r="G4818" s="9">
        <v>44620</v>
      </c>
    </row>
    <row r="4819" spans="1:7" ht="14.25" customHeight="1">
      <c r="A4819" s="8">
        <f t="shared" si="18"/>
        <v>7613</v>
      </c>
      <c r="B4819" s="8"/>
      <c r="C4819" s="8">
        <v>7613</v>
      </c>
      <c r="D4819">
        <v>14</v>
      </c>
      <c r="E4819" t="s">
        <v>594</v>
      </c>
      <c r="F4819" t="s">
        <v>1285</v>
      </c>
      <c r="G4819" s="9">
        <v>44651</v>
      </c>
    </row>
    <row r="4820" spans="1:7" ht="14.25" customHeight="1">
      <c r="A4820" s="8">
        <f t="shared" si="18"/>
        <v>3887</v>
      </c>
      <c r="B4820" s="8"/>
      <c r="C4820" s="8">
        <v>3887</v>
      </c>
      <c r="D4820">
        <v>19</v>
      </c>
      <c r="E4820" t="s">
        <v>594</v>
      </c>
      <c r="F4820" t="s">
        <v>1286</v>
      </c>
      <c r="G4820" s="9">
        <v>44681</v>
      </c>
    </row>
    <row r="4821" spans="1:7" ht="14.25" customHeight="1">
      <c r="A4821" s="8">
        <f t="shared" si="18"/>
        <v>7612</v>
      </c>
      <c r="B4821" s="8"/>
      <c r="C4821" s="8">
        <v>7612</v>
      </c>
      <c r="D4821">
        <v>24</v>
      </c>
      <c r="E4821" t="s">
        <v>594</v>
      </c>
      <c r="F4821" t="s">
        <v>1287</v>
      </c>
      <c r="G4821" s="9">
        <v>44712</v>
      </c>
    </row>
    <row r="4822" spans="1:7" ht="14.25" customHeight="1">
      <c r="A4822" s="8">
        <f t="shared" si="18"/>
        <v>7612</v>
      </c>
      <c r="B4822" s="8"/>
      <c r="C4822" s="8">
        <v>7612</v>
      </c>
      <c r="D4822">
        <v>32</v>
      </c>
      <c r="E4822" t="s">
        <v>594</v>
      </c>
      <c r="F4822" t="s">
        <v>1288</v>
      </c>
      <c r="G4822" s="9">
        <v>44742</v>
      </c>
    </row>
    <row r="4823" spans="1:7" ht="14.25" customHeight="1">
      <c r="A4823" s="8">
        <f t="shared" si="18"/>
        <v>7377</v>
      </c>
      <c r="B4823" s="8"/>
      <c r="C4823" s="8">
        <v>7377</v>
      </c>
      <c r="D4823">
        <v>65</v>
      </c>
      <c r="E4823" t="s">
        <v>594</v>
      </c>
      <c r="F4823" t="s">
        <v>1325</v>
      </c>
      <c r="G4823" s="9">
        <v>44772</v>
      </c>
    </row>
    <row r="4824" spans="1:7" ht="14.25" customHeight="1">
      <c r="A4824" s="8">
        <f t="shared" si="18"/>
        <v>7612</v>
      </c>
      <c r="B4824" s="8"/>
      <c r="C4824" s="8">
        <v>7612</v>
      </c>
      <c r="D4824">
        <v>75</v>
      </c>
      <c r="E4824" t="s">
        <v>594</v>
      </c>
      <c r="F4824" t="s">
        <v>1326</v>
      </c>
      <c r="G4824" s="9">
        <v>44804</v>
      </c>
    </row>
    <row r="4825" spans="1:7" ht="14.25" customHeight="1">
      <c r="A4825" s="8">
        <f t="shared" si="18"/>
        <v>11601</v>
      </c>
      <c r="B4825" s="8"/>
      <c r="C4825" s="8">
        <v>11601</v>
      </c>
      <c r="D4825">
        <v>130</v>
      </c>
      <c r="E4825" t="s">
        <v>594</v>
      </c>
      <c r="F4825" t="s">
        <v>1294</v>
      </c>
      <c r="G4825" s="9">
        <v>44834</v>
      </c>
    </row>
    <row r="4826" spans="1:7" ht="14.25" customHeight="1">
      <c r="A4826" s="8">
        <f t="shared" si="18"/>
        <v>7515</v>
      </c>
      <c r="B4826" s="8"/>
      <c r="C4826" s="8">
        <v>7515</v>
      </c>
      <c r="D4826">
        <v>138</v>
      </c>
      <c r="E4826" t="s">
        <v>594</v>
      </c>
      <c r="F4826" t="s">
        <v>1289</v>
      </c>
      <c r="G4826" s="9">
        <v>44865</v>
      </c>
    </row>
    <row r="4827" spans="1:7" ht="14.25" customHeight="1">
      <c r="A4827" s="8">
        <f t="shared" si="18"/>
        <v>11004</v>
      </c>
      <c r="B4827" s="8"/>
      <c r="C4827" s="8">
        <v>11004</v>
      </c>
      <c r="D4827">
        <v>176</v>
      </c>
      <c r="E4827" t="s">
        <v>594</v>
      </c>
      <c r="F4827" t="s">
        <v>1290</v>
      </c>
      <c r="G4827" s="9">
        <v>44895</v>
      </c>
    </row>
    <row r="4828" spans="1:7" ht="14.25" customHeight="1">
      <c r="A4828" s="8">
        <f t="shared" si="18"/>
        <v>86811</v>
      </c>
      <c r="B4828" s="8"/>
      <c r="C4828" s="8">
        <v>86811</v>
      </c>
    </row>
    <row r="4829" spans="1:7" ht="14.25" customHeight="1">
      <c r="A4829" s="8">
        <f t="shared" si="18"/>
        <v>0</v>
      </c>
      <c r="B4829" s="8"/>
      <c r="C4829" s="8"/>
      <c r="F4829" t="s">
        <v>1295</v>
      </c>
      <c r="G4829">
        <v>66110000</v>
      </c>
    </row>
    <row r="4830" spans="1:7" ht="14.25" customHeight="1">
      <c r="A4830" s="8">
        <f t="shared" si="18"/>
        <v>1227352</v>
      </c>
      <c r="B4830" s="8"/>
      <c r="C4830" s="8">
        <v>1227352</v>
      </c>
      <c r="D4830">
        <v>1</v>
      </c>
      <c r="E4830" t="s">
        <v>594</v>
      </c>
      <c r="F4830" t="s">
        <v>1296</v>
      </c>
      <c r="G4830" s="9">
        <v>44592</v>
      </c>
    </row>
    <row r="4831" spans="1:7" ht="14.25" customHeight="1">
      <c r="A4831" s="8">
        <f t="shared" si="18"/>
        <v>1268738</v>
      </c>
      <c r="B4831" s="8"/>
      <c r="C4831" s="8">
        <v>1268738</v>
      </c>
      <c r="D4831">
        <v>6</v>
      </c>
      <c r="E4831" t="s">
        <v>594</v>
      </c>
      <c r="F4831" t="s">
        <v>1297</v>
      </c>
      <c r="G4831" s="9">
        <v>44620</v>
      </c>
    </row>
    <row r="4832" spans="1:7" ht="14.25" customHeight="1">
      <c r="A4832" s="8">
        <f t="shared" si="18"/>
        <v>1268738</v>
      </c>
      <c r="B4832" s="8"/>
      <c r="C4832" s="8">
        <v>1268738</v>
      </c>
      <c r="D4832">
        <v>11</v>
      </c>
      <c r="E4832" t="s">
        <v>594</v>
      </c>
      <c r="F4832" t="s">
        <v>1298</v>
      </c>
      <c r="G4832" s="9">
        <v>44651</v>
      </c>
    </row>
    <row r="4833" spans="1:7" ht="14.25" customHeight="1">
      <c r="A4833" s="8">
        <f t="shared" si="18"/>
        <v>1144584</v>
      </c>
      <c r="B4833" s="8"/>
      <c r="C4833" s="8">
        <v>1144584</v>
      </c>
      <c r="D4833">
        <v>16</v>
      </c>
      <c r="E4833" t="s">
        <v>594</v>
      </c>
      <c r="F4833" t="s">
        <v>1299</v>
      </c>
      <c r="G4833" s="9">
        <v>44681</v>
      </c>
    </row>
    <row r="4834" spans="1:7" ht="14.25" customHeight="1">
      <c r="A4834" s="8">
        <f t="shared" si="18"/>
        <v>1268739</v>
      </c>
      <c r="B4834" s="8"/>
      <c r="C4834" s="8">
        <v>1268739</v>
      </c>
      <c r="D4834">
        <v>21</v>
      </c>
      <c r="E4834" t="s">
        <v>594</v>
      </c>
      <c r="F4834" t="s">
        <v>1300</v>
      </c>
      <c r="G4834" s="9">
        <v>44712</v>
      </c>
    </row>
    <row r="4835" spans="1:7" ht="14.25" customHeight="1">
      <c r="A4835" s="8">
        <f t="shared" si="18"/>
        <v>1268739</v>
      </c>
      <c r="B4835" s="8"/>
      <c r="C4835" s="8">
        <v>1268739</v>
      </c>
      <c r="D4835">
        <v>29</v>
      </c>
      <c r="E4835" t="s">
        <v>594</v>
      </c>
      <c r="F4835" t="s">
        <v>1301</v>
      </c>
      <c r="G4835" s="9">
        <v>44742</v>
      </c>
    </row>
    <row r="4836" spans="1:7" ht="14.25" customHeight="1">
      <c r="A4836" s="8">
        <f t="shared" si="18"/>
        <v>1229690</v>
      </c>
      <c r="B4836" s="8"/>
      <c r="C4836" s="8">
        <v>1229690</v>
      </c>
      <c r="D4836">
        <v>62</v>
      </c>
      <c r="E4836" t="s">
        <v>594</v>
      </c>
      <c r="F4836" t="s">
        <v>1327</v>
      </c>
      <c r="G4836" s="9">
        <v>44772</v>
      </c>
    </row>
    <row r="4837" spans="1:7" ht="14.25" customHeight="1">
      <c r="A4837" s="8">
        <f t="shared" si="18"/>
        <v>1268740</v>
      </c>
      <c r="B4837" s="8"/>
      <c r="C4837" s="8">
        <v>1268740</v>
      </c>
      <c r="D4837">
        <v>72</v>
      </c>
      <c r="E4837" t="s">
        <v>594</v>
      </c>
      <c r="F4837" t="s">
        <v>1328</v>
      </c>
      <c r="G4837" s="9">
        <v>44804</v>
      </c>
    </row>
    <row r="4838" spans="1:7" ht="14.25" customHeight="1">
      <c r="A4838" s="8">
        <f t="shared" si="18"/>
        <v>1933771</v>
      </c>
      <c r="B4838" s="8"/>
      <c r="C4838" s="8">
        <v>1933771</v>
      </c>
      <c r="D4838">
        <v>127</v>
      </c>
      <c r="E4838" t="s">
        <v>594</v>
      </c>
      <c r="F4838" t="s">
        <v>1329</v>
      </c>
      <c r="G4838" s="9">
        <v>44834</v>
      </c>
    </row>
    <row r="4839" spans="1:7" ht="14.25" customHeight="1">
      <c r="A4839" s="8">
        <f t="shared" si="18"/>
        <v>1252541</v>
      </c>
      <c r="B4839" s="8"/>
      <c r="C4839" s="8">
        <v>1252541</v>
      </c>
      <c r="D4839">
        <v>135</v>
      </c>
      <c r="E4839" t="s">
        <v>594</v>
      </c>
      <c r="F4839" t="s">
        <v>1302</v>
      </c>
      <c r="G4839" s="9">
        <v>44865</v>
      </c>
    </row>
    <row r="4840" spans="1:7" ht="14.25" customHeight="1">
      <c r="A4840" s="8">
        <f t="shared" si="18"/>
        <v>1834074</v>
      </c>
      <c r="B4840" s="8"/>
      <c r="C4840" s="8">
        <v>1834074</v>
      </c>
      <c r="D4840">
        <v>173</v>
      </c>
      <c r="E4840" t="s">
        <v>594</v>
      </c>
      <c r="F4840" t="s">
        <v>1303</v>
      </c>
      <c r="G4840" s="9">
        <v>44895</v>
      </c>
    </row>
    <row r="4841" spans="1:7" ht="14.25" customHeight="1">
      <c r="A4841" s="8">
        <f t="shared" si="18"/>
        <v>3046215</v>
      </c>
      <c r="B4841" s="8"/>
      <c r="C4841" s="8">
        <v>3046215</v>
      </c>
      <c r="D4841">
        <v>191</v>
      </c>
      <c r="E4841" t="s">
        <v>594</v>
      </c>
      <c r="F4841" t="s">
        <v>1304</v>
      </c>
      <c r="G4841" s="9">
        <v>44925</v>
      </c>
    </row>
    <row r="4842" spans="1:7" ht="14.25" customHeight="1">
      <c r="A4842" s="8">
        <f t="shared" si="18"/>
        <v>18011920</v>
      </c>
      <c r="B4842" s="8"/>
      <c r="C4842" s="8">
        <v>18011920</v>
      </c>
    </row>
    <row r="4843" spans="1:7" ht="14.25" customHeight="1">
      <c r="A4843" s="8">
        <f t="shared" si="18"/>
        <v>0</v>
      </c>
      <c r="B4843" s="8"/>
      <c r="C4843" s="8"/>
      <c r="F4843" t="s">
        <v>1330</v>
      </c>
      <c r="G4843">
        <v>66320000</v>
      </c>
    </row>
    <row r="4844" spans="1:7" ht="14.25" customHeight="1">
      <c r="A4844" s="8">
        <f t="shared" si="18"/>
        <v>24633</v>
      </c>
      <c r="B4844" s="8"/>
      <c r="C4844" s="8">
        <v>24633</v>
      </c>
      <c r="D4844">
        <v>2</v>
      </c>
      <c r="E4844" t="s">
        <v>594</v>
      </c>
      <c r="F4844" t="s">
        <v>1331</v>
      </c>
      <c r="G4844" s="9">
        <v>44592</v>
      </c>
    </row>
    <row r="4845" spans="1:7" ht="14.25" customHeight="1">
      <c r="A4845" s="8">
        <f t="shared" si="18"/>
        <v>26392</v>
      </c>
      <c r="B4845" s="8"/>
      <c r="C4845" s="8">
        <v>26392</v>
      </c>
      <c r="D4845">
        <v>7</v>
      </c>
      <c r="E4845" t="s">
        <v>594</v>
      </c>
      <c r="F4845" t="s">
        <v>1332</v>
      </c>
      <c r="G4845" s="9">
        <v>44620</v>
      </c>
    </row>
    <row r="4846" spans="1:7" ht="14.25" customHeight="1">
      <c r="A4846" s="8">
        <f t="shared" si="18"/>
        <v>26392</v>
      </c>
      <c r="B4846" s="8"/>
      <c r="C4846" s="8">
        <v>26392</v>
      </c>
      <c r="D4846">
        <v>12</v>
      </c>
      <c r="E4846" t="s">
        <v>594</v>
      </c>
      <c r="F4846" t="s">
        <v>1333</v>
      </c>
      <c r="G4846" s="9">
        <v>44651</v>
      </c>
    </row>
    <row r="4847" spans="1:7" ht="14.25" customHeight="1">
      <c r="A4847" s="8">
        <f t="shared" ref="A4847:A5101" si="19">C4847-B4847</f>
        <v>21114</v>
      </c>
      <c r="B4847" s="8"/>
      <c r="C4847" s="8">
        <v>21114</v>
      </c>
      <c r="D4847">
        <v>17</v>
      </c>
      <c r="E4847" t="s">
        <v>594</v>
      </c>
      <c r="F4847" t="s">
        <v>1334</v>
      </c>
      <c r="G4847" s="9">
        <v>44681</v>
      </c>
    </row>
    <row r="4848" spans="1:7" ht="14.25" customHeight="1">
      <c r="A4848" s="8">
        <f t="shared" si="19"/>
        <v>26392</v>
      </c>
      <c r="B4848" s="8"/>
      <c r="C4848" s="8">
        <v>26392</v>
      </c>
      <c r="D4848">
        <v>22</v>
      </c>
      <c r="E4848" t="s">
        <v>594</v>
      </c>
      <c r="F4848" t="s">
        <v>1335</v>
      </c>
      <c r="G4848" s="9">
        <v>44712</v>
      </c>
    </row>
    <row r="4849" spans="1:7" ht="14.25" customHeight="1">
      <c r="A4849" s="8">
        <f t="shared" si="19"/>
        <v>26392</v>
      </c>
      <c r="B4849" s="8"/>
      <c r="C4849" s="8">
        <v>26392</v>
      </c>
      <c r="D4849">
        <v>30</v>
      </c>
      <c r="E4849" t="s">
        <v>594</v>
      </c>
      <c r="F4849" t="s">
        <v>1336</v>
      </c>
      <c r="G4849" s="9">
        <v>44742</v>
      </c>
    </row>
    <row r="4850" spans="1:7" ht="14.25" customHeight="1">
      <c r="A4850" s="8">
        <f t="shared" si="19"/>
        <v>26392</v>
      </c>
      <c r="B4850" s="8"/>
      <c r="C4850" s="8">
        <v>26392</v>
      </c>
      <c r="D4850">
        <v>63</v>
      </c>
      <c r="E4850" t="s">
        <v>594</v>
      </c>
      <c r="F4850" t="s">
        <v>1337</v>
      </c>
      <c r="G4850" s="9">
        <v>44772</v>
      </c>
    </row>
    <row r="4851" spans="1:7" ht="14.25" customHeight="1">
      <c r="A4851" s="8">
        <f t="shared" si="19"/>
        <v>26392</v>
      </c>
      <c r="B4851" s="8"/>
      <c r="C4851" s="8">
        <v>26392</v>
      </c>
      <c r="D4851">
        <v>73</v>
      </c>
      <c r="E4851" t="s">
        <v>594</v>
      </c>
      <c r="F4851" t="s">
        <v>1338</v>
      </c>
      <c r="G4851" s="9">
        <v>44804</v>
      </c>
    </row>
    <row r="4852" spans="1:7" ht="14.25" customHeight="1">
      <c r="A4852" s="8">
        <f t="shared" si="19"/>
        <v>53664</v>
      </c>
      <c r="B4852" s="8"/>
      <c r="C4852" s="8">
        <v>53664</v>
      </c>
      <c r="D4852">
        <v>128</v>
      </c>
      <c r="E4852" t="s">
        <v>594</v>
      </c>
      <c r="F4852" t="s">
        <v>1339</v>
      </c>
      <c r="G4852" s="9">
        <v>44834</v>
      </c>
    </row>
    <row r="4853" spans="1:7" ht="14.25" customHeight="1">
      <c r="A4853" s="8">
        <f t="shared" si="19"/>
        <v>24792</v>
      </c>
      <c r="B4853" s="8"/>
      <c r="C4853" s="8">
        <v>24792</v>
      </c>
      <c r="D4853">
        <v>136</v>
      </c>
      <c r="E4853" t="s">
        <v>594</v>
      </c>
      <c r="F4853" t="s">
        <v>1340</v>
      </c>
      <c r="G4853" s="9">
        <v>44865</v>
      </c>
    </row>
    <row r="4854" spans="1:7" ht="14.25" customHeight="1">
      <c r="A4854" s="8">
        <f t="shared" si="19"/>
        <v>49585</v>
      </c>
      <c r="B4854" s="8"/>
      <c r="C4854" s="8">
        <v>49585</v>
      </c>
      <c r="D4854">
        <v>174</v>
      </c>
      <c r="E4854" t="s">
        <v>594</v>
      </c>
      <c r="F4854" t="s">
        <v>1341</v>
      </c>
      <c r="G4854" s="9">
        <v>44895</v>
      </c>
    </row>
    <row r="4855" spans="1:7" ht="14.25" customHeight="1">
      <c r="A4855" s="8">
        <f t="shared" si="19"/>
        <v>51184</v>
      </c>
      <c r="B4855" s="8"/>
      <c r="C4855" s="8">
        <v>51184</v>
      </c>
      <c r="D4855">
        <v>192</v>
      </c>
      <c r="E4855" t="s">
        <v>594</v>
      </c>
      <c r="F4855" t="s">
        <v>1342</v>
      </c>
      <c r="G4855" s="9">
        <v>44925</v>
      </c>
    </row>
    <row r="4856" spans="1:7" ht="14.25" customHeight="1">
      <c r="A4856" s="8">
        <f t="shared" si="19"/>
        <v>383326</v>
      </c>
      <c r="B4856" s="8"/>
      <c r="C4856" s="8">
        <v>383326</v>
      </c>
    </row>
    <row r="4857" spans="1:7" ht="14.25" customHeight="1">
      <c r="A4857" s="8">
        <f t="shared" si="19"/>
        <v>0</v>
      </c>
      <c r="B4857" s="8"/>
      <c r="C4857" s="8"/>
      <c r="F4857" t="s">
        <v>1305</v>
      </c>
      <c r="G4857">
        <v>66340000</v>
      </c>
    </row>
    <row r="4858" spans="1:7" ht="14.25" customHeight="1">
      <c r="A4858" s="8">
        <f t="shared" si="19"/>
        <v>101200</v>
      </c>
      <c r="B4858" s="8"/>
      <c r="C4858" s="8">
        <v>101200</v>
      </c>
      <c r="D4858">
        <v>3</v>
      </c>
      <c r="E4858" t="s">
        <v>594</v>
      </c>
      <c r="F4858" t="s">
        <v>1306</v>
      </c>
      <c r="G4858" s="9">
        <v>44592</v>
      </c>
    </row>
    <row r="4859" spans="1:7" ht="14.25" customHeight="1">
      <c r="A4859" s="8">
        <f t="shared" si="19"/>
        <v>103500</v>
      </c>
      <c r="B4859" s="8"/>
      <c r="C4859" s="8">
        <v>103500</v>
      </c>
      <c r="D4859">
        <v>8</v>
      </c>
      <c r="E4859" t="s">
        <v>594</v>
      </c>
      <c r="F4859" t="s">
        <v>1307</v>
      </c>
      <c r="G4859" s="9">
        <v>44620</v>
      </c>
    </row>
    <row r="4860" spans="1:7" ht="14.25" customHeight="1">
      <c r="A4860" s="8">
        <f t="shared" si="19"/>
        <v>96600</v>
      </c>
      <c r="B4860" s="8"/>
      <c r="C4860" s="8">
        <v>96600</v>
      </c>
      <c r="D4860">
        <v>18</v>
      </c>
      <c r="E4860" t="s">
        <v>594</v>
      </c>
      <c r="F4860" t="s">
        <v>1309</v>
      </c>
      <c r="G4860" s="9">
        <v>44681</v>
      </c>
    </row>
    <row r="4861" spans="1:7" ht="14.25" customHeight="1">
      <c r="A4861" s="8">
        <f t="shared" si="19"/>
        <v>103500</v>
      </c>
      <c r="B4861" s="8"/>
      <c r="C4861" s="8">
        <v>103500</v>
      </c>
      <c r="D4861">
        <v>23</v>
      </c>
      <c r="E4861" t="s">
        <v>594</v>
      </c>
      <c r="F4861" t="s">
        <v>1310</v>
      </c>
      <c r="G4861" s="9">
        <v>44712</v>
      </c>
    </row>
    <row r="4862" spans="1:7" ht="14.25" customHeight="1">
      <c r="A4862" s="8">
        <f t="shared" si="19"/>
        <v>103500</v>
      </c>
      <c r="B4862" s="8"/>
      <c r="C4862" s="8">
        <v>103500</v>
      </c>
      <c r="D4862">
        <v>31</v>
      </c>
      <c r="E4862" t="s">
        <v>594</v>
      </c>
      <c r="F4862" t="s">
        <v>1311</v>
      </c>
      <c r="G4862" s="9">
        <v>44742</v>
      </c>
    </row>
    <row r="4863" spans="1:7" ht="14.25" customHeight="1">
      <c r="A4863" s="8">
        <f t="shared" si="19"/>
        <v>100050</v>
      </c>
      <c r="B4863" s="8"/>
      <c r="C4863" s="8">
        <v>100050</v>
      </c>
      <c r="D4863">
        <v>64</v>
      </c>
      <c r="E4863" t="s">
        <v>594</v>
      </c>
      <c r="F4863" t="s">
        <v>1343</v>
      </c>
      <c r="G4863" s="9">
        <v>44772</v>
      </c>
    </row>
    <row r="4864" spans="1:7" ht="14.25" customHeight="1">
      <c r="A4864" s="8">
        <f t="shared" si="19"/>
        <v>103500</v>
      </c>
      <c r="B4864" s="8"/>
      <c r="C4864" s="8">
        <v>103500</v>
      </c>
      <c r="D4864">
        <v>74</v>
      </c>
      <c r="E4864" t="s">
        <v>594</v>
      </c>
      <c r="F4864" t="s">
        <v>1344</v>
      </c>
      <c r="G4864" s="9">
        <v>44804</v>
      </c>
    </row>
    <row r="4865" spans="1:7" ht="14.25" customHeight="1">
      <c r="A4865" s="8">
        <f t="shared" si="19"/>
        <v>141450</v>
      </c>
      <c r="B4865" s="8"/>
      <c r="C4865" s="8">
        <v>141450</v>
      </c>
      <c r="D4865">
        <v>129</v>
      </c>
      <c r="E4865" t="s">
        <v>594</v>
      </c>
      <c r="F4865" t="s">
        <v>1345</v>
      </c>
      <c r="G4865" s="9">
        <v>44834</v>
      </c>
    </row>
    <row r="4866" spans="1:7" ht="14.25" customHeight="1">
      <c r="A4866" s="8">
        <f t="shared" si="19"/>
        <v>103500</v>
      </c>
      <c r="B4866" s="8"/>
      <c r="C4866" s="8">
        <v>103500</v>
      </c>
      <c r="D4866">
        <v>137</v>
      </c>
      <c r="E4866" t="s">
        <v>594</v>
      </c>
      <c r="F4866" t="s">
        <v>1312</v>
      </c>
      <c r="G4866" s="9">
        <v>44865</v>
      </c>
    </row>
    <row r="4867" spans="1:7" ht="14.25" customHeight="1">
      <c r="A4867" s="8">
        <f t="shared" si="19"/>
        <v>135700</v>
      </c>
      <c r="B4867" s="8"/>
      <c r="C4867" s="8">
        <v>135700</v>
      </c>
      <c r="D4867">
        <v>175</v>
      </c>
      <c r="E4867" t="s">
        <v>594</v>
      </c>
      <c r="F4867" t="s">
        <v>1313</v>
      </c>
      <c r="G4867" s="9">
        <v>44895</v>
      </c>
    </row>
    <row r="4868" spans="1:7" ht="14.25" customHeight="1">
      <c r="A4868" s="8">
        <f t="shared" si="19"/>
        <v>136850</v>
      </c>
      <c r="B4868" s="8"/>
      <c r="C4868" s="8">
        <v>136850</v>
      </c>
      <c r="D4868">
        <v>193</v>
      </c>
      <c r="E4868" t="s">
        <v>594</v>
      </c>
      <c r="F4868" t="s">
        <v>1314</v>
      </c>
      <c r="G4868" s="9">
        <v>44925</v>
      </c>
    </row>
    <row r="4869" spans="1:7" ht="14.25" customHeight="1">
      <c r="A4869" s="8">
        <f t="shared" si="19"/>
        <v>1229350</v>
      </c>
      <c r="B4869" s="8"/>
      <c r="C4869" s="8">
        <v>1229350</v>
      </c>
    </row>
    <row r="4870" spans="1:7" ht="14.25" customHeight="1">
      <c r="A4870" s="8">
        <f t="shared" si="19"/>
        <v>0</v>
      </c>
      <c r="B4870" s="8"/>
      <c r="C4870" s="8"/>
      <c r="F4870" t="s">
        <v>1315</v>
      </c>
      <c r="G4870">
        <v>66410000</v>
      </c>
    </row>
    <row r="4871" spans="1:7" ht="14.25" customHeight="1">
      <c r="A4871" s="8">
        <f t="shared" si="19"/>
        <v>102938</v>
      </c>
      <c r="B4871" s="8"/>
      <c r="C4871" s="8">
        <v>102938</v>
      </c>
      <c r="D4871">
        <v>5</v>
      </c>
      <c r="E4871" t="s">
        <v>594</v>
      </c>
      <c r="F4871" t="s">
        <v>1316</v>
      </c>
      <c r="G4871" s="9">
        <v>44592</v>
      </c>
    </row>
    <row r="4872" spans="1:7" ht="14.25" customHeight="1">
      <c r="A4872" s="8">
        <f t="shared" si="19"/>
        <v>106408</v>
      </c>
      <c r="B4872" s="8"/>
      <c r="C4872" s="8">
        <v>106408</v>
      </c>
      <c r="D4872">
        <v>10</v>
      </c>
      <c r="E4872" t="s">
        <v>594</v>
      </c>
      <c r="F4872" t="s">
        <v>1317</v>
      </c>
      <c r="G4872" s="9">
        <v>44620</v>
      </c>
    </row>
    <row r="4873" spans="1:7" ht="14.25" customHeight="1">
      <c r="A4873" s="8">
        <f t="shared" si="19"/>
        <v>106408</v>
      </c>
      <c r="B4873" s="8"/>
      <c r="C4873" s="8">
        <v>106408</v>
      </c>
      <c r="D4873">
        <v>15</v>
      </c>
      <c r="E4873" t="s">
        <v>594</v>
      </c>
      <c r="F4873" t="s">
        <v>1318</v>
      </c>
      <c r="G4873" s="9">
        <v>44651</v>
      </c>
    </row>
    <row r="4874" spans="1:7" ht="14.25" customHeight="1">
      <c r="A4874" s="8">
        <f t="shared" si="19"/>
        <v>54348</v>
      </c>
      <c r="B4874" s="8"/>
      <c r="C4874" s="8">
        <v>54348</v>
      </c>
      <c r="D4874">
        <v>20</v>
      </c>
      <c r="E4874" t="s">
        <v>594</v>
      </c>
      <c r="F4874" t="s">
        <v>1319</v>
      </c>
      <c r="G4874" s="9">
        <v>44681</v>
      </c>
    </row>
    <row r="4875" spans="1:7" ht="14.25" customHeight="1">
      <c r="A4875" s="8">
        <f t="shared" si="19"/>
        <v>106407</v>
      </c>
      <c r="B4875" s="8"/>
      <c r="C4875" s="8">
        <v>106407</v>
      </c>
      <c r="D4875">
        <v>25</v>
      </c>
      <c r="E4875" t="s">
        <v>594</v>
      </c>
      <c r="F4875" t="s">
        <v>1320</v>
      </c>
      <c r="G4875" s="9">
        <v>44712</v>
      </c>
    </row>
    <row r="4876" spans="1:7" ht="14.25" customHeight="1">
      <c r="A4876" s="8">
        <f t="shared" si="19"/>
        <v>106409</v>
      </c>
      <c r="B4876" s="8"/>
      <c r="C4876" s="8">
        <v>106409</v>
      </c>
      <c r="D4876">
        <v>33</v>
      </c>
      <c r="E4876" t="s">
        <v>594</v>
      </c>
      <c r="F4876" t="s">
        <v>1321</v>
      </c>
      <c r="G4876" s="9">
        <v>44742</v>
      </c>
    </row>
    <row r="4877" spans="1:7" ht="14.25" customHeight="1">
      <c r="A4877" s="8">
        <f t="shared" si="19"/>
        <v>103179</v>
      </c>
      <c r="B4877" s="8"/>
      <c r="C4877" s="8">
        <v>103179</v>
      </c>
      <c r="D4877">
        <v>66</v>
      </c>
      <c r="E4877" t="s">
        <v>594</v>
      </c>
      <c r="F4877" t="s">
        <v>1346</v>
      </c>
      <c r="G4877" s="9">
        <v>44772</v>
      </c>
    </row>
    <row r="4878" spans="1:7" ht="14.25" customHeight="1">
      <c r="A4878" s="8">
        <f t="shared" si="19"/>
        <v>106411</v>
      </c>
      <c r="B4878" s="8"/>
      <c r="C4878" s="8">
        <v>106411</v>
      </c>
      <c r="D4878">
        <v>76</v>
      </c>
      <c r="E4878" t="s">
        <v>594</v>
      </c>
      <c r="F4878" t="s">
        <v>1347</v>
      </c>
      <c r="G4878" s="9">
        <v>44804</v>
      </c>
    </row>
    <row r="4879" spans="1:7" ht="14.25" customHeight="1">
      <c r="A4879" s="8">
        <f t="shared" si="19"/>
        <v>165957</v>
      </c>
      <c r="B4879" s="8"/>
      <c r="C4879" s="8">
        <v>165957</v>
      </c>
      <c r="D4879">
        <v>131</v>
      </c>
      <c r="E4879" t="s">
        <v>594</v>
      </c>
      <c r="F4879" t="s">
        <v>1348</v>
      </c>
      <c r="G4879" s="9">
        <v>44834</v>
      </c>
    </row>
    <row r="4880" spans="1:7" ht="14.25" customHeight="1">
      <c r="A4880" s="8">
        <f t="shared" si="19"/>
        <v>109050</v>
      </c>
      <c r="B4880" s="8"/>
      <c r="C4880" s="8">
        <v>109050</v>
      </c>
      <c r="D4880">
        <v>139</v>
      </c>
      <c r="E4880" t="s">
        <v>594</v>
      </c>
      <c r="F4880" t="s">
        <v>1322</v>
      </c>
      <c r="G4880" s="9">
        <v>44865</v>
      </c>
    </row>
    <row r="4881" spans="1:7" ht="14.25" customHeight="1">
      <c r="A4881" s="8">
        <f t="shared" si="19"/>
        <v>157965</v>
      </c>
      <c r="B4881" s="8"/>
      <c r="C4881" s="8">
        <v>157965</v>
      </c>
      <c r="D4881">
        <v>177</v>
      </c>
      <c r="E4881" t="s">
        <v>594</v>
      </c>
      <c r="F4881" t="s">
        <v>1323</v>
      </c>
      <c r="G4881" s="9">
        <v>44895</v>
      </c>
    </row>
    <row r="4882" spans="1:7" ht="14.25" customHeight="1">
      <c r="A4882" s="8">
        <f t="shared" si="19"/>
        <v>219336</v>
      </c>
      <c r="B4882" s="8"/>
      <c r="C4882" s="8">
        <v>219336</v>
      </c>
      <c r="D4882">
        <v>195</v>
      </c>
      <c r="E4882" t="s">
        <v>594</v>
      </c>
      <c r="F4882" t="s">
        <v>1324</v>
      </c>
      <c r="G4882" s="9">
        <v>44925</v>
      </c>
    </row>
    <row r="4883" spans="1:7" ht="14.25" customHeight="1">
      <c r="A4883" s="8">
        <f t="shared" si="19"/>
        <v>1444816</v>
      </c>
      <c r="B4883" s="8"/>
      <c r="C4883" s="8">
        <v>1444816</v>
      </c>
    </row>
    <row r="4884" spans="1:7" ht="14.25" customHeight="1">
      <c r="A4884" s="8">
        <f t="shared" si="19"/>
        <v>21429815</v>
      </c>
      <c r="B4884" s="8"/>
      <c r="C4884" s="8">
        <v>21429815</v>
      </c>
      <c r="E4884">
        <v>9702010</v>
      </c>
      <c r="F4884" t="s">
        <v>544</v>
      </c>
      <c r="G4884" t="s">
        <v>581</v>
      </c>
    </row>
    <row r="4885" spans="1:7" ht="14.25" customHeight="1">
      <c r="A4885" s="8">
        <f t="shared" si="19"/>
        <v>0</v>
      </c>
      <c r="B4885" s="8"/>
      <c r="C4885" s="8"/>
      <c r="D4885" t="s">
        <v>545</v>
      </c>
      <c r="G4885">
        <v>9702011</v>
      </c>
    </row>
    <row r="4886" spans="1:7" ht="14.25" customHeight="1">
      <c r="A4886" s="8">
        <f t="shared" si="19"/>
        <v>0</v>
      </c>
      <c r="B4886" s="8"/>
      <c r="C4886" s="8"/>
      <c r="F4886" t="s">
        <v>1349</v>
      </c>
      <c r="G4886">
        <v>63300000</v>
      </c>
    </row>
    <row r="4887" spans="1:7" ht="14.25" customHeight="1">
      <c r="A4887" s="8">
        <f t="shared" si="19"/>
        <v>57500</v>
      </c>
      <c r="B4887" s="8"/>
      <c r="C4887" s="8">
        <v>57500</v>
      </c>
      <c r="D4887">
        <v>33</v>
      </c>
      <c r="E4887" t="s">
        <v>667</v>
      </c>
      <c r="F4887" t="s">
        <v>1952</v>
      </c>
      <c r="G4887" s="9">
        <v>44617</v>
      </c>
    </row>
    <row r="4888" spans="1:7" ht="14.25" customHeight="1">
      <c r="A4888" s="8">
        <f t="shared" si="19"/>
        <v>3622500</v>
      </c>
      <c r="B4888" s="8"/>
      <c r="C4888" s="8">
        <v>3622500</v>
      </c>
      <c r="D4888">
        <v>147</v>
      </c>
      <c r="E4888" t="s">
        <v>579</v>
      </c>
      <c r="F4888" t="s">
        <v>1953</v>
      </c>
      <c r="G4888" s="9">
        <v>44711</v>
      </c>
    </row>
    <row r="4889" spans="1:7" ht="14.25" customHeight="1">
      <c r="A4889" s="8">
        <f t="shared" si="19"/>
        <v>2300000</v>
      </c>
      <c r="B4889" s="8"/>
      <c r="C4889" s="8">
        <v>2300000</v>
      </c>
      <c r="D4889">
        <v>382</v>
      </c>
      <c r="E4889" t="s">
        <v>579</v>
      </c>
      <c r="F4889" t="s">
        <v>1954</v>
      </c>
      <c r="G4889" s="9">
        <v>44893</v>
      </c>
    </row>
    <row r="4890" spans="1:7" ht="14.25" customHeight="1">
      <c r="A4890" s="8">
        <f t="shared" si="19"/>
        <v>5980000</v>
      </c>
      <c r="B4890" s="8"/>
      <c r="C4890" s="8">
        <v>5980000</v>
      </c>
    </row>
    <row r="4891" spans="1:7" ht="14.25" customHeight="1">
      <c r="A4891" s="8">
        <f t="shared" si="19"/>
        <v>5980000</v>
      </c>
      <c r="B4891" s="8"/>
      <c r="C4891" s="8">
        <v>5980000</v>
      </c>
      <c r="E4891">
        <v>9702011</v>
      </c>
      <c r="F4891" t="s">
        <v>545</v>
      </c>
      <c r="G4891" t="s">
        <v>581</v>
      </c>
    </row>
    <row r="4892" spans="1:7" ht="14.25" customHeight="1">
      <c r="A4892" s="8">
        <f t="shared" si="19"/>
        <v>0</v>
      </c>
      <c r="B4892" s="8"/>
      <c r="C4892" s="8"/>
      <c r="D4892" t="s">
        <v>546</v>
      </c>
      <c r="G4892">
        <v>9704002</v>
      </c>
    </row>
    <row r="4893" spans="1:7" ht="14.25" customHeight="1">
      <c r="A4893" s="8">
        <f t="shared" si="19"/>
        <v>0</v>
      </c>
      <c r="B4893" s="8"/>
      <c r="C4893" s="8"/>
      <c r="F4893" t="s">
        <v>778</v>
      </c>
      <c r="G4893">
        <v>60532000</v>
      </c>
    </row>
    <row r="4894" spans="1:7" ht="14.25" customHeight="1">
      <c r="A4894" s="8">
        <f t="shared" si="19"/>
        <v>11500</v>
      </c>
      <c r="B4894" s="8"/>
      <c r="C4894" s="8">
        <v>11500</v>
      </c>
      <c r="D4894">
        <v>252</v>
      </c>
      <c r="E4894" t="s">
        <v>667</v>
      </c>
      <c r="F4894" t="s">
        <v>1955</v>
      </c>
      <c r="G4894" s="9">
        <v>44873</v>
      </c>
    </row>
    <row r="4895" spans="1:7" ht="14.25" customHeight="1">
      <c r="A4895" s="8">
        <f t="shared" si="19"/>
        <v>11500</v>
      </c>
      <c r="B4895" s="8"/>
      <c r="C4895" s="8">
        <v>11500</v>
      </c>
    </row>
    <row r="4896" spans="1:7" ht="14.25" customHeight="1">
      <c r="A4896" s="8">
        <f t="shared" si="19"/>
        <v>0</v>
      </c>
      <c r="B4896" s="8"/>
      <c r="C4896" s="8"/>
      <c r="F4896" t="s">
        <v>590</v>
      </c>
      <c r="G4896">
        <v>61811000</v>
      </c>
    </row>
    <row r="4897" spans="1:7" ht="14.25" customHeight="1">
      <c r="A4897" s="8">
        <f t="shared" si="19"/>
        <v>572318</v>
      </c>
      <c r="B4897" s="8"/>
      <c r="C4897" s="8">
        <v>572318</v>
      </c>
      <c r="D4897">
        <v>285</v>
      </c>
      <c r="E4897" t="s">
        <v>579</v>
      </c>
      <c r="F4897" t="s">
        <v>1956</v>
      </c>
      <c r="G4897" s="9">
        <v>44813</v>
      </c>
    </row>
    <row r="4898" spans="1:7" ht="14.25" customHeight="1">
      <c r="A4898" s="8">
        <f t="shared" si="19"/>
        <v>572318</v>
      </c>
      <c r="B4898" s="8"/>
      <c r="C4898" s="8">
        <v>572318</v>
      </c>
    </row>
    <row r="4899" spans="1:7" ht="14.25" customHeight="1">
      <c r="A4899" s="8">
        <f t="shared" si="19"/>
        <v>583818</v>
      </c>
      <c r="B4899" s="8"/>
      <c r="C4899" s="8">
        <v>583818</v>
      </c>
      <c r="E4899">
        <v>9704002</v>
      </c>
      <c r="F4899" t="s">
        <v>546</v>
      </c>
      <c r="G4899" t="s">
        <v>581</v>
      </c>
    </row>
    <row r="4900" spans="1:7" ht="14.25" customHeight="1">
      <c r="A4900" s="8">
        <f t="shared" si="19"/>
        <v>0</v>
      </c>
      <c r="B4900" s="8"/>
      <c r="C4900" s="8"/>
      <c r="D4900" t="s">
        <v>547</v>
      </c>
      <c r="G4900">
        <v>9704004</v>
      </c>
    </row>
    <row r="4901" spans="1:7" ht="14.25" customHeight="1">
      <c r="A4901" s="8">
        <f t="shared" si="19"/>
        <v>0</v>
      </c>
      <c r="B4901" s="8"/>
      <c r="C4901" s="8"/>
      <c r="F4901" t="s">
        <v>1714</v>
      </c>
      <c r="G4901">
        <v>61600000</v>
      </c>
    </row>
    <row r="4902" spans="1:7" ht="14.25" customHeight="1">
      <c r="A4902" s="8">
        <f t="shared" si="19"/>
        <v>48371</v>
      </c>
      <c r="B4902" s="8"/>
      <c r="C4902" s="8">
        <v>48371</v>
      </c>
      <c r="D4902">
        <v>179</v>
      </c>
      <c r="E4902" t="s">
        <v>667</v>
      </c>
      <c r="F4902" t="s">
        <v>1957</v>
      </c>
      <c r="G4902" s="9">
        <v>44791</v>
      </c>
    </row>
    <row r="4903" spans="1:7" ht="14.25" customHeight="1">
      <c r="A4903" s="8">
        <f t="shared" si="19"/>
        <v>48371</v>
      </c>
      <c r="B4903" s="8"/>
      <c r="C4903" s="8">
        <v>48371</v>
      </c>
    </row>
    <row r="4904" spans="1:7" ht="14.25" customHeight="1">
      <c r="A4904" s="8">
        <f t="shared" si="19"/>
        <v>48371</v>
      </c>
      <c r="B4904" s="8"/>
      <c r="C4904" s="8">
        <v>48371</v>
      </c>
      <c r="E4904">
        <v>9704004</v>
      </c>
      <c r="F4904" t="s">
        <v>547</v>
      </c>
      <c r="G4904" t="s">
        <v>581</v>
      </c>
    </row>
    <row r="4905" spans="1:7" ht="14.25" customHeight="1">
      <c r="A4905" s="8">
        <f t="shared" si="19"/>
        <v>0</v>
      </c>
      <c r="B4905" s="8"/>
      <c r="C4905" s="8"/>
      <c r="D4905" t="s">
        <v>548</v>
      </c>
      <c r="G4905">
        <v>9704005</v>
      </c>
    </row>
    <row r="4906" spans="1:7" ht="14.25" customHeight="1">
      <c r="A4906" s="8">
        <f t="shared" si="19"/>
        <v>0</v>
      </c>
      <c r="B4906" s="8"/>
      <c r="C4906" s="8"/>
      <c r="F4906" t="s">
        <v>582</v>
      </c>
      <c r="G4906">
        <v>63240000</v>
      </c>
    </row>
    <row r="4907" spans="1:7" ht="14.25" customHeight="1">
      <c r="A4907" s="8">
        <f t="shared" si="19"/>
        <v>345000</v>
      </c>
      <c r="B4907" s="8"/>
      <c r="C4907" s="8">
        <v>345000</v>
      </c>
      <c r="D4907">
        <v>204</v>
      </c>
      <c r="E4907" t="s">
        <v>579</v>
      </c>
      <c r="F4907" t="s">
        <v>1679</v>
      </c>
      <c r="G4907" s="9">
        <v>44742</v>
      </c>
    </row>
    <row r="4908" spans="1:7" ht="14.25" customHeight="1">
      <c r="A4908" s="8">
        <f t="shared" si="19"/>
        <v>276000</v>
      </c>
      <c r="B4908" s="8"/>
      <c r="C4908" s="8">
        <v>276000</v>
      </c>
      <c r="D4908">
        <v>271</v>
      </c>
      <c r="E4908" t="s">
        <v>579</v>
      </c>
      <c r="F4908" t="s">
        <v>1958</v>
      </c>
      <c r="G4908" s="9">
        <v>44804</v>
      </c>
    </row>
    <row r="4909" spans="1:7" ht="14.25" customHeight="1">
      <c r="A4909" s="8">
        <f t="shared" si="19"/>
        <v>124324</v>
      </c>
      <c r="B4909" s="8"/>
      <c r="C4909" s="8">
        <v>124324</v>
      </c>
      <c r="D4909">
        <v>295</v>
      </c>
      <c r="E4909" t="s">
        <v>579</v>
      </c>
      <c r="F4909" t="s">
        <v>1959</v>
      </c>
      <c r="G4909" s="9">
        <v>44824</v>
      </c>
    </row>
    <row r="4910" spans="1:7" ht="14.25" customHeight="1">
      <c r="A4910" s="8">
        <f t="shared" si="19"/>
        <v>172500</v>
      </c>
      <c r="B4910" s="8"/>
      <c r="C4910" s="8">
        <v>172500</v>
      </c>
      <c r="D4910">
        <v>422</v>
      </c>
      <c r="E4910" t="s">
        <v>579</v>
      </c>
      <c r="F4910" t="s">
        <v>1960</v>
      </c>
      <c r="G4910" s="9">
        <v>44918</v>
      </c>
    </row>
    <row r="4911" spans="1:7" ht="14.25" customHeight="1">
      <c r="A4911" s="8">
        <f t="shared" si="19"/>
        <v>917824</v>
      </c>
      <c r="B4911" s="8"/>
      <c r="C4911" s="8">
        <v>917824</v>
      </c>
    </row>
    <row r="4912" spans="1:7" ht="14.25" customHeight="1">
      <c r="A4912" s="8">
        <f t="shared" si="19"/>
        <v>917824</v>
      </c>
      <c r="B4912" s="8"/>
      <c r="C4912" s="8">
        <v>917824</v>
      </c>
      <c r="E4912">
        <v>9704005</v>
      </c>
      <c r="F4912" t="s">
        <v>548</v>
      </c>
      <c r="G4912" t="s">
        <v>581</v>
      </c>
    </row>
    <row r="4913" spans="1:7" ht="14.25" customHeight="1">
      <c r="A4913" s="8">
        <f t="shared" si="19"/>
        <v>0</v>
      </c>
      <c r="B4913" s="8"/>
      <c r="C4913" s="8"/>
      <c r="D4913" t="s">
        <v>549</v>
      </c>
      <c r="G4913">
        <v>9704006</v>
      </c>
    </row>
    <row r="4914" spans="1:7" ht="14.25" customHeight="1">
      <c r="A4914" s="8">
        <f t="shared" si="19"/>
        <v>0</v>
      </c>
      <c r="B4914" s="8"/>
      <c r="C4914" s="8"/>
      <c r="F4914" t="s">
        <v>1399</v>
      </c>
      <c r="G4914">
        <v>62480000</v>
      </c>
    </row>
    <row r="4915" spans="1:7" ht="14.25" customHeight="1">
      <c r="A4915" s="8">
        <f t="shared" si="19"/>
        <v>11500</v>
      </c>
      <c r="B4915" s="8"/>
      <c r="C4915" s="8">
        <v>11500</v>
      </c>
      <c r="D4915">
        <v>6</v>
      </c>
      <c r="E4915" t="s">
        <v>667</v>
      </c>
      <c r="F4915" t="s">
        <v>1961</v>
      </c>
      <c r="G4915" s="9">
        <v>44578</v>
      </c>
    </row>
    <row r="4916" spans="1:7" ht="14.25" customHeight="1">
      <c r="A4916" s="8">
        <f t="shared" si="19"/>
        <v>6900</v>
      </c>
      <c r="B4916" s="8"/>
      <c r="C4916" s="8">
        <v>6900</v>
      </c>
      <c r="D4916">
        <v>116</v>
      </c>
      <c r="E4916" t="s">
        <v>667</v>
      </c>
      <c r="F4916" t="s">
        <v>1962</v>
      </c>
      <c r="G4916" s="9">
        <v>44729</v>
      </c>
    </row>
    <row r="4917" spans="1:7" ht="14.25" customHeight="1">
      <c r="A4917" s="8">
        <f t="shared" si="19"/>
        <v>11500</v>
      </c>
      <c r="B4917" s="8"/>
      <c r="C4917" s="8">
        <v>11500</v>
      </c>
      <c r="D4917">
        <v>242</v>
      </c>
      <c r="E4917" t="s">
        <v>579</v>
      </c>
      <c r="F4917" t="s">
        <v>1810</v>
      </c>
      <c r="G4917" s="9">
        <v>44771</v>
      </c>
    </row>
    <row r="4918" spans="1:7" ht="14.25" customHeight="1">
      <c r="A4918" s="8">
        <f t="shared" si="19"/>
        <v>29900</v>
      </c>
      <c r="B4918" s="8"/>
      <c r="C4918" s="8">
        <v>29900</v>
      </c>
    </row>
    <row r="4919" spans="1:7" ht="14.25" customHeight="1">
      <c r="A4919" s="8">
        <f t="shared" si="19"/>
        <v>29900</v>
      </c>
      <c r="B4919" s="8"/>
      <c r="C4919" s="8">
        <v>29900</v>
      </c>
      <c r="E4919">
        <v>9704006</v>
      </c>
      <c r="F4919" t="s">
        <v>549</v>
      </c>
      <c r="G4919" t="s">
        <v>581</v>
      </c>
    </row>
    <row r="4920" spans="1:7" ht="14.25" customHeight="1">
      <c r="A4920" s="8">
        <f t="shared" si="19"/>
        <v>0</v>
      </c>
      <c r="B4920" s="8"/>
      <c r="C4920" s="8"/>
      <c r="D4920" t="s">
        <v>550</v>
      </c>
      <c r="G4920">
        <v>9704009</v>
      </c>
    </row>
    <row r="4921" spans="1:7" ht="14.25" customHeight="1">
      <c r="A4921" s="8">
        <f t="shared" si="19"/>
        <v>0</v>
      </c>
      <c r="B4921" s="8"/>
      <c r="C4921" s="8"/>
      <c r="F4921" t="s">
        <v>1403</v>
      </c>
      <c r="G4921">
        <v>62810000</v>
      </c>
    </row>
    <row r="4922" spans="1:7" ht="14.25" customHeight="1">
      <c r="A4922" s="8">
        <f t="shared" si="19"/>
        <v>7309</v>
      </c>
      <c r="B4922" s="8"/>
      <c r="C4922" s="8">
        <v>7309</v>
      </c>
      <c r="D4922">
        <v>5</v>
      </c>
      <c r="E4922" t="s">
        <v>579</v>
      </c>
      <c r="F4922" t="s">
        <v>1404</v>
      </c>
      <c r="G4922" s="9">
        <v>44574</v>
      </c>
    </row>
    <row r="4923" spans="1:7" ht="14.25" customHeight="1">
      <c r="A4923" s="8">
        <f t="shared" si="19"/>
        <v>4873</v>
      </c>
      <c r="B4923" s="8"/>
      <c r="C4923" s="8">
        <v>4873</v>
      </c>
      <c r="D4923">
        <v>5</v>
      </c>
      <c r="E4923" t="s">
        <v>579</v>
      </c>
      <c r="F4923" t="s">
        <v>1404</v>
      </c>
      <c r="G4923" s="9">
        <v>44574</v>
      </c>
    </row>
    <row r="4924" spans="1:7" ht="14.25" customHeight="1">
      <c r="A4924" s="8">
        <f t="shared" si="19"/>
        <v>9746</v>
      </c>
      <c r="B4924" s="8"/>
      <c r="C4924" s="8">
        <v>9746</v>
      </c>
      <c r="D4924">
        <v>5</v>
      </c>
      <c r="E4924" t="s">
        <v>579</v>
      </c>
      <c r="F4924" t="s">
        <v>1404</v>
      </c>
      <c r="G4924" s="9">
        <v>44574</v>
      </c>
    </row>
    <row r="4925" spans="1:7" ht="14.25" customHeight="1">
      <c r="A4925" s="8">
        <f t="shared" si="19"/>
        <v>9746</v>
      </c>
      <c r="B4925" s="8"/>
      <c r="C4925" s="8">
        <v>9746</v>
      </c>
      <c r="D4925">
        <v>21</v>
      </c>
      <c r="E4925" t="s">
        <v>579</v>
      </c>
      <c r="F4925" t="s">
        <v>1405</v>
      </c>
      <c r="G4925" s="9">
        <v>44614</v>
      </c>
    </row>
    <row r="4926" spans="1:7" ht="14.25" customHeight="1">
      <c r="A4926" s="8">
        <f t="shared" si="19"/>
        <v>7309</v>
      </c>
      <c r="B4926" s="8"/>
      <c r="C4926" s="8">
        <v>7309</v>
      </c>
      <c r="D4926">
        <v>21</v>
      </c>
      <c r="E4926" t="s">
        <v>579</v>
      </c>
      <c r="F4926" t="s">
        <v>1405</v>
      </c>
      <c r="G4926" s="9">
        <v>44614</v>
      </c>
    </row>
    <row r="4927" spans="1:7" ht="14.25" customHeight="1">
      <c r="A4927" s="8">
        <f t="shared" si="19"/>
        <v>4876</v>
      </c>
      <c r="B4927" s="8"/>
      <c r="C4927" s="8">
        <v>4876</v>
      </c>
      <c r="D4927">
        <v>21</v>
      </c>
      <c r="E4927" t="s">
        <v>579</v>
      </c>
      <c r="F4927" t="s">
        <v>1405</v>
      </c>
      <c r="G4927" s="9">
        <v>44614</v>
      </c>
    </row>
    <row r="4928" spans="1:7" ht="14.25" customHeight="1">
      <c r="A4928" s="8">
        <f t="shared" si="19"/>
        <v>9746</v>
      </c>
      <c r="B4928" s="8"/>
      <c r="C4928" s="8">
        <v>9746</v>
      </c>
      <c r="D4928">
        <v>38</v>
      </c>
      <c r="E4928" t="s">
        <v>579</v>
      </c>
      <c r="F4928" t="s">
        <v>1406</v>
      </c>
      <c r="G4928" s="9">
        <v>44621</v>
      </c>
    </row>
    <row r="4929" spans="1:7" ht="14.25" customHeight="1">
      <c r="A4929" s="8">
        <f t="shared" si="19"/>
        <v>7309</v>
      </c>
      <c r="B4929" s="8"/>
      <c r="C4929" s="8">
        <v>7309</v>
      </c>
      <c r="D4929">
        <v>38</v>
      </c>
      <c r="E4929" t="s">
        <v>579</v>
      </c>
      <c r="F4929" t="s">
        <v>1406</v>
      </c>
      <c r="G4929" s="9">
        <v>44621</v>
      </c>
    </row>
    <row r="4930" spans="1:7" ht="14.25" customHeight="1">
      <c r="A4930" s="8">
        <f t="shared" si="19"/>
        <v>4873</v>
      </c>
      <c r="B4930" s="8"/>
      <c r="C4930" s="8">
        <v>4873</v>
      </c>
      <c r="D4930">
        <v>38</v>
      </c>
      <c r="E4930" t="s">
        <v>579</v>
      </c>
      <c r="F4930" t="s">
        <v>1406</v>
      </c>
      <c r="G4930" s="9">
        <v>44621</v>
      </c>
    </row>
    <row r="4931" spans="1:7" ht="14.25" customHeight="1">
      <c r="A4931" s="8">
        <f t="shared" si="19"/>
        <v>9746</v>
      </c>
      <c r="B4931" s="8"/>
      <c r="C4931" s="8">
        <v>9746</v>
      </c>
      <c r="D4931">
        <v>99</v>
      </c>
      <c r="E4931" t="s">
        <v>579</v>
      </c>
      <c r="F4931" t="s">
        <v>1407</v>
      </c>
      <c r="G4931" s="9">
        <v>44666</v>
      </c>
    </row>
    <row r="4932" spans="1:7" ht="14.25" customHeight="1">
      <c r="A4932" s="8">
        <f t="shared" si="19"/>
        <v>7309</v>
      </c>
      <c r="B4932" s="8"/>
      <c r="C4932" s="8">
        <v>7309</v>
      </c>
      <c r="D4932">
        <v>99</v>
      </c>
      <c r="E4932" t="s">
        <v>579</v>
      </c>
      <c r="F4932" t="s">
        <v>1407</v>
      </c>
      <c r="G4932" s="9">
        <v>44666</v>
      </c>
    </row>
    <row r="4933" spans="1:7" ht="14.25" customHeight="1">
      <c r="A4933" s="8">
        <f t="shared" si="19"/>
        <v>4873</v>
      </c>
      <c r="B4933" s="8"/>
      <c r="C4933" s="8">
        <v>4873</v>
      </c>
      <c r="D4933">
        <v>99</v>
      </c>
      <c r="E4933" t="s">
        <v>579</v>
      </c>
      <c r="F4933" t="s">
        <v>1407</v>
      </c>
      <c r="G4933" s="9">
        <v>44666</v>
      </c>
    </row>
    <row r="4934" spans="1:7" ht="14.25" customHeight="1">
      <c r="A4934" s="8">
        <f t="shared" si="19"/>
        <v>9746</v>
      </c>
      <c r="B4934" s="8"/>
      <c r="C4934" s="8">
        <v>9746</v>
      </c>
      <c r="D4934">
        <v>133</v>
      </c>
      <c r="E4934" t="s">
        <v>579</v>
      </c>
      <c r="F4934" t="s">
        <v>1409</v>
      </c>
      <c r="G4934" s="9">
        <v>44694</v>
      </c>
    </row>
    <row r="4935" spans="1:7" ht="14.25" customHeight="1">
      <c r="A4935" s="8">
        <f t="shared" si="19"/>
        <v>7309</v>
      </c>
      <c r="B4935" s="8"/>
      <c r="C4935" s="8">
        <v>7309</v>
      </c>
      <c r="D4935">
        <v>133</v>
      </c>
      <c r="E4935" t="s">
        <v>579</v>
      </c>
      <c r="F4935" t="s">
        <v>1409</v>
      </c>
      <c r="G4935" s="9">
        <v>44694</v>
      </c>
    </row>
    <row r="4936" spans="1:7" ht="14.25" customHeight="1">
      <c r="A4936" s="8">
        <f t="shared" si="19"/>
        <v>4873</v>
      </c>
      <c r="B4936" s="8"/>
      <c r="C4936" s="8">
        <v>4873</v>
      </c>
      <c r="D4936">
        <v>133</v>
      </c>
      <c r="E4936" t="s">
        <v>579</v>
      </c>
      <c r="F4936" t="s">
        <v>1409</v>
      </c>
      <c r="G4936" s="9">
        <v>44694</v>
      </c>
    </row>
    <row r="4937" spans="1:7" ht="14.25" customHeight="1">
      <c r="A4937" s="8">
        <f t="shared" si="19"/>
        <v>9746</v>
      </c>
      <c r="B4937" s="8"/>
      <c r="C4937" s="8">
        <v>9746</v>
      </c>
      <c r="D4937">
        <v>168</v>
      </c>
      <c r="E4937" t="s">
        <v>579</v>
      </c>
      <c r="F4937" t="s">
        <v>1410</v>
      </c>
      <c r="G4937" s="9">
        <v>44722</v>
      </c>
    </row>
    <row r="4938" spans="1:7" ht="14.25" customHeight="1">
      <c r="A4938" s="8">
        <f t="shared" si="19"/>
        <v>7309</v>
      </c>
      <c r="B4938" s="8"/>
      <c r="C4938" s="8">
        <v>7309</v>
      </c>
      <c r="D4938">
        <v>168</v>
      </c>
      <c r="E4938" t="s">
        <v>579</v>
      </c>
      <c r="F4938" t="s">
        <v>1410</v>
      </c>
      <c r="G4938" s="9">
        <v>44722</v>
      </c>
    </row>
    <row r="4939" spans="1:7" ht="14.25" customHeight="1">
      <c r="A4939" s="8">
        <f t="shared" si="19"/>
        <v>4873</v>
      </c>
      <c r="B4939" s="8"/>
      <c r="C4939" s="8">
        <v>4873</v>
      </c>
      <c r="D4939">
        <v>168</v>
      </c>
      <c r="E4939" t="s">
        <v>579</v>
      </c>
      <c r="F4939" t="s">
        <v>1410</v>
      </c>
      <c r="G4939" s="9">
        <v>44722</v>
      </c>
    </row>
    <row r="4940" spans="1:7" ht="14.25" customHeight="1">
      <c r="A4940" s="8">
        <f t="shared" si="19"/>
        <v>9746</v>
      </c>
      <c r="B4940" s="8"/>
      <c r="C4940" s="8">
        <v>9746</v>
      </c>
      <c r="D4940">
        <v>239</v>
      </c>
      <c r="E4940" t="s">
        <v>579</v>
      </c>
      <c r="F4940" t="s">
        <v>1411</v>
      </c>
      <c r="G4940" s="9">
        <v>44755</v>
      </c>
    </row>
    <row r="4941" spans="1:7" ht="14.25" customHeight="1">
      <c r="A4941" s="8">
        <f t="shared" si="19"/>
        <v>7309</v>
      </c>
      <c r="B4941" s="8"/>
      <c r="C4941" s="8">
        <v>7309</v>
      </c>
      <c r="D4941">
        <v>239</v>
      </c>
      <c r="E4941" t="s">
        <v>579</v>
      </c>
      <c r="F4941" t="s">
        <v>1411</v>
      </c>
      <c r="G4941" s="9">
        <v>44755</v>
      </c>
    </row>
    <row r="4942" spans="1:7" ht="14.25" customHeight="1">
      <c r="A4942" s="8">
        <f t="shared" si="19"/>
        <v>4873</v>
      </c>
      <c r="B4942" s="8"/>
      <c r="C4942" s="8">
        <v>4873</v>
      </c>
      <c r="D4942">
        <v>239</v>
      </c>
      <c r="E4942" t="s">
        <v>579</v>
      </c>
      <c r="F4942" t="s">
        <v>1411</v>
      </c>
      <c r="G4942" s="9">
        <v>44755</v>
      </c>
    </row>
    <row r="4943" spans="1:7" ht="14.25" customHeight="1">
      <c r="A4943" s="8">
        <f t="shared" si="19"/>
        <v>9746</v>
      </c>
      <c r="B4943" s="8"/>
      <c r="C4943" s="8">
        <v>9746</v>
      </c>
      <c r="D4943">
        <v>319</v>
      </c>
      <c r="E4943" t="s">
        <v>579</v>
      </c>
      <c r="F4943" t="s">
        <v>1413</v>
      </c>
      <c r="G4943" s="9">
        <v>44845</v>
      </c>
    </row>
    <row r="4944" spans="1:7" ht="14.25" customHeight="1">
      <c r="A4944" s="8">
        <f t="shared" si="19"/>
        <v>7309</v>
      </c>
      <c r="B4944" s="8"/>
      <c r="C4944" s="8">
        <v>7309</v>
      </c>
      <c r="D4944">
        <v>319</v>
      </c>
      <c r="E4944" t="s">
        <v>579</v>
      </c>
      <c r="F4944" t="s">
        <v>1413</v>
      </c>
      <c r="G4944" s="9">
        <v>44845</v>
      </c>
    </row>
    <row r="4945" spans="1:7" ht="14.25" customHeight="1">
      <c r="A4945" s="8">
        <f t="shared" si="19"/>
        <v>4873</v>
      </c>
      <c r="B4945" s="8"/>
      <c r="C4945" s="8">
        <v>4873</v>
      </c>
      <c r="D4945">
        <v>319</v>
      </c>
      <c r="E4945" t="s">
        <v>579</v>
      </c>
      <c r="F4945" t="s">
        <v>1413</v>
      </c>
      <c r="G4945" s="9">
        <v>44845</v>
      </c>
    </row>
    <row r="4946" spans="1:7" ht="14.25" customHeight="1">
      <c r="A4946" s="8">
        <f t="shared" si="19"/>
        <v>9746</v>
      </c>
      <c r="B4946" s="8"/>
      <c r="C4946" s="8">
        <v>9746</v>
      </c>
      <c r="D4946">
        <v>339</v>
      </c>
      <c r="E4946" t="s">
        <v>579</v>
      </c>
      <c r="F4946" t="s">
        <v>1414</v>
      </c>
      <c r="G4946" s="9">
        <v>44865</v>
      </c>
    </row>
    <row r="4947" spans="1:7" ht="14.25" customHeight="1">
      <c r="A4947" s="8">
        <f t="shared" si="19"/>
        <v>7309</v>
      </c>
      <c r="B4947" s="8"/>
      <c r="C4947" s="8">
        <v>7309</v>
      </c>
      <c r="D4947">
        <v>339</v>
      </c>
      <c r="E4947" t="s">
        <v>579</v>
      </c>
      <c r="F4947" t="s">
        <v>1414</v>
      </c>
      <c r="G4947" s="9">
        <v>44865</v>
      </c>
    </row>
    <row r="4948" spans="1:7" ht="14.25" customHeight="1">
      <c r="A4948" s="8">
        <f t="shared" si="19"/>
        <v>4873</v>
      </c>
      <c r="B4948" s="8"/>
      <c r="C4948" s="8">
        <v>4873</v>
      </c>
      <c r="D4948">
        <v>339</v>
      </c>
      <c r="E4948" t="s">
        <v>579</v>
      </c>
      <c r="F4948" t="s">
        <v>1414</v>
      </c>
      <c r="G4948" s="9">
        <v>44865</v>
      </c>
    </row>
    <row r="4949" spans="1:7" ht="14.25" customHeight="1">
      <c r="A4949" s="8">
        <f t="shared" si="19"/>
        <v>9746</v>
      </c>
      <c r="B4949" s="8"/>
      <c r="C4949" s="8">
        <v>9746</v>
      </c>
      <c r="D4949">
        <v>340</v>
      </c>
      <c r="E4949" t="s">
        <v>579</v>
      </c>
      <c r="F4949" t="s">
        <v>1415</v>
      </c>
      <c r="G4949" s="9">
        <v>44865</v>
      </c>
    </row>
    <row r="4950" spans="1:7" ht="14.25" customHeight="1">
      <c r="A4950" s="8">
        <f t="shared" si="19"/>
        <v>7309</v>
      </c>
      <c r="B4950" s="8"/>
      <c r="C4950" s="8">
        <v>7309</v>
      </c>
      <c r="D4950">
        <v>340</v>
      </c>
      <c r="E4950" t="s">
        <v>579</v>
      </c>
      <c r="F4950" t="s">
        <v>1415</v>
      </c>
      <c r="G4950" s="9">
        <v>44865</v>
      </c>
    </row>
    <row r="4951" spans="1:7" ht="14.25" customHeight="1">
      <c r="A4951" s="8">
        <f t="shared" si="19"/>
        <v>4873</v>
      </c>
      <c r="B4951" s="8"/>
      <c r="C4951" s="8">
        <v>4873</v>
      </c>
      <c r="D4951">
        <v>340</v>
      </c>
      <c r="E4951" t="s">
        <v>579</v>
      </c>
      <c r="F4951" t="s">
        <v>1415</v>
      </c>
      <c r="G4951" s="9">
        <v>44865</v>
      </c>
    </row>
    <row r="4952" spans="1:7" ht="14.25" customHeight="1">
      <c r="A4952" s="8">
        <f t="shared" si="19"/>
        <v>9746</v>
      </c>
      <c r="B4952" s="8"/>
      <c r="C4952" s="8">
        <v>9746</v>
      </c>
      <c r="D4952">
        <v>367</v>
      </c>
      <c r="E4952" t="s">
        <v>579</v>
      </c>
      <c r="F4952" t="s">
        <v>1416</v>
      </c>
      <c r="G4952" s="9">
        <v>44882</v>
      </c>
    </row>
    <row r="4953" spans="1:7" ht="14.25" customHeight="1">
      <c r="A4953" s="8">
        <f t="shared" si="19"/>
        <v>7309</v>
      </c>
      <c r="B4953" s="8"/>
      <c r="C4953" s="8">
        <v>7309</v>
      </c>
      <c r="D4953">
        <v>367</v>
      </c>
      <c r="E4953" t="s">
        <v>579</v>
      </c>
      <c r="F4953" t="s">
        <v>1416</v>
      </c>
      <c r="G4953" s="9">
        <v>44882</v>
      </c>
    </row>
    <row r="4954" spans="1:7" ht="14.25" customHeight="1">
      <c r="A4954" s="8">
        <f t="shared" si="19"/>
        <v>4873</v>
      </c>
      <c r="B4954" s="8"/>
      <c r="C4954" s="8">
        <v>4873</v>
      </c>
      <c r="D4954">
        <v>367</v>
      </c>
      <c r="E4954" t="s">
        <v>579</v>
      </c>
      <c r="F4954" t="s">
        <v>1416</v>
      </c>
      <c r="G4954" s="9">
        <v>44882</v>
      </c>
    </row>
    <row r="4955" spans="1:7" ht="14.25" customHeight="1">
      <c r="A4955" s="8">
        <f t="shared" si="19"/>
        <v>9746</v>
      </c>
      <c r="B4955" s="8"/>
      <c r="C4955" s="8">
        <v>9746</v>
      </c>
      <c r="D4955">
        <v>411</v>
      </c>
      <c r="E4955" t="s">
        <v>579</v>
      </c>
      <c r="F4955" t="s">
        <v>1417</v>
      </c>
      <c r="G4955" s="9">
        <v>44908</v>
      </c>
    </row>
    <row r="4956" spans="1:7" ht="14.25" customHeight="1">
      <c r="A4956" s="8">
        <f t="shared" si="19"/>
        <v>7309</v>
      </c>
      <c r="B4956" s="8"/>
      <c r="C4956" s="8">
        <v>7309</v>
      </c>
      <c r="D4956">
        <v>411</v>
      </c>
      <c r="E4956" t="s">
        <v>579</v>
      </c>
      <c r="F4956" t="s">
        <v>1417</v>
      </c>
      <c r="G4956" s="9">
        <v>44908</v>
      </c>
    </row>
    <row r="4957" spans="1:7" ht="14.25" customHeight="1">
      <c r="A4957" s="8">
        <f t="shared" si="19"/>
        <v>4873</v>
      </c>
      <c r="B4957" s="8"/>
      <c r="C4957" s="8">
        <v>4873</v>
      </c>
      <c r="D4957">
        <v>411</v>
      </c>
      <c r="E4957" t="s">
        <v>579</v>
      </c>
      <c r="F4957" t="s">
        <v>1417</v>
      </c>
      <c r="G4957" s="9">
        <v>44908</v>
      </c>
    </row>
    <row r="4958" spans="1:7" ht="14.25" customHeight="1">
      <c r="A4958" s="8">
        <f t="shared" si="19"/>
        <v>9746</v>
      </c>
      <c r="B4958" s="8"/>
      <c r="C4958" s="8">
        <v>9746</v>
      </c>
      <c r="D4958">
        <v>423</v>
      </c>
      <c r="E4958" t="s">
        <v>579</v>
      </c>
      <c r="F4958" t="s">
        <v>1418</v>
      </c>
      <c r="G4958" s="9">
        <v>44918</v>
      </c>
    </row>
    <row r="4959" spans="1:7" ht="14.25" customHeight="1">
      <c r="A4959" s="8">
        <f t="shared" si="19"/>
        <v>9746</v>
      </c>
      <c r="B4959" s="8"/>
      <c r="C4959" s="8">
        <v>9746</v>
      </c>
      <c r="D4959">
        <v>423</v>
      </c>
      <c r="E4959" t="s">
        <v>579</v>
      </c>
      <c r="F4959" t="s">
        <v>1418</v>
      </c>
      <c r="G4959" s="9">
        <v>44918</v>
      </c>
    </row>
    <row r="4960" spans="1:7" ht="14.25" customHeight="1">
      <c r="A4960" s="8">
        <f t="shared" si="19"/>
        <v>282634</v>
      </c>
      <c r="B4960" s="8"/>
      <c r="C4960" s="8">
        <v>282634</v>
      </c>
    </row>
    <row r="4961" spans="1:7" ht="14.25" customHeight="1">
      <c r="A4961" s="8">
        <f t="shared" si="19"/>
        <v>0</v>
      </c>
      <c r="B4961" s="8"/>
      <c r="C4961" s="8"/>
      <c r="F4961" t="s">
        <v>1262</v>
      </c>
      <c r="G4961">
        <v>62881000</v>
      </c>
    </row>
    <row r="4962" spans="1:7" ht="14.25" customHeight="1">
      <c r="A4962" s="8">
        <f t="shared" si="19"/>
        <v>9743</v>
      </c>
      <c r="B4962" s="8"/>
      <c r="C4962" s="8">
        <v>9743</v>
      </c>
      <c r="D4962">
        <v>11</v>
      </c>
      <c r="E4962" t="s">
        <v>579</v>
      </c>
      <c r="F4962" t="s">
        <v>1421</v>
      </c>
      <c r="G4962" s="9">
        <v>44592</v>
      </c>
    </row>
    <row r="4963" spans="1:7" ht="14.25" customHeight="1">
      <c r="A4963" s="8">
        <f t="shared" si="19"/>
        <v>10057</v>
      </c>
      <c r="B4963" s="8"/>
      <c r="C4963" s="8">
        <v>10057</v>
      </c>
      <c r="D4963">
        <v>24</v>
      </c>
      <c r="E4963" t="s">
        <v>579</v>
      </c>
      <c r="F4963" t="s">
        <v>1423</v>
      </c>
      <c r="G4963" s="9">
        <v>44617</v>
      </c>
    </row>
    <row r="4964" spans="1:7" ht="14.25" customHeight="1">
      <c r="A4964" s="8">
        <f t="shared" si="19"/>
        <v>9746</v>
      </c>
      <c r="B4964" s="8"/>
      <c r="C4964" s="8">
        <v>9746</v>
      </c>
      <c r="D4964">
        <v>74</v>
      </c>
      <c r="E4964" t="s">
        <v>579</v>
      </c>
      <c r="F4964" t="s">
        <v>1426</v>
      </c>
      <c r="G4964" s="9">
        <v>44651</v>
      </c>
    </row>
    <row r="4965" spans="1:7" ht="14.25" customHeight="1">
      <c r="A4965" s="8">
        <f t="shared" si="19"/>
        <v>10057</v>
      </c>
      <c r="B4965" s="8"/>
      <c r="C4965" s="8">
        <v>10057</v>
      </c>
      <c r="D4965">
        <v>111</v>
      </c>
      <c r="E4965" t="s">
        <v>579</v>
      </c>
      <c r="F4965" t="s">
        <v>1427</v>
      </c>
      <c r="G4965" s="9">
        <v>44684</v>
      </c>
    </row>
    <row r="4966" spans="1:7" ht="14.25" customHeight="1">
      <c r="A4966" s="8">
        <f t="shared" si="19"/>
        <v>9746</v>
      </c>
      <c r="B4966" s="8"/>
      <c r="C4966" s="8">
        <v>9746</v>
      </c>
      <c r="D4966">
        <v>162</v>
      </c>
      <c r="E4966" t="s">
        <v>579</v>
      </c>
      <c r="F4966" t="s">
        <v>1429</v>
      </c>
      <c r="G4966" s="9">
        <v>44715</v>
      </c>
    </row>
    <row r="4967" spans="1:7" ht="14.25" customHeight="1">
      <c r="A4967" s="8">
        <f t="shared" si="19"/>
        <v>9746</v>
      </c>
      <c r="B4967" s="8"/>
      <c r="C4967" s="8">
        <v>9746</v>
      </c>
      <c r="D4967">
        <v>227</v>
      </c>
      <c r="E4967" t="s">
        <v>579</v>
      </c>
      <c r="F4967" t="s">
        <v>1432</v>
      </c>
      <c r="G4967" s="9">
        <v>44743</v>
      </c>
    </row>
    <row r="4968" spans="1:7" ht="14.25" customHeight="1">
      <c r="A4968" s="8">
        <f t="shared" si="19"/>
        <v>9746</v>
      </c>
      <c r="B4968" s="8"/>
      <c r="C4968" s="8">
        <v>9746</v>
      </c>
      <c r="D4968">
        <v>241</v>
      </c>
      <c r="E4968" t="s">
        <v>579</v>
      </c>
      <c r="F4968" t="s">
        <v>1434</v>
      </c>
      <c r="G4968" s="9">
        <v>44769</v>
      </c>
    </row>
    <row r="4969" spans="1:7" ht="14.25" customHeight="1">
      <c r="A4969" s="8">
        <f t="shared" si="19"/>
        <v>10057</v>
      </c>
      <c r="B4969" s="8"/>
      <c r="C4969" s="8">
        <v>10057</v>
      </c>
      <c r="D4969">
        <v>281</v>
      </c>
      <c r="E4969" t="s">
        <v>579</v>
      </c>
      <c r="F4969" t="s">
        <v>1437</v>
      </c>
      <c r="G4969" s="9">
        <v>44809</v>
      </c>
    </row>
    <row r="4970" spans="1:7" ht="14.25" customHeight="1">
      <c r="A4970" s="8">
        <f t="shared" si="19"/>
        <v>9746</v>
      </c>
      <c r="B4970" s="8"/>
      <c r="C4970" s="8">
        <v>9746</v>
      </c>
      <c r="D4970">
        <v>309</v>
      </c>
      <c r="E4970" t="s">
        <v>579</v>
      </c>
      <c r="F4970" t="s">
        <v>1440</v>
      </c>
      <c r="G4970" s="9">
        <v>44834</v>
      </c>
    </row>
    <row r="4971" spans="1:7" ht="14.25" customHeight="1">
      <c r="A4971" s="8">
        <f t="shared" si="19"/>
        <v>9746</v>
      </c>
      <c r="B4971" s="8"/>
      <c r="C4971" s="8">
        <v>9746</v>
      </c>
      <c r="D4971">
        <v>309</v>
      </c>
      <c r="E4971" t="s">
        <v>579</v>
      </c>
      <c r="F4971" t="s">
        <v>1440</v>
      </c>
      <c r="G4971" s="9">
        <v>44834</v>
      </c>
    </row>
    <row r="4972" spans="1:7" ht="14.25" customHeight="1">
      <c r="A4972" s="8">
        <f t="shared" si="19"/>
        <v>9746</v>
      </c>
      <c r="B4972" s="8"/>
      <c r="C4972" s="8">
        <v>9746</v>
      </c>
      <c r="D4972">
        <v>362</v>
      </c>
      <c r="E4972" t="s">
        <v>579</v>
      </c>
      <c r="F4972" t="s">
        <v>1444</v>
      </c>
      <c r="G4972" s="9">
        <v>44874</v>
      </c>
    </row>
    <row r="4973" spans="1:7" ht="14.25" customHeight="1">
      <c r="A4973" s="8">
        <f t="shared" si="19"/>
        <v>9746</v>
      </c>
      <c r="B4973" s="8"/>
      <c r="C4973" s="8">
        <v>9746</v>
      </c>
      <c r="D4973">
        <v>362</v>
      </c>
      <c r="E4973" t="s">
        <v>579</v>
      </c>
      <c r="F4973" t="s">
        <v>1444</v>
      </c>
      <c r="G4973" s="9">
        <v>44874</v>
      </c>
    </row>
    <row r="4974" spans="1:7" ht="14.25" customHeight="1">
      <c r="A4974" s="8">
        <f t="shared" si="19"/>
        <v>117883</v>
      </c>
      <c r="B4974" s="8"/>
      <c r="C4974" s="8">
        <v>117883</v>
      </c>
    </row>
    <row r="4975" spans="1:7" ht="14.25" customHeight="1">
      <c r="A4975" s="8">
        <f t="shared" si="19"/>
        <v>400517</v>
      </c>
      <c r="B4975" s="8"/>
      <c r="C4975" s="8">
        <v>400517</v>
      </c>
      <c r="E4975">
        <v>9704009</v>
      </c>
      <c r="F4975" t="s">
        <v>550</v>
      </c>
      <c r="G4975" t="s">
        <v>581</v>
      </c>
    </row>
    <row r="4976" spans="1:7" ht="14.25" customHeight="1">
      <c r="A4976" s="8">
        <f t="shared" si="19"/>
        <v>0</v>
      </c>
      <c r="B4976" s="8"/>
      <c r="C4976" s="8"/>
      <c r="D4976" t="s">
        <v>551</v>
      </c>
      <c r="G4976">
        <v>9704010</v>
      </c>
    </row>
    <row r="4977" spans="1:7" ht="14.25" customHeight="1">
      <c r="A4977" s="8">
        <f t="shared" si="19"/>
        <v>0</v>
      </c>
      <c r="B4977" s="8"/>
      <c r="C4977" s="8"/>
      <c r="F4977" t="s">
        <v>1330</v>
      </c>
      <c r="G4977">
        <v>66320000</v>
      </c>
    </row>
    <row r="4978" spans="1:7" ht="14.25" customHeight="1">
      <c r="A4978" s="8">
        <f t="shared" si="19"/>
        <v>-290950</v>
      </c>
      <c r="B4978" s="8">
        <v>290950</v>
      </c>
      <c r="C4978" s="8"/>
      <c r="D4978">
        <v>120385</v>
      </c>
      <c r="E4978" t="s">
        <v>587</v>
      </c>
      <c r="F4978" t="s">
        <v>1963</v>
      </c>
      <c r="G4978" s="9">
        <v>44925</v>
      </c>
    </row>
    <row r="4979" spans="1:7" ht="14.25" customHeight="1">
      <c r="A4979" s="8">
        <f t="shared" si="19"/>
        <v>290950</v>
      </c>
      <c r="B4979" s="8"/>
      <c r="C4979" s="8">
        <v>290950</v>
      </c>
      <c r="D4979">
        <v>251</v>
      </c>
      <c r="E4979" t="s">
        <v>594</v>
      </c>
      <c r="F4979" t="s">
        <v>1964</v>
      </c>
      <c r="G4979" s="9">
        <v>44925</v>
      </c>
    </row>
    <row r="4980" spans="1:7" ht="14.25" customHeight="1">
      <c r="A4980" s="8">
        <f t="shared" si="19"/>
        <v>0</v>
      </c>
      <c r="B4980" s="8">
        <v>290950</v>
      </c>
      <c r="C4980" s="8">
        <v>290950</v>
      </c>
    </row>
    <row r="4981" spans="1:7" ht="14.25" customHeight="1">
      <c r="A4981" s="8">
        <f t="shared" si="19"/>
        <v>0</v>
      </c>
      <c r="B4981" s="8">
        <v>290950</v>
      </c>
      <c r="C4981" s="8">
        <v>290950</v>
      </c>
      <c r="E4981">
        <v>9704010</v>
      </c>
      <c r="F4981" t="s">
        <v>551</v>
      </c>
      <c r="G4981" t="s">
        <v>581</v>
      </c>
    </row>
    <row r="4982" spans="1:7" ht="14.25" customHeight="1">
      <c r="A4982" s="8">
        <f t="shared" si="19"/>
        <v>0</v>
      </c>
      <c r="B4982" s="8"/>
      <c r="C4982" s="8"/>
      <c r="D4982" t="s">
        <v>547</v>
      </c>
      <c r="G4982">
        <v>9704011</v>
      </c>
    </row>
    <row r="4983" spans="1:7" ht="14.25" customHeight="1">
      <c r="A4983" s="8">
        <f t="shared" si="19"/>
        <v>0</v>
      </c>
      <c r="B4983" s="8"/>
      <c r="C4983" s="8"/>
      <c r="F4983" t="s">
        <v>1446</v>
      </c>
      <c r="G4983">
        <v>6254000</v>
      </c>
    </row>
    <row r="4984" spans="1:7" ht="14.25" customHeight="1">
      <c r="A4984" s="8">
        <f t="shared" si="19"/>
        <v>478038</v>
      </c>
      <c r="B4984" s="8"/>
      <c r="C4984" s="8">
        <v>478038</v>
      </c>
      <c r="D4984">
        <v>431</v>
      </c>
      <c r="E4984" t="s">
        <v>579</v>
      </c>
      <c r="F4984" t="s">
        <v>1448</v>
      </c>
      <c r="G4984" s="9">
        <v>44924</v>
      </c>
    </row>
    <row r="4985" spans="1:7" ht="14.25" customHeight="1">
      <c r="A4985" s="8">
        <f t="shared" si="19"/>
        <v>478038</v>
      </c>
      <c r="B4985" s="8"/>
      <c r="C4985" s="8">
        <v>478038</v>
      </c>
    </row>
    <row r="4986" spans="1:7" ht="14.25" customHeight="1">
      <c r="A4986" s="8">
        <f t="shared" si="19"/>
        <v>0</v>
      </c>
      <c r="B4986" s="8"/>
      <c r="C4986" s="8"/>
      <c r="F4986" t="s">
        <v>1349</v>
      </c>
      <c r="G4986">
        <v>63300000</v>
      </c>
    </row>
    <row r="4987" spans="1:7" ht="14.25" customHeight="1">
      <c r="A4987" s="8">
        <f t="shared" si="19"/>
        <v>1150000</v>
      </c>
      <c r="B4987" s="8"/>
      <c r="C4987" s="8">
        <v>1150000</v>
      </c>
      <c r="D4987">
        <v>292</v>
      </c>
      <c r="E4987" t="s">
        <v>579</v>
      </c>
      <c r="F4987" t="s">
        <v>1965</v>
      </c>
      <c r="G4987" s="9">
        <v>44830</v>
      </c>
    </row>
    <row r="4988" spans="1:7" ht="14.25" customHeight="1">
      <c r="A4988" s="8">
        <f t="shared" si="19"/>
        <v>1150000</v>
      </c>
      <c r="B4988" s="8"/>
      <c r="C4988" s="8">
        <v>1150000</v>
      </c>
    </row>
    <row r="4989" spans="1:7" ht="14.25" customHeight="1">
      <c r="A4989" s="8">
        <f t="shared" si="19"/>
        <v>0</v>
      </c>
      <c r="B4989" s="8"/>
      <c r="C4989" s="8"/>
      <c r="F4989" t="s">
        <v>1454</v>
      </c>
      <c r="G4989">
        <v>66850000</v>
      </c>
    </row>
    <row r="4990" spans="1:7" ht="14.25" customHeight="1">
      <c r="A4990" s="8">
        <f t="shared" si="19"/>
        <v>455012</v>
      </c>
      <c r="B4990" s="8"/>
      <c r="C4990" s="8">
        <v>455012</v>
      </c>
      <c r="D4990">
        <v>220</v>
      </c>
      <c r="E4990" t="s">
        <v>579</v>
      </c>
      <c r="F4990" t="s">
        <v>1455</v>
      </c>
      <c r="G4990" s="9">
        <v>44743</v>
      </c>
    </row>
    <row r="4991" spans="1:7" ht="14.25" customHeight="1">
      <c r="A4991" s="8">
        <f t="shared" si="19"/>
        <v>455012</v>
      </c>
      <c r="B4991" s="8"/>
      <c r="C4991" s="8">
        <v>455012</v>
      </c>
    </row>
    <row r="4992" spans="1:7" ht="14.25" customHeight="1">
      <c r="A4992" s="8">
        <f t="shared" si="19"/>
        <v>2083050</v>
      </c>
      <c r="B4992" s="8"/>
      <c r="C4992" s="8">
        <v>2083050</v>
      </c>
      <c r="E4992">
        <v>9704011</v>
      </c>
      <c r="F4992" t="s">
        <v>547</v>
      </c>
      <c r="G4992" t="s">
        <v>581</v>
      </c>
    </row>
    <row r="4993" spans="1:7" ht="14.25" customHeight="1">
      <c r="A4993" s="8">
        <f t="shared" si="19"/>
        <v>0</v>
      </c>
      <c r="B4993" s="8"/>
      <c r="C4993" s="8"/>
      <c r="D4993" t="s">
        <v>552</v>
      </c>
      <c r="G4993">
        <v>9704013</v>
      </c>
    </row>
    <row r="4994" spans="1:7" ht="14.25" customHeight="1">
      <c r="A4994" s="8">
        <f t="shared" si="19"/>
        <v>0</v>
      </c>
      <c r="B4994" s="8"/>
      <c r="C4994" s="8"/>
      <c r="F4994" t="s">
        <v>1271</v>
      </c>
      <c r="G4994">
        <v>63842000</v>
      </c>
    </row>
    <row r="4995" spans="1:7" ht="14.25" customHeight="1">
      <c r="A4995" s="8">
        <f t="shared" si="19"/>
        <v>333500</v>
      </c>
      <c r="B4995" s="8"/>
      <c r="C4995" s="8">
        <v>333500</v>
      </c>
      <c r="D4995">
        <v>19</v>
      </c>
      <c r="E4995" t="s">
        <v>667</v>
      </c>
      <c r="F4995" t="s">
        <v>1818</v>
      </c>
      <c r="G4995" s="9">
        <v>44610</v>
      </c>
    </row>
    <row r="4996" spans="1:7" ht="14.25" customHeight="1">
      <c r="A4996" s="8">
        <f t="shared" si="19"/>
        <v>241500</v>
      </c>
      <c r="B4996" s="8"/>
      <c r="C4996" s="8">
        <v>241500</v>
      </c>
      <c r="D4996">
        <v>61</v>
      </c>
      <c r="E4996" t="s">
        <v>587</v>
      </c>
      <c r="F4996" t="s">
        <v>1966</v>
      </c>
      <c r="G4996" s="9">
        <v>44610</v>
      </c>
    </row>
    <row r="4997" spans="1:7" ht="14.25" customHeight="1">
      <c r="A4997" s="8">
        <f t="shared" si="19"/>
        <v>28750</v>
      </c>
      <c r="B4997" s="8"/>
      <c r="C4997" s="8">
        <v>28750</v>
      </c>
      <c r="D4997">
        <v>76</v>
      </c>
      <c r="E4997" t="s">
        <v>667</v>
      </c>
      <c r="F4997" t="s">
        <v>1967</v>
      </c>
      <c r="G4997" s="9">
        <v>44680</v>
      </c>
    </row>
    <row r="4998" spans="1:7" ht="14.25" customHeight="1">
      <c r="A4998" s="8">
        <f t="shared" si="19"/>
        <v>104650</v>
      </c>
      <c r="B4998" s="8"/>
      <c r="C4998" s="8">
        <v>104650</v>
      </c>
      <c r="D4998">
        <v>181</v>
      </c>
      <c r="E4998" t="s">
        <v>594</v>
      </c>
      <c r="F4998" t="s">
        <v>1968</v>
      </c>
      <c r="G4998" s="9">
        <v>44897</v>
      </c>
    </row>
    <row r="4999" spans="1:7" ht="14.25" customHeight="1">
      <c r="A4999" s="8">
        <f t="shared" si="19"/>
        <v>708400</v>
      </c>
      <c r="B4999" s="8"/>
      <c r="C4999" s="8">
        <v>708400</v>
      </c>
    </row>
    <row r="5000" spans="1:7" ht="14.25" customHeight="1">
      <c r="A5000" s="8">
        <f t="shared" si="19"/>
        <v>708400</v>
      </c>
      <c r="B5000" s="8"/>
      <c r="C5000" s="8">
        <v>708400</v>
      </c>
      <c r="E5000">
        <v>9704013</v>
      </c>
      <c r="F5000" t="s">
        <v>552</v>
      </c>
      <c r="G5000" t="s">
        <v>581</v>
      </c>
    </row>
    <row r="5001" spans="1:7" ht="14.25" customHeight="1">
      <c r="A5001" s="8">
        <f t="shared" si="19"/>
        <v>0</v>
      </c>
      <c r="B5001" s="8"/>
      <c r="C5001" s="8"/>
      <c r="D5001" t="s">
        <v>553</v>
      </c>
      <c r="G5001">
        <v>9704014</v>
      </c>
    </row>
    <row r="5002" spans="1:7" ht="14.25" customHeight="1">
      <c r="A5002" s="8">
        <f t="shared" si="19"/>
        <v>0</v>
      </c>
      <c r="B5002" s="8"/>
      <c r="C5002" s="8"/>
      <c r="F5002" t="s">
        <v>1969</v>
      </c>
      <c r="G5002">
        <v>62610000</v>
      </c>
    </row>
    <row r="5003" spans="1:7" ht="14.25" customHeight="1">
      <c r="A5003" s="8">
        <f t="shared" si="19"/>
        <v>3450</v>
      </c>
      <c r="B5003" s="8"/>
      <c r="C5003" s="8">
        <v>3450</v>
      </c>
      <c r="D5003">
        <v>279</v>
      </c>
      <c r="E5003" t="s">
        <v>667</v>
      </c>
      <c r="F5003" t="s">
        <v>1970</v>
      </c>
      <c r="G5003" s="9">
        <v>44924</v>
      </c>
    </row>
    <row r="5004" spans="1:7" ht="14.25" customHeight="1">
      <c r="A5004" s="8">
        <f t="shared" si="19"/>
        <v>3450</v>
      </c>
      <c r="B5004" s="8"/>
      <c r="C5004" s="8">
        <v>3450</v>
      </c>
    </row>
    <row r="5005" spans="1:7" ht="14.25" customHeight="1">
      <c r="A5005" s="8">
        <f t="shared" si="19"/>
        <v>0</v>
      </c>
      <c r="B5005" s="8"/>
      <c r="C5005" s="8"/>
      <c r="F5005" t="s">
        <v>1474</v>
      </c>
      <c r="G5005">
        <v>62650000</v>
      </c>
    </row>
    <row r="5006" spans="1:7" ht="14.25" customHeight="1">
      <c r="A5006" s="8">
        <f t="shared" si="19"/>
        <v>46000</v>
      </c>
      <c r="B5006" s="8"/>
      <c r="C5006" s="8">
        <v>46000</v>
      </c>
      <c r="D5006">
        <v>207</v>
      </c>
      <c r="E5006" t="s">
        <v>667</v>
      </c>
      <c r="F5006" t="s">
        <v>1971</v>
      </c>
      <c r="G5006" s="9">
        <v>44817</v>
      </c>
    </row>
    <row r="5007" spans="1:7" ht="14.25" customHeight="1">
      <c r="A5007" s="8">
        <f t="shared" si="19"/>
        <v>649750</v>
      </c>
      <c r="B5007" s="8"/>
      <c r="C5007" s="8">
        <v>649750</v>
      </c>
      <c r="D5007">
        <v>305</v>
      </c>
      <c r="E5007" t="s">
        <v>579</v>
      </c>
      <c r="F5007" t="s">
        <v>1972</v>
      </c>
      <c r="G5007" s="9">
        <v>44832</v>
      </c>
    </row>
    <row r="5008" spans="1:7" ht="14.25" customHeight="1">
      <c r="A5008" s="8">
        <f t="shared" si="19"/>
        <v>695750</v>
      </c>
      <c r="B5008" s="8"/>
      <c r="C5008" s="8">
        <v>695750</v>
      </c>
    </row>
    <row r="5009" spans="1:7" ht="14.25" customHeight="1">
      <c r="A5009" s="8">
        <f t="shared" si="19"/>
        <v>0</v>
      </c>
      <c r="B5009" s="8"/>
      <c r="C5009" s="8"/>
      <c r="F5009" t="s">
        <v>1482</v>
      </c>
      <c r="G5009">
        <v>62660000</v>
      </c>
    </row>
    <row r="5010" spans="1:7" ht="14.25" customHeight="1">
      <c r="A5010" s="8">
        <f t="shared" si="19"/>
        <v>79350</v>
      </c>
      <c r="B5010" s="8"/>
      <c r="C5010" s="8">
        <v>79350</v>
      </c>
      <c r="D5010">
        <v>61</v>
      </c>
      <c r="E5010" t="s">
        <v>579</v>
      </c>
      <c r="F5010" t="s">
        <v>1973</v>
      </c>
      <c r="G5010" s="9">
        <v>44644</v>
      </c>
    </row>
    <row r="5011" spans="1:7" ht="14.25" customHeight="1">
      <c r="A5011" s="8">
        <f t="shared" si="19"/>
        <v>108100</v>
      </c>
      <c r="B5011" s="8"/>
      <c r="C5011" s="8">
        <v>108100</v>
      </c>
      <c r="D5011">
        <v>139</v>
      </c>
      <c r="E5011" t="s">
        <v>579</v>
      </c>
      <c r="F5011" t="s">
        <v>1974</v>
      </c>
      <c r="G5011" s="9">
        <v>44704</v>
      </c>
    </row>
    <row r="5012" spans="1:7" ht="14.25" customHeight="1">
      <c r="A5012" s="8">
        <f t="shared" si="19"/>
        <v>69000</v>
      </c>
      <c r="B5012" s="8"/>
      <c r="C5012" s="8">
        <v>69000</v>
      </c>
      <c r="D5012">
        <v>247</v>
      </c>
      <c r="E5012" t="s">
        <v>579</v>
      </c>
      <c r="F5012" t="s">
        <v>1975</v>
      </c>
      <c r="G5012" s="9">
        <v>44782</v>
      </c>
    </row>
    <row r="5013" spans="1:7" ht="14.25" customHeight="1">
      <c r="A5013" s="8">
        <f t="shared" si="19"/>
        <v>17250</v>
      </c>
      <c r="B5013" s="8"/>
      <c r="C5013" s="8">
        <v>17250</v>
      </c>
      <c r="D5013">
        <v>403</v>
      </c>
      <c r="E5013" t="s">
        <v>579</v>
      </c>
      <c r="F5013" t="s">
        <v>1976</v>
      </c>
      <c r="G5013" s="9">
        <v>44903</v>
      </c>
    </row>
    <row r="5014" spans="1:7" ht="14.25" customHeight="1">
      <c r="A5014" s="8">
        <f t="shared" si="19"/>
        <v>14950</v>
      </c>
      <c r="B5014" s="8"/>
      <c r="C5014" s="8">
        <v>14950</v>
      </c>
      <c r="D5014">
        <v>408</v>
      </c>
      <c r="E5014" t="s">
        <v>579</v>
      </c>
      <c r="F5014" t="s">
        <v>1977</v>
      </c>
      <c r="G5014" s="9">
        <v>44903</v>
      </c>
    </row>
    <row r="5015" spans="1:7" ht="14.25" customHeight="1">
      <c r="A5015" s="8">
        <f t="shared" si="19"/>
        <v>621000</v>
      </c>
      <c r="B5015" s="8"/>
      <c r="C5015" s="8">
        <v>621000</v>
      </c>
      <c r="D5015">
        <v>409</v>
      </c>
      <c r="E5015" t="s">
        <v>579</v>
      </c>
      <c r="F5015" t="s">
        <v>1978</v>
      </c>
      <c r="G5015" s="9">
        <v>44903</v>
      </c>
    </row>
    <row r="5016" spans="1:7" ht="14.25" customHeight="1">
      <c r="A5016" s="8">
        <f t="shared" si="19"/>
        <v>909650</v>
      </c>
      <c r="B5016" s="8"/>
      <c r="C5016" s="8">
        <v>909650</v>
      </c>
    </row>
    <row r="5017" spans="1:7" ht="14.25" customHeight="1">
      <c r="A5017" s="8">
        <f t="shared" si="19"/>
        <v>0</v>
      </c>
      <c r="B5017" s="8"/>
      <c r="C5017" s="8"/>
      <c r="F5017" t="s">
        <v>582</v>
      </c>
      <c r="G5017">
        <v>63240000</v>
      </c>
    </row>
    <row r="5018" spans="1:7" ht="14.25" customHeight="1">
      <c r="A5018" s="8">
        <f t="shared" si="19"/>
        <v>6670000</v>
      </c>
      <c r="B5018" s="8"/>
      <c r="C5018" s="8">
        <v>6670000</v>
      </c>
      <c r="D5018">
        <v>363</v>
      </c>
      <c r="E5018" t="s">
        <v>579</v>
      </c>
      <c r="F5018" t="s">
        <v>1979</v>
      </c>
      <c r="G5018" s="9">
        <v>44879</v>
      </c>
    </row>
    <row r="5019" spans="1:7" ht="14.25" customHeight="1">
      <c r="A5019" s="8">
        <f t="shared" si="19"/>
        <v>862500</v>
      </c>
      <c r="B5019" s="8"/>
      <c r="C5019" s="8">
        <v>862500</v>
      </c>
      <c r="D5019">
        <v>205</v>
      </c>
      <c r="E5019" t="s">
        <v>594</v>
      </c>
      <c r="F5019" t="s">
        <v>1980</v>
      </c>
      <c r="G5019" s="9">
        <v>44925</v>
      </c>
    </row>
    <row r="5020" spans="1:7" ht="14.25" customHeight="1">
      <c r="A5020" s="8">
        <f t="shared" si="19"/>
        <v>5175000</v>
      </c>
      <c r="B5020" s="8"/>
      <c r="C5020" s="8">
        <v>5175000</v>
      </c>
      <c r="D5020">
        <v>206</v>
      </c>
      <c r="E5020" t="s">
        <v>594</v>
      </c>
      <c r="F5020" t="s">
        <v>1980</v>
      </c>
      <c r="G5020" s="9">
        <v>44925</v>
      </c>
    </row>
    <row r="5021" spans="1:7" ht="14.25" customHeight="1">
      <c r="A5021" s="8">
        <f t="shared" si="19"/>
        <v>12707500</v>
      </c>
      <c r="B5021" s="8"/>
      <c r="C5021" s="8">
        <v>12707500</v>
      </c>
    </row>
    <row r="5022" spans="1:7" ht="14.25" customHeight="1">
      <c r="A5022" s="8">
        <f t="shared" si="19"/>
        <v>0</v>
      </c>
      <c r="B5022" s="8"/>
      <c r="C5022" s="8"/>
      <c r="F5022" t="s">
        <v>1488</v>
      </c>
      <c r="G5022">
        <v>6463</v>
      </c>
    </row>
    <row r="5023" spans="1:7" ht="14.25" customHeight="1">
      <c r="A5023" s="8">
        <f t="shared" si="19"/>
        <v>16100</v>
      </c>
      <c r="B5023" s="8"/>
      <c r="C5023" s="8">
        <v>16100</v>
      </c>
      <c r="D5023">
        <v>219</v>
      </c>
      <c r="E5023" t="s">
        <v>667</v>
      </c>
      <c r="F5023" t="s">
        <v>1489</v>
      </c>
      <c r="G5023" s="9">
        <v>44831</v>
      </c>
    </row>
    <row r="5024" spans="1:7" ht="14.25" customHeight="1">
      <c r="A5024" s="8">
        <f t="shared" si="19"/>
        <v>16100</v>
      </c>
      <c r="B5024" s="8"/>
      <c r="C5024" s="8">
        <v>16100</v>
      </c>
    </row>
    <row r="5025" spans="1:7" ht="14.25" customHeight="1">
      <c r="A5025" s="8">
        <f t="shared" si="19"/>
        <v>14332450</v>
      </c>
      <c r="B5025" s="8"/>
      <c r="C5025" s="8">
        <v>14332450</v>
      </c>
      <c r="E5025">
        <v>9704014</v>
      </c>
      <c r="F5025" t="s">
        <v>553</v>
      </c>
      <c r="G5025" t="s">
        <v>581</v>
      </c>
    </row>
    <row r="5026" spans="1:7" ht="14.25" customHeight="1">
      <c r="A5026" s="8">
        <f t="shared" si="19"/>
        <v>0</v>
      </c>
      <c r="B5026" s="8"/>
      <c r="C5026" s="8"/>
      <c r="D5026" t="s">
        <v>554</v>
      </c>
      <c r="G5026">
        <v>9704015</v>
      </c>
    </row>
    <row r="5027" spans="1:7" ht="14.25" customHeight="1">
      <c r="A5027" s="8">
        <f t="shared" si="19"/>
        <v>0</v>
      </c>
      <c r="B5027" s="8"/>
      <c r="C5027" s="8"/>
      <c r="F5027" t="s">
        <v>1172</v>
      </c>
      <c r="G5027">
        <v>60550000</v>
      </c>
    </row>
    <row r="5028" spans="1:7" ht="14.25" customHeight="1">
      <c r="A5028" s="8">
        <f t="shared" si="19"/>
        <v>172500</v>
      </c>
      <c r="B5028" s="8"/>
      <c r="C5028" s="8">
        <v>172500</v>
      </c>
      <c r="D5028">
        <v>249</v>
      </c>
      <c r="E5028" t="s">
        <v>579</v>
      </c>
      <c r="F5028" t="s">
        <v>1981</v>
      </c>
      <c r="G5028" s="9">
        <v>44563</v>
      </c>
    </row>
    <row r="5029" spans="1:7" ht="14.25" customHeight="1">
      <c r="A5029" s="8">
        <f t="shared" si="19"/>
        <v>85675</v>
      </c>
      <c r="B5029" s="8"/>
      <c r="C5029" s="8">
        <v>85675</v>
      </c>
      <c r="D5029">
        <v>20</v>
      </c>
      <c r="E5029" t="s">
        <v>579</v>
      </c>
      <c r="F5029" t="s">
        <v>1820</v>
      </c>
      <c r="G5029" s="9">
        <v>44613</v>
      </c>
    </row>
    <row r="5030" spans="1:7" ht="14.25" customHeight="1">
      <c r="A5030" s="8">
        <f t="shared" si="19"/>
        <v>22425</v>
      </c>
      <c r="B5030" s="8"/>
      <c r="C5030" s="8">
        <v>22425</v>
      </c>
      <c r="D5030">
        <v>142</v>
      </c>
      <c r="E5030" t="s">
        <v>579</v>
      </c>
      <c r="F5030" t="s">
        <v>1982</v>
      </c>
      <c r="G5030" s="9">
        <v>44705</v>
      </c>
    </row>
    <row r="5031" spans="1:7" ht="14.25" customHeight="1">
      <c r="A5031" s="8">
        <f t="shared" si="19"/>
        <v>6900</v>
      </c>
      <c r="B5031" s="8"/>
      <c r="C5031" s="8">
        <v>6900</v>
      </c>
      <c r="D5031">
        <v>156</v>
      </c>
      <c r="E5031" t="s">
        <v>579</v>
      </c>
      <c r="F5031" t="s">
        <v>1983</v>
      </c>
      <c r="G5031" s="9">
        <v>44714</v>
      </c>
    </row>
    <row r="5032" spans="1:7" ht="14.25" customHeight="1">
      <c r="A5032" s="8">
        <f t="shared" si="19"/>
        <v>6900</v>
      </c>
      <c r="B5032" s="8"/>
      <c r="C5032" s="8">
        <v>6900</v>
      </c>
      <c r="D5032">
        <v>169</v>
      </c>
      <c r="E5032" t="s">
        <v>579</v>
      </c>
      <c r="F5032" t="s">
        <v>1984</v>
      </c>
      <c r="G5032" s="9">
        <v>44722</v>
      </c>
    </row>
    <row r="5033" spans="1:7" ht="14.25" customHeight="1">
      <c r="A5033" s="8">
        <f t="shared" si="19"/>
        <v>92000</v>
      </c>
      <c r="B5033" s="8"/>
      <c r="C5033" s="8">
        <v>92000</v>
      </c>
      <c r="D5033">
        <v>171</v>
      </c>
      <c r="E5033" t="s">
        <v>579</v>
      </c>
      <c r="F5033" t="s">
        <v>1985</v>
      </c>
      <c r="G5033" s="9">
        <v>44725</v>
      </c>
    </row>
    <row r="5034" spans="1:7" ht="14.25" customHeight="1">
      <c r="A5034" s="8">
        <f t="shared" si="19"/>
        <v>6900</v>
      </c>
      <c r="B5034" s="8"/>
      <c r="C5034" s="8">
        <v>6900</v>
      </c>
      <c r="D5034">
        <v>234</v>
      </c>
      <c r="E5034" t="s">
        <v>579</v>
      </c>
      <c r="F5034" t="s">
        <v>1986</v>
      </c>
      <c r="G5034" s="9">
        <v>44754</v>
      </c>
    </row>
    <row r="5035" spans="1:7" ht="14.25" customHeight="1">
      <c r="A5035" s="8">
        <f t="shared" si="19"/>
        <v>34500</v>
      </c>
      <c r="B5035" s="8"/>
      <c r="C5035" s="8">
        <v>34500</v>
      </c>
      <c r="D5035">
        <v>155</v>
      </c>
      <c r="E5035" t="s">
        <v>667</v>
      </c>
      <c r="F5035" t="s">
        <v>1987</v>
      </c>
      <c r="G5035" s="9">
        <v>44767</v>
      </c>
    </row>
    <row r="5036" spans="1:7" ht="14.25" customHeight="1">
      <c r="A5036" s="8">
        <f t="shared" si="19"/>
        <v>1323</v>
      </c>
      <c r="B5036" s="8"/>
      <c r="C5036" s="8">
        <v>1323</v>
      </c>
      <c r="D5036">
        <v>160</v>
      </c>
      <c r="E5036" t="s">
        <v>667</v>
      </c>
      <c r="F5036" t="s">
        <v>1708</v>
      </c>
      <c r="G5036" s="9">
        <v>44783</v>
      </c>
    </row>
    <row r="5037" spans="1:7" ht="14.25" customHeight="1">
      <c r="A5037" s="8">
        <f t="shared" si="19"/>
        <v>12650</v>
      </c>
      <c r="B5037" s="8"/>
      <c r="C5037" s="8">
        <v>12650</v>
      </c>
      <c r="D5037">
        <v>262</v>
      </c>
      <c r="E5037" t="s">
        <v>579</v>
      </c>
      <c r="F5037" t="s">
        <v>1988</v>
      </c>
      <c r="G5037" s="9">
        <v>44790</v>
      </c>
    </row>
    <row r="5038" spans="1:7" ht="14.25" customHeight="1">
      <c r="A5038" s="8">
        <f t="shared" si="19"/>
        <v>40250</v>
      </c>
      <c r="B5038" s="8"/>
      <c r="C5038" s="8">
        <v>40250</v>
      </c>
      <c r="D5038">
        <v>283</v>
      </c>
      <c r="E5038" t="s">
        <v>579</v>
      </c>
      <c r="F5038" t="s">
        <v>1670</v>
      </c>
      <c r="G5038" s="9">
        <v>44812</v>
      </c>
    </row>
    <row r="5039" spans="1:7" ht="14.25" customHeight="1">
      <c r="A5039" s="8">
        <f t="shared" si="19"/>
        <v>138460</v>
      </c>
      <c r="B5039" s="8"/>
      <c r="C5039" s="8">
        <v>138460</v>
      </c>
      <c r="D5039">
        <v>321</v>
      </c>
      <c r="E5039" t="s">
        <v>579</v>
      </c>
      <c r="F5039" t="s">
        <v>1989</v>
      </c>
      <c r="G5039" s="9">
        <v>44852</v>
      </c>
    </row>
    <row r="5040" spans="1:7" ht="14.25" customHeight="1">
      <c r="A5040" s="8">
        <f t="shared" si="19"/>
        <v>247250</v>
      </c>
      <c r="B5040" s="8"/>
      <c r="C5040" s="8">
        <v>247250</v>
      </c>
      <c r="D5040">
        <v>322</v>
      </c>
      <c r="E5040" t="s">
        <v>579</v>
      </c>
      <c r="F5040" t="s">
        <v>1990</v>
      </c>
      <c r="G5040" s="9">
        <v>44852</v>
      </c>
    </row>
    <row r="5041" spans="1:7" ht="14.25" customHeight="1">
      <c r="A5041" s="8">
        <f t="shared" si="19"/>
        <v>195500</v>
      </c>
      <c r="B5041" s="8"/>
      <c r="C5041" s="8">
        <v>195500</v>
      </c>
      <c r="D5041">
        <v>323</v>
      </c>
      <c r="E5041" t="s">
        <v>579</v>
      </c>
      <c r="F5041" t="s">
        <v>1991</v>
      </c>
      <c r="G5041" s="9">
        <v>44852</v>
      </c>
    </row>
    <row r="5042" spans="1:7" ht="14.25" customHeight="1">
      <c r="A5042" s="8">
        <f t="shared" si="19"/>
        <v>3450</v>
      </c>
      <c r="B5042" s="8"/>
      <c r="C5042" s="8">
        <v>3450</v>
      </c>
      <c r="D5042">
        <v>244</v>
      </c>
      <c r="E5042" t="s">
        <v>667</v>
      </c>
      <c r="F5042" t="s">
        <v>1992</v>
      </c>
      <c r="G5042" s="9">
        <v>44852</v>
      </c>
    </row>
    <row r="5043" spans="1:7" ht="14.25" customHeight="1">
      <c r="A5043" s="8">
        <f t="shared" si="19"/>
        <v>84295</v>
      </c>
      <c r="B5043" s="8"/>
      <c r="C5043" s="8">
        <v>84295</v>
      </c>
      <c r="D5043">
        <v>374</v>
      </c>
      <c r="E5043" t="s">
        <v>579</v>
      </c>
      <c r="F5043" t="s">
        <v>1993</v>
      </c>
      <c r="G5043" s="9">
        <v>44886</v>
      </c>
    </row>
    <row r="5044" spans="1:7" ht="14.25" customHeight="1">
      <c r="A5044" s="8">
        <f t="shared" si="19"/>
        <v>29900</v>
      </c>
      <c r="B5044" s="8"/>
      <c r="C5044" s="8">
        <v>29900</v>
      </c>
      <c r="D5044">
        <v>413</v>
      </c>
      <c r="E5044" t="s">
        <v>579</v>
      </c>
      <c r="F5044" t="s">
        <v>1994</v>
      </c>
      <c r="G5044" s="9">
        <v>44910</v>
      </c>
    </row>
    <row r="5045" spans="1:7" ht="14.25" customHeight="1">
      <c r="A5045" s="8">
        <f t="shared" si="19"/>
        <v>1180878</v>
      </c>
      <c r="B5045" s="8"/>
      <c r="C5045" s="8">
        <v>1180878</v>
      </c>
    </row>
    <row r="5046" spans="1:7" ht="14.25" customHeight="1">
      <c r="A5046" s="8">
        <f t="shared" si="19"/>
        <v>0</v>
      </c>
      <c r="B5046" s="8"/>
      <c r="C5046" s="8"/>
      <c r="F5046" t="s">
        <v>1498</v>
      </c>
      <c r="G5046">
        <v>60560000</v>
      </c>
    </row>
    <row r="5047" spans="1:7" ht="14.25" customHeight="1">
      <c r="A5047" s="8">
        <f t="shared" si="19"/>
        <v>11500</v>
      </c>
      <c r="B5047" s="8"/>
      <c r="C5047" s="8">
        <v>11500</v>
      </c>
      <c r="D5047">
        <v>167</v>
      </c>
      <c r="E5047" t="s">
        <v>579</v>
      </c>
      <c r="F5047" t="s">
        <v>1499</v>
      </c>
      <c r="G5047" s="9">
        <v>44720</v>
      </c>
    </row>
    <row r="5048" spans="1:7" ht="14.25" customHeight="1">
      <c r="A5048" s="8">
        <f t="shared" si="19"/>
        <v>115000</v>
      </c>
      <c r="B5048" s="8"/>
      <c r="C5048" s="8">
        <v>115000</v>
      </c>
      <c r="D5048">
        <v>433</v>
      </c>
      <c r="E5048" t="s">
        <v>579</v>
      </c>
      <c r="F5048" t="s">
        <v>1672</v>
      </c>
      <c r="G5048" s="9">
        <v>44925</v>
      </c>
    </row>
    <row r="5049" spans="1:7" ht="14.25" customHeight="1">
      <c r="A5049" s="8">
        <f t="shared" si="19"/>
        <v>86250</v>
      </c>
      <c r="B5049" s="8"/>
      <c r="C5049" s="8">
        <v>86250</v>
      </c>
      <c r="D5049">
        <v>433</v>
      </c>
      <c r="E5049" t="s">
        <v>579</v>
      </c>
      <c r="F5049" t="s">
        <v>1672</v>
      </c>
      <c r="G5049" s="9">
        <v>44925</v>
      </c>
    </row>
    <row r="5050" spans="1:7" ht="14.25" customHeight="1">
      <c r="A5050" s="8">
        <f t="shared" si="19"/>
        <v>212750</v>
      </c>
      <c r="B5050" s="8"/>
      <c r="C5050" s="8">
        <v>212750</v>
      </c>
    </row>
    <row r="5051" spans="1:7" ht="14.25" customHeight="1">
      <c r="A5051" s="8">
        <f t="shared" si="19"/>
        <v>0</v>
      </c>
      <c r="B5051" s="8"/>
      <c r="C5051" s="8"/>
      <c r="F5051" t="s">
        <v>1504</v>
      </c>
      <c r="G5051">
        <v>61830000</v>
      </c>
    </row>
    <row r="5052" spans="1:7" ht="14.25" customHeight="1">
      <c r="A5052" s="8">
        <f t="shared" si="19"/>
        <v>17250</v>
      </c>
      <c r="B5052" s="8"/>
      <c r="C5052" s="8">
        <v>17250</v>
      </c>
      <c r="D5052">
        <v>131</v>
      </c>
      <c r="E5052" t="s">
        <v>667</v>
      </c>
      <c r="F5052" t="s">
        <v>1509</v>
      </c>
      <c r="G5052" s="9">
        <v>44739</v>
      </c>
    </row>
    <row r="5053" spans="1:7" ht="14.25" customHeight="1">
      <c r="A5053" s="8">
        <f t="shared" si="19"/>
        <v>1150</v>
      </c>
      <c r="B5053" s="8"/>
      <c r="C5053" s="8">
        <v>1150</v>
      </c>
      <c r="D5053">
        <v>244</v>
      </c>
      <c r="E5053" t="s">
        <v>667</v>
      </c>
      <c r="F5053" t="s">
        <v>1995</v>
      </c>
      <c r="G5053" s="9">
        <v>44852</v>
      </c>
    </row>
    <row r="5054" spans="1:7" ht="14.25" customHeight="1">
      <c r="A5054" s="8">
        <f t="shared" si="19"/>
        <v>17135</v>
      </c>
      <c r="B5054" s="8"/>
      <c r="C5054" s="8">
        <v>17135</v>
      </c>
      <c r="D5054">
        <v>244</v>
      </c>
      <c r="E5054" t="s">
        <v>667</v>
      </c>
      <c r="F5054" t="s">
        <v>1996</v>
      </c>
      <c r="G5054" s="9">
        <v>44852</v>
      </c>
    </row>
    <row r="5055" spans="1:7" ht="14.25" customHeight="1">
      <c r="A5055" s="8">
        <f t="shared" si="19"/>
        <v>35535</v>
      </c>
      <c r="B5055" s="8"/>
      <c r="C5055" s="8">
        <v>35535</v>
      </c>
    </row>
    <row r="5056" spans="1:7" ht="14.25" customHeight="1">
      <c r="A5056" s="8">
        <f t="shared" si="19"/>
        <v>0</v>
      </c>
      <c r="B5056" s="8"/>
      <c r="C5056" s="8"/>
      <c r="F5056" t="s">
        <v>592</v>
      </c>
      <c r="G5056">
        <v>63833</v>
      </c>
    </row>
    <row r="5057" spans="1:7" ht="14.25" customHeight="1">
      <c r="A5057" s="8">
        <f t="shared" si="19"/>
        <v>13512</v>
      </c>
      <c r="B5057" s="8"/>
      <c r="C5057" s="8">
        <v>13512</v>
      </c>
      <c r="D5057">
        <v>123</v>
      </c>
      <c r="E5057" t="s">
        <v>667</v>
      </c>
      <c r="F5057" t="s">
        <v>1997</v>
      </c>
      <c r="G5057" s="9">
        <v>44729</v>
      </c>
    </row>
    <row r="5058" spans="1:7" ht="14.25" customHeight="1">
      <c r="A5058" s="8">
        <f t="shared" si="19"/>
        <v>36800</v>
      </c>
      <c r="B5058" s="8"/>
      <c r="C5058" s="8">
        <v>36800</v>
      </c>
      <c r="D5058">
        <v>120</v>
      </c>
      <c r="E5058" t="s">
        <v>667</v>
      </c>
      <c r="F5058" t="s">
        <v>1998</v>
      </c>
      <c r="G5058" s="9">
        <v>44732</v>
      </c>
    </row>
    <row r="5059" spans="1:7" ht="14.25" customHeight="1">
      <c r="A5059" s="8">
        <f t="shared" si="19"/>
        <v>5894</v>
      </c>
      <c r="B5059" s="8"/>
      <c r="C5059" s="8">
        <v>5894</v>
      </c>
      <c r="D5059">
        <v>122</v>
      </c>
      <c r="E5059" t="s">
        <v>667</v>
      </c>
      <c r="F5059" t="s">
        <v>1999</v>
      </c>
      <c r="G5059" s="9">
        <v>44732</v>
      </c>
    </row>
    <row r="5060" spans="1:7" ht="14.25" customHeight="1">
      <c r="A5060" s="8">
        <f t="shared" si="19"/>
        <v>290950</v>
      </c>
      <c r="B5060" s="8"/>
      <c r="C5060" s="8">
        <v>290950</v>
      </c>
      <c r="D5060">
        <v>211</v>
      </c>
      <c r="E5060" t="s">
        <v>587</v>
      </c>
      <c r="F5060" t="s">
        <v>2000</v>
      </c>
      <c r="G5060" s="9">
        <v>44732</v>
      </c>
    </row>
    <row r="5061" spans="1:7" ht="14.25" customHeight="1">
      <c r="A5061" s="8">
        <f t="shared" si="19"/>
        <v>71875</v>
      </c>
      <c r="B5061" s="8"/>
      <c r="C5061" s="8">
        <v>71875</v>
      </c>
      <c r="D5061">
        <v>124</v>
      </c>
      <c r="E5061" t="s">
        <v>667</v>
      </c>
      <c r="F5061" t="s">
        <v>2001</v>
      </c>
      <c r="G5061" s="9">
        <v>44733</v>
      </c>
    </row>
    <row r="5062" spans="1:7" ht="14.25" customHeight="1">
      <c r="A5062" s="8">
        <f t="shared" si="19"/>
        <v>270567</v>
      </c>
      <c r="B5062" s="8"/>
      <c r="C5062" s="8">
        <v>270567</v>
      </c>
      <c r="D5062">
        <v>192</v>
      </c>
      <c r="E5062" t="s">
        <v>579</v>
      </c>
      <c r="F5062" t="s">
        <v>2002</v>
      </c>
      <c r="G5062" s="9">
        <v>44733</v>
      </c>
    </row>
    <row r="5063" spans="1:7" ht="14.25" customHeight="1">
      <c r="A5063" s="8">
        <f t="shared" si="19"/>
        <v>14662</v>
      </c>
      <c r="B5063" s="8"/>
      <c r="C5063" s="8">
        <v>14662</v>
      </c>
      <c r="D5063">
        <v>163</v>
      </c>
      <c r="E5063" t="s">
        <v>667</v>
      </c>
      <c r="F5063" t="s">
        <v>1539</v>
      </c>
      <c r="G5063" s="9">
        <v>44783</v>
      </c>
    </row>
    <row r="5064" spans="1:7" ht="14.25" customHeight="1">
      <c r="A5064" s="8">
        <f t="shared" si="19"/>
        <v>1035</v>
      </c>
      <c r="B5064" s="8"/>
      <c r="C5064" s="8">
        <v>1035</v>
      </c>
      <c r="D5064">
        <v>161</v>
      </c>
      <c r="E5064" t="s">
        <v>667</v>
      </c>
      <c r="F5064" t="s">
        <v>1540</v>
      </c>
      <c r="G5064" s="9">
        <v>44783</v>
      </c>
    </row>
    <row r="5065" spans="1:7" ht="14.25" customHeight="1">
      <c r="A5065" s="8">
        <f t="shared" si="19"/>
        <v>16790</v>
      </c>
      <c r="B5065" s="8"/>
      <c r="C5065" s="8">
        <v>16790</v>
      </c>
      <c r="D5065">
        <v>164</v>
      </c>
      <c r="E5065" t="s">
        <v>667</v>
      </c>
      <c r="F5065" t="s">
        <v>1541</v>
      </c>
      <c r="G5065" s="9">
        <v>44784</v>
      </c>
    </row>
    <row r="5066" spans="1:7" ht="14.25" customHeight="1">
      <c r="A5066" s="8">
        <f t="shared" si="19"/>
        <v>1265</v>
      </c>
      <c r="B5066" s="8"/>
      <c r="C5066" s="8">
        <v>1265</v>
      </c>
      <c r="D5066">
        <v>183</v>
      </c>
      <c r="E5066" t="s">
        <v>667</v>
      </c>
      <c r="F5066" t="s">
        <v>1544</v>
      </c>
      <c r="G5066" s="9">
        <v>44802</v>
      </c>
    </row>
    <row r="5067" spans="1:7" ht="14.25" customHeight="1">
      <c r="A5067" s="8">
        <f t="shared" si="19"/>
        <v>7475</v>
      </c>
      <c r="B5067" s="8"/>
      <c r="C5067" s="8">
        <v>7475</v>
      </c>
      <c r="D5067">
        <v>186</v>
      </c>
      <c r="E5067" t="s">
        <v>667</v>
      </c>
      <c r="F5067" t="s">
        <v>2003</v>
      </c>
      <c r="G5067" s="9">
        <v>44803</v>
      </c>
    </row>
    <row r="5068" spans="1:7" ht="14.25" customHeight="1">
      <c r="A5068" s="8">
        <f t="shared" si="19"/>
        <v>7475</v>
      </c>
      <c r="B5068" s="8"/>
      <c r="C5068" s="8">
        <v>7475</v>
      </c>
      <c r="D5068">
        <v>193</v>
      </c>
      <c r="E5068" t="s">
        <v>667</v>
      </c>
      <c r="F5068" t="s">
        <v>2004</v>
      </c>
      <c r="G5068" s="9">
        <v>44804</v>
      </c>
    </row>
    <row r="5069" spans="1:7" ht="14.25" customHeight="1">
      <c r="A5069" s="8">
        <f t="shared" si="19"/>
        <v>20010</v>
      </c>
      <c r="B5069" s="8"/>
      <c r="C5069" s="8">
        <v>20010</v>
      </c>
      <c r="D5069">
        <v>244</v>
      </c>
      <c r="E5069" t="s">
        <v>667</v>
      </c>
      <c r="F5069" t="s">
        <v>2005</v>
      </c>
      <c r="G5069" s="9">
        <v>44852</v>
      </c>
    </row>
    <row r="5070" spans="1:7" ht="14.25" customHeight="1">
      <c r="A5070" s="8">
        <f t="shared" si="19"/>
        <v>26910</v>
      </c>
      <c r="B5070" s="8"/>
      <c r="C5070" s="8">
        <v>26910</v>
      </c>
      <c r="D5070">
        <v>247</v>
      </c>
      <c r="E5070" t="s">
        <v>667</v>
      </c>
      <c r="F5070" t="s">
        <v>2006</v>
      </c>
      <c r="G5070" s="9">
        <v>44872</v>
      </c>
    </row>
    <row r="5071" spans="1:7" ht="14.25" customHeight="1">
      <c r="A5071" s="8">
        <f t="shared" si="19"/>
        <v>23897</v>
      </c>
      <c r="B5071" s="8"/>
      <c r="C5071" s="8">
        <v>23897</v>
      </c>
      <c r="D5071">
        <v>248</v>
      </c>
      <c r="E5071" t="s">
        <v>667</v>
      </c>
      <c r="F5071" t="s">
        <v>2007</v>
      </c>
      <c r="G5071" s="9">
        <v>44873</v>
      </c>
    </row>
    <row r="5072" spans="1:7" ht="14.25" customHeight="1">
      <c r="A5072" s="8">
        <f t="shared" si="19"/>
        <v>170200</v>
      </c>
      <c r="B5072" s="8"/>
      <c r="C5072" s="8">
        <v>170200</v>
      </c>
      <c r="D5072">
        <v>448</v>
      </c>
      <c r="E5072" t="s">
        <v>579</v>
      </c>
      <c r="F5072" t="s">
        <v>2008</v>
      </c>
      <c r="G5072" s="9">
        <v>44926</v>
      </c>
    </row>
    <row r="5073" spans="1:7" ht="14.25" customHeight="1">
      <c r="A5073" s="8">
        <f t="shared" si="19"/>
        <v>979318</v>
      </c>
      <c r="B5073" s="8"/>
      <c r="C5073" s="8">
        <v>979318</v>
      </c>
    </row>
    <row r="5074" spans="1:7" ht="14.25" customHeight="1">
      <c r="A5074" s="8">
        <f t="shared" si="19"/>
        <v>2408481</v>
      </c>
      <c r="B5074" s="8"/>
      <c r="C5074" s="8">
        <v>2408481</v>
      </c>
      <c r="E5074">
        <v>9704015</v>
      </c>
      <c r="F5074" t="s">
        <v>554</v>
      </c>
      <c r="G5074" t="s">
        <v>581</v>
      </c>
    </row>
    <row r="5075" spans="1:7" ht="14.25" customHeight="1">
      <c r="A5075" s="8">
        <f t="shared" si="19"/>
        <v>0</v>
      </c>
      <c r="B5075" s="8"/>
      <c r="C5075" s="8"/>
      <c r="D5075" t="s">
        <v>555</v>
      </c>
      <c r="G5075">
        <v>9704016</v>
      </c>
    </row>
    <row r="5076" spans="1:7" ht="14.25" customHeight="1">
      <c r="A5076" s="8">
        <f t="shared" si="19"/>
        <v>0</v>
      </c>
      <c r="B5076" s="8"/>
      <c r="C5076" s="8"/>
      <c r="F5076" t="s">
        <v>1202</v>
      </c>
      <c r="G5076">
        <v>63180000</v>
      </c>
    </row>
    <row r="5077" spans="1:7" ht="14.25" customHeight="1">
      <c r="A5077" s="8">
        <f t="shared" si="19"/>
        <v>70148</v>
      </c>
      <c r="B5077" s="8"/>
      <c r="C5077" s="8">
        <v>70148</v>
      </c>
      <c r="D5077">
        <v>691</v>
      </c>
      <c r="E5077" t="s">
        <v>587</v>
      </c>
      <c r="F5077" t="s">
        <v>2009</v>
      </c>
      <c r="G5077" s="9">
        <v>44770</v>
      </c>
    </row>
    <row r="5078" spans="1:7" ht="14.25" customHeight="1">
      <c r="A5078" s="8">
        <f t="shared" si="19"/>
        <v>70148</v>
      </c>
      <c r="B5078" s="8"/>
      <c r="C5078" s="8">
        <v>70148</v>
      </c>
    </row>
    <row r="5079" spans="1:7" ht="14.25" customHeight="1">
      <c r="A5079" s="8">
        <f t="shared" si="19"/>
        <v>0</v>
      </c>
      <c r="B5079" s="8"/>
      <c r="C5079" s="8"/>
      <c r="F5079" t="s">
        <v>1559</v>
      </c>
      <c r="G5079">
        <v>63181000</v>
      </c>
    </row>
    <row r="5080" spans="1:7" ht="14.25" customHeight="1">
      <c r="A5080" s="8">
        <f t="shared" si="19"/>
        <v>345</v>
      </c>
      <c r="B5080" s="8"/>
      <c r="C5080" s="8">
        <v>345</v>
      </c>
      <c r="D5080">
        <v>276</v>
      </c>
      <c r="E5080" t="s">
        <v>587</v>
      </c>
      <c r="F5080" t="s">
        <v>2010</v>
      </c>
      <c r="G5080" s="9">
        <v>44580</v>
      </c>
    </row>
    <row r="5081" spans="1:7" ht="14.25" customHeight="1">
      <c r="A5081" s="8">
        <f t="shared" si="19"/>
        <v>35</v>
      </c>
      <c r="B5081" s="8"/>
      <c r="C5081" s="8">
        <v>35</v>
      </c>
      <c r="D5081">
        <v>278</v>
      </c>
      <c r="E5081" t="s">
        <v>587</v>
      </c>
      <c r="F5081" t="s">
        <v>2011</v>
      </c>
      <c r="G5081" s="9">
        <v>44580</v>
      </c>
    </row>
    <row r="5082" spans="1:7" ht="14.25" customHeight="1">
      <c r="A5082" s="8">
        <f t="shared" si="19"/>
        <v>345</v>
      </c>
      <c r="B5082" s="8"/>
      <c r="C5082" s="8">
        <v>345</v>
      </c>
      <c r="D5082">
        <v>306</v>
      </c>
      <c r="E5082" t="s">
        <v>587</v>
      </c>
      <c r="F5082" t="s">
        <v>2012</v>
      </c>
      <c r="G5082" s="9">
        <v>44587</v>
      </c>
    </row>
    <row r="5083" spans="1:7" ht="14.25" customHeight="1">
      <c r="A5083" s="8">
        <f t="shared" si="19"/>
        <v>35</v>
      </c>
      <c r="B5083" s="8"/>
      <c r="C5083" s="8">
        <v>35</v>
      </c>
      <c r="D5083">
        <v>308</v>
      </c>
      <c r="E5083" t="s">
        <v>587</v>
      </c>
      <c r="F5083" t="s">
        <v>2013</v>
      </c>
      <c r="G5083" s="9">
        <v>44587</v>
      </c>
    </row>
    <row r="5084" spans="1:7" ht="14.25" customHeight="1">
      <c r="A5084" s="8">
        <f t="shared" si="19"/>
        <v>345</v>
      </c>
      <c r="B5084" s="8"/>
      <c r="C5084" s="8">
        <v>345</v>
      </c>
      <c r="D5084">
        <v>309</v>
      </c>
      <c r="E5084" t="s">
        <v>587</v>
      </c>
      <c r="F5084" t="s">
        <v>2014</v>
      </c>
      <c r="G5084" s="9">
        <v>44593</v>
      </c>
    </row>
    <row r="5085" spans="1:7" ht="14.25" customHeight="1">
      <c r="A5085" s="8">
        <f t="shared" si="19"/>
        <v>35</v>
      </c>
      <c r="B5085" s="8"/>
      <c r="C5085" s="8">
        <v>35</v>
      </c>
      <c r="D5085">
        <v>311</v>
      </c>
      <c r="E5085" t="s">
        <v>587</v>
      </c>
      <c r="F5085" t="s">
        <v>2014</v>
      </c>
      <c r="G5085" s="9">
        <v>44593</v>
      </c>
    </row>
    <row r="5086" spans="1:7" ht="14.25" customHeight="1">
      <c r="A5086" s="8">
        <f t="shared" si="19"/>
        <v>379</v>
      </c>
      <c r="B5086" s="8"/>
      <c r="C5086" s="8">
        <v>379</v>
      </c>
      <c r="D5086">
        <v>888</v>
      </c>
      <c r="E5086" t="s">
        <v>587</v>
      </c>
      <c r="F5086" t="s">
        <v>1571</v>
      </c>
      <c r="G5086" s="9">
        <v>44900</v>
      </c>
    </row>
    <row r="5087" spans="1:7" ht="14.25" customHeight="1">
      <c r="A5087" s="8">
        <f t="shared" si="19"/>
        <v>379</v>
      </c>
      <c r="B5087" s="8"/>
      <c r="C5087" s="8">
        <v>379</v>
      </c>
      <c r="D5087">
        <v>890</v>
      </c>
      <c r="E5087" t="s">
        <v>587</v>
      </c>
      <c r="F5087" t="s">
        <v>1571</v>
      </c>
      <c r="G5087" s="9">
        <v>44900</v>
      </c>
    </row>
    <row r="5088" spans="1:7" ht="14.25" customHeight="1">
      <c r="A5088" s="8">
        <f t="shared" si="19"/>
        <v>379</v>
      </c>
      <c r="B5088" s="8"/>
      <c r="C5088" s="8">
        <v>379</v>
      </c>
      <c r="D5088">
        <v>935</v>
      </c>
      <c r="E5088" t="s">
        <v>587</v>
      </c>
      <c r="F5088" t="s">
        <v>1595</v>
      </c>
      <c r="G5088" s="9">
        <v>44914</v>
      </c>
    </row>
    <row r="5089" spans="1:7" ht="14.25" customHeight="1">
      <c r="A5089" s="8">
        <f t="shared" si="19"/>
        <v>379</v>
      </c>
      <c r="B5089" s="8"/>
      <c r="C5089" s="8">
        <v>379</v>
      </c>
      <c r="D5089">
        <v>939</v>
      </c>
      <c r="E5089" t="s">
        <v>587</v>
      </c>
      <c r="F5089" t="s">
        <v>1595</v>
      </c>
      <c r="G5089" s="9">
        <v>44914</v>
      </c>
    </row>
    <row r="5090" spans="1:7" ht="14.25" customHeight="1">
      <c r="A5090" s="8">
        <f t="shared" si="19"/>
        <v>2657</v>
      </c>
      <c r="B5090" s="8"/>
      <c r="C5090" s="8">
        <v>2657</v>
      </c>
    </row>
    <row r="5091" spans="1:7" ht="14.25" customHeight="1">
      <c r="A5091" s="8">
        <f t="shared" si="19"/>
        <v>72804</v>
      </c>
      <c r="B5091" s="8"/>
      <c r="C5091" s="8">
        <v>72804</v>
      </c>
      <c r="E5091">
        <v>9704016</v>
      </c>
      <c r="F5091" t="s">
        <v>555</v>
      </c>
      <c r="G5091" t="s">
        <v>581</v>
      </c>
    </row>
    <row r="5092" spans="1:7" ht="14.25" customHeight="1">
      <c r="A5092" s="8">
        <f t="shared" si="19"/>
        <v>21585616</v>
      </c>
      <c r="B5092" s="8">
        <v>290950</v>
      </c>
      <c r="C5092" s="8">
        <v>21876566</v>
      </c>
      <c r="E5092">
        <v>97040</v>
      </c>
      <c r="F5092" t="s">
        <v>556</v>
      </c>
      <c r="G5092" t="s">
        <v>581</v>
      </c>
    </row>
    <row r="5093" spans="1:7" ht="14.25" customHeight="1">
      <c r="A5093" s="8">
        <f t="shared" si="19"/>
        <v>0</v>
      </c>
      <c r="B5093" s="8"/>
      <c r="C5093" s="8"/>
      <c r="D5093" t="s">
        <v>557</v>
      </c>
      <c r="G5093">
        <v>9705308</v>
      </c>
    </row>
    <row r="5094" spans="1:7" ht="14.25" customHeight="1">
      <c r="A5094" s="8">
        <f t="shared" si="19"/>
        <v>0</v>
      </c>
      <c r="B5094" s="8"/>
      <c r="C5094" s="8"/>
      <c r="F5094" t="s">
        <v>1626</v>
      </c>
      <c r="G5094">
        <v>62430000</v>
      </c>
    </row>
    <row r="5095" spans="1:7" ht="14.25" customHeight="1">
      <c r="A5095" s="8">
        <f t="shared" si="19"/>
        <v>126695</v>
      </c>
      <c r="B5095" s="8"/>
      <c r="C5095" s="8">
        <v>126695</v>
      </c>
      <c r="D5095">
        <v>191</v>
      </c>
      <c r="E5095" t="s">
        <v>579</v>
      </c>
      <c r="F5095" t="s">
        <v>2015</v>
      </c>
      <c r="G5095" s="9">
        <v>44733</v>
      </c>
    </row>
    <row r="5096" spans="1:7" ht="14.25" customHeight="1">
      <c r="A5096" s="8">
        <f t="shared" si="19"/>
        <v>205987</v>
      </c>
      <c r="B5096" s="8"/>
      <c r="C5096" s="8">
        <v>205987</v>
      </c>
      <c r="D5096">
        <v>193</v>
      </c>
      <c r="E5096" t="s">
        <v>579</v>
      </c>
      <c r="F5096" t="s">
        <v>2016</v>
      </c>
      <c r="G5096" s="9">
        <v>44735</v>
      </c>
    </row>
    <row r="5097" spans="1:7" ht="14.25" customHeight="1">
      <c r="A5097" s="8">
        <f t="shared" si="19"/>
        <v>60950</v>
      </c>
      <c r="B5097" s="8"/>
      <c r="C5097" s="8">
        <v>60950</v>
      </c>
      <c r="D5097">
        <v>194</v>
      </c>
      <c r="E5097" t="s">
        <v>579</v>
      </c>
      <c r="F5097" t="s">
        <v>2017</v>
      </c>
      <c r="G5097" s="9">
        <v>44736</v>
      </c>
    </row>
    <row r="5098" spans="1:7" ht="14.25" customHeight="1">
      <c r="A5098" s="8">
        <f t="shared" si="19"/>
        <v>4600</v>
      </c>
      <c r="B5098" s="8"/>
      <c r="C5098" s="8">
        <v>4600</v>
      </c>
      <c r="D5098">
        <v>173</v>
      </c>
      <c r="E5098" t="s">
        <v>667</v>
      </c>
      <c r="F5098" t="s">
        <v>1634</v>
      </c>
      <c r="G5098" s="9">
        <v>44790</v>
      </c>
    </row>
    <row r="5099" spans="1:7" ht="14.25" customHeight="1">
      <c r="A5099" s="8">
        <f t="shared" si="19"/>
        <v>398232</v>
      </c>
      <c r="B5099" s="8"/>
      <c r="C5099" s="8">
        <v>398232</v>
      </c>
    </row>
    <row r="5100" spans="1:7" ht="14.25" customHeight="1">
      <c r="A5100" s="8">
        <f t="shared" si="19"/>
        <v>398232</v>
      </c>
      <c r="B5100" s="8"/>
      <c r="C5100" s="8">
        <v>398232</v>
      </c>
      <c r="E5100">
        <v>9705308</v>
      </c>
      <c r="F5100" t="s">
        <v>557</v>
      </c>
      <c r="G5100" t="s">
        <v>581</v>
      </c>
    </row>
    <row r="5101" spans="1:7" ht="14.25" customHeight="1">
      <c r="A5101" s="8">
        <f t="shared" si="19"/>
        <v>0</v>
      </c>
      <c r="B5101" s="8"/>
      <c r="C5101" s="8"/>
      <c r="D5101" t="s">
        <v>558</v>
      </c>
      <c r="G5101">
        <v>9706003</v>
      </c>
    </row>
    <row r="5102" spans="1:7" ht="14.25" customHeight="1">
      <c r="A5102" s="8">
        <f t="shared" ref="A5102:A5348" si="20">C5102-B5102</f>
        <v>0</v>
      </c>
      <c r="B5102" s="8"/>
      <c r="C5102" s="8"/>
      <c r="F5102" t="s">
        <v>1839</v>
      </c>
      <c r="G5102">
        <v>63420000</v>
      </c>
    </row>
    <row r="5103" spans="1:7" ht="14.25" customHeight="1">
      <c r="A5103" s="8">
        <f t="shared" si="20"/>
        <v>885500</v>
      </c>
      <c r="B5103" s="8"/>
      <c r="C5103" s="8">
        <v>885500</v>
      </c>
      <c r="D5103">
        <v>22</v>
      </c>
      <c r="E5103" t="s">
        <v>579</v>
      </c>
      <c r="F5103" t="s">
        <v>2018</v>
      </c>
      <c r="G5103" s="9">
        <v>44614</v>
      </c>
    </row>
    <row r="5104" spans="1:7" ht="14.25" customHeight="1">
      <c r="A5104" s="8">
        <f t="shared" si="20"/>
        <v>1027196</v>
      </c>
      <c r="B5104" s="8"/>
      <c r="C5104" s="8">
        <v>1027196</v>
      </c>
      <c r="D5104">
        <v>93</v>
      </c>
      <c r="E5104" t="s">
        <v>579</v>
      </c>
      <c r="F5104" t="s">
        <v>2019</v>
      </c>
      <c r="G5104" s="9">
        <v>44661</v>
      </c>
    </row>
    <row r="5105" spans="1:7" ht="14.25" customHeight="1">
      <c r="A5105" s="8">
        <f t="shared" si="20"/>
        <v>5704776</v>
      </c>
      <c r="B5105" s="8"/>
      <c r="C5105" s="8">
        <v>5704776</v>
      </c>
      <c r="D5105">
        <v>143</v>
      </c>
      <c r="E5105" t="s">
        <v>579</v>
      </c>
      <c r="F5105" t="s">
        <v>2020</v>
      </c>
      <c r="G5105" s="9">
        <v>44705</v>
      </c>
    </row>
    <row r="5106" spans="1:7" ht="14.25" customHeight="1">
      <c r="A5106" s="8">
        <f t="shared" si="20"/>
        <v>3749000</v>
      </c>
      <c r="B5106" s="8"/>
      <c r="C5106" s="8">
        <v>3749000</v>
      </c>
      <c r="D5106">
        <v>238</v>
      </c>
      <c r="E5106" t="s">
        <v>579</v>
      </c>
      <c r="F5106" t="s">
        <v>2021</v>
      </c>
      <c r="G5106" s="9">
        <v>44749</v>
      </c>
    </row>
    <row r="5107" spans="1:7" ht="14.25" customHeight="1">
      <c r="A5107" s="8">
        <f t="shared" si="20"/>
        <v>11366472</v>
      </c>
      <c r="B5107" s="8"/>
      <c r="C5107" s="8">
        <v>11366472</v>
      </c>
    </row>
    <row r="5108" spans="1:7" ht="14.25" customHeight="1">
      <c r="A5108" s="8">
        <f t="shared" si="20"/>
        <v>11366472</v>
      </c>
      <c r="B5108" s="8"/>
      <c r="C5108" s="8">
        <v>11366472</v>
      </c>
      <c r="E5108">
        <v>9706003</v>
      </c>
      <c r="F5108" t="s">
        <v>558</v>
      </c>
      <c r="G5108" t="s">
        <v>581</v>
      </c>
    </row>
    <row r="5109" spans="1:7" ht="14.25" customHeight="1">
      <c r="A5109" s="8">
        <f t="shared" si="20"/>
        <v>0</v>
      </c>
      <c r="B5109" s="8"/>
      <c r="C5109" s="8"/>
      <c r="D5109" t="s">
        <v>559</v>
      </c>
      <c r="G5109">
        <v>9706005</v>
      </c>
    </row>
    <row r="5110" spans="1:7" ht="14.25" customHeight="1">
      <c r="A5110" s="8">
        <f t="shared" si="20"/>
        <v>0</v>
      </c>
      <c r="B5110" s="8"/>
      <c r="C5110" s="8"/>
      <c r="F5110" t="s">
        <v>582</v>
      </c>
      <c r="G5110">
        <v>63240000</v>
      </c>
    </row>
    <row r="5111" spans="1:7" ht="14.25" customHeight="1">
      <c r="A5111" s="8">
        <f t="shared" si="20"/>
        <v>327750</v>
      </c>
      <c r="B5111" s="8"/>
      <c r="C5111" s="8">
        <v>327750</v>
      </c>
      <c r="D5111">
        <v>683</v>
      </c>
      <c r="E5111" t="s">
        <v>587</v>
      </c>
      <c r="F5111" t="s">
        <v>2022</v>
      </c>
      <c r="G5111" s="9">
        <v>44753</v>
      </c>
    </row>
    <row r="5112" spans="1:7" ht="14.25" customHeight="1">
      <c r="A5112" s="8">
        <f t="shared" si="20"/>
        <v>327750</v>
      </c>
      <c r="B5112" s="8"/>
      <c r="C5112" s="8">
        <v>327750</v>
      </c>
    </row>
    <row r="5113" spans="1:7" ht="14.25" customHeight="1">
      <c r="A5113" s="8">
        <f t="shared" si="20"/>
        <v>327750</v>
      </c>
      <c r="B5113" s="8"/>
      <c r="C5113" s="8">
        <v>327750</v>
      </c>
      <c r="E5113">
        <v>9706005</v>
      </c>
      <c r="F5113" t="s">
        <v>559</v>
      </c>
      <c r="G5113" t="s">
        <v>581</v>
      </c>
    </row>
    <row r="5114" spans="1:7" ht="14.25" customHeight="1">
      <c r="A5114" s="8">
        <f t="shared" si="20"/>
        <v>0</v>
      </c>
      <c r="B5114" s="8"/>
      <c r="C5114" s="8"/>
      <c r="D5114" t="s">
        <v>560</v>
      </c>
      <c r="G5114">
        <v>9706016</v>
      </c>
    </row>
    <row r="5115" spans="1:7" ht="14.25" customHeight="1">
      <c r="A5115" s="8">
        <f t="shared" si="20"/>
        <v>0</v>
      </c>
      <c r="B5115" s="8"/>
      <c r="C5115" s="8"/>
      <c r="F5115" t="s">
        <v>1202</v>
      </c>
      <c r="G5115">
        <v>63180000</v>
      </c>
    </row>
    <row r="5116" spans="1:7" ht="14.25" customHeight="1">
      <c r="A5116" s="8">
        <f t="shared" si="20"/>
        <v>33592</v>
      </c>
      <c r="B5116" s="8"/>
      <c r="C5116" s="8">
        <v>33592</v>
      </c>
      <c r="D5116">
        <v>684</v>
      </c>
      <c r="E5116" t="s">
        <v>587</v>
      </c>
      <c r="F5116" t="s">
        <v>2023</v>
      </c>
      <c r="G5116" s="9">
        <v>44753</v>
      </c>
    </row>
    <row r="5117" spans="1:7" ht="14.25" customHeight="1">
      <c r="A5117" s="8">
        <f t="shared" si="20"/>
        <v>25541</v>
      </c>
      <c r="B5117" s="8"/>
      <c r="C5117" s="8">
        <v>25541</v>
      </c>
      <c r="D5117">
        <v>690</v>
      </c>
      <c r="E5117" t="s">
        <v>587</v>
      </c>
      <c r="F5117" t="s">
        <v>2024</v>
      </c>
      <c r="G5117" s="9">
        <v>44768</v>
      </c>
    </row>
    <row r="5118" spans="1:7" ht="14.25" customHeight="1">
      <c r="A5118" s="8">
        <f t="shared" si="20"/>
        <v>10879</v>
      </c>
      <c r="B5118" s="8"/>
      <c r="C5118" s="8">
        <v>10879</v>
      </c>
      <c r="D5118">
        <v>158</v>
      </c>
      <c r="E5118" t="s">
        <v>594</v>
      </c>
      <c r="F5118" t="s">
        <v>2025</v>
      </c>
      <c r="G5118" s="9">
        <v>44872</v>
      </c>
    </row>
    <row r="5119" spans="1:7" ht="14.25" customHeight="1">
      <c r="A5119" s="8">
        <f t="shared" si="20"/>
        <v>70012</v>
      </c>
      <c r="B5119" s="8"/>
      <c r="C5119" s="8">
        <v>70012</v>
      </c>
    </row>
    <row r="5120" spans="1:7" ht="14.25" customHeight="1">
      <c r="A5120" s="8">
        <f t="shared" si="20"/>
        <v>0</v>
      </c>
      <c r="B5120" s="8"/>
      <c r="C5120" s="8"/>
      <c r="F5120" t="s">
        <v>1559</v>
      </c>
      <c r="G5120">
        <v>63181000</v>
      </c>
    </row>
    <row r="5121" spans="1:7" ht="14.25" customHeight="1">
      <c r="A5121" s="8">
        <f t="shared" si="20"/>
        <v>14340</v>
      </c>
      <c r="B5121" s="8"/>
      <c r="C5121" s="8">
        <v>14340</v>
      </c>
      <c r="D5121">
        <v>171</v>
      </c>
      <c r="E5121" t="s">
        <v>594</v>
      </c>
      <c r="F5121" t="s">
        <v>2026</v>
      </c>
      <c r="G5121" s="9">
        <v>44893</v>
      </c>
    </row>
    <row r="5122" spans="1:7" ht="14.25" customHeight="1">
      <c r="A5122" s="8">
        <f t="shared" si="20"/>
        <v>14340</v>
      </c>
      <c r="B5122" s="8"/>
      <c r="C5122" s="8">
        <v>14340</v>
      </c>
    </row>
    <row r="5123" spans="1:7" ht="14.25" customHeight="1">
      <c r="A5123" s="8">
        <f t="shared" si="20"/>
        <v>84353</v>
      </c>
      <c r="B5123" s="8"/>
      <c r="C5123" s="8">
        <v>84353</v>
      </c>
      <c r="E5123">
        <v>9706016</v>
      </c>
      <c r="F5123" t="s">
        <v>560</v>
      </c>
      <c r="G5123" t="s">
        <v>581</v>
      </c>
    </row>
    <row r="5124" spans="1:7" ht="14.25" customHeight="1">
      <c r="A5124" s="8">
        <f t="shared" si="20"/>
        <v>61172239</v>
      </c>
      <c r="B5124" s="8">
        <v>290950</v>
      </c>
      <c r="C5124" s="8">
        <v>61463189</v>
      </c>
      <c r="E5124">
        <v>97</v>
      </c>
      <c r="F5124" t="s">
        <v>561</v>
      </c>
      <c r="G5124" t="s">
        <v>581</v>
      </c>
    </row>
    <row r="5125" spans="1:7" ht="14.25" customHeight="1">
      <c r="A5125" s="8">
        <f t="shared" si="20"/>
        <v>0</v>
      </c>
      <c r="B5125" s="8"/>
      <c r="C5125" s="8"/>
      <c r="D5125" t="s">
        <v>562</v>
      </c>
      <c r="G5125">
        <v>9801010</v>
      </c>
    </row>
    <row r="5126" spans="1:7" ht="14.25" customHeight="1">
      <c r="A5126" s="8">
        <f t="shared" si="20"/>
        <v>0</v>
      </c>
      <c r="B5126" s="8"/>
      <c r="C5126" s="8"/>
      <c r="F5126" t="s">
        <v>2027</v>
      </c>
      <c r="G5126">
        <v>66120000</v>
      </c>
    </row>
    <row r="5127" spans="1:7" ht="14.25" customHeight="1">
      <c r="A5127" s="8">
        <f t="shared" si="20"/>
        <v>-4600000</v>
      </c>
      <c r="B5127" s="8">
        <v>4600000</v>
      </c>
      <c r="C5127" s="8"/>
      <c r="D5127">
        <v>380</v>
      </c>
      <c r="E5127" t="s">
        <v>594</v>
      </c>
      <c r="F5127" t="s">
        <v>2028</v>
      </c>
      <c r="G5127" s="9">
        <v>44925</v>
      </c>
    </row>
    <row r="5128" spans="1:7" ht="14.25" customHeight="1">
      <c r="A5128" s="8">
        <f t="shared" si="20"/>
        <v>-4600000</v>
      </c>
      <c r="B5128" s="8">
        <v>4600000</v>
      </c>
      <c r="C5128" s="8"/>
    </row>
    <row r="5129" spans="1:7" ht="14.25" customHeight="1">
      <c r="A5129" s="8">
        <f t="shared" si="20"/>
        <v>0</v>
      </c>
      <c r="B5129" s="8"/>
      <c r="C5129" s="8"/>
      <c r="F5129" t="s">
        <v>2029</v>
      </c>
      <c r="G5129">
        <v>66130000</v>
      </c>
    </row>
    <row r="5130" spans="1:7" ht="14.25" customHeight="1">
      <c r="A5130" s="8">
        <f t="shared" si="20"/>
        <v>-4044371</v>
      </c>
      <c r="B5130" s="8">
        <v>4044371</v>
      </c>
      <c r="C5130" s="8"/>
      <c r="D5130">
        <v>212</v>
      </c>
      <c r="E5130" t="s">
        <v>594</v>
      </c>
      <c r="F5130" t="s">
        <v>2030</v>
      </c>
      <c r="G5130" s="9">
        <v>44925</v>
      </c>
    </row>
    <row r="5131" spans="1:7" ht="14.25" customHeight="1">
      <c r="A5131" s="8">
        <f t="shared" si="20"/>
        <v>5720312</v>
      </c>
      <c r="B5131" s="8"/>
      <c r="C5131" s="8">
        <v>5720312</v>
      </c>
      <c r="D5131">
        <v>214</v>
      </c>
      <c r="E5131" t="s">
        <v>594</v>
      </c>
      <c r="F5131" t="s">
        <v>2031</v>
      </c>
      <c r="G5131" s="9">
        <v>44925</v>
      </c>
    </row>
    <row r="5132" spans="1:7" ht="14.25" customHeight="1">
      <c r="A5132" s="8">
        <f t="shared" si="20"/>
        <v>1675941</v>
      </c>
      <c r="B5132" s="8">
        <v>4044371</v>
      </c>
      <c r="C5132" s="8">
        <v>5720312</v>
      </c>
    </row>
    <row r="5133" spans="1:7" ht="14.25" customHeight="1">
      <c r="A5133" s="8">
        <f t="shared" si="20"/>
        <v>0</v>
      </c>
      <c r="B5133" s="8"/>
      <c r="C5133" s="8"/>
      <c r="F5133" t="s">
        <v>2032</v>
      </c>
      <c r="G5133">
        <v>6910000</v>
      </c>
    </row>
    <row r="5134" spans="1:7" ht="14.25" customHeight="1">
      <c r="A5134" s="8">
        <f t="shared" si="20"/>
        <v>17114893</v>
      </c>
      <c r="B5134" s="8"/>
      <c r="C5134" s="8">
        <v>17114893</v>
      </c>
      <c r="D5134">
        <v>215</v>
      </c>
      <c r="E5134" t="s">
        <v>594</v>
      </c>
      <c r="F5134" t="s">
        <v>2033</v>
      </c>
      <c r="G5134" s="9">
        <v>44925</v>
      </c>
    </row>
    <row r="5135" spans="1:7" ht="14.25" customHeight="1">
      <c r="A5135" s="8">
        <f t="shared" si="20"/>
        <v>-17114893</v>
      </c>
      <c r="B5135" s="8">
        <v>17114893</v>
      </c>
      <c r="C5135" s="8"/>
      <c r="D5135">
        <v>319</v>
      </c>
      <c r="E5135" t="s">
        <v>594</v>
      </c>
      <c r="F5135" t="s">
        <v>2034</v>
      </c>
      <c r="G5135" s="9">
        <v>44925</v>
      </c>
    </row>
    <row r="5136" spans="1:7" ht="14.25" customHeight="1">
      <c r="A5136" s="8">
        <f t="shared" si="20"/>
        <v>0</v>
      </c>
      <c r="B5136" s="8">
        <v>17114893</v>
      </c>
      <c r="C5136" s="8">
        <v>17114893</v>
      </c>
    </row>
    <row r="5137" spans="1:7" ht="14.25" customHeight="1">
      <c r="A5137" s="8">
        <f t="shared" si="20"/>
        <v>0</v>
      </c>
      <c r="B5137" s="8"/>
      <c r="C5137" s="8"/>
      <c r="F5137" t="s">
        <v>2035</v>
      </c>
      <c r="G5137">
        <v>7910000</v>
      </c>
    </row>
    <row r="5138" spans="1:7" ht="14.25" customHeight="1">
      <c r="A5138" s="8">
        <f t="shared" si="20"/>
        <v>-13711560</v>
      </c>
      <c r="B5138" s="8">
        <v>13711560</v>
      </c>
      <c r="C5138" s="8"/>
      <c r="D5138">
        <v>213</v>
      </c>
      <c r="E5138" t="s">
        <v>594</v>
      </c>
      <c r="F5138" t="s">
        <v>2036</v>
      </c>
      <c r="G5138" s="9">
        <v>44925</v>
      </c>
    </row>
    <row r="5139" spans="1:7" ht="14.25" customHeight="1">
      <c r="A5139" s="8">
        <f t="shared" si="20"/>
        <v>-13711560</v>
      </c>
      <c r="B5139" s="8">
        <v>13711560</v>
      </c>
      <c r="C5139" s="8"/>
    </row>
    <row r="5140" spans="1:7" ht="14.25" customHeight="1">
      <c r="A5140" s="8">
        <f t="shared" si="20"/>
        <v>-16635619</v>
      </c>
      <c r="B5140" s="8">
        <v>39470824</v>
      </c>
      <c r="C5140" s="8">
        <v>22835205</v>
      </c>
      <c r="E5140">
        <v>9801010</v>
      </c>
      <c r="F5140" t="s">
        <v>562</v>
      </c>
      <c r="G5140" t="s">
        <v>581</v>
      </c>
    </row>
    <row r="5141" spans="1:7" ht="14.25" customHeight="1">
      <c r="A5141" s="8">
        <f t="shared" si="20"/>
        <v>0</v>
      </c>
      <c r="B5141" s="8"/>
      <c r="C5141" s="8"/>
      <c r="D5141" t="s">
        <v>563</v>
      </c>
      <c r="G5141">
        <v>9804007</v>
      </c>
    </row>
    <row r="5142" spans="1:7" ht="14.25" customHeight="1">
      <c r="A5142" s="8">
        <f t="shared" si="20"/>
        <v>0</v>
      </c>
      <c r="B5142" s="8"/>
      <c r="C5142" s="8"/>
      <c r="F5142" t="s">
        <v>2037</v>
      </c>
      <c r="G5142">
        <v>60520000</v>
      </c>
    </row>
    <row r="5143" spans="1:7" ht="14.25" customHeight="1">
      <c r="A5143" s="8">
        <f t="shared" si="20"/>
        <v>213440</v>
      </c>
      <c r="B5143" s="8"/>
      <c r="C5143" s="8">
        <v>213440</v>
      </c>
      <c r="D5143">
        <v>39</v>
      </c>
      <c r="E5143" t="s">
        <v>579</v>
      </c>
      <c r="F5143" t="s">
        <v>2038</v>
      </c>
      <c r="G5143" s="9">
        <v>44622</v>
      </c>
    </row>
    <row r="5144" spans="1:7" ht="14.25" customHeight="1">
      <c r="A5144" s="8">
        <f t="shared" si="20"/>
        <v>253529</v>
      </c>
      <c r="B5144" s="8"/>
      <c r="C5144" s="8">
        <v>253529</v>
      </c>
      <c r="D5144">
        <v>126</v>
      </c>
      <c r="E5144" t="s">
        <v>579</v>
      </c>
      <c r="F5144" t="s">
        <v>2039</v>
      </c>
      <c r="G5144" s="9">
        <v>44691</v>
      </c>
    </row>
    <row r="5145" spans="1:7" ht="14.25" customHeight="1">
      <c r="A5145" s="8">
        <f t="shared" si="20"/>
        <v>223146</v>
      </c>
      <c r="B5145" s="8"/>
      <c r="C5145" s="8">
        <v>223146</v>
      </c>
      <c r="D5145">
        <v>202</v>
      </c>
      <c r="E5145" t="s">
        <v>579</v>
      </c>
      <c r="F5145" t="s">
        <v>2040</v>
      </c>
      <c r="G5145" s="9">
        <v>44741</v>
      </c>
    </row>
    <row r="5146" spans="1:7" ht="14.25" customHeight="1">
      <c r="A5146" s="8">
        <f t="shared" si="20"/>
        <v>197024</v>
      </c>
      <c r="B5146" s="8"/>
      <c r="C5146" s="8">
        <v>197024</v>
      </c>
      <c r="D5146">
        <v>253</v>
      </c>
      <c r="E5146" t="s">
        <v>579</v>
      </c>
      <c r="F5146" t="s">
        <v>2041</v>
      </c>
      <c r="G5146" s="9">
        <v>44804</v>
      </c>
    </row>
    <row r="5147" spans="1:7" ht="14.25" customHeight="1">
      <c r="A5147" s="8">
        <f t="shared" si="20"/>
        <v>121888</v>
      </c>
      <c r="B5147" s="8"/>
      <c r="C5147" s="8">
        <v>121888</v>
      </c>
      <c r="D5147">
        <v>338</v>
      </c>
      <c r="E5147" t="s">
        <v>579</v>
      </c>
      <c r="F5147" t="s">
        <v>2042</v>
      </c>
      <c r="G5147" s="9">
        <v>44861</v>
      </c>
    </row>
    <row r="5148" spans="1:7" ht="14.25" customHeight="1">
      <c r="A5148" s="8">
        <f t="shared" si="20"/>
        <v>193263</v>
      </c>
      <c r="B5148" s="8"/>
      <c r="C5148" s="8">
        <v>193263</v>
      </c>
      <c r="D5148">
        <v>429</v>
      </c>
      <c r="E5148" t="s">
        <v>579</v>
      </c>
      <c r="F5148" t="s">
        <v>2043</v>
      </c>
      <c r="G5148" s="9">
        <v>44923</v>
      </c>
    </row>
    <row r="5149" spans="1:7" ht="14.25" customHeight="1">
      <c r="A5149" s="8">
        <f t="shared" si="20"/>
        <v>1202291</v>
      </c>
      <c r="B5149" s="8"/>
      <c r="C5149" s="8">
        <v>1202291</v>
      </c>
    </row>
    <row r="5150" spans="1:7" ht="14.25" customHeight="1">
      <c r="A5150" s="8">
        <f t="shared" si="20"/>
        <v>0</v>
      </c>
      <c r="B5150" s="8"/>
      <c r="C5150" s="8"/>
      <c r="F5150" t="s">
        <v>2044</v>
      </c>
      <c r="G5150">
        <v>62220000</v>
      </c>
    </row>
    <row r="5151" spans="1:7" ht="14.25" customHeight="1">
      <c r="A5151" s="8">
        <f t="shared" si="20"/>
        <v>754351</v>
      </c>
      <c r="B5151" s="8"/>
      <c r="C5151" s="8">
        <v>754351</v>
      </c>
      <c r="D5151">
        <v>35</v>
      </c>
      <c r="E5151" t="s">
        <v>579</v>
      </c>
      <c r="F5151" t="s">
        <v>2045</v>
      </c>
      <c r="G5151" s="9">
        <v>44592</v>
      </c>
    </row>
    <row r="5152" spans="1:7" ht="14.25" customHeight="1">
      <c r="A5152" s="8">
        <f t="shared" si="20"/>
        <v>754351</v>
      </c>
      <c r="B5152" s="8"/>
      <c r="C5152" s="8">
        <v>754351</v>
      </c>
      <c r="D5152">
        <v>26</v>
      </c>
      <c r="E5152" t="s">
        <v>579</v>
      </c>
      <c r="F5152" t="s">
        <v>2046</v>
      </c>
      <c r="G5152" s="9">
        <v>44620</v>
      </c>
    </row>
    <row r="5153" spans="1:7" ht="14.25" customHeight="1">
      <c r="A5153" s="8">
        <f t="shared" si="20"/>
        <v>754351</v>
      </c>
      <c r="B5153" s="8"/>
      <c r="C5153" s="8">
        <v>754351</v>
      </c>
      <c r="D5153">
        <v>40</v>
      </c>
      <c r="E5153" t="s">
        <v>579</v>
      </c>
      <c r="F5153" t="s">
        <v>2047</v>
      </c>
      <c r="G5153" s="9">
        <v>44623</v>
      </c>
    </row>
    <row r="5154" spans="1:7" ht="14.25" customHeight="1">
      <c r="A5154" s="8">
        <f t="shared" si="20"/>
        <v>754351</v>
      </c>
      <c r="B5154" s="8"/>
      <c r="C5154" s="8">
        <v>754351</v>
      </c>
      <c r="D5154">
        <v>107</v>
      </c>
      <c r="E5154" t="s">
        <v>579</v>
      </c>
      <c r="F5154" t="s">
        <v>2048</v>
      </c>
      <c r="G5154" s="9">
        <v>44681</v>
      </c>
    </row>
    <row r="5155" spans="1:7" ht="14.25" customHeight="1">
      <c r="A5155" s="8">
        <f t="shared" si="20"/>
        <v>754351</v>
      </c>
      <c r="B5155" s="8"/>
      <c r="C5155" s="8">
        <v>754351</v>
      </c>
      <c r="D5155">
        <v>138</v>
      </c>
      <c r="E5155" t="s">
        <v>579</v>
      </c>
      <c r="F5155" t="s">
        <v>2049</v>
      </c>
      <c r="G5155" s="9">
        <v>44701</v>
      </c>
    </row>
    <row r="5156" spans="1:7" ht="14.25" customHeight="1">
      <c r="A5156" s="8">
        <f t="shared" si="20"/>
        <v>754351</v>
      </c>
      <c r="B5156" s="8"/>
      <c r="C5156" s="8">
        <v>754351</v>
      </c>
      <c r="D5156">
        <v>206</v>
      </c>
      <c r="E5156" t="s">
        <v>579</v>
      </c>
      <c r="F5156" t="s">
        <v>2050</v>
      </c>
      <c r="G5156" s="9">
        <v>44742</v>
      </c>
    </row>
    <row r="5157" spans="1:7" ht="14.25" customHeight="1">
      <c r="A5157" s="8">
        <f t="shared" si="20"/>
        <v>905220</v>
      </c>
      <c r="B5157" s="8"/>
      <c r="C5157" s="8">
        <v>905220</v>
      </c>
      <c r="D5157">
        <v>243</v>
      </c>
      <c r="E5157" t="s">
        <v>579</v>
      </c>
      <c r="F5157" t="s">
        <v>2051</v>
      </c>
      <c r="G5157" s="9">
        <v>44768</v>
      </c>
    </row>
    <row r="5158" spans="1:7" ht="14.25" customHeight="1">
      <c r="A5158" s="8">
        <f t="shared" si="20"/>
        <v>905220</v>
      </c>
      <c r="B5158" s="8"/>
      <c r="C5158" s="8">
        <v>905220</v>
      </c>
      <c r="D5158">
        <v>255</v>
      </c>
      <c r="E5158" t="s">
        <v>579</v>
      </c>
      <c r="F5158" t="s">
        <v>2052</v>
      </c>
      <c r="G5158" s="9">
        <v>44804</v>
      </c>
    </row>
    <row r="5159" spans="1:7" ht="14.25" customHeight="1">
      <c r="A5159" s="8">
        <f t="shared" si="20"/>
        <v>905220</v>
      </c>
      <c r="B5159" s="8"/>
      <c r="C5159" s="8">
        <v>905220</v>
      </c>
      <c r="D5159">
        <v>304</v>
      </c>
      <c r="E5159" t="s">
        <v>579</v>
      </c>
      <c r="F5159" t="s">
        <v>2053</v>
      </c>
      <c r="G5159" s="9">
        <v>44832</v>
      </c>
    </row>
    <row r="5160" spans="1:7" ht="14.25" customHeight="1">
      <c r="A5160" s="8">
        <f t="shared" si="20"/>
        <v>905220</v>
      </c>
      <c r="B5160" s="8"/>
      <c r="C5160" s="8">
        <v>905220</v>
      </c>
      <c r="D5160">
        <v>390</v>
      </c>
      <c r="E5160" t="s">
        <v>579</v>
      </c>
      <c r="F5160" t="s">
        <v>2054</v>
      </c>
      <c r="G5160" s="9">
        <v>44896</v>
      </c>
    </row>
    <row r="5161" spans="1:7" ht="14.25" customHeight="1">
      <c r="A5161" s="8">
        <f t="shared" si="20"/>
        <v>905220</v>
      </c>
      <c r="B5161" s="8"/>
      <c r="C5161" s="8">
        <v>905220</v>
      </c>
      <c r="D5161">
        <v>391</v>
      </c>
      <c r="E5161" t="s">
        <v>579</v>
      </c>
      <c r="F5161" t="s">
        <v>2055</v>
      </c>
      <c r="G5161" s="9">
        <v>44896</v>
      </c>
    </row>
    <row r="5162" spans="1:7" ht="14.25" customHeight="1">
      <c r="A5162" s="8">
        <f t="shared" si="20"/>
        <v>905220</v>
      </c>
      <c r="B5162" s="8"/>
      <c r="C5162" s="8">
        <v>905220</v>
      </c>
      <c r="D5162">
        <v>392</v>
      </c>
      <c r="E5162" t="s">
        <v>579</v>
      </c>
      <c r="F5162" t="s">
        <v>2056</v>
      </c>
      <c r="G5162" s="9">
        <v>44896</v>
      </c>
    </row>
    <row r="5163" spans="1:7" ht="14.25" customHeight="1">
      <c r="A5163" s="8">
        <f t="shared" si="20"/>
        <v>9957425</v>
      </c>
      <c r="B5163" s="8"/>
      <c r="C5163" s="8">
        <v>9957425</v>
      </c>
    </row>
    <row r="5164" spans="1:7" ht="14.25" customHeight="1">
      <c r="A5164" s="8">
        <f t="shared" si="20"/>
        <v>11159715</v>
      </c>
      <c r="B5164" s="8"/>
      <c r="C5164" s="8">
        <v>11159715</v>
      </c>
      <c r="E5164">
        <v>9804007</v>
      </c>
      <c r="F5164" t="s">
        <v>563</v>
      </c>
      <c r="G5164" t="s">
        <v>581</v>
      </c>
    </row>
    <row r="5165" spans="1:7" ht="14.25" customHeight="1">
      <c r="A5165" s="8">
        <f t="shared" si="20"/>
        <v>0</v>
      </c>
      <c r="B5165" s="8"/>
      <c r="C5165" s="8"/>
      <c r="D5165" t="s">
        <v>564</v>
      </c>
      <c r="G5165">
        <v>9804009</v>
      </c>
    </row>
    <row r="5166" spans="1:7" ht="14.25" customHeight="1">
      <c r="A5166" s="8">
        <f t="shared" si="20"/>
        <v>0</v>
      </c>
      <c r="B5166" s="8"/>
      <c r="C5166" s="8"/>
      <c r="F5166" t="s">
        <v>1262</v>
      </c>
      <c r="G5166">
        <v>62881000</v>
      </c>
    </row>
    <row r="5167" spans="1:7" ht="14.25" customHeight="1">
      <c r="A5167" s="8">
        <f t="shared" si="20"/>
        <v>56350</v>
      </c>
      <c r="B5167" s="8"/>
      <c r="C5167" s="8">
        <v>56350</v>
      </c>
      <c r="D5167">
        <v>26</v>
      </c>
      <c r="E5167" t="s">
        <v>587</v>
      </c>
      <c r="F5167" t="s">
        <v>2057</v>
      </c>
      <c r="G5167" s="9">
        <v>44588</v>
      </c>
    </row>
    <row r="5168" spans="1:7" ht="14.25" customHeight="1">
      <c r="A5168" s="8">
        <f t="shared" si="20"/>
        <v>56350</v>
      </c>
      <c r="B5168" s="8"/>
      <c r="C5168" s="8">
        <v>56350</v>
      </c>
      <c r="D5168">
        <v>52</v>
      </c>
      <c r="E5168" t="s">
        <v>587</v>
      </c>
      <c r="F5168" t="s">
        <v>2058</v>
      </c>
      <c r="G5168" s="9">
        <v>44616</v>
      </c>
    </row>
    <row r="5169" spans="1:7" ht="14.25" customHeight="1">
      <c r="A5169" s="8">
        <f t="shared" si="20"/>
        <v>56350</v>
      </c>
      <c r="B5169" s="8"/>
      <c r="C5169" s="8">
        <v>56350</v>
      </c>
      <c r="D5169">
        <v>60</v>
      </c>
      <c r="E5169" t="s">
        <v>587</v>
      </c>
      <c r="F5169" t="s">
        <v>2059</v>
      </c>
      <c r="G5169" s="9">
        <v>44645</v>
      </c>
    </row>
    <row r="5170" spans="1:7" ht="14.25" customHeight="1">
      <c r="A5170" s="8">
        <f t="shared" si="20"/>
        <v>56350</v>
      </c>
      <c r="B5170" s="8"/>
      <c r="C5170" s="8">
        <v>56350</v>
      </c>
      <c r="D5170">
        <v>109</v>
      </c>
      <c r="E5170" t="s">
        <v>587</v>
      </c>
      <c r="F5170" t="s">
        <v>2060</v>
      </c>
      <c r="G5170" s="9">
        <v>44677</v>
      </c>
    </row>
    <row r="5171" spans="1:7" ht="14.25" customHeight="1">
      <c r="A5171" s="8">
        <f t="shared" si="20"/>
        <v>56350</v>
      </c>
      <c r="B5171" s="8"/>
      <c r="C5171" s="8">
        <v>56350</v>
      </c>
      <c r="D5171">
        <v>150</v>
      </c>
      <c r="E5171" t="s">
        <v>587</v>
      </c>
      <c r="F5171" t="s">
        <v>2061</v>
      </c>
      <c r="G5171" s="9">
        <v>44711</v>
      </c>
    </row>
    <row r="5172" spans="1:7" ht="14.25" customHeight="1">
      <c r="A5172" s="8">
        <f t="shared" si="20"/>
        <v>56350</v>
      </c>
      <c r="B5172" s="8"/>
      <c r="C5172" s="8">
        <v>56350</v>
      </c>
      <c r="D5172">
        <v>213</v>
      </c>
      <c r="E5172" t="s">
        <v>587</v>
      </c>
      <c r="F5172" t="s">
        <v>2062</v>
      </c>
      <c r="G5172" s="9">
        <v>44740</v>
      </c>
    </row>
    <row r="5173" spans="1:7" ht="14.25" customHeight="1">
      <c r="A5173" s="8">
        <f t="shared" si="20"/>
        <v>56350</v>
      </c>
      <c r="B5173" s="8"/>
      <c r="C5173" s="8">
        <v>56350</v>
      </c>
      <c r="D5173">
        <v>39</v>
      </c>
      <c r="E5173" t="s">
        <v>1126</v>
      </c>
      <c r="F5173" t="s">
        <v>2063</v>
      </c>
      <c r="G5173" s="9">
        <v>44768</v>
      </c>
    </row>
    <row r="5174" spans="1:7" ht="14.25" customHeight="1">
      <c r="A5174" s="8">
        <f t="shared" si="20"/>
        <v>56350</v>
      </c>
      <c r="B5174" s="8"/>
      <c r="C5174" s="8">
        <v>56350</v>
      </c>
      <c r="D5174">
        <v>358</v>
      </c>
      <c r="E5174" t="s">
        <v>587</v>
      </c>
      <c r="F5174" t="s">
        <v>2064</v>
      </c>
      <c r="G5174" s="9">
        <v>44802</v>
      </c>
    </row>
    <row r="5175" spans="1:7" ht="14.25" customHeight="1">
      <c r="A5175" s="8">
        <f t="shared" si="20"/>
        <v>19840</v>
      </c>
      <c r="B5175" s="8"/>
      <c r="C5175" s="8">
        <v>19840</v>
      </c>
      <c r="D5175">
        <v>272</v>
      </c>
      <c r="E5175" t="s">
        <v>579</v>
      </c>
      <c r="F5175" t="s">
        <v>2065</v>
      </c>
      <c r="G5175" s="9">
        <v>44804</v>
      </c>
    </row>
    <row r="5176" spans="1:7" ht="14.25" customHeight="1">
      <c r="A5176" s="8">
        <f t="shared" si="20"/>
        <v>56350</v>
      </c>
      <c r="B5176" s="8"/>
      <c r="C5176" s="8">
        <v>56350</v>
      </c>
      <c r="D5176">
        <v>410</v>
      </c>
      <c r="E5176" t="s">
        <v>587</v>
      </c>
      <c r="F5176" t="s">
        <v>2066</v>
      </c>
      <c r="G5176" s="9">
        <v>44830</v>
      </c>
    </row>
    <row r="5177" spans="1:7" ht="14.25" customHeight="1">
      <c r="A5177" s="8">
        <f t="shared" si="20"/>
        <v>210220</v>
      </c>
      <c r="B5177" s="8"/>
      <c r="C5177" s="8">
        <v>210220</v>
      </c>
      <c r="D5177">
        <v>314</v>
      </c>
      <c r="E5177" t="s">
        <v>579</v>
      </c>
      <c r="F5177" t="s">
        <v>2067</v>
      </c>
      <c r="G5177" s="9">
        <v>44855</v>
      </c>
    </row>
    <row r="5178" spans="1:7" ht="14.25" customHeight="1">
      <c r="A5178" s="8">
        <f t="shared" si="20"/>
        <v>56350</v>
      </c>
      <c r="B5178" s="8"/>
      <c r="C5178" s="8">
        <v>56350</v>
      </c>
      <c r="D5178">
        <v>448</v>
      </c>
      <c r="E5178" t="s">
        <v>587</v>
      </c>
      <c r="F5178" t="s">
        <v>2068</v>
      </c>
      <c r="G5178" s="9">
        <v>44859</v>
      </c>
    </row>
    <row r="5179" spans="1:7" ht="14.25" customHeight="1">
      <c r="A5179" s="8">
        <f t="shared" si="20"/>
        <v>56350</v>
      </c>
      <c r="B5179" s="8"/>
      <c r="C5179" s="8">
        <v>56350</v>
      </c>
      <c r="D5179">
        <v>782</v>
      </c>
      <c r="E5179" t="s">
        <v>587</v>
      </c>
      <c r="F5179" t="s">
        <v>2069</v>
      </c>
      <c r="G5179" s="9">
        <v>44893</v>
      </c>
    </row>
    <row r="5180" spans="1:7" ht="14.25" customHeight="1">
      <c r="A5180" s="8">
        <f t="shared" si="20"/>
        <v>849910</v>
      </c>
      <c r="B5180" s="8"/>
      <c r="C5180" s="8">
        <v>849910</v>
      </c>
    </row>
    <row r="5181" spans="1:7" ht="14.25" customHeight="1">
      <c r="A5181" s="8">
        <f t="shared" si="20"/>
        <v>0</v>
      </c>
      <c r="B5181" s="8"/>
      <c r="C5181" s="8"/>
      <c r="F5181" t="s">
        <v>1607</v>
      </c>
      <c r="G5181">
        <v>65890</v>
      </c>
    </row>
    <row r="5182" spans="1:7" ht="14.25" customHeight="1">
      <c r="A5182" s="8">
        <f t="shared" si="20"/>
        <v>88011</v>
      </c>
      <c r="B5182" s="8"/>
      <c r="C5182" s="8">
        <v>88011</v>
      </c>
      <c r="D5182">
        <v>119</v>
      </c>
      <c r="E5182" t="s">
        <v>579</v>
      </c>
      <c r="F5182" t="s">
        <v>2070</v>
      </c>
      <c r="G5182" s="9">
        <v>44686</v>
      </c>
    </row>
    <row r="5183" spans="1:7" ht="14.25" customHeight="1">
      <c r="A5183" s="8">
        <f t="shared" si="20"/>
        <v>88011</v>
      </c>
      <c r="B5183" s="8"/>
      <c r="C5183" s="8">
        <v>88011</v>
      </c>
    </row>
    <row r="5184" spans="1:7" ht="14.25" customHeight="1">
      <c r="A5184" s="8">
        <f t="shared" si="20"/>
        <v>937920</v>
      </c>
      <c r="B5184" s="8"/>
      <c r="C5184" s="8">
        <v>937920</v>
      </c>
      <c r="E5184">
        <v>9804009</v>
      </c>
      <c r="F5184" t="s">
        <v>564</v>
      </c>
      <c r="G5184" t="s">
        <v>581</v>
      </c>
    </row>
    <row r="5185" spans="1:7" ht="14.25" customHeight="1">
      <c r="A5185" s="8">
        <f t="shared" si="20"/>
        <v>0</v>
      </c>
      <c r="B5185" s="8"/>
      <c r="C5185" s="8"/>
      <c r="D5185" t="s">
        <v>565</v>
      </c>
      <c r="G5185">
        <v>9804011</v>
      </c>
    </row>
    <row r="5186" spans="1:7" ht="14.25" customHeight="1">
      <c r="A5186" s="8">
        <f t="shared" si="20"/>
        <v>0</v>
      </c>
      <c r="B5186" s="8"/>
      <c r="C5186" s="8"/>
      <c r="F5186" t="s">
        <v>2071</v>
      </c>
      <c r="G5186">
        <v>62530000</v>
      </c>
    </row>
    <row r="5187" spans="1:7" ht="14.25" customHeight="1">
      <c r="A5187" s="8">
        <f t="shared" si="20"/>
        <v>594395</v>
      </c>
      <c r="B5187" s="8"/>
      <c r="C5187" s="8">
        <v>594395</v>
      </c>
      <c r="D5187">
        <v>218</v>
      </c>
      <c r="E5187" t="s">
        <v>579</v>
      </c>
      <c r="F5187" t="s">
        <v>2072</v>
      </c>
      <c r="G5187" s="9">
        <v>44743</v>
      </c>
    </row>
    <row r="5188" spans="1:7" ht="14.25" customHeight="1">
      <c r="A5188" s="8">
        <f t="shared" si="20"/>
        <v>594395</v>
      </c>
      <c r="B5188" s="8"/>
      <c r="C5188" s="8">
        <v>594395</v>
      </c>
    </row>
    <row r="5189" spans="1:7" ht="14.25" customHeight="1">
      <c r="A5189" s="8">
        <f t="shared" si="20"/>
        <v>594395</v>
      </c>
      <c r="B5189" s="8"/>
      <c r="C5189" s="8">
        <v>594395</v>
      </c>
      <c r="E5189">
        <v>9804011</v>
      </c>
      <c r="F5189" t="s">
        <v>565</v>
      </c>
      <c r="G5189" t="s">
        <v>581</v>
      </c>
    </row>
    <row r="5190" spans="1:7" ht="14.25" customHeight="1">
      <c r="A5190" s="8">
        <f t="shared" si="20"/>
        <v>0</v>
      </c>
      <c r="B5190" s="8"/>
      <c r="C5190" s="8"/>
      <c r="D5190" t="s">
        <v>566</v>
      </c>
      <c r="G5190">
        <v>9804015</v>
      </c>
    </row>
    <row r="5191" spans="1:7" ht="14.25" customHeight="1">
      <c r="A5191" s="8">
        <f t="shared" si="20"/>
        <v>0</v>
      </c>
      <c r="B5191" s="8"/>
      <c r="C5191" s="8"/>
      <c r="F5191" t="s">
        <v>1688</v>
      </c>
      <c r="G5191">
        <v>60430000</v>
      </c>
    </row>
    <row r="5192" spans="1:7" ht="14.25" customHeight="1">
      <c r="A5192" s="8">
        <f t="shared" si="20"/>
        <v>74532</v>
      </c>
      <c r="B5192" s="8"/>
      <c r="C5192" s="8">
        <v>74532</v>
      </c>
      <c r="D5192">
        <v>225</v>
      </c>
      <c r="E5192" t="s">
        <v>667</v>
      </c>
      <c r="F5192" t="s">
        <v>2073</v>
      </c>
      <c r="G5192" s="9">
        <v>44833</v>
      </c>
    </row>
    <row r="5193" spans="1:7" ht="14.25" customHeight="1">
      <c r="A5193" s="8">
        <f t="shared" si="20"/>
        <v>74532</v>
      </c>
      <c r="B5193" s="8"/>
      <c r="C5193" s="8">
        <v>74532</v>
      </c>
    </row>
    <row r="5194" spans="1:7" ht="14.25" customHeight="1">
      <c r="A5194" s="8">
        <f t="shared" si="20"/>
        <v>0</v>
      </c>
      <c r="B5194" s="8"/>
      <c r="C5194" s="8"/>
      <c r="F5194" t="s">
        <v>1172</v>
      </c>
      <c r="G5194">
        <v>60550000</v>
      </c>
    </row>
    <row r="5195" spans="1:7" ht="14.25" customHeight="1">
      <c r="A5195" s="8">
        <f t="shared" si="20"/>
        <v>123625</v>
      </c>
      <c r="B5195" s="8"/>
      <c r="C5195" s="8">
        <v>123625</v>
      </c>
      <c r="D5195">
        <v>190</v>
      </c>
      <c r="E5195" t="s">
        <v>579</v>
      </c>
      <c r="F5195" t="s">
        <v>2074</v>
      </c>
      <c r="G5195" s="9">
        <v>44736</v>
      </c>
    </row>
    <row r="5196" spans="1:7" ht="14.25" customHeight="1">
      <c r="A5196" s="8">
        <f t="shared" si="20"/>
        <v>432400</v>
      </c>
      <c r="B5196" s="8"/>
      <c r="C5196" s="8">
        <v>432400</v>
      </c>
      <c r="D5196">
        <v>228</v>
      </c>
      <c r="E5196" t="s">
        <v>579</v>
      </c>
      <c r="F5196" t="s">
        <v>2075</v>
      </c>
      <c r="G5196" s="9">
        <v>44746</v>
      </c>
    </row>
    <row r="5197" spans="1:7" ht="14.25" customHeight="1">
      <c r="A5197" s="8">
        <f t="shared" si="20"/>
        <v>148350</v>
      </c>
      <c r="B5197" s="8"/>
      <c r="C5197" s="8">
        <v>148350</v>
      </c>
      <c r="D5197">
        <v>312</v>
      </c>
      <c r="E5197" t="s">
        <v>579</v>
      </c>
      <c r="F5197" t="s">
        <v>2076</v>
      </c>
      <c r="G5197" s="9">
        <v>44840</v>
      </c>
    </row>
    <row r="5198" spans="1:7" ht="14.25" customHeight="1">
      <c r="A5198" s="8">
        <f t="shared" si="20"/>
        <v>704375</v>
      </c>
      <c r="B5198" s="8"/>
      <c r="C5198" s="8">
        <v>704375</v>
      </c>
    </row>
    <row r="5199" spans="1:7" ht="14.25" customHeight="1">
      <c r="A5199" s="8">
        <f t="shared" si="20"/>
        <v>0</v>
      </c>
      <c r="B5199" s="8"/>
      <c r="C5199" s="8"/>
      <c r="F5199" t="s">
        <v>592</v>
      </c>
      <c r="G5199">
        <v>63833</v>
      </c>
    </row>
    <row r="5200" spans="1:7" ht="14.25" customHeight="1">
      <c r="A5200" s="8">
        <f t="shared" si="20"/>
        <v>67850</v>
      </c>
      <c r="B5200" s="8"/>
      <c r="C5200" s="8">
        <v>67850</v>
      </c>
      <c r="D5200">
        <v>229</v>
      </c>
      <c r="E5200" t="s">
        <v>579</v>
      </c>
      <c r="F5200" t="s">
        <v>2077</v>
      </c>
      <c r="G5200" s="9">
        <v>44747</v>
      </c>
    </row>
    <row r="5201" spans="1:7" ht="14.25" customHeight="1">
      <c r="A5201" s="8">
        <f t="shared" si="20"/>
        <v>67850</v>
      </c>
      <c r="B5201" s="8"/>
      <c r="C5201" s="8">
        <v>67850</v>
      </c>
    </row>
    <row r="5202" spans="1:7" ht="14.25" customHeight="1">
      <c r="A5202" s="8">
        <f t="shared" si="20"/>
        <v>846756</v>
      </c>
      <c r="B5202" s="8"/>
      <c r="C5202" s="8">
        <v>846756</v>
      </c>
      <c r="E5202">
        <v>9804015</v>
      </c>
      <c r="F5202" t="s">
        <v>566</v>
      </c>
      <c r="G5202" t="s">
        <v>581</v>
      </c>
    </row>
    <row r="5203" spans="1:7" ht="14.25" customHeight="1">
      <c r="A5203" s="8">
        <f t="shared" si="20"/>
        <v>0</v>
      </c>
      <c r="B5203" s="8"/>
      <c r="C5203" s="8"/>
      <c r="D5203" t="s">
        <v>567</v>
      </c>
      <c r="G5203">
        <v>9804016</v>
      </c>
    </row>
    <row r="5204" spans="1:7" ht="14.25" customHeight="1">
      <c r="A5204" s="8">
        <f t="shared" si="20"/>
        <v>0</v>
      </c>
      <c r="B5204" s="8"/>
      <c r="C5204" s="8"/>
      <c r="F5204" t="s">
        <v>1784</v>
      </c>
      <c r="G5204">
        <v>62330000</v>
      </c>
    </row>
    <row r="5205" spans="1:7" ht="14.25" customHeight="1">
      <c r="A5205" s="8">
        <f t="shared" si="20"/>
        <v>4651602</v>
      </c>
      <c r="B5205" s="8"/>
      <c r="C5205" s="8">
        <v>4651602</v>
      </c>
      <c r="D5205">
        <v>132</v>
      </c>
      <c r="E5205" t="s">
        <v>1126</v>
      </c>
      <c r="F5205" t="s">
        <v>2078</v>
      </c>
      <c r="G5205" s="9">
        <v>44711</v>
      </c>
    </row>
    <row r="5206" spans="1:7" ht="14.25" customHeight="1">
      <c r="A5206" s="8">
        <f t="shared" si="20"/>
        <v>673343</v>
      </c>
      <c r="B5206" s="8"/>
      <c r="C5206" s="8">
        <v>673343</v>
      </c>
      <c r="D5206">
        <v>136</v>
      </c>
      <c r="E5206" t="s">
        <v>1126</v>
      </c>
      <c r="F5206" t="s">
        <v>2078</v>
      </c>
      <c r="G5206" s="9">
        <v>44735</v>
      </c>
    </row>
    <row r="5207" spans="1:7" ht="14.25" customHeight="1">
      <c r="A5207" s="8">
        <f t="shared" si="20"/>
        <v>673343</v>
      </c>
      <c r="B5207" s="8"/>
      <c r="C5207" s="8">
        <v>673343</v>
      </c>
      <c r="D5207">
        <v>149</v>
      </c>
      <c r="E5207" t="s">
        <v>1126</v>
      </c>
      <c r="F5207" t="s">
        <v>2078</v>
      </c>
      <c r="G5207" s="9">
        <v>44768</v>
      </c>
    </row>
    <row r="5208" spans="1:7" ht="14.25" customHeight="1">
      <c r="A5208" s="8">
        <f t="shared" si="20"/>
        <v>673343</v>
      </c>
      <c r="B5208" s="8"/>
      <c r="C5208" s="8">
        <v>673343</v>
      </c>
      <c r="D5208">
        <v>162</v>
      </c>
      <c r="E5208" t="s">
        <v>1126</v>
      </c>
      <c r="F5208" t="s">
        <v>2078</v>
      </c>
      <c r="G5208" s="9">
        <v>44798</v>
      </c>
    </row>
    <row r="5209" spans="1:7" ht="14.25" customHeight="1">
      <c r="A5209" s="8">
        <f t="shared" si="20"/>
        <v>673343</v>
      </c>
      <c r="B5209" s="8"/>
      <c r="C5209" s="8">
        <v>673343</v>
      </c>
      <c r="D5209">
        <v>172</v>
      </c>
      <c r="E5209" t="s">
        <v>1126</v>
      </c>
      <c r="F5209" t="s">
        <v>2078</v>
      </c>
      <c r="G5209" s="9">
        <v>44825</v>
      </c>
    </row>
    <row r="5210" spans="1:7" ht="14.25" customHeight="1">
      <c r="A5210" s="8">
        <f t="shared" si="20"/>
        <v>673343</v>
      </c>
      <c r="B5210" s="8"/>
      <c r="C5210" s="8">
        <v>673343</v>
      </c>
      <c r="D5210">
        <v>180</v>
      </c>
      <c r="E5210" t="s">
        <v>1126</v>
      </c>
      <c r="F5210" t="s">
        <v>2078</v>
      </c>
      <c r="G5210" s="9">
        <v>44861</v>
      </c>
    </row>
    <row r="5211" spans="1:7" ht="14.25" customHeight="1">
      <c r="A5211" s="8">
        <f t="shared" si="20"/>
        <v>673343</v>
      </c>
      <c r="B5211" s="8"/>
      <c r="C5211" s="8">
        <v>673343</v>
      </c>
      <c r="D5211">
        <v>191</v>
      </c>
      <c r="E5211" t="s">
        <v>1126</v>
      </c>
      <c r="F5211" t="s">
        <v>2078</v>
      </c>
      <c r="G5211" s="9">
        <v>44893</v>
      </c>
    </row>
    <row r="5212" spans="1:7" ht="14.25" customHeight="1">
      <c r="A5212" s="8">
        <f t="shared" si="20"/>
        <v>673343</v>
      </c>
      <c r="B5212" s="8"/>
      <c r="C5212" s="8">
        <v>673343</v>
      </c>
      <c r="D5212">
        <v>198</v>
      </c>
      <c r="E5212" t="s">
        <v>1126</v>
      </c>
      <c r="F5212" t="s">
        <v>2078</v>
      </c>
      <c r="G5212" s="9">
        <v>44922</v>
      </c>
    </row>
    <row r="5213" spans="1:7" ht="14.25" customHeight="1">
      <c r="A5213" s="8">
        <f t="shared" si="20"/>
        <v>9365005</v>
      </c>
      <c r="B5213" s="8"/>
      <c r="C5213" s="8">
        <v>9365005</v>
      </c>
    </row>
    <row r="5214" spans="1:7" ht="14.25" customHeight="1">
      <c r="A5214" s="8">
        <f t="shared" si="20"/>
        <v>0</v>
      </c>
      <c r="B5214" s="8"/>
      <c r="C5214" s="8"/>
      <c r="F5214" t="s">
        <v>1559</v>
      </c>
      <c r="G5214">
        <v>63181000</v>
      </c>
    </row>
    <row r="5215" spans="1:7" ht="14.25" customHeight="1">
      <c r="A5215" s="8">
        <f t="shared" si="20"/>
        <v>25300</v>
      </c>
      <c r="B5215" s="8"/>
      <c r="C5215" s="8">
        <v>25300</v>
      </c>
      <c r="D5215">
        <v>957</v>
      </c>
      <c r="E5215" t="s">
        <v>587</v>
      </c>
      <c r="F5215" t="s">
        <v>2079</v>
      </c>
      <c r="G5215" s="9">
        <v>44592</v>
      </c>
    </row>
    <row r="5216" spans="1:7" ht="14.25" customHeight="1">
      <c r="A5216" s="8">
        <f t="shared" si="20"/>
        <v>2312</v>
      </c>
      <c r="B5216" s="8"/>
      <c r="C5216" s="8">
        <v>2312</v>
      </c>
      <c r="D5216">
        <v>531</v>
      </c>
      <c r="E5216" t="s">
        <v>587</v>
      </c>
      <c r="F5216" t="s">
        <v>2080</v>
      </c>
      <c r="G5216" s="9">
        <v>44627</v>
      </c>
    </row>
    <row r="5217" spans="1:7" ht="14.25" customHeight="1">
      <c r="A5217" s="8">
        <f t="shared" si="20"/>
        <v>1909</v>
      </c>
      <c r="B5217" s="8"/>
      <c r="C5217" s="8">
        <v>1909</v>
      </c>
      <c r="D5217">
        <v>542</v>
      </c>
      <c r="E5217" t="s">
        <v>587</v>
      </c>
      <c r="F5217" t="s">
        <v>2081</v>
      </c>
      <c r="G5217" s="9">
        <v>44627</v>
      </c>
    </row>
    <row r="5218" spans="1:7" ht="14.25" customHeight="1">
      <c r="A5218" s="8">
        <f t="shared" si="20"/>
        <v>2599</v>
      </c>
      <c r="B5218" s="8"/>
      <c r="C5218" s="8">
        <v>2599</v>
      </c>
      <c r="D5218">
        <v>559</v>
      </c>
      <c r="E5218" t="s">
        <v>587</v>
      </c>
      <c r="F5218" t="s">
        <v>2082</v>
      </c>
      <c r="G5218" s="9">
        <v>44651</v>
      </c>
    </row>
    <row r="5219" spans="1:7" ht="14.25" customHeight="1">
      <c r="A5219" s="8">
        <f t="shared" si="20"/>
        <v>1955</v>
      </c>
      <c r="B5219" s="8"/>
      <c r="C5219" s="8">
        <v>1955</v>
      </c>
      <c r="D5219">
        <v>560</v>
      </c>
      <c r="E5219" t="s">
        <v>587</v>
      </c>
      <c r="F5219" t="s">
        <v>2082</v>
      </c>
      <c r="G5219" s="9">
        <v>44651</v>
      </c>
    </row>
    <row r="5220" spans="1:7" ht="14.25" customHeight="1">
      <c r="A5220" s="8">
        <f t="shared" si="20"/>
        <v>3795</v>
      </c>
      <c r="B5220" s="8"/>
      <c r="C5220" s="8">
        <v>3795</v>
      </c>
      <c r="D5220">
        <v>588</v>
      </c>
      <c r="E5220" t="s">
        <v>587</v>
      </c>
      <c r="F5220" t="s">
        <v>2083</v>
      </c>
      <c r="G5220" s="9">
        <v>44678</v>
      </c>
    </row>
    <row r="5221" spans="1:7" ht="14.25" customHeight="1">
      <c r="A5221" s="8">
        <f t="shared" si="20"/>
        <v>4554</v>
      </c>
      <c r="B5221" s="8"/>
      <c r="C5221" s="8">
        <v>4554</v>
      </c>
      <c r="D5221">
        <v>627</v>
      </c>
      <c r="E5221" t="s">
        <v>587</v>
      </c>
      <c r="F5221" t="s">
        <v>2081</v>
      </c>
      <c r="G5221" s="9">
        <v>44712</v>
      </c>
    </row>
    <row r="5222" spans="1:7" ht="14.25" customHeight="1">
      <c r="A5222" s="8">
        <f t="shared" si="20"/>
        <v>1150</v>
      </c>
      <c r="B5222" s="8"/>
      <c r="C5222" s="8">
        <v>1150</v>
      </c>
      <c r="D5222">
        <v>224</v>
      </c>
      <c r="E5222" t="s">
        <v>587</v>
      </c>
      <c r="F5222" t="s">
        <v>2084</v>
      </c>
      <c r="G5222" s="9">
        <v>44739</v>
      </c>
    </row>
    <row r="5223" spans="1:7" ht="14.25" customHeight="1">
      <c r="A5223" s="8">
        <f t="shared" si="20"/>
        <v>575</v>
      </c>
      <c r="B5223" s="8"/>
      <c r="C5223" s="8">
        <v>575</v>
      </c>
      <c r="D5223">
        <v>225</v>
      </c>
      <c r="E5223" t="s">
        <v>587</v>
      </c>
      <c r="F5223" t="s">
        <v>2084</v>
      </c>
      <c r="G5223" s="9">
        <v>44739</v>
      </c>
    </row>
    <row r="5224" spans="1:7" ht="14.25" customHeight="1">
      <c r="A5224" s="8">
        <f t="shared" si="20"/>
        <v>11500</v>
      </c>
      <c r="B5224" s="8"/>
      <c r="C5224" s="8">
        <v>11500</v>
      </c>
      <c r="D5224">
        <v>227</v>
      </c>
      <c r="E5224" t="s">
        <v>587</v>
      </c>
      <c r="F5224" t="s">
        <v>2084</v>
      </c>
      <c r="G5224" s="9">
        <v>44739</v>
      </c>
    </row>
    <row r="5225" spans="1:7" ht="14.25" customHeight="1">
      <c r="A5225" s="8">
        <f t="shared" si="20"/>
        <v>2022</v>
      </c>
      <c r="B5225" s="8"/>
      <c r="C5225" s="8">
        <v>2022</v>
      </c>
      <c r="D5225">
        <v>229</v>
      </c>
      <c r="E5225" t="s">
        <v>587</v>
      </c>
      <c r="F5225" t="s">
        <v>2084</v>
      </c>
      <c r="G5225" s="9">
        <v>44739</v>
      </c>
    </row>
    <row r="5226" spans="1:7" ht="14.25" customHeight="1">
      <c r="A5226" s="8">
        <f t="shared" si="20"/>
        <v>5750</v>
      </c>
      <c r="B5226" s="8"/>
      <c r="C5226" s="8">
        <v>5750</v>
      </c>
      <c r="D5226">
        <v>230</v>
      </c>
      <c r="E5226" t="s">
        <v>587</v>
      </c>
      <c r="F5226" t="s">
        <v>2084</v>
      </c>
      <c r="G5226" s="9">
        <v>44739</v>
      </c>
    </row>
    <row r="5227" spans="1:7" ht="14.25" customHeight="1">
      <c r="A5227" s="8">
        <f t="shared" si="20"/>
        <v>1150</v>
      </c>
      <c r="B5227" s="8"/>
      <c r="C5227" s="8">
        <v>1150</v>
      </c>
      <c r="D5227">
        <v>226</v>
      </c>
      <c r="E5227" t="s">
        <v>587</v>
      </c>
      <c r="F5227" t="s">
        <v>2084</v>
      </c>
      <c r="G5227" s="9">
        <v>44739</v>
      </c>
    </row>
    <row r="5228" spans="1:7" ht="14.25" customHeight="1">
      <c r="A5228" s="8">
        <f t="shared" si="20"/>
        <v>11500</v>
      </c>
      <c r="B5228" s="8"/>
      <c r="C5228" s="8">
        <v>11500</v>
      </c>
      <c r="D5228">
        <v>228</v>
      </c>
      <c r="E5228" t="s">
        <v>587</v>
      </c>
      <c r="F5228" t="s">
        <v>2084</v>
      </c>
      <c r="G5228" s="9">
        <v>44739</v>
      </c>
    </row>
    <row r="5229" spans="1:7" ht="14.25" customHeight="1">
      <c r="A5229" s="8">
        <f t="shared" si="20"/>
        <v>1150</v>
      </c>
      <c r="B5229" s="8"/>
      <c r="C5229" s="8">
        <v>1150</v>
      </c>
      <c r="D5229">
        <v>231</v>
      </c>
      <c r="E5229" t="s">
        <v>587</v>
      </c>
      <c r="F5229" t="s">
        <v>2084</v>
      </c>
      <c r="G5229" s="9">
        <v>44740</v>
      </c>
    </row>
    <row r="5230" spans="1:7" ht="14.25" customHeight="1">
      <c r="A5230" s="8">
        <f t="shared" si="20"/>
        <v>575</v>
      </c>
      <c r="B5230" s="8"/>
      <c r="C5230" s="8">
        <v>575</v>
      </c>
      <c r="D5230">
        <v>232</v>
      </c>
      <c r="E5230" t="s">
        <v>587</v>
      </c>
      <c r="F5230" t="s">
        <v>2084</v>
      </c>
      <c r="G5230" s="9">
        <v>44740</v>
      </c>
    </row>
    <row r="5231" spans="1:7" ht="14.25" customHeight="1">
      <c r="A5231" s="8">
        <f t="shared" si="20"/>
        <v>1150</v>
      </c>
      <c r="B5231" s="8"/>
      <c r="C5231" s="8">
        <v>1150</v>
      </c>
      <c r="D5231">
        <v>233</v>
      </c>
      <c r="E5231" t="s">
        <v>587</v>
      </c>
      <c r="F5231" t="s">
        <v>2084</v>
      </c>
      <c r="G5231" s="9">
        <v>44740</v>
      </c>
    </row>
    <row r="5232" spans="1:7" ht="14.25" customHeight="1">
      <c r="A5232" s="8">
        <f t="shared" si="20"/>
        <v>11500</v>
      </c>
      <c r="B5232" s="8"/>
      <c r="C5232" s="8">
        <v>11500</v>
      </c>
      <c r="D5232">
        <v>234</v>
      </c>
      <c r="E5232" t="s">
        <v>587</v>
      </c>
      <c r="F5232" t="s">
        <v>2084</v>
      </c>
      <c r="G5232" s="9">
        <v>44740</v>
      </c>
    </row>
    <row r="5233" spans="1:7" ht="14.25" customHeight="1">
      <c r="A5233" s="8">
        <f t="shared" si="20"/>
        <v>11500</v>
      </c>
      <c r="B5233" s="8"/>
      <c r="C5233" s="8">
        <v>11500</v>
      </c>
      <c r="D5233">
        <v>235</v>
      </c>
      <c r="E5233" t="s">
        <v>587</v>
      </c>
      <c r="F5233" t="s">
        <v>2084</v>
      </c>
      <c r="G5233" s="9">
        <v>44740</v>
      </c>
    </row>
    <row r="5234" spans="1:7" ht="14.25" customHeight="1">
      <c r="A5234" s="8">
        <f t="shared" si="20"/>
        <v>2022</v>
      </c>
      <c r="B5234" s="8"/>
      <c r="C5234" s="8">
        <v>2022</v>
      </c>
      <c r="D5234">
        <v>237</v>
      </c>
      <c r="E5234" t="s">
        <v>587</v>
      </c>
      <c r="F5234" t="s">
        <v>2084</v>
      </c>
      <c r="G5234" s="9">
        <v>44740</v>
      </c>
    </row>
    <row r="5235" spans="1:7" ht="14.25" customHeight="1">
      <c r="A5235" s="8">
        <f t="shared" si="20"/>
        <v>5750</v>
      </c>
      <c r="B5235" s="8"/>
      <c r="C5235" s="8">
        <v>5750</v>
      </c>
      <c r="D5235">
        <v>238</v>
      </c>
      <c r="E5235" t="s">
        <v>587</v>
      </c>
      <c r="F5235" t="s">
        <v>2084</v>
      </c>
      <c r="G5235" s="9">
        <v>44740</v>
      </c>
    </row>
    <row r="5236" spans="1:7" ht="14.25" customHeight="1">
      <c r="A5236" s="8">
        <f t="shared" si="20"/>
        <v>5313</v>
      </c>
      <c r="B5236" s="8"/>
      <c r="C5236" s="8">
        <v>5313</v>
      </c>
      <c r="D5236">
        <v>659</v>
      </c>
      <c r="E5236" t="s">
        <v>587</v>
      </c>
      <c r="F5236" t="s">
        <v>2085</v>
      </c>
      <c r="G5236" s="9">
        <v>44746</v>
      </c>
    </row>
    <row r="5237" spans="1:7" ht="14.25" customHeight="1">
      <c r="A5237" s="8">
        <f t="shared" si="20"/>
        <v>3795</v>
      </c>
      <c r="B5237" s="8"/>
      <c r="C5237" s="8">
        <v>3795</v>
      </c>
      <c r="D5237">
        <v>698</v>
      </c>
      <c r="E5237" t="s">
        <v>587</v>
      </c>
      <c r="F5237" t="s">
        <v>2086</v>
      </c>
      <c r="G5237" s="9">
        <v>44776</v>
      </c>
    </row>
    <row r="5238" spans="1:7" ht="14.25" customHeight="1">
      <c r="A5238" s="8">
        <f t="shared" si="20"/>
        <v>379</v>
      </c>
      <c r="B5238" s="8"/>
      <c r="C5238" s="8">
        <v>379</v>
      </c>
      <c r="D5238">
        <v>714</v>
      </c>
      <c r="E5238" t="s">
        <v>587</v>
      </c>
      <c r="F5238" t="s">
        <v>2086</v>
      </c>
      <c r="G5238" s="9">
        <v>44783</v>
      </c>
    </row>
    <row r="5239" spans="1:7" ht="14.25" customHeight="1">
      <c r="A5239" s="8">
        <f t="shared" si="20"/>
        <v>379</v>
      </c>
      <c r="B5239" s="8"/>
      <c r="C5239" s="8">
        <v>379</v>
      </c>
      <c r="D5239">
        <v>962</v>
      </c>
      <c r="E5239" t="s">
        <v>587</v>
      </c>
      <c r="F5239" t="s">
        <v>1571</v>
      </c>
      <c r="G5239" s="9">
        <v>44796</v>
      </c>
    </row>
    <row r="5240" spans="1:7" ht="14.25" customHeight="1">
      <c r="A5240" s="8">
        <f t="shared" si="20"/>
        <v>10120</v>
      </c>
      <c r="B5240" s="8"/>
      <c r="C5240" s="8">
        <v>10120</v>
      </c>
      <c r="D5240">
        <v>720</v>
      </c>
      <c r="E5240" t="s">
        <v>587</v>
      </c>
      <c r="F5240" t="s">
        <v>2087</v>
      </c>
      <c r="G5240" s="9">
        <v>44804</v>
      </c>
    </row>
    <row r="5241" spans="1:7" ht="14.25" customHeight="1">
      <c r="A5241" s="8">
        <f t="shared" si="20"/>
        <v>14336</v>
      </c>
      <c r="B5241" s="8"/>
      <c r="C5241" s="8">
        <v>14336</v>
      </c>
      <c r="D5241">
        <v>721</v>
      </c>
      <c r="E5241" t="s">
        <v>587</v>
      </c>
      <c r="F5241" t="s">
        <v>1556</v>
      </c>
      <c r="G5241" s="9">
        <v>44804</v>
      </c>
    </row>
    <row r="5242" spans="1:7" ht="14.25" customHeight="1">
      <c r="A5242" s="8">
        <f t="shared" si="20"/>
        <v>25300</v>
      </c>
      <c r="B5242" s="8"/>
      <c r="C5242" s="8">
        <v>25300</v>
      </c>
      <c r="D5242">
        <v>722</v>
      </c>
      <c r="E5242" t="s">
        <v>587</v>
      </c>
      <c r="F5242" t="s">
        <v>1557</v>
      </c>
      <c r="G5242" s="9">
        <v>44804</v>
      </c>
    </row>
    <row r="5243" spans="1:7" ht="14.25" customHeight="1">
      <c r="A5243" s="8">
        <f t="shared" si="20"/>
        <v>4554</v>
      </c>
      <c r="B5243" s="8"/>
      <c r="C5243" s="8">
        <v>4554</v>
      </c>
      <c r="D5243">
        <v>725</v>
      </c>
      <c r="E5243" t="s">
        <v>587</v>
      </c>
      <c r="F5243" t="s">
        <v>2081</v>
      </c>
      <c r="G5243" s="9">
        <v>44816</v>
      </c>
    </row>
    <row r="5244" spans="1:7" ht="14.25" customHeight="1">
      <c r="A5244" s="8">
        <f t="shared" si="20"/>
        <v>4175</v>
      </c>
      <c r="B5244" s="8"/>
      <c r="C5244" s="8">
        <v>4175</v>
      </c>
      <c r="D5244">
        <v>747</v>
      </c>
      <c r="E5244" t="s">
        <v>587</v>
      </c>
      <c r="F5244" t="s">
        <v>2088</v>
      </c>
      <c r="G5244" s="9">
        <v>44837</v>
      </c>
    </row>
    <row r="5245" spans="1:7" ht="14.25" customHeight="1">
      <c r="A5245" s="8">
        <f t="shared" si="20"/>
        <v>379</v>
      </c>
      <c r="B5245" s="8"/>
      <c r="C5245" s="8">
        <v>379</v>
      </c>
      <c r="D5245">
        <v>762</v>
      </c>
      <c r="E5245" t="s">
        <v>587</v>
      </c>
      <c r="F5245" t="s">
        <v>2089</v>
      </c>
      <c r="G5245" s="9">
        <v>44838</v>
      </c>
    </row>
    <row r="5246" spans="1:7" ht="14.25" customHeight="1">
      <c r="A5246" s="8">
        <f t="shared" si="20"/>
        <v>12650</v>
      </c>
      <c r="B5246" s="8"/>
      <c r="C5246" s="8">
        <v>12650</v>
      </c>
      <c r="D5246">
        <v>768</v>
      </c>
      <c r="E5246" t="s">
        <v>587</v>
      </c>
      <c r="F5246" t="s">
        <v>2090</v>
      </c>
      <c r="G5246" s="9">
        <v>44865</v>
      </c>
    </row>
    <row r="5247" spans="1:7" ht="14.25" customHeight="1">
      <c r="A5247" s="8">
        <f t="shared" si="20"/>
        <v>23166</v>
      </c>
      <c r="B5247" s="8"/>
      <c r="C5247" s="8">
        <v>23166</v>
      </c>
      <c r="D5247">
        <v>769</v>
      </c>
      <c r="E5247" t="s">
        <v>587</v>
      </c>
      <c r="F5247" t="s">
        <v>2091</v>
      </c>
      <c r="G5247" s="9">
        <v>44865</v>
      </c>
    </row>
    <row r="5248" spans="1:7" ht="14.25" customHeight="1">
      <c r="A5248" s="8">
        <f t="shared" si="20"/>
        <v>25300</v>
      </c>
      <c r="B5248" s="8"/>
      <c r="C5248" s="8">
        <v>25300</v>
      </c>
      <c r="D5248">
        <v>770</v>
      </c>
      <c r="E5248" t="s">
        <v>587</v>
      </c>
      <c r="F5248" t="s">
        <v>2091</v>
      </c>
      <c r="G5248" s="9">
        <v>44865</v>
      </c>
    </row>
    <row r="5249" spans="1:7" ht="14.25" customHeight="1">
      <c r="A5249" s="8">
        <f t="shared" si="20"/>
        <v>920</v>
      </c>
      <c r="B5249" s="8"/>
      <c r="C5249" s="8">
        <v>920</v>
      </c>
      <c r="D5249">
        <v>825</v>
      </c>
      <c r="E5249" t="s">
        <v>587</v>
      </c>
      <c r="F5249" t="s">
        <v>2092</v>
      </c>
      <c r="G5249" s="9">
        <v>44868</v>
      </c>
    </row>
    <row r="5250" spans="1:7" ht="14.25" customHeight="1">
      <c r="A5250" s="8">
        <f t="shared" si="20"/>
        <v>9200</v>
      </c>
      <c r="B5250" s="8"/>
      <c r="C5250" s="8">
        <v>9200</v>
      </c>
      <c r="D5250">
        <v>486</v>
      </c>
      <c r="E5250" t="s">
        <v>587</v>
      </c>
      <c r="F5250" t="s">
        <v>2093</v>
      </c>
      <c r="G5250" s="9">
        <v>44868</v>
      </c>
    </row>
    <row r="5251" spans="1:7" ht="14.25" customHeight="1">
      <c r="A5251" s="8">
        <f t="shared" si="20"/>
        <v>1150</v>
      </c>
      <c r="B5251" s="8"/>
      <c r="C5251" s="8">
        <v>1150</v>
      </c>
      <c r="D5251">
        <v>827</v>
      </c>
      <c r="E5251" t="s">
        <v>587</v>
      </c>
      <c r="F5251" t="s">
        <v>2094</v>
      </c>
      <c r="G5251" s="9">
        <v>44873</v>
      </c>
    </row>
    <row r="5252" spans="1:7" ht="14.25" customHeight="1">
      <c r="A5252" s="8">
        <f t="shared" si="20"/>
        <v>2300</v>
      </c>
      <c r="B5252" s="8"/>
      <c r="C5252" s="8">
        <v>2300</v>
      </c>
      <c r="D5252">
        <v>488</v>
      </c>
      <c r="E5252" t="s">
        <v>587</v>
      </c>
      <c r="F5252" t="s">
        <v>2095</v>
      </c>
      <c r="G5252" s="9">
        <v>44873</v>
      </c>
    </row>
    <row r="5253" spans="1:7" ht="14.25" customHeight="1">
      <c r="A5253" s="8">
        <f t="shared" si="20"/>
        <v>345</v>
      </c>
      <c r="B5253" s="8"/>
      <c r="C5253" s="8">
        <v>345</v>
      </c>
      <c r="D5253">
        <v>120371</v>
      </c>
      <c r="E5253" t="s">
        <v>587</v>
      </c>
      <c r="F5253" t="s">
        <v>2096</v>
      </c>
      <c r="G5253" s="9">
        <v>44925</v>
      </c>
    </row>
    <row r="5254" spans="1:7" ht="14.25" customHeight="1">
      <c r="A5254" s="8">
        <f t="shared" si="20"/>
        <v>-23166</v>
      </c>
      <c r="B5254" s="8">
        <v>23166</v>
      </c>
      <c r="C5254" s="8"/>
      <c r="D5254">
        <v>120372</v>
      </c>
      <c r="E5254" t="s">
        <v>587</v>
      </c>
      <c r="F5254" t="s">
        <v>2097</v>
      </c>
      <c r="G5254" s="9">
        <v>44925</v>
      </c>
    </row>
    <row r="5255" spans="1:7" ht="14.25" customHeight="1">
      <c r="A5255" s="8">
        <f t="shared" si="20"/>
        <v>21028</v>
      </c>
      <c r="B5255" s="8"/>
      <c r="C5255" s="8">
        <v>21028</v>
      </c>
      <c r="D5255">
        <v>120373</v>
      </c>
      <c r="E5255" t="s">
        <v>587</v>
      </c>
      <c r="F5255" t="s">
        <v>2098</v>
      </c>
      <c r="G5255" s="9">
        <v>44925</v>
      </c>
    </row>
    <row r="5256" spans="1:7" ht="14.25" customHeight="1">
      <c r="A5256" s="8">
        <f t="shared" si="20"/>
        <v>2103</v>
      </c>
      <c r="B5256" s="8"/>
      <c r="C5256" s="8">
        <v>2103</v>
      </c>
      <c r="D5256">
        <v>120374</v>
      </c>
      <c r="E5256" t="s">
        <v>587</v>
      </c>
      <c r="F5256" t="s">
        <v>2099</v>
      </c>
      <c r="G5256" s="9">
        <v>44925</v>
      </c>
    </row>
    <row r="5257" spans="1:7" ht="14.25" customHeight="1">
      <c r="A5257" s="8">
        <f t="shared" si="20"/>
        <v>19622</v>
      </c>
      <c r="B5257" s="8"/>
      <c r="C5257" s="8">
        <v>19622</v>
      </c>
      <c r="D5257">
        <v>254</v>
      </c>
      <c r="E5257" t="s">
        <v>594</v>
      </c>
      <c r="F5257" t="s">
        <v>2100</v>
      </c>
      <c r="G5257" s="9">
        <v>44925</v>
      </c>
    </row>
    <row r="5258" spans="1:7" ht="14.25" customHeight="1">
      <c r="A5258" s="8">
        <f t="shared" si="20"/>
        <v>-35</v>
      </c>
      <c r="B5258" s="8">
        <v>35</v>
      </c>
      <c r="C5258" s="8"/>
      <c r="D5258">
        <v>120393</v>
      </c>
      <c r="E5258" t="s">
        <v>587</v>
      </c>
      <c r="F5258" t="s">
        <v>2101</v>
      </c>
      <c r="G5258" s="9">
        <v>44925</v>
      </c>
    </row>
    <row r="5259" spans="1:7" ht="14.25" customHeight="1">
      <c r="A5259" s="8">
        <f t="shared" si="20"/>
        <v>19525</v>
      </c>
      <c r="B5259" s="8"/>
      <c r="C5259" s="8">
        <v>19525</v>
      </c>
      <c r="D5259">
        <v>212</v>
      </c>
      <c r="E5259" t="s">
        <v>1126</v>
      </c>
      <c r="F5259" t="s">
        <v>2102</v>
      </c>
      <c r="G5259" s="9">
        <v>44925</v>
      </c>
    </row>
    <row r="5260" spans="1:7" ht="14.25" customHeight="1">
      <c r="A5260" s="8">
        <f t="shared" si="20"/>
        <v>292557</v>
      </c>
      <c r="B5260" s="8">
        <v>23200</v>
      </c>
      <c r="C5260" s="8">
        <v>315757</v>
      </c>
    </row>
    <row r="5261" spans="1:7" ht="14.25" customHeight="1">
      <c r="A5261" s="8">
        <f t="shared" si="20"/>
        <v>0</v>
      </c>
      <c r="B5261" s="8"/>
      <c r="C5261" s="8"/>
      <c r="F5261" t="s">
        <v>2103</v>
      </c>
      <c r="G5261">
        <v>63185</v>
      </c>
    </row>
    <row r="5262" spans="1:7" ht="14.25" customHeight="1">
      <c r="A5262" s="8">
        <f t="shared" si="20"/>
        <v>7590</v>
      </c>
      <c r="B5262" s="8"/>
      <c r="C5262" s="8">
        <v>7590</v>
      </c>
      <c r="D5262">
        <v>94</v>
      </c>
      <c r="E5262" t="s">
        <v>1126</v>
      </c>
      <c r="F5262" t="s">
        <v>2104</v>
      </c>
      <c r="G5262" s="9">
        <v>44592</v>
      </c>
    </row>
    <row r="5263" spans="1:7" ht="14.25" customHeight="1">
      <c r="A5263" s="8">
        <f t="shared" si="20"/>
        <v>7590</v>
      </c>
      <c r="B5263" s="8"/>
      <c r="C5263" s="8">
        <v>7590</v>
      </c>
      <c r="D5263">
        <v>101</v>
      </c>
      <c r="E5263" t="s">
        <v>1126</v>
      </c>
      <c r="F5263" t="s">
        <v>2105</v>
      </c>
      <c r="G5263" s="9">
        <v>44620</v>
      </c>
    </row>
    <row r="5264" spans="1:7" ht="14.25" customHeight="1">
      <c r="A5264" s="8">
        <f t="shared" si="20"/>
        <v>115</v>
      </c>
      <c r="B5264" s="8"/>
      <c r="C5264" s="8">
        <v>115</v>
      </c>
      <c r="D5264">
        <v>102</v>
      </c>
      <c r="E5264" t="s">
        <v>1126</v>
      </c>
      <c r="F5264" t="s">
        <v>2106</v>
      </c>
      <c r="G5264" s="9">
        <v>44620</v>
      </c>
    </row>
    <row r="5265" spans="1:7" ht="14.25" customHeight="1">
      <c r="A5265" s="8">
        <f t="shared" si="20"/>
        <v>7590</v>
      </c>
      <c r="B5265" s="8"/>
      <c r="C5265" s="8">
        <v>7590</v>
      </c>
      <c r="D5265">
        <v>109</v>
      </c>
      <c r="E5265" t="s">
        <v>1126</v>
      </c>
      <c r="F5265" t="s">
        <v>2105</v>
      </c>
      <c r="G5265" s="9">
        <v>44651</v>
      </c>
    </row>
    <row r="5266" spans="1:7" ht="14.25" customHeight="1">
      <c r="A5266" s="8">
        <f t="shared" si="20"/>
        <v>345</v>
      </c>
      <c r="B5266" s="8"/>
      <c r="C5266" s="8">
        <v>345</v>
      </c>
      <c r="D5266">
        <v>110</v>
      </c>
      <c r="E5266" t="s">
        <v>1126</v>
      </c>
      <c r="F5266" t="s">
        <v>2106</v>
      </c>
      <c r="G5266" s="9">
        <v>44651</v>
      </c>
    </row>
    <row r="5267" spans="1:7" ht="14.25" customHeight="1">
      <c r="A5267" s="8">
        <f t="shared" si="20"/>
        <v>89815</v>
      </c>
      <c r="B5267" s="8"/>
      <c r="C5267" s="8">
        <v>89815</v>
      </c>
      <c r="D5267">
        <v>116</v>
      </c>
      <c r="E5267" t="s">
        <v>1126</v>
      </c>
      <c r="F5267" t="s">
        <v>2107</v>
      </c>
      <c r="G5267" s="9">
        <v>44673</v>
      </c>
    </row>
    <row r="5268" spans="1:7" ht="14.25" customHeight="1">
      <c r="A5268" s="8">
        <f t="shared" si="20"/>
        <v>32775</v>
      </c>
      <c r="B5268" s="8"/>
      <c r="C5268" s="8">
        <v>32775</v>
      </c>
      <c r="D5268">
        <v>117</v>
      </c>
      <c r="E5268" t="s">
        <v>1126</v>
      </c>
      <c r="F5268" t="s">
        <v>2107</v>
      </c>
      <c r="G5268" s="9">
        <v>44673</v>
      </c>
    </row>
    <row r="5269" spans="1:7" ht="14.25" customHeight="1">
      <c r="A5269" s="8">
        <f t="shared" si="20"/>
        <v>7590</v>
      </c>
      <c r="B5269" s="8"/>
      <c r="C5269" s="8">
        <v>7590</v>
      </c>
      <c r="D5269">
        <v>123</v>
      </c>
      <c r="E5269" t="s">
        <v>1126</v>
      </c>
      <c r="F5269" t="s">
        <v>2105</v>
      </c>
      <c r="G5269" s="9">
        <v>44680</v>
      </c>
    </row>
    <row r="5270" spans="1:7" ht="14.25" customHeight="1">
      <c r="A5270" s="8">
        <f t="shared" si="20"/>
        <v>575</v>
      </c>
      <c r="B5270" s="8"/>
      <c r="C5270" s="8">
        <v>575</v>
      </c>
      <c r="D5270">
        <v>125</v>
      </c>
      <c r="E5270" t="s">
        <v>1126</v>
      </c>
      <c r="F5270" t="s">
        <v>2108</v>
      </c>
      <c r="G5270" s="9">
        <v>44680</v>
      </c>
    </row>
    <row r="5271" spans="1:7" ht="14.25" customHeight="1">
      <c r="A5271" s="8">
        <f t="shared" si="20"/>
        <v>56925</v>
      </c>
      <c r="B5271" s="8"/>
      <c r="C5271" s="8">
        <v>56925</v>
      </c>
      <c r="D5271">
        <v>127</v>
      </c>
      <c r="E5271" t="s">
        <v>1126</v>
      </c>
      <c r="F5271" t="s">
        <v>2109</v>
      </c>
      <c r="G5271" s="9">
        <v>44685</v>
      </c>
    </row>
    <row r="5272" spans="1:7" ht="14.25" customHeight="1">
      <c r="A5272" s="8">
        <f t="shared" si="20"/>
        <v>7590</v>
      </c>
      <c r="B5272" s="8"/>
      <c r="C5272" s="8">
        <v>7590</v>
      </c>
      <c r="D5272">
        <v>134</v>
      </c>
      <c r="E5272" t="s">
        <v>1126</v>
      </c>
      <c r="F5272" t="s">
        <v>2105</v>
      </c>
      <c r="G5272" s="9">
        <v>44712</v>
      </c>
    </row>
    <row r="5273" spans="1:7" ht="14.25" customHeight="1">
      <c r="A5273" s="8">
        <f t="shared" si="20"/>
        <v>113850</v>
      </c>
      <c r="B5273" s="8"/>
      <c r="C5273" s="8">
        <v>113850</v>
      </c>
      <c r="D5273">
        <v>140</v>
      </c>
      <c r="E5273" t="s">
        <v>1126</v>
      </c>
      <c r="F5273" t="s">
        <v>2107</v>
      </c>
      <c r="G5273" s="9">
        <v>44742</v>
      </c>
    </row>
    <row r="5274" spans="1:7" ht="14.25" customHeight="1">
      <c r="A5274" s="8">
        <f t="shared" si="20"/>
        <v>7590</v>
      </c>
      <c r="B5274" s="8"/>
      <c r="C5274" s="8">
        <v>7590</v>
      </c>
      <c r="D5274">
        <v>141</v>
      </c>
      <c r="E5274" t="s">
        <v>1126</v>
      </c>
      <c r="F5274" t="s">
        <v>2105</v>
      </c>
      <c r="G5274" s="9">
        <v>44742</v>
      </c>
    </row>
    <row r="5275" spans="1:7" ht="14.25" customHeight="1">
      <c r="A5275" s="8">
        <f t="shared" si="20"/>
        <v>7590</v>
      </c>
      <c r="B5275" s="8"/>
      <c r="C5275" s="8">
        <v>7590</v>
      </c>
      <c r="D5275">
        <v>142</v>
      </c>
      <c r="E5275" t="s">
        <v>1126</v>
      </c>
      <c r="F5275" t="s">
        <v>2110</v>
      </c>
      <c r="G5275" s="9">
        <v>44756</v>
      </c>
    </row>
    <row r="5276" spans="1:7" ht="14.25" customHeight="1">
      <c r="A5276" s="8">
        <f t="shared" si="20"/>
        <v>7590</v>
      </c>
      <c r="B5276" s="8"/>
      <c r="C5276" s="8">
        <v>7590</v>
      </c>
      <c r="D5276">
        <v>143</v>
      </c>
      <c r="E5276" t="s">
        <v>1126</v>
      </c>
      <c r="F5276" t="s">
        <v>2110</v>
      </c>
      <c r="G5276" s="9">
        <v>44760</v>
      </c>
    </row>
    <row r="5277" spans="1:7" ht="14.25" customHeight="1">
      <c r="A5277" s="8">
        <f t="shared" si="20"/>
        <v>7590</v>
      </c>
      <c r="B5277" s="8"/>
      <c r="C5277" s="8">
        <v>7590</v>
      </c>
      <c r="D5277">
        <v>145</v>
      </c>
      <c r="E5277" t="s">
        <v>1126</v>
      </c>
      <c r="F5277" t="s">
        <v>2111</v>
      </c>
      <c r="G5277" s="9">
        <v>44767</v>
      </c>
    </row>
    <row r="5278" spans="1:7" ht="14.25" customHeight="1">
      <c r="A5278" s="8">
        <f t="shared" si="20"/>
        <v>7590</v>
      </c>
      <c r="B5278" s="8"/>
      <c r="C5278" s="8">
        <v>7590</v>
      </c>
      <c r="D5278">
        <v>154</v>
      </c>
      <c r="E5278" t="s">
        <v>1126</v>
      </c>
      <c r="F5278" t="s">
        <v>2105</v>
      </c>
      <c r="G5278" s="9">
        <v>44771</v>
      </c>
    </row>
    <row r="5279" spans="1:7" ht="14.25" customHeight="1">
      <c r="A5279" s="8">
        <f t="shared" si="20"/>
        <v>7590</v>
      </c>
      <c r="B5279" s="8"/>
      <c r="C5279" s="8">
        <v>7590</v>
      </c>
      <c r="D5279">
        <v>161</v>
      </c>
      <c r="E5279" t="s">
        <v>1126</v>
      </c>
      <c r="F5279" t="s">
        <v>2111</v>
      </c>
      <c r="G5279" s="9">
        <v>44798</v>
      </c>
    </row>
    <row r="5280" spans="1:7" ht="14.25" customHeight="1">
      <c r="A5280" s="8">
        <f t="shared" si="20"/>
        <v>7590</v>
      </c>
      <c r="B5280" s="8"/>
      <c r="C5280" s="8">
        <v>7590</v>
      </c>
      <c r="D5280">
        <v>166</v>
      </c>
      <c r="E5280" t="s">
        <v>1126</v>
      </c>
      <c r="F5280" t="s">
        <v>2105</v>
      </c>
      <c r="G5280" s="9">
        <v>44804</v>
      </c>
    </row>
    <row r="5281" spans="1:7" ht="14.25" customHeight="1">
      <c r="A5281" s="8">
        <f t="shared" si="20"/>
        <v>7590</v>
      </c>
      <c r="B5281" s="8"/>
      <c r="C5281" s="8">
        <v>7590</v>
      </c>
      <c r="D5281">
        <v>177</v>
      </c>
      <c r="E5281" t="s">
        <v>1126</v>
      </c>
      <c r="F5281" t="s">
        <v>2105</v>
      </c>
      <c r="G5281" s="9">
        <v>44834</v>
      </c>
    </row>
    <row r="5282" spans="1:7" ht="14.25" customHeight="1">
      <c r="A5282" s="8">
        <f t="shared" si="20"/>
        <v>690</v>
      </c>
      <c r="B5282" s="8"/>
      <c r="C5282" s="8">
        <v>690</v>
      </c>
      <c r="D5282">
        <v>205</v>
      </c>
      <c r="E5282" t="s">
        <v>1126</v>
      </c>
      <c r="F5282" t="s">
        <v>2106</v>
      </c>
      <c r="G5282" s="9">
        <v>44834</v>
      </c>
    </row>
    <row r="5283" spans="1:7" ht="14.25" customHeight="1">
      <c r="A5283" s="8">
        <f t="shared" si="20"/>
        <v>7590</v>
      </c>
      <c r="B5283" s="8"/>
      <c r="C5283" s="8">
        <v>7590</v>
      </c>
      <c r="D5283">
        <v>183</v>
      </c>
      <c r="E5283" t="s">
        <v>1126</v>
      </c>
      <c r="F5283" t="s">
        <v>2105</v>
      </c>
      <c r="G5283" s="9">
        <v>44865</v>
      </c>
    </row>
    <row r="5284" spans="1:7" ht="14.25" customHeight="1">
      <c r="A5284" s="8">
        <f t="shared" si="20"/>
        <v>115</v>
      </c>
      <c r="B5284" s="8"/>
      <c r="C5284" s="8">
        <v>115</v>
      </c>
      <c r="D5284">
        <v>206</v>
      </c>
      <c r="E5284" t="s">
        <v>1126</v>
      </c>
      <c r="F5284" t="s">
        <v>2106</v>
      </c>
      <c r="G5284" s="9">
        <v>44865</v>
      </c>
    </row>
    <row r="5285" spans="1:7" ht="14.25" customHeight="1">
      <c r="A5285" s="8">
        <f t="shared" si="20"/>
        <v>7590</v>
      </c>
      <c r="B5285" s="8"/>
      <c r="C5285" s="8">
        <v>7590</v>
      </c>
      <c r="D5285">
        <v>187</v>
      </c>
      <c r="E5285" t="s">
        <v>1126</v>
      </c>
      <c r="F5285" t="s">
        <v>2111</v>
      </c>
      <c r="G5285" s="9">
        <v>44874</v>
      </c>
    </row>
    <row r="5286" spans="1:7" ht="14.25" customHeight="1">
      <c r="A5286" s="8">
        <f t="shared" si="20"/>
        <v>7590</v>
      </c>
      <c r="B5286" s="8"/>
      <c r="C5286" s="8">
        <v>7590</v>
      </c>
      <c r="D5286">
        <v>194</v>
      </c>
      <c r="E5286" t="s">
        <v>1126</v>
      </c>
      <c r="F5286" t="s">
        <v>2105</v>
      </c>
      <c r="G5286" s="9">
        <v>44895</v>
      </c>
    </row>
    <row r="5287" spans="1:7" ht="14.25" customHeight="1">
      <c r="A5287" s="8">
        <f t="shared" si="20"/>
        <v>7590</v>
      </c>
      <c r="B5287" s="8"/>
      <c r="C5287" s="8">
        <v>7590</v>
      </c>
      <c r="D5287">
        <v>202</v>
      </c>
      <c r="E5287" t="s">
        <v>1126</v>
      </c>
      <c r="F5287" t="s">
        <v>2105</v>
      </c>
      <c r="G5287" s="9">
        <v>44925</v>
      </c>
    </row>
    <row r="5288" spans="1:7" ht="14.25" customHeight="1">
      <c r="A5288" s="8">
        <f t="shared" si="20"/>
        <v>424235</v>
      </c>
      <c r="B5288" s="8"/>
      <c r="C5288" s="8">
        <v>424235</v>
      </c>
    </row>
    <row r="5289" spans="1:7" ht="14.25" customHeight="1">
      <c r="A5289" s="8">
        <f t="shared" si="20"/>
        <v>0</v>
      </c>
      <c r="B5289" s="8"/>
      <c r="C5289" s="8"/>
      <c r="F5289" t="s">
        <v>2112</v>
      </c>
      <c r="G5289">
        <v>63188000</v>
      </c>
    </row>
    <row r="5290" spans="1:7" ht="14.25" customHeight="1">
      <c r="A5290" s="8">
        <f t="shared" si="20"/>
        <v>116380</v>
      </c>
      <c r="B5290" s="8"/>
      <c r="C5290" s="8">
        <v>116380</v>
      </c>
      <c r="D5290">
        <v>176</v>
      </c>
      <c r="E5290" t="s">
        <v>1126</v>
      </c>
      <c r="F5290" t="s">
        <v>2113</v>
      </c>
      <c r="G5290" s="9">
        <v>44834</v>
      </c>
    </row>
    <row r="5291" spans="1:7" ht="14.25" customHeight="1">
      <c r="A5291" s="8">
        <f t="shared" si="20"/>
        <v>116380</v>
      </c>
      <c r="B5291" s="8"/>
      <c r="C5291" s="8">
        <v>116380</v>
      </c>
    </row>
    <row r="5292" spans="1:7" ht="14.25" customHeight="1">
      <c r="A5292" s="8">
        <f t="shared" si="20"/>
        <v>0</v>
      </c>
      <c r="B5292" s="8"/>
      <c r="C5292" s="8"/>
      <c r="F5292" t="s">
        <v>1558</v>
      </c>
      <c r="G5292">
        <v>64620000</v>
      </c>
    </row>
    <row r="5293" spans="1:7" ht="14.25" customHeight="1">
      <c r="A5293" s="8">
        <f t="shared" si="20"/>
        <v>1380</v>
      </c>
      <c r="B5293" s="8"/>
      <c r="C5293" s="8">
        <v>1380</v>
      </c>
      <c r="D5293">
        <v>213</v>
      </c>
      <c r="E5293" t="s">
        <v>1126</v>
      </c>
      <c r="F5293" t="s">
        <v>2106</v>
      </c>
      <c r="G5293" s="9">
        <v>44925</v>
      </c>
    </row>
    <row r="5294" spans="1:7" ht="14.25" customHeight="1">
      <c r="A5294" s="8">
        <f t="shared" si="20"/>
        <v>1380</v>
      </c>
      <c r="B5294" s="8"/>
      <c r="C5294" s="8">
        <v>1380</v>
      </c>
    </row>
    <row r="5295" spans="1:7" ht="14.25" customHeight="1">
      <c r="A5295" s="8">
        <f t="shared" si="20"/>
        <v>0</v>
      </c>
      <c r="B5295" s="8"/>
      <c r="C5295" s="8"/>
      <c r="F5295" t="s">
        <v>1800</v>
      </c>
      <c r="G5295">
        <v>67220000</v>
      </c>
    </row>
    <row r="5296" spans="1:7" ht="14.25" customHeight="1">
      <c r="A5296" s="8">
        <f t="shared" si="20"/>
        <v>1079053</v>
      </c>
      <c r="B5296" s="8"/>
      <c r="C5296" s="8">
        <v>1079053</v>
      </c>
      <c r="D5296">
        <v>311</v>
      </c>
      <c r="E5296" t="s">
        <v>594</v>
      </c>
      <c r="F5296" t="s">
        <v>1801</v>
      </c>
      <c r="G5296" s="9">
        <v>44925</v>
      </c>
    </row>
    <row r="5297" spans="1:7" ht="14.25" customHeight="1">
      <c r="A5297" s="8">
        <f t="shared" si="20"/>
        <v>1079053</v>
      </c>
      <c r="B5297" s="8"/>
      <c r="C5297" s="8">
        <v>1079053</v>
      </c>
    </row>
    <row r="5298" spans="1:7" ht="14.25" customHeight="1">
      <c r="A5298" s="8">
        <f t="shared" si="20"/>
        <v>0</v>
      </c>
      <c r="B5298" s="8"/>
      <c r="C5298" s="8"/>
      <c r="F5298" t="s">
        <v>2114</v>
      </c>
      <c r="G5298">
        <v>67450000</v>
      </c>
    </row>
    <row r="5299" spans="1:7" ht="14.25" customHeight="1">
      <c r="A5299" s="8">
        <f t="shared" si="20"/>
        <v>18363</v>
      </c>
      <c r="B5299" s="8"/>
      <c r="C5299" s="8">
        <v>18363</v>
      </c>
      <c r="D5299">
        <v>93</v>
      </c>
      <c r="E5299" t="s">
        <v>1126</v>
      </c>
      <c r="F5299" t="s">
        <v>2114</v>
      </c>
      <c r="G5299" s="9">
        <v>44592</v>
      </c>
    </row>
    <row r="5300" spans="1:7" ht="14.25" customHeight="1">
      <c r="A5300" s="8">
        <f t="shared" si="20"/>
        <v>18343</v>
      </c>
      <c r="B5300" s="8"/>
      <c r="C5300" s="8">
        <v>18343</v>
      </c>
      <c r="D5300">
        <v>100</v>
      </c>
      <c r="E5300" t="s">
        <v>1126</v>
      </c>
      <c r="F5300" t="s">
        <v>2114</v>
      </c>
      <c r="G5300" s="9">
        <v>44620</v>
      </c>
    </row>
    <row r="5301" spans="1:7" ht="14.25" customHeight="1">
      <c r="A5301" s="8">
        <f t="shared" si="20"/>
        <v>18343</v>
      </c>
      <c r="B5301" s="8"/>
      <c r="C5301" s="8">
        <v>18343</v>
      </c>
      <c r="D5301">
        <v>108</v>
      </c>
      <c r="E5301" t="s">
        <v>1126</v>
      </c>
      <c r="F5301" t="s">
        <v>2114</v>
      </c>
      <c r="G5301" s="9">
        <v>44651</v>
      </c>
    </row>
    <row r="5302" spans="1:7" ht="14.25" customHeight="1">
      <c r="A5302" s="8">
        <f t="shared" si="20"/>
        <v>60257</v>
      </c>
      <c r="B5302" s="8"/>
      <c r="C5302" s="8">
        <v>60257</v>
      </c>
      <c r="D5302">
        <v>122</v>
      </c>
      <c r="E5302" t="s">
        <v>1126</v>
      </c>
      <c r="F5302" t="s">
        <v>2114</v>
      </c>
      <c r="G5302" s="9">
        <v>44680</v>
      </c>
    </row>
    <row r="5303" spans="1:7" ht="14.25" customHeight="1">
      <c r="A5303" s="8">
        <f t="shared" si="20"/>
        <v>18343</v>
      </c>
      <c r="B5303" s="8"/>
      <c r="C5303" s="8">
        <v>18343</v>
      </c>
      <c r="D5303">
        <v>133</v>
      </c>
      <c r="E5303" t="s">
        <v>1126</v>
      </c>
      <c r="F5303" t="s">
        <v>2114</v>
      </c>
      <c r="G5303" s="9">
        <v>44712</v>
      </c>
    </row>
    <row r="5304" spans="1:7" ht="14.25" customHeight="1">
      <c r="A5304" s="8">
        <f t="shared" si="20"/>
        <v>27672</v>
      </c>
      <c r="B5304" s="8"/>
      <c r="C5304" s="8">
        <v>27672</v>
      </c>
      <c r="D5304">
        <v>139</v>
      </c>
      <c r="E5304" t="s">
        <v>1126</v>
      </c>
      <c r="F5304" t="s">
        <v>2114</v>
      </c>
      <c r="G5304" s="9">
        <v>44742</v>
      </c>
    </row>
    <row r="5305" spans="1:7" ht="14.25" customHeight="1">
      <c r="A5305" s="8">
        <f t="shared" si="20"/>
        <v>45622</v>
      </c>
      <c r="B5305" s="8"/>
      <c r="C5305" s="8">
        <v>45622</v>
      </c>
      <c r="D5305">
        <v>153</v>
      </c>
      <c r="E5305" t="s">
        <v>1126</v>
      </c>
      <c r="F5305" t="s">
        <v>2114</v>
      </c>
      <c r="G5305" s="9">
        <v>44771</v>
      </c>
    </row>
    <row r="5306" spans="1:7" ht="14.25" customHeight="1">
      <c r="A5306" s="8">
        <f t="shared" si="20"/>
        <v>22565</v>
      </c>
      <c r="B5306" s="8"/>
      <c r="C5306" s="8">
        <v>22565</v>
      </c>
      <c r="D5306">
        <v>165</v>
      </c>
      <c r="E5306" t="s">
        <v>1126</v>
      </c>
      <c r="F5306" t="s">
        <v>2114</v>
      </c>
      <c r="G5306" s="9">
        <v>44804</v>
      </c>
    </row>
    <row r="5307" spans="1:7" ht="14.25" customHeight="1">
      <c r="A5307" s="8">
        <f t="shared" si="20"/>
        <v>18343</v>
      </c>
      <c r="B5307" s="8"/>
      <c r="C5307" s="8">
        <v>18343</v>
      </c>
      <c r="D5307">
        <v>175</v>
      </c>
      <c r="E5307" t="s">
        <v>1126</v>
      </c>
      <c r="F5307" t="s">
        <v>2114</v>
      </c>
      <c r="G5307" s="9">
        <v>44834</v>
      </c>
    </row>
    <row r="5308" spans="1:7" ht="14.25" customHeight="1">
      <c r="A5308" s="8">
        <f t="shared" si="20"/>
        <v>19391</v>
      </c>
      <c r="B5308" s="8"/>
      <c r="C5308" s="8">
        <v>19391</v>
      </c>
      <c r="D5308">
        <v>181</v>
      </c>
      <c r="E5308" t="s">
        <v>1126</v>
      </c>
      <c r="F5308" t="s">
        <v>2114</v>
      </c>
      <c r="G5308" s="9">
        <v>44865</v>
      </c>
    </row>
    <row r="5309" spans="1:7" ht="14.25" customHeight="1">
      <c r="A5309" s="8">
        <f t="shared" si="20"/>
        <v>151546</v>
      </c>
      <c r="B5309" s="8"/>
      <c r="C5309" s="8">
        <v>151546</v>
      </c>
      <c r="D5309">
        <v>192</v>
      </c>
      <c r="E5309" t="s">
        <v>1126</v>
      </c>
      <c r="F5309" t="s">
        <v>2114</v>
      </c>
      <c r="G5309" s="9">
        <v>44895</v>
      </c>
    </row>
    <row r="5310" spans="1:7" ht="14.25" customHeight="1">
      <c r="A5310" s="8">
        <f t="shared" si="20"/>
        <v>20915</v>
      </c>
      <c r="B5310" s="8"/>
      <c r="C5310" s="8">
        <v>20915</v>
      </c>
      <c r="D5310">
        <v>200</v>
      </c>
      <c r="E5310" t="s">
        <v>1126</v>
      </c>
      <c r="F5310" t="s">
        <v>2114</v>
      </c>
      <c r="G5310" s="9">
        <v>44925</v>
      </c>
    </row>
    <row r="5311" spans="1:7" ht="14.25" customHeight="1">
      <c r="A5311" s="8">
        <f t="shared" si="20"/>
        <v>439701</v>
      </c>
      <c r="B5311" s="8"/>
      <c r="C5311" s="8">
        <v>439701</v>
      </c>
    </row>
    <row r="5312" spans="1:7" ht="14.25" customHeight="1">
      <c r="A5312" s="8">
        <f t="shared" si="20"/>
        <v>11718312</v>
      </c>
      <c r="B5312" s="8">
        <v>23200</v>
      </c>
      <c r="C5312" s="8">
        <v>11741512</v>
      </c>
      <c r="E5312">
        <v>9804016</v>
      </c>
      <c r="F5312" t="s">
        <v>567</v>
      </c>
      <c r="G5312" t="s">
        <v>581</v>
      </c>
    </row>
    <row r="5313" spans="1:7" ht="14.25" customHeight="1">
      <c r="A5313" s="8">
        <f t="shared" si="20"/>
        <v>0</v>
      </c>
      <c r="B5313" s="8"/>
      <c r="C5313" s="8"/>
      <c r="D5313" t="s">
        <v>568</v>
      </c>
      <c r="G5313">
        <v>9804017</v>
      </c>
    </row>
    <row r="5314" spans="1:7" ht="14.25" customHeight="1">
      <c r="A5314" s="8">
        <f t="shared" si="20"/>
        <v>0</v>
      </c>
      <c r="B5314" s="8"/>
      <c r="C5314" s="8"/>
      <c r="F5314" t="s">
        <v>2115</v>
      </c>
      <c r="G5314">
        <v>64710000</v>
      </c>
    </row>
    <row r="5315" spans="1:7" ht="14.25" customHeight="1">
      <c r="A5315" s="8">
        <f t="shared" si="20"/>
        <v>6227432</v>
      </c>
      <c r="B5315" s="8"/>
      <c r="C5315" s="8">
        <v>6227432</v>
      </c>
      <c r="D5315">
        <v>297</v>
      </c>
      <c r="E5315" t="s">
        <v>594</v>
      </c>
      <c r="F5315" t="s">
        <v>2116</v>
      </c>
      <c r="G5315" s="9">
        <v>44925</v>
      </c>
    </row>
    <row r="5316" spans="1:7" ht="14.25" customHeight="1">
      <c r="A5316" s="8">
        <f t="shared" si="20"/>
        <v>6227432</v>
      </c>
      <c r="B5316" s="8"/>
      <c r="C5316" s="8">
        <v>6227432</v>
      </c>
    </row>
    <row r="5317" spans="1:7" ht="14.25" customHeight="1">
      <c r="A5317" s="8">
        <f t="shared" si="20"/>
        <v>0</v>
      </c>
      <c r="B5317" s="8"/>
      <c r="C5317" s="8"/>
      <c r="F5317" t="s">
        <v>2117</v>
      </c>
      <c r="G5317">
        <v>65150000</v>
      </c>
    </row>
    <row r="5318" spans="1:7" ht="14.25" customHeight="1">
      <c r="A5318" s="8">
        <f t="shared" si="20"/>
        <v>3751139</v>
      </c>
      <c r="B5318" s="8"/>
      <c r="C5318" s="8">
        <v>3751139</v>
      </c>
      <c r="D5318">
        <v>296</v>
      </c>
      <c r="E5318" t="s">
        <v>594</v>
      </c>
      <c r="F5318" t="s">
        <v>2118</v>
      </c>
      <c r="G5318" s="9">
        <v>44925</v>
      </c>
    </row>
    <row r="5319" spans="1:7" ht="14.25" customHeight="1">
      <c r="A5319" s="8">
        <f t="shared" si="20"/>
        <v>3751139</v>
      </c>
      <c r="B5319" s="8"/>
      <c r="C5319" s="8">
        <v>3751139</v>
      </c>
    </row>
    <row r="5320" spans="1:7" ht="14.25" customHeight="1">
      <c r="A5320" s="8">
        <f t="shared" si="20"/>
        <v>0</v>
      </c>
      <c r="B5320" s="8"/>
      <c r="C5320" s="8"/>
      <c r="F5320" t="s">
        <v>2119</v>
      </c>
      <c r="G5320">
        <v>68120000</v>
      </c>
    </row>
    <row r="5321" spans="1:7" ht="14.25" customHeight="1">
      <c r="A5321" s="8">
        <f t="shared" si="20"/>
        <v>2409697</v>
      </c>
      <c r="B5321" s="8"/>
      <c r="C5321" s="8">
        <v>2409697</v>
      </c>
      <c r="D5321">
        <v>237</v>
      </c>
      <c r="E5321" t="s">
        <v>594</v>
      </c>
      <c r="F5321" t="s">
        <v>2120</v>
      </c>
      <c r="G5321" s="9">
        <v>44925</v>
      </c>
    </row>
    <row r="5322" spans="1:7" ht="14.25" customHeight="1">
      <c r="A5322" s="8">
        <f t="shared" si="20"/>
        <v>354048</v>
      </c>
      <c r="B5322" s="8"/>
      <c r="C5322" s="8">
        <v>354048</v>
      </c>
      <c r="D5322">
        <v>238</v>
      </c>
      <c r="E5322" t="s">
        <v>594</v>
      </c>
      <c r="F5322" t="s">
        <v>2121</v>
      </c>
      <c r="G5322" s="9">
        <v>44925</v>
      </c>
    </row>
    <row r="5323" spans="1:7" ht="14.25" customHeight="1">
      <c r="A5323" s="8">
        <f t="shared" si="20"/>
        <v>2763746</v>
      </c>
      <c r="B5323" s="8"/>
      <c r="C5323" s="8">
        <v>2763746</v>
      </c>
    </row>
    <row r="5324" spans="1:7" ht="14.25" customHeight="1">
      <c r="A5324" s="8">
        <f t="shared" si="20"/>
        <v>0</v>
      </c>
      <c r="B5324" s="8"/>
      <c r="C5324" s="8"/>
      <c r="F5324" t="s">
        <v>2122</v>
      </c>
      <c r="G5324">
        <v>68130000</v>
      </c>
    </row>
    <row r="5325" spans="1:7" ht="14.25" customHeight="1">
      <c r="A5325" s="8">
        <f t="shared" si="20"/>
        <v>739968</v>
      </c>
      <c r="B5325" s="8"/>
      <c r="C5325" s="8">
        <v>739968</v>
      </c>
      <c r="D5325">
        <v>240</v>
      </c>
      <c r="E5325" t="s">
        <v>594</v>
      </c>
      <c r="F5325" t="s">
        <v>2123</v>
      </c>
      <c r="G5325" s="9">
        <v>44925</v>
      </c>
    </row>
    <row r="5326" spans="1:7" ht="14.25" customHeight="1">
      <c r="A5326" s="8">
        <f t="shared" si="20"/>
        <v>477021</v>
      </c>
      <c r="B5326" s="8"/>
      <c r="C5326" s="8">
        <v>477021</v>
      </c>
      <c r="D5326">
        <v>241</v>
      </c>
      <c r="E5326" t="s">
        <v>594</v>
      </c>
      <c r="F5326" t="s">
        <v>2124</v>
      </c>
      <c r="G5326" s="9">
        <v>44925</v>
      </c>
    </row>
    <row r="5327" spans="1:7" ht="14.25" customHeight="1">
      <c r="A5327" s="8">
        <f t="shared" si="20"/>
        <v>6882435</v>
      </c>
      <c r="B5327" s="8"/>
      <c r="C5327" s="8">
        <v>6882435</v>
      </c>
      <c r="D5327">
        <v>271</v>
      </c>
      <c r="E5327" t="s">
        <v>594</v>
      </c>
      <c r="F5327" t="s">
        <v>2125</v>
      </c>
      <c r="G5327" s="9">
        <v>44925</v>
      </c>
    </row>
    <row r="5328" spans="1:7" ht="14.25" customHeight="1">
      <c r="A5328" s="8">
        <f t="shared" si="20"/>
        <v>10243121</v>
      </c>
      <c r="B5328" s="8"/>
      <c r="C5328" s="8">
        <v>10243121</v>
      </c>
      <c r="D5328">
        <v>255</v>
      </c>
      <c r="E5328" t="s">
        <v>594</v>
      </c>
      <c r="F5328" t="s">
        <v>2126</v>
      </c>
      <c r="G5328" s="9">
        <v>44925</v>
      </c>
    </row>
    <row r="5329" spans="1:7" ht="14.25" customHeight="1">
      <c r="A5329" s="8">
        <f t="shared" si="20"/>
        <v>230163</v>
      </c>
      <c r="B5329" s="8"/>
      <c r="C5329" s="8">
        <v>230163</v>
      </c>
      <c r="D5329">
        <v>239</v>
      </c>
      <c r="E5329" t="s">
        <v>594</v>
      </c>
      <c r="F5329" t="s">
        <v>2127</v>
      </c>
      <c r="G5329" s="9">
        <v>44925</v>
      </c>
    </row>
    <row r="5330" spans="1:7" ht="14.25" customHeight="1">
      <c r="A5330" s="8">
        <f t="shared" si="20"/>
        <v>18572708</v>
      </c>
      <c r="B5330" s="8"/>
      <c r="C5330" s="8">
        <v>18572708</v>
      </c>
    </row>
    <row r="5331" spans="1:7" ht="14.25" customHeight="1">
      <c r="A5331" s="8">
        <f t="shared" si="20"/>
        <v>0</v>
      </c>
      <c r="B5331" s="8"/>
      <c r="C5331" s="8"/>
      <c r="F5331" t="s">
        <v>2032</v>
      </c>
      <c r="G5331">
        <v>6910000</v>
      </c>
    </row>
    <row r="5332" spans="1:7" ht="14.25" customHeight="1">
      <c r="A5332" s="8">
        <f t="shared" si="20"/>
        <v>7788665</v>
      </c>
      <c r="B5332" s="8"/>
      <c r="C5332" s="8">
        <v>7788665</v>
      </c>
      <c r="D5332">
        <v>275</v>
      </c>
      <c r="E5332" t="s">
        <v>594</v>
      </c>
      <c r="F5332" t="s">
        <v>2128</v>
      </c>
      <c r="G5332" s="9">
        <v>44925</v>
      </c>
    </row>
    <row r="5333" spans="1:7" ht="14.25" customHeight="1">
      <c r="A5333" s="8">
        <f t="shared" si="20"/>
        <v>7788665</v>
      </c>
      <c r="B5333" s="8"/>
      <c r="C5333" s="8">
        <v>7788665</v>
      </c>
    </row>
    <row r="5334" spans="1:7" ht="14.25" customHeight="1">
      <c r="A5334" s="8">
        <f t="shared" si="20"/>
        <v>39103689</v>
      </c>
      <c r="B5334" s="8"/>
      <c r="C5334" s="8">
        <v>39103689</v>
      </c>
      <c r="E5334">
        <v>9804017</v>
      </c>
      <c r="F5334" t="s">
        <v>568</v>
      </c>
      <c r="G5334" t="s">
        <v>581</v>
      </c>
    </row>
    <row r="5335" spans="1:7" ht="14.25" customHeight="1">
      <c r="A5335" s="8">
        <f t="shared" si="20"/>
        <v>0</v>
      </c>
      <c r="B5335" s="8"/>
      <c r="C5335" s="8"/>
      <c r="D5335" t="s">
        <v>569</v>
      </c>
      <c r="G5335">
        <v>9804018</v>
      </c>
    </row>
    <row r="5336" spans="1:7" ht="14.25" customHeight="1">
      <c r="A5336" s="8">
        <f t="shared" si="20"/>
        <v>0</v>
      </c>
      <c r="B5336" s="8"/>
      <c r="C5336" s="8"/>
      <c r="F5336" t="s">
        <v>2129</v>
      </c>
      <c r="G5336">
        <v>64120000</v>
      </c>
    </row>
    <row r="5337" spans="1:7" ht="14.25" customHeight="1">
      <c r="A5337" s="8">
        <f t="shared" si="20"/>
        <v>593975</v>
      </c>
      <c r="B5337" s="8"/>
      <c r="C5337" s="8">
        <v>593975</v>
      </c>
      <c r="D5337">
        <v>41</v>
      </c>
      <c r="E5337" t="s">
        <v>594</v>
      </c>
      <c r="F5337" t="s">
        <v>2130</v>
      </c>
      <c r="G5337" s="9">
        <v>44651</v>
      </c>
    </row>
    <row r="5338" spans="1:7" ht="14.25" customHeight="1">
      <c r="A5338" s="8">
        <f t="shared" si="20"/>
        <v>593975</v>
      </c>
      <c r="B5338" s="8"/>
      <c r="C5338" s="8">
        <v>593975</v>
      </c>
      <c r="D5338">
        <v>37</v>
      </c>
      <c r="E5338" t="s">
        <v>594</v>
      </c>
      <c r="F5338" t="s">
        <v>2131</v>
      </c>
      <c r="G5338" s="9">
        <v>44742</v>
      </c>
    </row>
    <row r="5339" spans="1:7" ht="14.25" customHeight="1">
      <c r="A5339" s="8">
        <f t="shared" si="20"/>
        <v>1187950</v>
      </c>
      <c r="B5339" s="8"/>
      <c r="C5339" s="8">
        <v>1187950</v>
      </c>
    </row>
    <row r="5340" spans="1:7" ht="14.25" customHeight="1">
      <c r="A5340" s="8">
        <f t="shared" si="20"/>
        <v>0</v>
      </c>
      <c r="B5340" s="8"/>
      <c r="C5340" s="8"/>
      <c r="F5340" t="s">
        <v>2132</v>
      </c>
      <c r="G5340">
        <v>64180000</v>
      </c>
    </row>
    <row r="5341" spans="1:7" ht="14.25" customHeight="1">
      <c r="A5341" s="8">
        <f t="shared" si="20"/>
        <v>154486</v>
      </c>
      <c r="B5341" s="8"/>
      <c r="C5341" s="8">
        <v>154486</v>
      </c>
      <c r="D5341">
        <v>39</v>
      </c>
      <c r="E5341" t="s">
        <v>594</v>
      </c>
      <c r="F5341" t="s">
        <v>2133</v>
      </c>
      <c r="G5341" s="9">
        <v>44651</v>
      </c>
    </row>
    <row r="5342" spans="1:7" ht="14.25" customHeight="1">
      <c r="A5342" s="8">
        <f t="shared" si="20"/>
        <v>69902</v>
      </c>
      <c r="B5342" s="8"/>
      <c r="C5342" s="8">
        <v>69902</v>
      </c>
      <c r="D5342">
        <v>36</v>
      </c>
      <c r="E5342" t="s">
        <v>594</v>
      </c>
      <c r="F5342" t="s">
        <v>2134</v>
      </c>
      <c r="G5342" s="9">
        <v>44742</v>
      </c>
    </row>
    <row r="5343" spans="1:7" ht="14.25" customHeight="1">
      <c r="A5343" s="8">
        <f t="shared" si="20"/>
        <v>251945</v>
      </c>
      <c r="B5343" s="8"/>
      <c r="C5343" s="8">
        <v>251945</v>
      </c>
      <c r="D5343">
        <v>231</v>
      </c>
      <c r="E5343" t="s">
        <v>594</v>
      </c>
      <c r="F5343" t="s">
        <v>2135</v>
      </c>
      <c r="G5343" s="9">
        <v>44925</v>
      </c>
    </row>
    <row r="5344" spans="1:7" ht="14.25" customHeight="1">
      <c r="A5344" s="8">
        <f t="shared" si="20"/>
        <v>476333</v>
      </c>
      <c r="B5344" s="8"/>
      <c r="C5344" s="8">
        <v>476333</v>
      </c>
    </row>
    <row r="5345" spans="1:7" ht="14.25" customHeight="1">
      <c r="A5345" s="8">
        <f t="shared" si="20"/>
        <v>1664283</v>
      </c>
      <c r="B5345" s="8"/>
      <c r="C5345" s="8">
        <v>1664283</v>
      </c>
      <c r="E5345">
        <v>9804018</v>
      </c>
      <c r="F5345" t="s">
        <v>569</v>
      </c>
      <c r="G5345" t="s">
        <v>581</v>
      </c>
    </row>
    <row r="5346" spans="1:7" ht="14.25" customHeight="1">
      <c r="A5346" s="8">
        <f t="shared" si="20"/>
        <v>49389451</v>
      </c>
      <c r="B5346" s="8">
        <v>39494025</v>
      </c>
      <c r="C5346" s="8">
        <v>88883476</v>
      </c>
      <c r="E5346">
        <v>98</v>
      </c>
      <c r="F5346" t="s">
        <v>570</v>
      </c>
      <c r="G5346" t="s">
        <v>581</v>
      </c>
    </row>
    <row r="5347" spans="1:7" ht="14.25" customHeight="1">
      <c r="A5347" s="8">
        <f t="shared" si="20"/>
        <v>0</v>
      </c>
      <c r="B5347" s="8"/>
      <c r="C5347" s="8"/>
    </row>
    <row r="5348" spans="1:7" ht="14.25" customHeight="1">
      <c r="A5348" s="8">
        <f t="shared" si="20"/>
        <v>-95331053</v>
      </c>
      <c r="B5348" s="8">
        <v>839347582</v>
      </c>
      <c r="C5348" s="8">
        <v>744016529</v>
      </c>
    </row>
    <row r="5349" spans="1:7" ht="14.25" customHeight="1"/>
  </sheetData>
  <autoFilter ref="A1:G5360" xr:uid="{00000000-0009-0000-0000-000001000000}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272D-1C90-A441-BCB1-2F1082699B72}">
  <dimension ref="D3:G48"/>
  <sheetViews>
    <sheetView workbookViewId="0">
      <selection activeCell="E38" sqref="E38"/>
    </sheetView>
  </sheetViews>
  <sheetFormatPr defaultColWidth="10.81640625" defaultRowHeight="14.5"/>
  <cols>
    <col min="1" max="16384" width="10.81640625" style="10"/>
  </cols>
  <sheetData>
    <row r="3" spans="4:7">
      <c r="F3" s="10" t="s">
        <v>574</v>
      </c>
      <c r="G3" s="10" t="s">
        <v>573</v>
      </c>
    </row>
    <row r="4" spans="4:7">
      <c r="D4" s="11">
        <v>1114701</v>
      </c>
      <c r="E4" s="10" t="s">
        <v>97</v>
      </c>
      <c r="F4" s="10">
        <v>103500</v>
      </c>
      <c r="G4" s="10">
        <v>0</v>
      </c>
    </row>
    <row r="5" spans="4:7">
      <c r="D5" s="10">
        <v>1331302</v>
      </c>
      <c r="E5" s="10" t="s">
        <v>167</v>
      </c>
      <c r="F5" s="10">
        <v>0</v>
      </c>
      <c r="G5" s="10">
        <v>0</v>
      </c>
    </row>
    <row r="6" spans="4:7">
      <c r="D6" s="10">
        <v>1335801</v>
      </c>
      <c r="E6" s="10" t="s">
        <v>319</v>
      </c>
      <c r="F6" s="10">
        <v>2875</v>
      </c>
      <c r="G6" s="10">
        <v>0</v>
      </c>
    </row>
    <row r="7" spans="4:7">
      <c r="D7" s="10">
        <v>1116321</v>
      </c>
      <c r="E7" s="10" t="s">
        <v>135</v>
      </c>
      <c r="F7" s="10">
        <v>1980108</v>
      </c>
      <c r="G7" s="10">
        <v>2300670</v>
      </c>
    </row>
    <row r="8" spans="4:7">
      <c r="D8" s="10">
        <v>9702010</v>
      </c>
      <c r="E8" s="10" t="s">
        <v>544</v>
      </c>
      <c r="F8" s="10">
        <v>5980000</v>
      </c>
      <c r="G8" s="10">
        <v>0</v>
      </c>
    </row>
    <row r="9" spans="4:7">
      <c r="D9" s="10">
        <v>1115202</v>
      </c>
      <c r="E9" s="10" t="s">
        <v>111</v>
      </c>
      <c r="F9" s="10">
        <v>0</v>
      </c>
      <c r="G9" s="10">
        <v>0</v>
      </c>
    </row>
    <row r="10" spans="4:7">
      <c r="D10" s="10">
        <v>1114721</v>
      </c>
      <c r="E10" s="10" t="s">
        <v>100</v>
      </c>
      <c r="F10" s="10">
        <v>69748</v>
      </c>
      <c r="G10" s="10">
        <v>3515410</v>
      </c>
    </row>
    <row r="11" spans="4:7">
      <c r="D11" s="10">
        <v>4170321</v>
      </c>
      <c r="E11" s="10" t="s">
        <v>461</v>
      </c>
      <c r="F11" s="10">
        <v>2277460</v>
      </c>
      <c r="G11" s="10">
        <v>64398168</v>
      </c>
    </row>
    <row r="12" spans="4:7">
      <c r="D12" s="10">
        <v>1115805</v>
      </c>
      <c r="E12" s="10" t="s">
        <v>125</v>
      </c>
      <c r="F12" s="10">
        <v>87228</v>
      </c>
      <c r="G12" s="10">
        <v>0</v>
      </c>
    </row>
    <row r="13" spans="4:7">
      <c r="D13" s="10">
        <v>1115801</v>
      </c>
      <c r="E13" s="10" t="s">
        <v>123</v>
      </c>
      <c r="F13" s="10">
        <v>883200</v>
      </c>
      <c r="G13" s="10">
        <v>0</v>
      </c>
    </row>
    <row r="14" spans="4:7">
      <c r="D14" s="10">
        <v>1115502</v>
      </c>
      <c r="E14" s="10" t="s">
        <v>118</v>
      </c>
      <c r="F14" s="10">
        <v>69805</v>
      </c>
      <c r="G14" s="10">
        <v>0</v>
      </c>
    </row>
    <row r="15" spans="4:7">
      <c r="D15" s="10">
        <v>1115402</v>
      </c>
      <c r="E15" s="10" t="s">
        <v>117</v>
      </c>
      <c r="F15" s="10">
        <v>345000</v>
      </c>
      <c r="G15" s="10">
        <v>0</v>
      </c>
    </row>
    <row r="16" spans="4:7">
      <c r="D16" s="10">
        <v>1112721</v>
      </c>
      <c r="E16" s="10" t="s">
        <v>61</v>
      </c>
      <c r="F16" s="10">
        <v>0</v>
      </c>
      <c r="G16" s="10">
        <v>2286287</v>
      </c>
    </row>
    <row r="17" spans="4:7">
      <c r="D17" s="10">
        <v>1115302</v>
      </c>
      <c r="E17" s="10" t="s">
        <v>114</v>
      </c>
      <c r="F17" s="10">
        <v>0</v>
      </c>
      <c r="G17" s="10">
        <v>0</v>
      </c>
    </row>
    <row r="18" spans="4:7">
      <c r="D18" s="10">
        <v>1115705</v>
      </c>
      <c r="E18" s="10" t="s">
        <v>122</v>
      </c>
      <c r="F18" s="10">
        <v>348565</v>
      </c>
      <c r="G18" s="10">
        <v>0</v>
      </c>
    </row>
    <row r="19" spans="4:7">
      <c r="D19" s="10">
        <v>1114821</v>
      </c>
      <c r="E19" s="10" t="s">
        <v>103</v>
      </c>
      <c r="F19" s="10">
        <v>322000</v>
      </c>
      <c r="G19" s="10">
        <v>2134891</v>
      </c>
    </row>
    <row r="20" spans="4:7">
      <c r="D20" s="10">
        <v>1115401</v>
      </c>
      <c r="E20" s="10" t="s">
        <v>116</v>
      </c>
      <c r="F20" s="10">
        <v>3162</v>
      </c>
      <c r="G20" s="10">
        <v>0</v>
      </c>
    </row>
    <row r="21" spans="4:7">
      <c r="D21" s="10">
        <v>1115601</v>
      </c>
      <c r="E21" s="10" t="s">
        <v>119</v>
      </c>
      <c r="F21" s="10">
        <v>215625</v>
      </c>
      <c r="G21" s="10">
        <v>0</v>
      </c>
    </row>
    <row r="22" spans="4:7">
      <c r="D22" s="10">
        <v>1114802</v>
      </c>
      <c r="E22" s="10" t="s">
        <v>102</v>
      </c>
      <c r="F22" s="10">
        <v>0</v>
      </c>
      <c r="G22" s="10">
        <v>0</v>
      </c>
    </row>
    <row r="23" spans="4:7">
      <c r="D23" s="10">
        <v>1335721</v>
      </c>
      <c r="E23" s="10" t="s">
        <v>318</v>
      </c>
      <c r="F23" s="10">
        <v>705956</v>
      </c>
      <c r="G23" s="10">
        <v>4589610</v>
      </c>
    </row>
    <row r="24" spans="4:7">
      <c r="D24" s="10">
        <v>1115321</v>
      </c>
      <c r="E24" s="10" t="s">
        <v>115</v>
      </c>
      <c r="F24" s="10">
        <v>139380</v>
      </c>
      <c r="G24" s="10">
        <v>15848043</v>
      </c>
    </row>
    <row r="25" spans="4:7">
      <c r="D25" s="10">
        <v>1114702</v>
      </c>
      <c r="E25" s="10" t="s">
        <v>98</v>
      </c>
      <c r="F25" s="10">
        <v>1724062</v>
      </c>
      <c r="G25" s="10">
        <v>0</v>
      </c>
    </row>
    <row r="26" spans="4:7">
      <c r="D26" s="10">
        <v>1115201</v>
      </c>
      <c r="E26" s="10" t="s">
        <v>110</v>
      </c>
      <c r="F26" s="10">
        <v>63710</v>
      </c>
      <c r="G26" s="10">
        <v>0</v>
      </c>
    </row>
    <row r="27" spans="4:7">
      <c r="D27" s="10">
        <v>1115221</v>
      </c>
      <c r="E27" s="10" t="s">
        <v>112</v>
      </c>
      <c r="F27" s="10">
        <v>104650</v>
      </c>
      <c r="G27" s="10">
        <v>2865936</v>
      </c>
    </row>
    <row r="28" spans="4:7">
      <c r="D28" s="10">
        <v>1335921</v>
      </c>
      <c r="E28" s="10" t="s">
        <v>326</v>
      </c>
      <c r="F28" s="10">
        <v>4866472</v>
      </c>
      <c r="G28" s="10">
        <v>4704564</v>
      </c>
    </row>
    <row r="29" spans="4:7">
      <c r="D29" s="10">
        <v>1110301</v>
      </c>
      <c r="E29" s="10" t="s">
        <v>9</v>
      </c>
      <c r="F29" s="10">
        <v>173995</v>
      </c>
      <c r="G29" s="10">
        <v>0</v>
      </c>
    </row>
    <row r="30" spans="4:7">
      <c r="D30" s="10">
        <v>1114921</v>
      </c>
      <c r="E30" s="10" t="s">
        <v>105</v>
      </c>
      <c r="F30" s="10">
        <v>278875</v>
      </c>
      <c r="G30" s="10">
        <v>1511790</v>
      </c>
    </row>
    <row r="31" spans="4:7">
      <c r="D31" s="10">
        <v>1331421</v>
      </c>
      <c r="E31" s="10" t="s">
        <v>172</v>
      </c>
      <c r="F31" s="10">
        <v>522905</v>
      </c>
      <c r="G31" s="10">
        <v>5243488</v>
      </c>
    </row>
    <row r="32" spans="4:7">
      <c r="D32" s="10">
        <v>1114905</v>
      </c>
      <c r="E32" s="10" t="s">
        <v>104</v>
      </c>
      <c r="F32" s="10">
        <v>0</v>
      </c>
      <c r="G32" s="10">
        <v>0</v>
      </c>
    </row>
    <row r="33" spans="4:7">
      <c r="D33" s="10">
        <v>1115701</v>
      </c>
      <c r="E33" s="10" t="s">
        <v>121</v>
      </c>
      <c r="F33" s="10">
        <v>280313</v>
      </c>
      <c r="G33" s="10">
        <v>0</v>
      </c>
    </row>
    <row r="34" spans="4:7">
      <c r="D34" s="10">
        <v>1115002</v>
      </c>
      <c r="E34" s="10" t="s">
        <v>107</v>
      </c>
      <c r="F34" s="10">
        <v>0</v>
      </c>
      <c r="G34" s="10">
        <v>0</v>
      </c>
    </row>
    <row r="35" spans="4:7">
      <c r="D35" s="10">
        <v>1115802</v>
      </c>
      <c r="E35" s="10" t="s">
        <v>124</v>
      </c>
      <c r="F35" s="10">
        <v>388125</v>
      </c>
      <c r="G35" s="10">
        <v>0</v>
      </c>
    </row>
    <row r="36" spans="4:7">
      <c r="D36" s="10">
        <v>1336601</v>
      </c>
      <c r="E36" s="10" t="s">
        <v>345</v>
      </c>
      <c r="F36" s="10">
        <v>503412</v>
      </c>
      <c r="G36" s="10">
        <v>0</v>
      </c>
    </row>
    <row r="37" spans="4:7">
      <c r="D37" s="10">
        <v>1114705</v>
      </c>
      <c r="E37" s="10" t="s">
        <v>99</v>
      </c>
      <c r="F37" s="10">
        <v>0</v>
      </c>
      <c r="G37" s="10">
        <v>0</v>
      </c>
    </row>
    <row r="38" spans="4:7">
      <c r="D38" s="10">
        <v>1336702</v>
      </c>
      <c r="E38" s="10" t="s">
        <v>349</v>
      </c>
      <c r="F38" s="10">
        <v>485875</v>
      </c>
      <c r="G38" s="10">
        <v>0</v>
      </c>
    </row>
    <row r="39" spans="4:7">
      <c r="D39" s="10">
        <v>1115121</v>
      </c>
      <c r="E39" s="10" t="s">
        <v>109</v>
      </c>
      <c r="F39" s="10">
        <v>270164</v>
      </c>
      <c r="G39" s="10">
        <v>1439464</v>
      </c>
    </row>
    <row r="40" spans="4:7">
      <c r="D40" s="10">
        <v>1115021</v>
      </c>
      <c r="E40" s="10" t="s">
        <v>108</v>
      </c>
      <c r="F40" s="10">
        <v>1439464</v>
      </c>
      <c r="G40" s="10">
        <v>1754670</v>
      </c>
    </row>
    <row r="41" spans="4:7">
      <c r="D41" s="10">
        <v>1115001</v>
      </c>
      <c r="E41" s="10" t="s">
        <v>106</v>
      </c>
      <c r="F41" s="10">
        <v>190670</v>
      </c>
      <c r="G41" s="10">
        <v>0</v>
      </c>
    </row>
    <row r="42" spans="4:7">
      <c r="D42" s="10">
        <v>1111401</v>
      </c>
      <c r="E42" s="10" t="s">
        <v>29</v>
      </c>
      <c r="F42" s="10">
        <v>139495</v>
      </c>
      <c r="G42" s="10">
        <v>0</v>
      </c>
    </row>
    <row r="43" spans="4:7">
      <c r="D43" s="10">
        <v>1112502</v>
      </c>
      <c r="E43" s="10" t="s">
        <v>57</v>
      </c>
      <c r="F43" s="10">
        <v>32200</v>
      </c>
      <c r="G43" s="10">
        <v>0</v>
      </c>
    </row>
    <row r="44" spans="4:7">
      <c r="D44" s="10">
        <v>1336621</v>
      </c>
      <c r="E44" s="10" t="s">
        <v>348</v>
      </c>
      <c r="F44" s="10">
        <v>433406</v>
      </c>
      <c r="G44" s="10">
        <v>4399990</v>
      </c>
    </row>
    <row r="45" spans="4:7">
      <c r="D45" s="10">
        <v>1330502</v>
      </c>
      <c r="E45" s="10" t="s">
        <v>148</v>
      </c>
      <c r="F45" s="10">
        <v>139668</v>
      </c>
      <c r="G45" s="10">
        <v>0</v>
      </c>
    </row>
    <row r="46" spans="4:7">
      <c r="D46" s="10">
        <v>1115301</v>
      </c>
      <c r="E46" s="10" t="s">
        <v>113</v>
      </c>
      <c r="F46" s="10">
        <v>211945</v>
      </c>
      <c r="G46" s="10">
        <v>0</v>
      </c>
    </row>
    <row r="47" spans="4:7">
      <c r="D47" s="10">
        <v>1114801</v>
      </c>
      <c r="E47" s="10" t="s">
        <v>101</v>
      </c>
      <c r="F47" s="10">
        <v>103500</v>
      </c>
      <c r="G47" s="10">
        <v>0</v>
      </c>
    </row>
    <row r="48" spans="4:7">
      <c r="D48" s="10">
        <v>1115605</v>
      </c>
      <c r="E48" s="10" t="s">
        <v>120</v>
      </c>
      <c r="F48" s="10">
        <v>139495</v>
      </c>
      <c r="G4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GL-Summary</vt:lpstr>
      <vt:lpstr>GL-Transactions</vt:lpstr>
      <vt:lpstr>Sheet1</vt:lpstr>
      <vt:lpstr>'GL-Transactions'!_FilterDatabase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