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bookViews>
    <workbookView xWindow="-22960" yWindow="-21100" windowWidth="38400" windowHeight="21100" xr2:uid="{00000000-000D-0000-FFFF-FFFF00000000}"/>
  </bookViews>
  <sheets>
    <sheet name="Company1354-3-Statements" sheetId="1" r:id="rId1"/>
  </sheets>
  <definedNames>
    <definedName name="Cash_Interest_Rate">'Company1354-3-Statements'!$D$16</definedName>
    <definedName name="Company_Name">'Company1354-3-Statements'!$D$8</definedName>
    <definedName name="Debt_Interest_Rate">'Company1354-3-Statements'!$D$15</definedName>
    <definedName name="GM_Improv">'Company1354-3-Statements'!$D$13</definedName>
    <definedName name="Hist_Yr">'Company1354-3-Statements'!$D$11</definedName>
    <definedName name="Share_Price">'Company1354-3-Statements'!$D$10</definedName>
    <definedName name="Tax_Rate">'Company1354-3-Statements'!$D$14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XqXbv0Kgfmqzy7GGQ4ckQcAjwAfasGwUtZBgApZido="/>
    </ext>
  </extLst>
</workbook>
</file>

<file path=xl/calcChain.xml><?xml version="1.0" encoding="utf-8"?>
<calcChain xmlns="http://schemas.openxmlformats.org/spreadsheetml/2006/main">
  <c r="H71" i="1" l="1"/>
  <c r="H73" i="1" s="1"/>
  <c r="H175" i="1"/>
  <c r="L169" i="1"/>
  <c r="K169" i="1"/>
  <c r="J169" i="1"/>
  <c r="I169" i="1"/>
  <c r="H169" i="1"/>
  <c r="H167" i="1"/>
  <c r="L162" i="1"/>
  <c r="K162" i="1"/>
  <c r="J162" i="1"/>
  <c r="I162" i="1"/>
  <c r="H162" i="1"/>
  <c r="L161" i="1"/>
  <c r="K161" i="1"/>
  <c r="J161" i="1"/>
  <c r="I161" i="1"/>
  <c r="H161" i="1"/>
  <c r="L150" i="1"/>
  <c r="K150" i="1"/>
  <c r="J150" i="1"/>
  <c r="I150" i="1"/>
  <c r="H150" i="1"/>
  <c r="D140" i="1"/>
  <c r="H139" i="1"/>
  <c r="E139" i="1"/>
  <c r="G137" i="1"/>
  <c r="F137" i="1"/>
  <c r="E137" i="1"/>
  <c r="D100" i="1"/>
  <c r="H99" i="1"/>
  <c r="E99" i="1"/>
  <c r="L95" i="1"/>
  <c r="K95" i="1"/>
  <c r="J95" i="1"/>
  <c r="I95" i="1"/>
  <c r="H95" i="1"/>
  <c r="L80" i="1"/>
  <c r="L146" i="1" s="1"/>
  <c r="K80" i="1"/>
  <c r="K146" i="1" s="1"/>
  <c r="J80" i="1"/>
  <c r="J146" i="1" s="1"/>
  <c r="I80" i="1"/>
  <c r="I146" i="1" s="1"/>
  <c r="H80" i="1"/>
  <c r="H146" i="1" s="1"/>
  <c r="H111" i="1" s="1"/>
  <c r="L79" i="1"/>
  <c r="L147" i="1" s="1"/>
  <c r="K79" i="1"/>
  <c r="K147" i="1" s="1"/>
  <c r="J79" i="1"/>
  <c r="J147" i="1" s="1"/>
  <c r="I79" i="1"/>
  <c r="I147" i="1" s="1"/>
  <c r="H79" i="1"/>
  <c r="H147" i="1" s="1"/>
  <c r="H112" i="1" s="1"/>
  <c r="I112" i="1" s="1"/>
  <c r="J112" i="1" s="1"/>
  <c r="D69" i="1"/>
  <c r="H68" i="1"/>
  <c r="E68" i="1"/>
  <c r="G66" i="1"/>
  <c r="F66" i="1"/>
  <c r="E66" i="1"/>
  <c r="I60" i="1"/>
  <c r="I167" i="1" s="1"/>
  <c r="G60" i="1"/>
  <c r="F60" i="1"/>
  <c r="E60" i="1"/>
  <c r="G58" i="1"/>
  <c r="F58" i="1"/>
  <c r="E58" i="1"/>
  <c r="H58" i="1" s="1"/>
  <c r="I58" i="1" s="1"/>
  <c r="J58" i="1" s="1"/>
  <c r="G57" i="1"/>
  <c r="F57" i="1"/>
  <c r="E57" i="1"/>
  <c r="G55" i="1"/>
  <c r="F55" i="1"/>
  <c r="E55" i="1"/>
  <c r="H55" i="1" s="1"/>
  <c r="G53" i="1"/>
  <c r="F53" i="1"/>
  <c r="E53" i="1"/>
  <c r="G49" i="1"/>
  <c r="F49" i="1"/>
  <c r="E49" i="1"/>
  <c r="H49" i="1" s="1"/>
  <c r="G48" i="1"/>
  <c r="F48" i="1"/>
  <c r="E48" i="1"/>
  <c r="G46" i="1"/>
  <c r="F46" i="1"/>
  <c r="E46" i="1"/>
  <c r="G45" i="1"/>
  <c r="F45" i="1"/>
  <c r="E45" i="1"/>
  <c r="G44" i="1"/>
  <c r="F44" i="1"/>
  <c r="E44" i="1"/>
  <c r="G42" i="1"/>
  <c r="F42" i="1"/>
  <c r="E42" i="1"/>
  <c r="G41" i="1"/>
  <c r="F41" i="1"/>
  <c r="E41" i="1"/>
  <c r="G40" i="1"/>
  <c r="F40" i="1"/>
  <c r="E40" i="1"/>
  <c r="H35" i="1"/>
  <c r="H88" i="1" s="1"/>
  <c r="H30" i="1"/>
  <c r="H34" i="1" s="1"/>
  <c r="H87" i="1" s="1"/>
  <c r="H89" i="1" s="1"/>
  <c r="G22" i="1"/>
  <c r="H22" i="1" s="1"/>
  <c r="I22" i="1" s="1"/>
  <c r="J22" i="1" s="1"/>
  <c r="K22" i="1" s="1"/>
  <c r="L22" i="1" s="1"/>
  <c r="F22" i="1"/>
  <c r="E22" i="1"/>
  <c r="G19" i="1"/>
  <c r="F19" i="1" s="1"/>
  <c r="B2" i="1"/>
  <c r="H46" i="1" l="1"/>
  <c r="I46" i="1" s="1"/>
  <c r="J46" i="1" s="1"/>
  <c r="K46" i="1" s="1"/>
  <c r="L46" i="1" s="1"/>
  <c r="H145" i="1"/>
  <c r="H110" i="1" s="1"/>
  <c r="K112" i="1"/>
  <c r="H45" i="1"/>
  <c r="H113" i="1" s="1"/>
  <c r="H40" i="1"/>
  <c r="H104" i="1" s="1"/>
  <c r="I111" i="1"/>
  <c r="J111" i="1" s="1"/>
  <c r="K111" i="1" s="1"/>
  <c r="L111" i="1" s="1"/>
  <c r="H66" i="1"/>
  <c r="H172" i="1" s="1"/>
  <c r="H57" i="1"/>
  <c r="I57" i="1" s="1"/>
  <c r="J57" i="1" s="1"/>
  <c r="K57" i="1" s="1"/>
  <c r="L57" i="1" s="1"/>
  <c r="L112" i="1"/>
  <c r="I163" i="1"/>
  <c r="J163" i="1"/>
  <c r="K163" i="1"/>
  <c r="L163" i="1"/>
  <c r="I40" i="1"/>
  <c r="H149" i="1"/>
  <c r="I55" i="1"/>
  <c r="J55" i="1" s="1"/>
  <c r="K55" i="1" s="1"/>
  <c r="L55" i="1" s="1"/>
  <c r="K58" i="1"/>
  <c r="H114" i="1"/>
  <c r="I49" i="1"/>
  <c r="E19" i="1"/>
  <c r="F100" i="1"/>
  <c r="F69" i="1"/>
  <c r="H78" i="1"/>
  <c r="H121" i="1" s="1"/>
  <c r="H156" i="1" s="1"/>
  <c r="F140" i="1"/>
  <c r="G100" i="1"/>
  <c r="G69" i="1"/>
  <c r="G140" i="1"/>
  <c r="I71" i="1"/>
  <c r="H19" i="1"/>
  <c r="K31" i="1"/>
  <c r="K168" i="1" s="1"/>
  <c r="I31" i="1"/>
  <c r="I168" i="1" s="1"/>
  <c r="J31" i="1"/>
  <c r="J168" i="1" s="1"/>
  <c r="L31" i="1"/>
  <c r="L168" i="1" s="1"/>
  <c r="J60" i="1"/>
  <c r="H31" i="1"/>
  <c r="H168" i="1" s="1"/>
  <c r="H126" i="1" s="1"/>
  <c r="H32" i="1"/>
  <c r="I30" i="1" s="1"/>
  <c r="H163" i="1"/>
  <c r="I66" i="1" l="1"/>
  <c r="I45" i="1"/>
  <c r="I113" i="1" s="1"/>
  <c r="I32" i="1"/>
  <c r="J30" i="1" s="1"/>
  <c r="I34" i="1"/>
  <c r="I87" i="1" s="1"/>
  <c r="I104" i="1"/>
  <c r="J40" i="1"/>
  <c r="J49" i="1"/>
  <c r="H152" i="1"/>
  <c r="I152" i="1"/>
  <c r="I126" i="1"/>
  <c r="H81" i="1"/>
  <c r="H106" i="1"/>
  <c r="H122" i="1"/>
  <c r="E100" i="1"/>
  <c r="E69" i="1"/>
  <c r="E140" i="1"/>
  <c r="I172" i="1"/>
  <c r="J66" i="1"/>
  <c r="L58" i="1"/>
  <c r="H140" i="1"/>
  <c r="H69" i="1"/>
  <c r="H100" i="1"/>
  <c r="I19" i="1"/>
  <c r="K60" i="1"/>
  <c r="J167" i="1"/>
  <c r="H105" i="1"/>
  <c r="H120" i="1"/>
  <c r="H75" i="1"/>
  <c r="I73" i="1"/>
  <c r="I78" i="1"/>
  <c r="I145" i="1"/>
  <c r="I110" i="1" s="1"/>
  <c r="I75" i="1"/>
  <c r="J71" i="1"/>
  <c r="I149" i="1"/>
  <c r="H128" i="1"/>
  <c r="J45" i="1" l="1"/>
  <c r="H83" i="1"/>
  <c r="H84" i="1" s="1"/>
  <c r="K40" i="1"/>
  <c r="J104" i="1"/>
  <c r="I122" i="1"/>
  <c r="I106" i="1"/>
  <c r="I81" i="1"/>
  <c r="I83" i="1" s="1"/>
  <c r="I121" i="1"/>
  <c r="I156" i="1" s="1"/>
  <c r="J152" i="1"/>
  <c r="J145" i="1"/>
  <c r="J110" i="1" s="1"/>
  <c r="J78" i="1"/>
  <c r="K71" i="1"/>
  <c r="J149" i="1"/>
  <c r="J73" i="1"/>
  <c r="J75" i="1" s="1"/>
  <c r="H155" i="1"/>
  <c r="H123" i="1"/>
  <c r="I105" i="1"/>
  <c r="I153" i="1" s="1"/>
  <c r="I120" i="1"/>
  <c r="K167" i="1"/>
  <c r="L60" i="1"/>
  <c r="L167" i="1" s="1"/>
  <c r="H157" i="1"/>
  <c r="J32" i="1"/>
  <c r="K30" i="1" s="1"/>
  <c r="J34" i="1"/>
  <c r="J87" i="1" s="1"/>
  <c r="J126" i="1"/>
  <c r="J172" i="1"/>
  <c r="K66" i="1"/>
  <c r="I140" i="1"/>
  <c r="I69" i="1"/>
  <c r="J19" i="1"/>
  <c r="I100" i="1"/>
  <c r="H154" i="1"/>
  <c r="J113" i="1"/>
  <c r="K45" i="1"/>
  <c r="I114" i="1"/>
  <c r="I128" i="1"/>
  <c r="K49" i="1"/>
  <c r="H153" i="1"/>
  <c r="H91" i="1" l="1"/>
  <c r="J114" i="1"/>
  <c r="I84" i="1"/>
  <c r="K78" i="1"/>
  <c r="L71" i="1"/>
  <c r="K145" i="1"/>
  <c r="K110" i="1" s="1"/>
  <c r="K73" i="1"/>
  <c r="K149" i="1"/>
  <c r="K75" i="1"/>
  <c r="I123" i="1"/>
  <c r="I155" i="1"/>
  <c r="J140" i="1"/>
  <c r="J100" i="1"/>
  <c r="J69" i="1"/>
  <c r="K19" i="1"/>
  <c r="K126" i="1"/>
  <c r="H92" i="1"/>
  <c r="H148" i="1" s="1"/>
  <c r="H127" i="1" s="1"/>
  <c r="I157" i="1"/>
  <c r="L49" i="1"/>
  <c r="K128" i="1"/>
  <c r="J154" i="1"/>
  <c r="K172" i="1"/>
  <c r="L66" i="1"/>
  <c r="K34" i="1"/>
  <c r="K87" i="1" s="1"/>
  <c r="K32" i="1"/>
  <c r="L30" i="1" s="1"/>
  <c r="L40" i="1"/>
  <c r="K104" i="1"/>
  <c r="J106" i="1"/>
  <c r="J81" i="1"/>
  <c r="J83" i="1" s="1"/>
  <c r="J122" i="1"/>
  <c r="J121" i="1"/>
  <c r="J156" i="1" s="1"/>
  <c r="J128" i="1"/>
  <c r="K113" i="1"/>
  <c r="L45" i="1"/>
  <c r="I154" i="1"/>
  <c r="J105" i="1"/>
  <c r="J120" i="1"/>
  <c r="H93" i="1" l="1"/>
  <c r="H97" i="1" s="1"/>
  <c r="L104" i="1"/>
  <c r="J157" i="1"/>
  <c r="L152" i="1"/>
  <c r="J84" i="1"/>
  <c r="K114" i="1"/>
  <c r="H143" i="1"/>
  <c r="H166" i="1"/>
  <c r="H170" i="1" s="1"/>
  <c r="L126" i="1"/>
  <c r="K106" i="1"/>
  <c r="K122" i="1"/>
  <c r="K157" i="1" s="1"/>
  <c r="K81" i="1"/>
  <c r="K83" i="1" s="1"/>
  <c r="K121" i="1"/>
  <c r="K156" i="1" s="1"/>
  <c r="J123" i="1"/>
  <c r="J155" i="1"/>
  <c r="K120" i="1"/>
  <c r="K105" i="1"/>
  <c r="K153" i="1" s="1"/>
  <c r="L34" i="1"/>
  <c r="L87" i="1" s="1"/>
  <c r="L32" i="1"/>
  <c r="L172" i="1"/>
  <c r="L19" i="1"/>
  <c r="K69" i="1"/>
  <c r="K140" i="1"/>
  <c r="K100" i="1"/>
  <c r="H129" i="1"/>
  <c r="H131" i="1" s="1"/>
  <c r="L113" i="1"/>
  <c r="J153" i="1"/>
  <c r="K152" i="1"/>
  <c r="L145" i="1"/>
  <c r="L110" i="1" s="1"/>
  <c r="L114" i="1" s="1"/>
  <c r="L73" i="1"/>
  <c r="L78" i="1"/>
  <c r="L149" i="1"/>
  <c r="K84" i="1" l="1"/>
  <c r="K155" i="1"/>
  <c r="K123" i="1"/>
  <c r="H133" i="1"/>
  <c r="H158" i="1"/>
  <c r="H174" i="1" s="1"/>
  <c r="H176" i="1" s="1"/>
  <c r="H135" i="1"/>
  <c r="L140" i="1"/>
  <c r="L69" i="1"/>
  <c r="L100" i="1"/>
  <c r="L120" i="1"/>
  <c r="L105" i="1"/>
  <c r="L153" i="1" s="1"/>
  <c r="L122" i="1"/>
  <c r="L81" i="1"/>
  <c r="L106" i="1"/>
  <c r="L154" i="1" s="1"/>
  <c r="L121" i="1"/>
  <c r="L156" i="1" s="1"/>
  <c r="L128" i="1"/>
  <c r="K154" i="1"/>
  <c r="L75" i="1"/>
  <c r="L83" i="1" s="1"/>
  <c r="L84" i="1" l="1"/>
  <c r="L157" i="1"/>
  <c r="I175" i="1"/>
  <c r="H103" i="1"/>
  <c r="L155" i="1"/>
  <c r="L123" i="1"/>
  <c r="I35" i="1" l="1"/>
  <c r="I88" i="1" s="1"/>
  <c r="I89" i="1" s="1"/>
  <c r="I91" i="1" s="1"/>
  <c r="H107" i="1"/>
  <c r="H116" i="1" s="1"/>
  <c r="H137" i="1" s="1"/>
  <c r="I92" i="1" l="1"/>
  <c r="I148" i="1" s="1"/>
  <c r="I127" i="1" s="1"/>
  <c r="I93" i="1" l="1"/>
  <c r="I97" i="1" s="1"/>
  <c r="I129" i="1"/>
  <c r="I131" i="1" s="1"/>
  <c r="I143" i="1" l="1"/>
  <c r="I166" i="1"/>
  <c r="I170" i="1" s="1"/>
  <c r="I158" i="1" l="1"/>
  <c r="I174" i="1" s="1"/>
  <c r="I176" i="1" s="1"/>
  <c r="I133" i="1"/>
  <c r="I135" i="1" l="1"/>
  <c r="J175" i="1"/>
  <c r="I103" i="1"/>
  <c r="J35" i="1" l="1"/>
  <c r="J88" i="1" s="1"/>
  <c r="J89" i="1" s="1"/>
  <c r="J91" i="1" s="1"/>
  <c r="I107" i="1"/>
  <c r="I116" i="1" s="1"/>
  <c r="I137" i="1" s="1"/>
  <c r="J92" i="1" l="1"/>
  <c r="J148" i="1" s="1"/>
  <c r="J127" i="1" s="1"/>
  <c r="J93" i="1" l="1"/>
  <c r="J97" i="1" s="1"/>
  <c r="J129" i="1"/>
  <c r="J131" i="1" s="1"/>
  <c r="J143" i="1" l="1"/>
  <c r="J166" i="1"/>
  <c r="J170" i="1" s="1"/>
  <c r="J158" i="1" l="1"/>
  <c r="J174" i="1" s="1"/>
  <c r="J176" i="1" s="1"/>
  <c r="J133" i="1"/>
  <c r="J135" i="1" l="1"/>
  <c r="K175" i="1"/>
  <c r="J103" i="1"/>
  <c r="K35" i="1" l="1"/>
  <c r="K88" i="1" s="1"/>
  <c r="K89" i="1" s="1"/>
  <c r="K91" i="1" s="1"/>
  <c r="J107" i="1"/>
  <c r="J116" i="1" s="1"/>
  <c r="J137" i="1" s="1"/>
  <c r="K92" i="1" l="1"/>
  <c r="K148" i="1" s="1"/>
  <c r="K127" i="1" s="1"/>
  <c r="K129" i="1" l="1"/>
  <c r="K131" i="1" s="1"/>
  <c r="K93" i="1"/>
  <c r="K97" i="1" s="1"/>
  <c r="K143" i="1" l="1"/>
  <c r="K166" i="1"/>
  <c r="K170" i="1" s="1"/>
  <c r="K158" i="1" l="1"/>
  <c r="K174" i="1" s="1"/>
  <c r="K176" i="1" s="1"/>
  <c r="K133" i="1"/>
  <c r="K135" i="1" l="1"/>
  <c r="K103" i="1"/>
  <c r="L175" i="1"/>
  <c r="L35" i="1" l="1"/>
  <c r="L88" i="1" s="1"/>
  <c r="L89" i="1" s="1"/>
  <c r="L91" i="1" s="1"/>
  <c r="K107" i="1"/>
  <c r="K116" i="1" s="1"/>
  <c r="K137" i="1" s="1"/>
  <c r="L92" i="1" l="1"/>
  <c r="L148" i="1" s="1"/>
  <c r="L127" i="1" s="1"/>
  <c r="L129" i="1" s="1"/>
  <c r="L131" i="1" s="1"/>
  <c r="L93" i="1" l="1"/>
  <c r="L97" i="1" s="1"/>
  <c r="L143" i="1" l="1"/>
  <c r="L166" i="1"/>
  <c r="L170" i="1" s="1"/>
  <c r="L158" i="1" l="1"/>
  <c r="L174" i="1" s="1"/>
  <c r="L176" i="1" s="1"/>
  <c r="L103" i="1" s="1"/>
  <c r="L107" i="1" s="1"/>
  <c r="L116" i="1" s="1"/>
  <c r="L133" i="1"/>
  <c r="L135" i="1" s="1"/>
  <c r="L137" i="1" l="1"/>
</calcChain>
</file>

<file path=xl/sharedStrings.xml><?xml version="1.0" encoding="utf-8"?>
<sst xmlns="http://schemas.openxmlformats.org/spreadsheetml/2006/main" count="234" uniqueCount="129">
  <si>
    <t>($ in Millions Except Per Share and Per Unit Data)</t>
  </si>
  <si>
    <t>General Assumptions:</t>
  </si>
  <si>
    <t>Company Name:</t>
  </si>
  <si>
    <t>Illinois Tool Works Inc.</t>
  </si>
  <si>
    <t>Ticker:</t>
  </si>
  <si>
    <t>Company1354</t>
  </si>
  <si>
    <t>Current Share Price:</t>
  </si>
  <si>
    <t>Last Historical Year:</t>
  </si>
  <si>
    <t>Annual Gross Margin Improvement:</t>
  </si>
  <si>
    <t>Effective Tax Rate:</t>
  </si>
  <si>
    <t>Interest Rate on Debt:</t>
  </si>
  <si>
    <t>Interest Rate on Cash:</t>
  </si>
  <si>
    <t>Historical</t>
  </si>
  <si>
    <t>Projected</t>
  </si>
  <si>
    <t>Financial Statement Drivers:</t>
  </si>
  <si>
    <t>Units:</t>
  </si>
  <si>
    <t>Income Statement Drivers:</t>
  </si>
  <si>
    <t>Revenue Growth:</t>
  </si>
  <si>
    <t>%</t>
  </si>
  <si>
    <t>Gross Margin:</t>
  </si>
  <si>
    <t>SG&amp;A % Revenue:</t>
  </si>
  <si>
    <t>Amortization of Intangible Assets:</t>
  </si>
  <si>
    <t>$ M</t>
  </si>
  <si>
    <t>Impairment of Goodwill:</t>
  </si>
  <si>
    <t>Amortization of Debt:</t>
  </si>
  <si>
    <t>Beginning Debt Balance:</t>
  </si>
  <si>
    <t>(-) Amortization:</t>
  </si>
  <si>
    <t>Ending Debt Balance:</t>
  </si>
  <si>
    <t>Interest Expense:</t>
  </si>
  <si>
    <t>Interest Income:</t>
  </si>
  <si>
    <t>Income from Discontinued Operations:</t>
  </si>
  <si>
    <t>Balance Sheet Drivers:</t>
  </si>
  <si>
    <t>Days Sales Outstanding:</t>
  </si>
  <si>
    <t># Days</t>
  </si>
  <si>
    <t>Days Sales of Inventory:</t>
  </si>
  <si>
    <t>Days Payable Outstanding:</t>
  </si>
  <si>
    <t>Prepaid Expenses &amp; Other % SG&amp;A:</t>
  </si>
  <si>
    <t>Other Long-Term Assets % Revenue:</t>
  </si>
  <si>
    <t>Accrued Expenses % SG&amp;A:</t>
  </si>
  <si>
    <t>Other Current Liabilities % SG&amp;A:</t>
  </si>
  <si>
    <t>Other Long-Term Liabilities % SG&amp;A:</t>
  </si>
  <si>
    <t>Cash Flow Statement Drivers:</t>
  </si>
  <si>
    <t>Capital Expenditures:</t>
  </si>
  <si>
    <t>Depreciation % Revenue:</t>
  </si>
  <si>
    <t>Stock-Based Compensation % Revenue:</t>
  </si>
  <si>
    <t>Deferred Taxes % Taxes:</t>
  </si>
  <si>
    <t>Dividends % Net Income:</t>
  </si>
  <si>
    <t>Stock Repurchases:</t>
  </si>
  <si>
    <t>Other Non-Cash Items:</t>
  </si>
  <si>
    <t>Other Investing Items:</t>
  </si>
  <si>
    <t>Other Financing Items:</t>
  </si>
  <si>
    <t>FX Rate Effects % Revenue:</t>
  </si>
  <si>
    <t>Income Statement:</t>
  </si>
  <si>
    <t>Total Revenue:</t>
  </si>
  <si>
    <t>Cost of Goods Sold (COGS):</t>
  </si>
  <si>
    <t>Gross Profit:</t>
  </si>
  <si>
    <t>Operating Expenses:</t>
  </si>
  <si>
    <t>(+) Selling, General &amp; Administrative:</t>
  </si>
  <si>
    <t>(+) Amortization of Intangible Assets:</t>
  </si>
  <si>
    <t>(+) Impairment of Goodwill:</t>
  </si>
  <si>
    <t>Total Operating Expenses:</t>
  </si>
  <si>
    <t>Operating Income (EBIT):</t>
  </si>
  <si>
    <t>Operating (EBIT) Margin:</t>
  </si>
  <si>
    <t>Other Income / (Expense):</t>
  </si>
  <si>
    <t>(-) Interest Expense:</t>
  </si>
  <si>
    <t>(+) Interest and Other Income:</t>
  </si>
  <si>
    <t>Total Other Income / (Expense):</t>
  </si>
  <si>
    <t>Pre-Tax Income:</t>
  </si>
  <si>
    <t>(-) Provision For Income Taxes:</t>
  </si>
  <si>
    <t>Income from Continuing Operations:</t>
  </si>
  <si>
    <t>(+) Income from Discontinued Operations:</t>
  </si>
  <si>
    <t>Net Income:</t>
  </si>
  <si>
    <t>Balance Sheet:</t>
  </si>
  <si>
    <t>ASSETS:</t>
  </si>
  <si>
    <t>Current Assets:</t>
  </si>
  <si>
    <t>Cash &amp; Equivalents:</t>
  </si>
  <si>
    <t>Accounts Receivable:</t>
  </si>
  <si>
    <t>Inventory:</t>
  </si>
  <si>
    <t>Prepaid Expenses &amp; Other Current Assets:</t>
  </si>
  <si>
    <t>Total Current Assets:</t>
  </si>
  <si>
    <t>Non-Current Assets:</t>
  </si>
  <si>
    <t>Net PP&amp;E:</t>
  </si>
  <si>
    <t>Goodwill:</t>
  </si>
  <si>
    <t>Other Intangible Assets:</t>
  </si>
  <si>
    <t>Other Long-Term Assets:</t>
  </si>
  <si>
    <t>Total Non-Current Assets:</t>
  </si>
  <si>
    <t>Total Assets:</t>
  </si>
  <si>
    <t>LIABILITIES AND EQUITY:</t>
  </si>
  <si>
    <t>Current Liabilities:</t>
  </si>
  <si>
    <t>Accounts Payable:</t>
  </si>
  <si>
    <t>Accrued Expenses:</t>
  </si>
  <si>
    <t>Other Current Liabilities:</t>
  </si>
  <si>
    <t>Total Current Liabilities:</t>
  </si>
  <si>
    <t>Non-Current Liabilities:</t>
  </si>
  <si>
    <t>Long-Term Debt:</t>
  </si>
  <si>
    <t>Deferred Tax Liability:</t>
  </si>
  <si>
    <t>Other Long-Term Liabilities:</t>
  </si>
  <si>
    <t>Total Non-Current Liabilities:</t>
  </si>
  <si>
    <t>Total Liabilities:</t>
  </si>
  <si>
    <t>Equity:</t>
  </si>
  <si>
    <t>Total Liabilities &amp; Equity:</t>
  </si>
  <si>
    <t>Balance Check:</t>
  </si>
  <si>
    <t>Cash Flow Statement:</t>
  </si>
  <si>
    <t>CASH FLOWS FROM OPERATING ACTIVITIES:</t>
  </si>
  <si>
    <t/>
  </si>
  <si>
    <t>Adjustments for Non-Cash Charges:</t>
  </si>
  <si>
    <t>(+) Depreciation:</t>
  </si>
  <si>
    <t>(+) Amortization of Other Intangibles:</t>
  </si>
  <si>
    <t>(+/-) Deferred Taxes:</t>
  </si>
  <si>
    <t>(+) Stock-Based Compensation:</t>
  </si>
  <si>
    <t>(+/-) Other Non-Cash Items:</t>
  </si>
  <si>
    <t>Changes in Operating Assets and Liabilities:</t>
  </si>
  <si>
    <t>Prepaid Expenses &amp; Other Assets:</t>
  </si>
  <si>
    <t>Other Liabilities:</t>
  </si>
  <si>
    <t>Net Cash Provided by Operating Activities:</t>
  </si>
  <si>
    <t>CASH FLOWS FROM INVESTING ACTIVITIES:</t>
  </si>
  <si>
    <t>(-) Capital Expenditures:</t>
  </si>
  <si>
    <t>(+/-) Other Investing Items:</t>
  </si>
  <si>
    <t>Net Cash Used in Investing Activities:</t>
  </si>
  <si>
    <t>CASH FLOWS FROM FINANCING ACTIVITIES:</t>
  </si>
  <si>
    <t>(-) Dividends Paid:</t>
  </si>
  <si>
    <t>(-) Stock Repurchases:</t>
  </si>
  <si>
    <t>(+) Debt Issuances / (-) Repayments:</t>
  </si>
  <si>
    <t>(+) Other Financing Items:</t>
  </si>
  <si>
    <t>Net Cash Provided by Financing Activities:</t>
  </si>
  <si>
    <t>FX Rate Effects:</t>
  </si>
  <si>
    <t>Change in Cash &amp; Cash Equivalents:</t>
  </si>
  <si>
    <t>Beginning Cash:</t>
  </si>
  <si>
    <t>Ending Cash: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</si>
</sst>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_(#,##0.00%_);\(#,##0.00%\);_(&quot;–&quot;_)_%;_(@_)_%"/>
    <numFmt numFmtId="166" formatCode="0.0%;\(0.0%\)"/>
    <numFmt numFmtId="167" formatCode="&quot;FY&quot;yy"/>
    <numFmt numFmtId="168" formatCode="_(#,##0.0%_);\(#,##0.0%\);_(&quot;–&quot;_)_%;_(@_)_%"/>
    <numFmt numFmtId="169" formatCode="0.0%"/>
    <numFmt numFmtId="170" formatCode="_(&quot;$&quot;* #,##0.0_);_(&quot;$&quot;* \(#,##0.0\);_(&quot;$&quot;* &quot;-&quot;?_);_(@_)"/>
    <numFmt numFmtId="171" formatCode="_(* #,##0.0_);_(* \(#,##0.0\);_(* &quot;-&quot;?_);_(@_)"/>
    <numFmt numFmtId="172" formatCode="#,##0.0_);\(#,##0.0\)"/>
    <numFmt numFmtId="173" formatCode="_(* #,##0.000_);_(* \(#,##0.000\);_(* &quot;-&quot;?_);_(@_)"/>
    <numFmt numFmtId="174" formatCode="_(* #,##0.0_);_(* \(#,##0.0\);_(* &quot;-&quot;??_);_(@_)"/>
    <numFmt numFmtId="175" formatCode="&quot;$&quot;#,##0.000\);\(&quot;$&quot;#,##0.000\);&quot;OK!&quot;;&quot;ERROR&quot;"/>
  </numFmts>
  <fonts count="15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i/>
      <sz val="12"/>
      <color rgb="FFFFFFFF"/>
      <name val="Calibri"/>
      <family val="2"/>
    </font>
    <font>
      <sz val="12"/>
      <color rgb="FF0000FF"/>
      <name val="Calibri"/>
      <family val="2"/>
    </font>
    <font>
      <sz val="11"/>
      <name val="Calibri"/>
      <family val="2"/>
    </font>
    <font>
      <b/>
      <i/>
      <sz val="12"/>
      <color rgb="FFFFFFFF"/>
      <name val="Calibri"/>
      <family val="2"/>
    </font>
    <font>
      <i/>
      <sz val="12"/>
      <color theme="1"/>
      <name val="Calibri"/>
      <family val="2"/>
    </font>
    <font>
      <b/>
      <sz val="12"/>
      <color rgb="FF0000FF"/>
      <name val="Calibri"/>
      <family val="2"/>
    </font>
    <font>
      <b/>
      <sz val="12"/>
      <color rgb="FF000000"/>
      <name val="Calibri"/>
      <family val="2"/>
    </font>
    <font>
      <i/>
      <sz val="12"/>
      <color rgb="FF0000FF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2" fillId="3" borderId="1" xfId="0" applyFont="1" applyFill="1" applyBorder="1"/>
    <xf numFmtId="0" fontId="6" fillId="4" borderId="5" xfId="0" applyFont="1" applyFill="1" applyBorder="1" applyAlignment="1">
      <alignment horizontal="center"/>
    </xf>
    <xf numFmtId="44" fontId="6" fillId="4" borderId="5" xfId="0" applyNumberFormat="1" applyFont="1" applyFill="1" applyBorder="1" applyAlignment="1">
      <alignment horizontal="center"/>
    </xf>
    <xf numFmtId="164" fontId="6" fillId="4" borderId="5" xfId="0" applyNumberFormat="1" applyFont="1" applyFill="1" applyBorder="1" applyAlignment="1">
      <alignment horizontal="center"/>
    </xf>
    <xf numFmtId="165" fontId="6" fillId="4" borderId="5" xfId="0" applyNumberFormat="1" applyFont="1" applyFill="1" applyBorder="1" applyAlignment="1">
      <alignment horizontal="center"/>
    </xf>
    <xf numFmtId="166" fontId="6" fillId="4" borderId="5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center" vertical="center"/>
    </xf>
    <xf numFmtId="167" fontId="3" fillId="2" borderId="6" xfId="0" applyNumberFormat="1" applyFont="1" applyFill="1" applyBorder="1" applyAlignment="1">
      <alignment horizontal="center" vertical="center"/>
    </xf>
    <xf numFmtId="167" fontId="3" fillId="2" borderId="1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8" fontId="1" fillId="0" borderId="0" xfId="0" applyNumberFormat="1" applyFont="1"/>
    <xf numFmtId="166" fontId="6" fillId="4" borderId="5" xfId="0" applyNumberFormat="1" applyFont="1" applyFill="1" applyBorder="1"/>
    <xf numFmtId="169" fontId="1" fillId="0" borderId="0" xfId="0" applyNumberFormat="1" applyFont="1" applyAlignment="1">
      <alignment horizontal="right"/>
    </xf>
    <xf numFmtId="166" fontId="1" fillId="4" borderId="5" xfId="0" applyNumberFormat="1" applyFont="1" applyFill="1" applyBorder="1"/>
    <xf numFmtId="0" fontId="1" fillId="0" borderId="0" xfId="0" applyFont="1" applyAlignment="1">
      <alignment horizontal="center"/>
    </xf>
    <xf numFmtId="168" fontId="9" fillId="0" borderId="0" xfId="0" applyNumberFormat="1" applyFont="1"/>
    <xf numFmtId="170" fontId="1" fillId="0" borderId="0" xfId="0" applyNumberFormat="1" applyFont="1"/>
    <xf numFmtId="171" fontId="6" fillId="4" borderId="5" xfId="0" applyNumberFormat="1" applyFont="1" applyFill="1" applyBorder="1"/>
    <xf numFmtId="49" fontId="1" fillId="0" borderId="0" xfId="0" applyNumberFormat="1" applyFont="1" applyAlignment="1">
      <alignment horizontal="left"/>
    </xf>
    <xf numFmtId="166" fontId="6" fillId="0" borderId="0" xfId="0" applyNumberFormat="1" applyFont="1"/>
    <xf numFmtId="0" fontId="2" fillId="0" borderId="0" xfId="0" applyFont="1" applyAlignment="1">
      <alignment horizontal="left"/>
    </xf>
    <xf numFmtId="171" fontId="1" fillId="0" borderId="0" xfId="0" applyNumberFormat="1" applyFont="1"/>
    <xf numFmtId="171" fontId="2" fillId="0" borderId="0" xfId="0" applyNumberFormat="1" applyFont="1"/>
    <xf numFmtId="0" fontId="9" fillId="0" borderId="12" xfId="0" applyFont="1" applyBorder="1" applyAlignment="1">
      <alignment horizontal="center"/>
    </xf>
    <xf numFmtId="171" fontId="1" fillId="0" borderId="12" xfId="0" applyNumberFormat="1" applyFont="1" applyBorder="1"/>
    <xf numFmtId="0" fontId="2" fillId="0" borderId="13" xfId="0" applyFont="1" applyBorder="1" applyAlignment="1">
      <alignment horizontal="left"/>
    </xf>
    <xf numFmtId="0" fontId="1" fillId="0" borderId="13" xfId="0" applyFont="1" applyBorder="1"/>
    <xf numFmtId="172" fontId="1" fillId="0" borderId="0" xfId="0" applyNumberFormat="1" applyFont="1"/>
    <xf numFmtId="172" fontId="1" fillId="4" borderId="5" xfId="0" applyNumberFormat="1" applyFont="1" applyFill="1" applyBorder="1"/>
    <xf numFmtId="172" fontId="6" fillId="4" borderId="5" xfId="0" applyNumberFormat="1" applyFont="1" applyFill="1" applyBorder="1"/>
    <xf numFmtId="0" fontId="1" fillId="0" borderId="0" xfId="0" applyFont="1" applyAlignment="1">
      <alignment horizontal="left" wrapText="1"/>
    </xf>
    <xf numFmtId="171" fontId="1" fillId="4" borderId="5" xfId="0" applyNumberFormat="1" applyFont="1" applyFill="1" applyBorder="1"/>
    <xf numFmtId="173" fontId="1" fillId="0" borderId="0" xfId="0" applyNumberFormat="1" applyFont="1"/>
    <xf numFmtId="0" fontId="3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167" fontId="3" fillId="2" borderId="14" xfId="0" applyNumberFormat="1" applyFont="1" applyFill="1" applyBorder="1" applyAlignment="1">
      <alignment horizontal="center" vertical="center"/>
    </xf>
    <xf numFmtId="170" fontId="10" fillId="0" borderId="0" xfId="0" applyNumberFormat="1" applyFont="1"/>
    <xf numFmtId="170" fontId="2" fillId="0" borderId="0" xfId="0" applyNumberFormat="1" applyFont="1"/>
    <xf numFmtId="171" fontId="6" fillId="0" borderId="0" xfId="0" applyNumberFormat="1" applyFont="1"/>
    <xf numFmtId="171" fontId="10" fillId="0" borderId="0" xfId="0" applyNumberFormat="1" applyFont="1"/>
    <xf numFmtId="174" fontId="2" fillId="0" borderId="0" xfId="0" applyNumberFormat="1" applyFont="1"/>
    <xf numFmtId="0" fontId="9" fillId="0" borderId="0" xfId="0" applyFont="1" applyAlignment="1">
      <alignment horizontal="left"/>
    </xf>
    <xf numFmtId="49" fontId="1" fillId="0" borderId="12" xfId="0" applyNumberFormat="1" applyFont="1" applyBorder="1" applyAlignment="1">
      <alignment horizontal="left"/>
    </xf>
    <xf numFmtId="171" fontId="6" fillId="0" borderId="12" xfId="0" applyNumberFormat="1" applyFont="1" applyBorder="1"/>
    <xf numFmtId="49" fontId="2" fillId="0" borderId="0" xfId="0" applyNumberFormat="1" applyFont="1" applyAlignment="1">
      <alignment horizontal="left"/>
    </xf>
    <xf numFmtId="171" fontId="11" fillId="0" borderId="0" xfId="0" applyNumberFormat="1" applyFont="1"/>
    <xf numFmtId="169" fontId="12" fillId="0" borderId="0" xfId="0" applyNumberFormat="1" applyFont="1"/>
    <xf numFmtId="169" fontId="9" fillId="0" borderId="0" xfId="0" applyNumberFormat="1" applyFont="1"/>
    <xf numFmtId="171" fontId="10" fillId="0" borderId="13" xfId="0" applyNumberFormat="1" applyFont="1" applyBorder="1"/>
    <xf numFmtId="171" fontId="2" fillId="0" borderId="13" xfId="0" applyNumberFormat="1" applyFont="1" applyBorder="1"/>
    <xf numFmtId="49" fontId="2" fillId="3" borderId="1" xfId="0" applyNumberFormat="1" applyFont="1" applyFill="1" applyBorder="1"/>
    <xf numFmtId="170" fontId="6" fillId="0" borderId="0" xfId="0" applyNumberFormat="1" applyFont="1"/>
    <xf numFmtId="0" fontId="1" fillId="0" borderId="12" xfId="0" applyFont="1" applyBorder="1" applyAlignment="1">
      <alignment horizontal="left"/>
    </xf>
    <xf numFmtId="0" fontId="13" fillId="0" borderId="0" xfId="0" applyFont="1"/>
    <xf numFmtId="171" fontId="13" fillId="0" borderId="0" xfId="0" applyNumberFormat="1" applyFont="1"/>
    <xf numFmtId="0" fontId="9" fillId="0" borderId="0" xfId="0" applyFont="1"/>
    <xf numFmtId="175" fontId="9" fillId="0" borderId="0" xfId="0" applyNumberFormat="1" applyFont="1"/>
    <xf numFmtId="0" fontId="2" fillId="3" borderId="15" xfId="0" applyFont="1" applyFill="1" applyBorder="1"/>
    <xf numFmtId="0" fontId="2" fillId="0" borderId="13" xfId="0" applyFont="1" applyBorder="1"/>
    <xf numFmtId="43" fontId="1" fillId="0" borderId="0" xfId="0" applyNumberFormat="1" applyFont="1"/>
    <xf numFmtId="171" fontId="14" fillId="0" borderId="0" xfId="0" applyNumberFormat="1" applyFont="1"/>
    <xf numFmtId="170" fontId="10" fillId="0" borderId="13" xfId="0" applyNumberFormat="1" applyFont="1" applyBorder="1"/>
    <xf numFmtId="170" fontId="2" fillId="0" borderId="13" xfId="0" applyNumberFormat="1" applyFont="1" applyBorder="1"/>
    <xf numFmtId="0" fontId="3" fillId="2" borderId="7" xfId="0" applyFont="1" applyFill="1" applyBorder="1" applyAlignment="1">
      <alignment horizontal="center" vertical="center"/>
    </xf>
    <xf numFmtId="0" fontId="7" fillId="0" borderId="8" xfId="0" applyFont="1" applyBorder="1"/>
    <xf numFmtId="0" fontId="7" fillId="0" borderId="9" xfId="0" applyFont="1" applyBorder="1"/>
    <xf numFmtId="0" fontId="3" fillId="2" borderId="10" xfId="0" applyFont="1" applyFill="1" applyBorder="1" applyAlignment="1">
      <alignment horizontal="center" vertical="center"/>
    </xf>
    <xf numFmtId="39" fontId="6" fillId="4" borderId="2" xfId="0" applyNumberFormat="1" applyFont="1" applyFill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5"/>
  <sheetViews>
    <sheetView showGridLines="0" tabSelected="1" workbookViewId="0">
      <selection activeCell="R20" sqref="R20"/>
    </sheetView>
  </sheetViews>
  <sheetFormatPr baseColWidth="10" defaultColWidth="14.5" defaultRowHeight="15" customHeight="1" x14ac:dyDescent="0.2"/>
  <cols>
    <col min="1" max="2" width="2.6640625" customWidth="1"/>
    <col min="3" max="3" width="42.5" customWidth="1"/>
    <col min="4" max="12" width="11.6640625" customWidth="1"/>
    <col min="13" max="13" width="2.6640625" customWidth="1"/>
    <col min="14" max="17" width="8.6640625" customWidth="1"/>
  </cols>
  <sheetData>
    <row r="1" spans="1:13" ht="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6" x14ac:dyDescent="0.2">
      <c r="A2" s="1"/>
      <c r="B2" s="2" t="str">
        <f>Company_Name&amp;" - Operating Model"</f>
        <v>Illinois Tool Works Inc. - Operating Model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6" x14ac:dyDescent="0.2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75" customHeight="1" x14ac:dyDescent="0.2">
      <c r="A6" s="1"/>
      <c r="B6" s="3" t="s">
        <v>1</v>
      </c>
      <c r="C6" s="4"/>
      <c r="D6" s="5"/>
      <c r="E6" s="4"/>
      <c r="F6" s="4"/>
      <c r="G6" s="4"/>
      <c r="H6" s="4"/>
      <c r="I6" s="5"/>
      <c r="J6" s="4"/>
      <c r="K6" s="4"/>
      <c r="L6" s="4"/>
    </row>
    <row r="7" spans="1:13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3" ht="15.75" customHeight="1" x14ac:dyDescent="0.2">
      <c r="A8" s="1"/>
      <c r="B8" s="1"/>
      <c r="C8" s="1" t="s">
        <v>2</v>
      </c>
      <c r="D8" s="76" t="s">
        <v>3</v>
      </c>
      <c r="E8" s="77"/>
      <c r="F8" s="78"/>
      <c r="G8" s="1"/>
      <c r="H8" s="1"/>
      <c r="I8" s="1"/>
      <c r="J8" s="1"/>
      <c r="K8" s="1"/>
      <c r="L8" s="1"/>
    </row>
    <row r="9" spans="1:13" ht="15.75" customHeight="1" x14ac:dyDescent="0.2">
      <c r="A9" s="1"/>
      <c r="B9" s="1"/>
      <c r="C9" s="1" t="s">
        <v>4</v>
      </c>
      <c r="D9" s="7" t="s">
        <v>5</v>
      </c>
      <c r="E9" s="1"/>
      <c r="F9" s="1"/>
      <c r="G9" s="1"/>
      <c r="H9" s="1"/>
      <c r="I9" s="1"/>
      <c r="J9" s="1"/>
      <c r="K9" s="1"/>
      <c r="L9" s="1"/>
    </row>
    <row r="10" spans="1:13" ht="15.75" customHeight="1" x14ac:dyDescent="0.2">
      <c r="A10" s="1"/>
      <c r="B10" s="1"/>
      <c r="C10" s="1" t="s">
        <v>6</v>
      </c>
      <c r="D10" s="8">
        <v>117.46</v>
      </c>
      <c r="E10" s="1"/>
      <c r="F10" s="1"/>
      <c r="G10" s="1"/>
      <c r="H10" s="1"/>
      <c r="I10" s="1"/>
      <c r="J10" s="1"/>
      <c r="K10" s="1"/>
      <c r="L10" s="1"/>
    </row>
    <row r="11" spans="1:13" ht="15.75" customHeight="1" x14ac:dyDescent="0.2">
      <c r="A11" s="1"/>
      <c r="B11" s="1"/>
      <c r="C11" s="1" t="s">
        <v>7</v>
      </c>
      <c r="D11" s="9">
        <v>42369</v>
      </c>
      <c r="E11" s="1"/>
      <c r="F11" s="1"/>
      <c r="G11" s="1"/>
      <c r="H11" s="1"/>
      <c r="I11" s="1"/>
      <c r="J11" s="1"/>
      <c r="K11" s="1"/>
      <c r="L11" s="1"/>
    </row>
    <row r="12" spans="1:13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3" ht="15.75" customHeight="1" x14ac:dyDescent="0.2">
      <c r="A13" s="1"/>
      <c r="B13" s="1"/>
      <c r="C13" s="1" t="s">
        <v>8</v>
      </c>
      <c r="D13" s="10">
        <v>3.0000000000000001E-3</v>
      </c>
      <c r="E13" s="1"/>
      <c r="F13" s="1"/>
      <c r="G13" s="1"/>
      <c r="H13" s="1"/>
      <c r="I13" s="1"/>
      <c r="J13" s="1"/>
      <c r="K13" s="1"/>
      <c r="L13" s="1"/>
    </row>
    <row r="14" spans="1:13" ht="15.75" customHeight="1" x14ac:dyDescent="0.2">
      <c r="A14" s="1"/>
      <c r="B14" s="1"/>
      <c r="C14" s="1" t="s">
        <v>9</v>
      </c>
      <c r="D14" s="11">
        <v>0.3</v>
      </c>
      <c r="E14" s="1"/>
      <c r="F14" s="1"/>
      <c r="G14" s="1"/>
      <c r="H14" s="1"/>
      <c r="I14" s="1"/>
      <c r="J14" s="1"/>
      <c r="K14" s="1"/>
      <c r="L14" s="1"/>
    </row>
    <row r="15" spans="1:13" ht="15.75" customHeight="1" x14ac:dyDescent="0.2">
      <c r="A15" s="1"/>
      <c r="B15" s="1"/>
      <c r="C15" s="1" t="s">
        <v>10</v>
      </c>
      <c r="D15" s="11">
        <v>0.04</v>
      </c>
      <c r="E15" s="1"/>
      <c r="F15" s="1"/>
      <c r="G15" s="1"/>
      <c r="H15" s="1"/>
      <c r="I15" s="1"/>
      <c r="J15" s="1"/>
      <c r="K15" s="1"/>
      <c r="L15" s="1"/>
    </row>
    <row r="16" spans="1:13" ht="15.75" customHeight="1" x14ac:dyDescent="0.2">
      <c r="A16" s="1"/>
      <c r="B16" s="1"/>
      <c r="C16" s="1" t="s">
        <v>11</v>
      </c>
      <c r="D16" s="11">
        <v>5.0000000000000001E-3</v>
      </c>
      <c r="E16" s="1"/>
      <c r="F16" s="1"/>
      <c r="G16" s="1"/>
      <c r="H16" s="1"/>
      <c r="I16" s="1"/>
      <c r="J16" s="1"/>
      <c r="K16" s="1"/>
      <c r="L16" s="1"/>
    </row>
    <row r="17" spans="1:12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.75" customHeight="1" x14ac:dyDescent="0.2">
      <c r="A18" s="1"/>
      <c r="B18" s="12"/>
      <c r="C18" s="12"/>
      <c r="D18" s="12"/>
      <c r="E18" s="72" t="s">
        <v>12</v>
      </c>
      <c r="F18" s="73"/>
      <c r="G18" s="74"/>
      <c r="H18" s="75" t="s">
        <v>13</v>
      </c>
      <c r="I18" s="73"/>
      <c r="J18" s="73"/>
      <c r="K18" s="73"/>
      <c r="L18" s="74"/>
    </row>
    <row r="19" spans="1:12" ht="15.75" customHeight="1" x14ac:dyDescent="0.2">
      <c r="A19" s="1"/>
      <c r="B19" s="12" t="s">
        <v>14</v>
      </c>
      <c r="C19" s="12"/>
      <c r="D19" s="13" t="s">
        <v>15</v>
      </c>
      <c r="E19" s="14">
        <f t="shared" ref="E19:F19" si="0">EOMONTH(F19,-12)</f>
        <v>41639</v>
      </c>
      <c r="F19" s="14">
        <f t="shared" si="0"/>
        <v>42004</v>
      </c>
      <c r="G19" s="14">
        <f>Hist_Yr</f>
        <v>42369</v>
      </c>
      <c r="H19" s="15">
        <f t="shared" ref="H19:L19" si="1">EOMONTH(G19,12)</f>
        <v>42735</v>
      </c>
      <c r="I19" s="14">
        <f t="shared" si="1"/>
        <v>43100</v>
      </c>
      <c r="J19" s="14">
        <f t="shared" si="1"/>
        <v>43465</v>
      </c>
      <c r="K19" s="14">
        <f t="shared" si="1"/>
        <v>43830</v>
      </c>
      <c r="L19" s="14">
        <f t="shared" si="1"/>
        <v>44196</v>
      </c>
    </row>
    <row r="20" spans="1:12" ht="15.75" customHeight="1" x14ac:dyDescent="0.2">
      <c r="A20" s="1"/>
      <c r="B20" s="6" t="s">
        <v>16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ht="15.75" customHeight="1" x14ac:dyDescent="0.2">
      <c r="A21" s="1"/>
      <c r="B21" s="2"/>
      <c r="C21" s="16" t="s">
        <v>17</v>
      </c>
      <c r="D21" s="17" t="s">
        <v>18</v>
      </c>
      <c r="E21" s="18"/>
      <c r="F21" s="18"/>
      <c r="G21" s="18"/>
      <c r="H21" s="19">
        <v>0.05</v>
      </c>
      <c r="I21" s="19">
        <v>0.04</v>
      </c>
      <c r="J21" s="19">
        <v>0.04</v>
      </c>
      <c r="K21" s="19">
        <v>0.03</v>
      </c>
      <c r="L21" s="19">
        <v>0.03</v>
      </c>
    </row>
    <row r="22" spans="1:12" ht="15.75" customHeight="1" x14ac:dyDescent="0.2">
      <c r="A22" s="1"/>
      <c r="B22" s="2"/>
      <c r="C22" s="16" t="s">
        <v>19</v>
      </c>
      <c r="D22" s="17" t="s">
        <v>18</v>
      </c>
      <c r="E22" s="20">
        <f t="shared" ref="E22:G22" si="2">+E75/E71</f>
        <v>0.39483551467987266</v>
      </c>
      <c r="F22" s="20">
        <f t="shared" si="2"/>
        <v>0.40120132560066279</v>
      </c>
      <c r="G22" s="20">
        <f t="shared" si="2"/>
        <v>0.41156284968295415</v>
      </c>
      <c r="H22" s="21">
        <f>+G22+GM_Improv</f>
        <v>0.41456284968295415</v>
      </c>
      <c r="I22" s="21">
        <f>+H22+GM_Improv</f>
        <v>0.41756284968295415</v>
      </c>
      <c r="J22" s="21">
        <f>+I22+GM_Improv</f>
        <v>0.42056284968295415</v>
      </c>
      <c r="K22" s="21">
        <f>+J22+GM_Improv</f>
        <v>0.42356284968295416</v>
      </c>
      <c r="L22" s="21">
        <f>+K22+GM_Improv</f>
        <v>0.42656284968295416</v>
      </c>
    </row>
    <row r="23" spans="1:12" ht="15.75" customHeight="1" x14ac:dyDescent="0.2">
      <c r="A23" s="1"/>
      <c r="B23" s="1"/>
      <c r="C23" s="16" t="s">
        <v>20</v>
      </c>
      <c r="D23" s="17" t="s">
        <v>18</v>
      </c>
      <c r="E23" s="18"/>
      <c r="F23" s="18"/>
      <c r="G23" s="18"/>
      <c r="H23" s="19">
        <v>0.18</v>
      </c>
      <c r="I23" s="19">
        <v>0.17499999999999999</v>
      </c>
      <c r="J23" s="19">
        <v>0.17499999999999999</v>
      </c>
      <c r="K23" s="19">
        <v>0.17</v>
      </c>
      <c r="L23" s="19">
        <v>0.17</v>
      </c>
    </row>
    <row r="24" spans="1:12" ht="15.75" customHeight="1" x14ac:dyDescent="0.2">
      <c r="A24" s="1"/>
      <c r="B24" s="1"/>
      <c r="C24" s="16"/>
      <c r="D24" s="22"/>
      <c r="E24" s="23"/>
      <c r="F24" s="23"/>
      <c r="G24" s="23"/>
      <c r="H24" s="1"/>
      <c r="I24" s="1"/>
      <c r="J24" s="1"/>
      <c r="K24" s="1"/>
      <c r="L24" s="1"/>
    </row>
    <row r="25" spans="1:12" ht="15.75" customHeight="1" x14ac:dyDescent="0.2">
      <c r="A25" s="1"/>
      <c r="B25" s="1"/>
      <c r="C25" s="16" t="s">
        <v>21</v>
      </c>
      <c r="D25" s="17" t="s">
        <v>22</v>
      </c>
      <c r="E25" s="24"/>
      <c r="F25" s="24"/>
      <c r="G25" s="24"/>
      <c r="H25" s="25">
        <v>217</v>
      </c>
      <c r="I25" s="25">
        <v>196</v>
      </c>
      <c r="J25" s="25">
        <v>175</v>
      </c>
      <c r="K25" s="25">
        <v>153</v>
      </c>
      <c r="L25" s="25">
        <v>134</v>
      </c>
    </row>
    <row r="26" spans="1:12" ht="15.75" customHeight="1" x14ac:dyDescent="0.2">
      <c r="A26" s="1"/>
      <c r="B26" s="1"/>
      <c r="C26" s="26" t="s">
        <v>23</v>
      </c>
      <c r="D26" s="17" t="s">
        <v>22</v>
      </c>
      <c r="E26" s="23"/>
      <c r="F26" s="23"/>
      <c r="G26" s="23"/>
      <c r="H26" s="25">
        <v>0</v>
      </c>
      <c r="I26" s="25">
        <v>0</v>
      </c>
      <c r="J26" s="25">
        <v>0</v>
      </c>
      <c r="K26" s="25">
        <v>0</v>
      </c>
      <c r="L26" s="25">
        <v>0</v>
      </c>
    </row>
    <row r="27" spans="1:12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.75" customHeight="1" x14ac:dyDescent="0.2">
      <c r="A28" s="1"/>
      <c r="B28" s="1"/>
      <c r="C28" s="16" t="s">
        <v>24</v>
      </c>
      <c r="D28" s="17" t="s">
        <v>18</v>
      </c>
      <c r="E28" s="1"/>
      <c r="F28" s="1"/>
      <c r="G28" s="1"/>
      <c r="H28" s="19">
        <v>0.1</v>
      </c>
      <c r="I28" s="19">
        <v>0.1</v>
      </c>
      <c r="J28" s="19">
        <v>0.1</v>
      </c>
      <c r="K28" s="19">
        <v>0.1</v>
      </c>
      <c r="L28" s="19">
        <v>0.1</v>
      </c>
    </row>
    <row r="29" spans="1:12" ht="15.75" customHeight="1" x14ac:dyDescent="0.2">
      <c r="A29" s="1"/>
      <c r="B29" s="1"/>
      <c r="C29" s="16"/>
      <c r="D29" s="17"/>
      <c r="E29" s="1"/>
      <c r="F29" s="1"/>
      <c r="G29" s="1"/>
      <c r="H29" s="27"/>
      <c r="I29" s="27"/>
      <c r="J29" s="27"/>
      <c r="K29" s="27"/>
      <c r="L29" s="27"/>
    </row>
    <row r="30" spans="1:12" ht="15.75" customHeight="1" x14ac:dyDescent="0.2">
      <c r="A30" s="1"/>
      <c r="B30" s="1"/>
      <c r="C30" s="28" t="s">
        <v>25</v>
      </c>
      <c r="D30" s="17" t="s">
        <v>22</v>
      </c>
      <c r="E30" s="1"/>
      <c r="F30" s="1"/>
      <c r="G30" s="29"/>
      <c r="H30" s="30">
        <f>+G126</f>
        <v>7422</v>
      </c>
      <c r="I30" s="30">
        <f t="shared" ref="I30:L30" si="3">+H32</f>
        <v>6679.8</v>
      </c>
      <c r="J30" s="30">
        <f t="shared" si="3"/>
        <v>5937.6</v>
      </c>
      <c r="K30" s="30">
        <f t="shared" si="3"/>
        <v>5195.4000000000005</v>
      </c>
      <c r="L30" s="30">
        <f t="shared" si="3"/>
        <v>4453.2000000000007</v>
      </c>
    </row>
    <row r="31" spans="1:12" ht="15.75" customHeight="1" x14ac:dyDescent="0.2">
      <c r="A31" s="1"/>
      <c r="B31" s="1"/>
      <c r="C31" s="16" t="s">
        <v>26</v>
      </c>
      <c r="D31" s="31" t="s">
        <v>22</v>
      </c>
      <c r="E31" s="1"/>
      <c r="F31" s="1"/>
      <c r="G31" s="1"/>
      <c r="H31" s="32">
        <f t="shared" ref="H31:L31" si="4">-H28*$H$30</f>
        <v>-742.2</v>
      </c>
      <c r="I31" s="32">
        <f t="shared" si="4"/>
        <v>-742.2</v>
      </c>
      <c r="J31" s="32">
        <f t="shared" si="4"/>
        <v>-742.2</v>
      </c>
      <c r="K31" s="32">
        <f t="shared" si="4"/>
        <v>-742.2</v>
      </c>
      <c r="L31" s="32">
        <f t="shared" si="4"/>
        <v>-742.2</v>
      </c>
    </row>
    <row r="32" spans="1:12" ht="15.75" customHeight="1" x14ac:dyDescent="0.2">
      <c r="A32" s="1"/>
      <c r="B32" s="1"/>
      <c r="C32" s="33" t="s">
        <v>27</v>
      </c>
      <c r="D32" s="17" t="s">
        <v>22</v>
      </c>
      <c r="E32" s="34"/>
      <c r="F32" s="34"/>
      <c r="G32" s="34"/>
      <c r="H32" s="30">
        <f t="shared" ref="H32:L32" si="5">SUM(H30:H31)</f>
        <v>6679.8</v>
      </c>
      <c r="I32" s="30">
        <f t="shared" si="5"/>
        <v>5937.6</v>
      </c>
      <c r="J32" s="30">
        <f t="shared" si="5"/>
        <v>5195.4000000000005</v>
      </c>
      <c r="K32" s="30">
        <f t="shared" si="5"/>
        <v>4453.2000000000007</v>
      </c>
      <c r="L32" s="30">
        <f t="shared" si="5"/>
        <v>3711.0000000000009</v>
      </c>
    </row>
    <row r="33" spans="1:12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.75" customHeight="1" x14ac:dyDescent="0.2">
      <c r="A34" s="1"/>
      <c r="B34" s="1"/>
      <c r="C34" s="16" t="s">
        <v>28</v>
      </c>
      <c r="D34" s="17" t="s">
        <v>22</v>
      </c>
      <c r="E34" s="1"/>
      <c r="F34" s="1"/>
      <c r="G34" s="1"/>
      <c r="H34" s="29">
        <f>+H30*Debt_Interest_Rate</f>
        <v>296.88</v>
      </c>
      <c r="I34" s="29">
        <f>+I30*Debt_Interest_Rate</f>
        <v>267.19200000000001</v>
      </c>
      <c r="J34" s="29">
        <f>+J30*Debt_Interest_Rate</f>
        <v>237.50400000000002</v>
      </c>
      <c r="K34" s="29">
        <f>+K30*Debt_Interest_Rate</f>
        <v>207.81600000000003</v>
      </c>
      <c r="L34" s="29">
        <f>+L30*Debt_Interest_Rate</f>
        <v>178.12800000000004</v>
      </c>
    </row>
    <row r="35" spans="1:12" ht="15.75" customHeight="1" x14ac:dyDescent="0.2">
      <c r="A35" s="1"/>
      <c r="B35" s="1"/>
      <c r="C35" s="16" t="s">
        <v>29</v>
      </c>
      <c r="D35" s="17" t="s">
        <v>22</v>
      </c>
      <c r="E35" s="1"/>
      <c r="F35" s="1"/>
      <c r="G35" s="1"/>
      <c r="H35" s="29">
        <f>+G103*Cash_Interest_Rate</f>
        <v>15.450000000000001</v>
      </c>
      <c r="I35" s="29">
        <f>+H103*Cash_Interest_Rate</f>
        <v>11.866994031081765</v>
      </c>
      <c r="J35" s="29">
        <f>+I103*Cash_Interest_Rate</f>
        <v>8.8898595411791295</v>
      </c>
      <c r="K35" s="29">
        <f>+J103*Cash_Interest_Rate</f>
        <v>6.5886504578026077</v>
      </c>
      <c r="L35" s="29">
        <f>+K103*Cash_Interest_Rate</f>
        <v>4.3576150170608026</v>
      </c>
    </row>
    <row r="36" spans="1:12" ht="15.75" customHeight="1" x14ac:dyDescent="0.2">
      <c r="A36" s="1"/>
      <c r="B36" s="1"/>
      <c r="C36" s="16"/>
      <c r="D36" s="17"/>
      <c r="E36" s="24"/>
      <c r="F36" s="24"/>
      <c r="G36" s="24"/>
      <c r="H36" s="24"/>
      <c r="I36" s="24"/>
      <c r="J36" s="24"/>
      <c r="K36" s="24"/>
      <c r="L36" s="24"/>
    </row>
    <row r="37" spans="1:12" ht="15.75" customHeight="1" x14ac:dyDescent="0.2">
      <c r="A37" s="1"/>
      <c r="B37" s="1"/>
      <c r="C37" s="16" t="s">
        <v>30</v>
      </c>
      <c r="D37" s="17" t="s">
        <v>22</v>
      </c>
      <c r="E37" s="24"/>
      <c r="F37" s="24"/>
      <c r="G37" s="24"/>
      <c r="H37" s="25">
        <v>0</v>
      </c>
      <c r="I37" s="25">
        <v>0</v>
      </c>
      <c r="J37" s="25">
        <v>0</v>
      </c>
      <c r="K37" s="25">
        <v>0</v>
      </c>
      <c r="L37" s="25">
        <v>0</v>
      </c>
    </row>
    <row r="38" spans="1:12" ht="15.75" customHeight="1" x14ac:dyDescent="0.2">
      <c r="A38" s="1"/>
      <c r="B38" s="1"/>
      <c r="C38" s="16"/>
      <c r="D38" s="17"/>
      <c r="E38" s="24"/>
      <c r="F38" s="24"/>
      <c r="G38" s="24"/>
      <c r="H38" s="24"/>
      <c r="I38" s="24"/>
      <c r="J38" s="24"/>
      <c r="K38" s="24"/>
      <c r="L38" s="24"/>
    </row>
    <row r="39" spans="1:12" ht="15.75" customHeight="1" x14ac:dyDescent="0.2">
      <c r="A39" s="1"/>
      <c r="B39" s="6" t="s">
        <v>31</v>
      </c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ht="15.75" customHeight="1" x14ac:dyDescent="0.2">
      <c r="A40" s="1"/>
      <c r="B40" s="1"/>
      <c r="C40" s="16" t="s">
        <v>32</v>
      </c>
      <c r="D40" s="17" t="s">
        <v>33</v>
      </c>
      <c r="E40" s="35">
        <f t="shared" ref="E40:G40" si="6">+E104/E71*365</f>
        <v>61.070038910505829</v>
      </c>
      <c r="F40" s="35">
        <f t="shared" si="6"/>
        <v>57.784106600386636</v>
      </c>
      <c r="G40" s="35">
        <f t="shared" si="6"/>
        <v>59.984707198806412</v>
      </c>
      <c r="H40" s="36">
        <f>AVERAGE(E40:G40)</f>
        <v>59.612950903232957</v>
      </c>
      <c r="I40" s="36">
        <f t="shared" ref="I40:L40" si="7">+H40</f>
        <v>59.612950903232957</v>
      </c>
      <c r="J40" s="36">
        <f t="shared" si="7"/>
        <v>59.612950903232957</v>
      </c>
      <c r="K40" s="36">
        <f t="shared" si="7"/>
        <v>59.612950903232957</v>
      </c>
      <c r="L40" s="36">
        <f t="shared" si="7"/>
        <v>59.612950903232957</v>
      </c>
    </row>
    <row r="41" spans="1:12" ht="15.75" customHeight="1" x14ac:dyDescent="0.2">
      <c r="A41" s="1"/>
      <c r="B41" s="1"/>
      <c r="C41" s="16" t="s">
        <v>34</v>
      </c>
      <c r="D41" s="17" t="s">
        <v>33</v>
      </c>
      <c r="E41" s="35">
        <f t="shared" ref="E41:G41" si="8">+E105/E73*365</f>
        <v>53.20960953939678</v>
      </c>
      <c r="F41" s="35">
        <f t="shared" si="8"/>
        <v>49.659863945578238</v>
      </c>
      <c r="G41" s="35">
        <f t="shared" si="8"/>
        <v>50.252281947261658</v>
      </c>
      <c r="H41" s="37">
        <v>50</v>
      </c>
      <c r="I41" s="37">
        <v>49</v>
      </c>
      <c r="J41" s="37">
        <v>49</v>
      </c>
      <c r="K41" s="37">
        <v>48</v>
      </c>
      <c r="L41" s="37">
        <v>48</v>
      </c>
    </row>
    <row r="42" spans="1:12" ht="15.75" customHeight="1" x14ac:dyDescent="0.2">
      <c r="A42" s="1"/>
      <c r="B42" s="1"/>
      <c r="C42" s="16" t="s">
        <v>35</v>
      </c>
      <c r="D42" s="17" t="s">
        <v>33</v>
      </c>
      <c r="E42" s="35">
        <f t="shared" ref="E42:G42" si="9">+E120/E73*365</f>
        <v>27.052840776245031</v>
      </c>
      <c r="F42" s="35">
        <f t="shared" si="9"/>
        <v>21.547330796725468</v>
      </c>
      <c r="G42" s="35">
        <f t="shared" si="9"/>
        <v>20.776495943204868</v>
      </c>
      <c r="H42" s="37">
        <v>20</v>
      </c>
      <c r="I42" s="37">
        <v>19</v>
      </c>
      <c r="J42" s="37">
        <v>19</v>
      </c>
      <c r="K42" s="37">
        <v>18</v>
      </c>
      <c r="L42" s="37">
        <v>18</v>
      </c>
    </row>
    <row r="43" spans="1:12" ht="15.75" customHeight="1" x14ac:dyDescent="0.2">
      <c r="A43" s="1"/>
      <c r="B43" s="1"/>
      <c r="C43" s="16"/>
      <c r="D43" s="22"/>
      <c r="E43" s="23"/>
      <c r="F43" s="23"/>
      <c r="G43" s="23"/>
      <c r="H43" s="23"/>
      <c r="I43" s="23"/>
      <c r="J43" s="23"/>
      <c r="K43" s="23"/>
      <c r="L43" s="23"/>
    </row>
    <row r="44" spans="1:12" ht="15.75" customHeight="1" x14ac:dyDescent="0.2">
      <c r="A44" s="1"/>
      <c r="B44" s="1"/>
      <c r="C44" s="16" t="s">
        <v>36</v>
      </c>
      <c r="D44" s="22" t="s">
        <v>18</v>
      </c>
      <c r="E44" s="18">
        <f t="shared" ref="E44:G44" si="10">+E106/E78</f>
        <v>0.9186500888099467</v>
      </c>
      <c r="F44" s="18">
        <f t="shared" si="10"/>
        <v>0.14973861090365945</v>
      </c>
      <c r="G44" s="18">
        <f t="shared" si="10"/>
        <v>0.14108398841539099</v>
      </c>
      <c r="H44" s="19">
        <v>0.13</v>
      </c>
      <c r="I44" s="19">
        <v>0.13</v>
      </c>
      <c r="J44" s="19">
        <v>0.12</v>
      </c>
      <c r="K44" s="19">
        <v>0.12</v>
      </c>
      <c r="L44" s="19">
        <v>0.11</v>
      </c>
    </row>
    <row r="45" spans="1:12" ht="14.25" customHeight="1" x14ac:dyDescent="0.2">
      <c r="A45" s="1"/>
      <c r="B45" s="1"/>
      <c r="C45" s="16" t="s">
        <v>37</v>
      </c>
      <c r="D45" s="22" t="s">
        <v>18</v>
      </c>
      <c r="E45" s="18">
        <f t="shared" ref="E45:G45" si="11">+E113/E71</f>
        <v>0.11008135833038557</v>
      </c>
      <c r="F45" s="18">
        <f t="shared" si="11"/>
        <v>0.1000414250207125</v>
      </c>
      <c r="G45" s="18">
        <f t="shared" si="11"/>
        <v>0.10690041029466617</v>
      </c>
      <c r="H45" s="21">
        <f t="shared" ref="H45:H46" si="12">AVERAGE(E45:G45)</f>
        <v>0.10567439788192141</v>
      </c>
      <c r="I45" s="21">
        <f t="shared" ref="I45:L45" si="13">+H45</f>
        <v>0.10567439788192141</v>
      </c>
      <c r="J45" s="21">
        <f t="shared" si="13"/>
        <v>0.10567439788192141</v>
      </c>
      <c r="K45" s="21">
        <f t="shared" si="13"/>
        <v>0.10567439788192141</v>
      </c>
      <c r="L45" s="21">
        <f t="shared" si="13"/>
        <v>0.10567439788192141</v>
      </c>
    </row>
    <row r="46" spans="1:12" ht="15.75" customHeight="1" x14ac:dyDescent="0.2">
      <c r="A46" s="1"/>
      <c r="B46" s="1"/>
      <c r="C46" s="16" t="s">
        <v>38</v>
      </c>
      <c r="D46" s="22" t="s">
        <v>18</v>
      </c>
      <c r="E46" s="18">
        <f t="shared" ref="E46:G46" si="14">+E121/E78</f>
        <v>0.45186500888099468</v>
      </c>
      <c r="F46" s="18">
        <f t="shared" si="14"/>
        <v>0.48058252427184467</v>
      </c>
      <c r="G46" s="18">
        <f t="shared" si="14"/>
        <v>0.47000413736036406</v>
      </c>
      <c r="H46" s="21">
        <f t="shared" si="12"/>
        <v>0.46748389017106778</v>
      </c>
      <c r="I46" s="21">
        <f t="shared" ref="I46:L46" si="15">+H46</f>
        <v>0.46748389017106778</v>
      </c>
      <c r="J46" s="21">
        <f t="shared" si="15"/>
        <v>0.46748389017106778</v>
      </c>
      <c r="K46" s="21">
        <f t="shared" si="15"/>
        <v>0.46748389017106778</v>
      </c>
      <c r="L46" s="21">
        <f t="shared" si="15"/>
        <v>0.46748389017106778</v>
      </c>
    </row>
    <row r="47" spans="1:12" ht="15.75" customHeight="1" x14ac:dyDescent="0.2">
      <c r="A47" s="1"/>
      <c r="B47" s="1"/>
      <c r="C47" s="16"/>
      <c r="D47" s="22"/>
      <c r="E47" s="23"/>
      <c r="F47" s="23"/>
      <c r="G47" s="23"/>
      <c r="H47" s="18"/>
      <c r="I47" s="1"/>
      <c r="J47" s="1"/>
      <c r="K47" s="1"/>
      <c r="L47" s="1"/>
    </row>
    <row r="48" spans="1:12" ht="15.75" customHeight="1" x14ac:dyDescent="0.2">
      <c r="A48" s="1"/>
      <c r="B48" s="1"/>
      <c r="C48" s="16" t="s">
        <v>39</v>
      </c>
      <c r="D48" s="22" t="s">
        <v>18</v>
      </c>
      <c r="E48" s="18">
        <f t="shared" ref="E48:G48" si="16">+E122/E78</f>
        <v>0.20497335701598579</v>
      </c>
      <c r="F48" s="18">
        <f t="shared" si="16"/>
        <v>9.3353248693054516E-2</v>
      </c>
      <c r="G48" s="18">
        <f t="shared" si="16"/>
        <v>0.1063301613570542</v>
      </c>
      <c r="H48" s="19">
        <v>0.1</v>
      </c>
      <c r="I48" s="19">
        <v>0.1</v>
      </c>
      <c r="J48" s="19">
        <v>0.1</v>
      </c>
      <c r="K48" s="19">
        <v>0.1</v>
      </c>
      <c r="L48" s="19">
        <v>0.1</v>
      </c>
    </row>
    <row r="49" spans="1:12" ht="15.75" customHeight="1" x14ac:dyDescent="0.2">
      <c r="A49" s="1"/>
      <c r="B49" s="1"/>
      <c r="C49" s="16" t="s">
        <v>40</v>
      </c>
      <c r="D49" s="22" t="s">
        <v>18</v>
      </c>
      <c r="E49" s="18">
        <f t="shared" ref="E49:G49" si="17">+E128/E78</f>
        <v>0.32788632326820605</v>
      </c>
      <c r="F49" s="18">
        <f t="shared" si="17"/>
        <v>0.37415982076176252</v>
      </c>
      <c r="G49" s="18">
        <f t="shared" si="17"/>
        <v>0.40587505171700455</v>
      </c>
      <c r="H49" s="21">
        <f>AVERAGE(E49:G49)</f>
        <v>0.36930706524899098</v>
      </c>
      <c r="I49" s="21">
        <f t="shared" ref="I49:L49" si="18">+H49</f>
        <v>0.36930706524899098</v>
      </c>
      <c r="J49" s="21">
        <f t="shared" si="18"/>
        <v>0.36930706524899098</v>
      </c>
      <c r="K49" s="21">
        <f t="shared" si="18"/>
        <v>0.36930706524899098</v>
      </c>
      <c r="L49" s="21">
        <f t="shared" si="18"/>
        <v>0.36930706524899098</v>
      </c>
    </row>
    <row r="50" spans="1:12" ht="15.75" customHeight="1" x14ac:dyDescent="0.2">
      <c r="A50" s="1"/>
      <c r="B50" s="1"/>
      <c r="C50" s="16"/>
      <c r="D50" s="22"/>
      <c r="E50" s="23"/>
      <c r="F50" s="23"/>
      <c r="G50" s="23"/>
      <c r="H50" s="1"/>
      <c r="I50" s="1"/>
      <c r="J50" s="1"/>
      <c r="K50" s="1"/>
      <c r="L50" s="1"/>
    </row>
    <row r="51" spans="1:12" ht="15.75" customHeight="1" x14ac:dyDescent="0.2">
      <c r="A51" s="1"/>
      <c r="B51" s="6" t="s">
        <v>41</v>
      </c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ht="15.75" customHeight="1" x14ac:dyDescent="0.2">
      <c r="A52" s="1"/>
      <c r="B52" s="1"/>
      <c r="C52" s="16" t="s">
        <v>42</v>
      </c>
      <c r="D52" s="17" t="s">
        <v>22</v>
      </c>
      <c r="E52" s="18"/>
      <c r="F52" s="18"/>
      <c r="G52" s="18"/>
      <c r="H52" s="25">
        <v>-285</v>
      </c>
      <c r="I52" s="25">
        <v>-325</v>
      </c>
      <c r="J52" s="25">
        <v>-375</v>
      </c>
      <c r="K52" s="25">
        <v>-425</v>
      </c>
      <c r="L52" s="25">
        <v>-475</v>
      </c>
    </row>
    <row r="53" spans="1:12" ht="15.75" customHeight="1" x14ac:dyDescent="0.2">
      <c r="A53" s="1"/>
      <c r="B53" s="1"/>
      <c r="C53" s="16" t="s">
        <v>43</v>
      </c>
      <c r="D53" s="17" t="s">
        <v>18</v>
      </c>
      <c r="E53" s="18">
        <f t="shared" ref="E53:G53" si="19">+E145/E71</f>
        <v>2.1153165900247611E-2</v>
      </c>
      <c r="F53" s="18">
        <f t="shared" si="19"/>
        <v>1.8088925711129522E-2</v>
      </c>
      <c r="G53" s="18">
        <f t="shared" si="19"/>
        <v>1.8202163371876166E-2</v>
      </c>
      <c r="H53" s="19">
        <v>1.7000000000000001E-2</v>
      </c>
      <c r="I53" s="19">
        <v>1.7999999999999999E-2</v>
      </c>
      <c r="J53" s="19">
        <v>1.9E-2</v>
      </c>
      <c r="K53" s="19">
        <v>0.02</v>
      </c>
      <c r="L53" s="19">
        <v>2.1000000000000001E-2</v>
      </c>
    </row>
    <row r="54" spans="1:12" ht="15.75" customHeight="1" x14ac:dyDescent="0.2">
      <c r="A54" s="1"/>
      <c r="B54" s="1"/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 spans="1:12" ht="15.75" customHeight="1" x14ac:dyDescent="0.2">
      <c r="A55" s="1"/>
      <c r="B55" s="1"/>
      <c r="C55" s="16" t="s">
        <v>44</v>
      </c>
      <c r="D55" s="22" t="s">
        <v>18</v>
      </c>
      <c r="E55" s="18">
        <f t="shared" ref="E55:G55" si="20">+E149/E71</f>
        <v>2.6176158471878318E-3</v>
      </c>
      <c r="F55" s="18">
        <f t="shared" si="20"/>
        <v>2.6926263463131731E-3</v>
      </c>
      <c r="G55" s="18">
        <f t="shared" si="20"/>
        <v>3.0585602387168966E-3</v>
      </c>
      <c r="H55" s="21">
        <f>AVERAGE(E55:G55)</f>
        <v>2.7896008107393005E-3</v>
      </c>
      <c r="I55" s="21">
        <f t="shared" ref="I55:L55" si="21">+H55</f>
        <v>2.7896008107393005E-3</v>
      </c>
      <c r="J55" s="21">
        <f t="shared" si="21"/>
        <v>2.7896008107393005E-3</v>
      </c>
      <c r="K55" s="21">
        <f t="shared" si="21"/>
        <v>2.7896008107393005E-3</v>
      </c>
      <c r="L55" s="21">
        <f t="shared" si="21"/>
        <v>2.7896008107393005E-3</v>
      </c>
    </row>
    <row r="56" spans="1:12" ht="15.75" customHeight="1" x14ac:dyDescent="0.2">
      <c r="A56" s="1"/>
      <c r="B56" s="1"/>
      <c r="C56" s="16"/>
      <c r="D56" s="16"/>
      <c r="E56" s="16"/>
      <c r="F56" s="16"/>
      <c r="G56" s="16"/>
      <c r="H56" s="16"/>
      <c r="I56" s="16"/>
      <c r="J56" s="16"/>
      <c r="K56" s="16"/>
      <c r="L56" s="16"/>
    </row>
    <row r="57" spans="1:12" ht="15.75" customHeight="1" x14ac:dyDescent="0.2">
      <c r="A57" s="1"/>
      <c r="B57" s="1"/>
      <c r="C57" s="38" t="s">
        <v>45</v>
      </c>
      <c r="D57" s="22" t="s">
        <v>18</v>
      </c>
      <c r="E57" s="18">
        <f t="shared" ref="E57:G57" si="22">-E148/E92</f>
        <v>8.368200836820083E-3</v>
      </c>
      <c r="F57" s="18">
        <f t="shared" si="22"/>
        <v>6.7985166872682329E-2</v>
      </c>
      <c r="G57" s="18">
        <f t="shared" si="22"/>
        <v>-1.3414634146341463E-2</v>
      </c>
      <c r="H57" s="21">
        <f t="shared" ref="H57:H58" si="23">AVERAGE(E57:G57)</f>
        <v>2.0979577854386981E-2</v>
      </c>
      <c r="I57" s="21">
        <f t="shared" ref="I57:L57" si="24">+H57</f>
        <v>2.0979577854386981E-2</v>
      </c>
      <c r="J57" s="21">
        <f t="shared" si="24"/>
        <v>2.0979577854386981E-2</v>
      </c>
      <c r="K57" s="21">
        <f t="shared" si="24"/>
        <v>2.0979577854386981E-2</v>
      </c>
      <c r="L57" s="21">
        <f t="shared" si="24"/>
        <v>2.0979577854386981E-2</v>
      </c>
    </row>
    <row r="58" spans="1:12" ht="15.75" customHeight="1" x14ac:dyDescent="0.2">
      <c r="A58" s="1"/>
      <c r="B58" s="1"/>
      <c r="C58" s="16" t="s">
        <v>46</v>
      </c>
      <c r="D58" s="22" t="s">
        <v>18</v>
      </c>
      <c r="E58" s="18">
        <f t="shared" ref="E58:G58" si="25">-E166/E97</f>
        <v>0.31447290053603333</v>
      </c>
      <c r="F58" s="18">
        <f t="shared" si="25"/>
        <v>0.24134419551934827</v>
      </c>
      <c r="G58" s="18">
        <f t="shared" si="25"/>
        <v>0.39073196419167983</v>
      </c>
      <c r="H58" s="21">
        <f t="shared" si="23"/>
        <v>0.31551635341568712</v>
      </c>
      <c r="I58" s="21">
        <f t="shared" ref="I58:L58" si="26">+H58</f>
        <v>0.31551635341568712</v>
      </c>
      <c r="J58" s="21">
        <f t="shared" si="26"/>
        <v>0.31551635341568712</v>
      </c>
      <c r="K58" s="21">
        <f t="shared" si="26"/>
        <v>0.31551635341568712</v>
      </c>
      <c r="L58" s="21">
        <f t="shared" si="26"/>
        <v>0.31551635341568712</v>
      </c>
    </row>
    <row r="59" spans="1:12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 x14ac:dyDescent="0.2">
      <c r="A60" s="1"/>
      <c r="B60" s="1"/>
      <c r="C60" s="16" t="s">
        <v>47</v>
      </c>
      <c r="D60" s="17" t="s">
        <v>22</v>
      </c>
      <c r="E60" s="29">
        <f t="shared" ref="E60:G60" si="27">-E167</f>
        <v>1900</v>
      </c>
      <c r="F60" s="29">
        <f t="shared" si="27"/>
        <v>4198</v>
      </c>
      <c r="G60" s="29">
        <f t="shared" si="27"/>
        <v>1943</v>
      </c>
      <c r="H60" s="25">
        <v>1000</v>
      </c>
      <c r="I60" s="39">
        <f t="shared" ref="I60:L60" si="28">+H60</f>
        <v>1000</v>
      </c>
      <c r="J60" s="39">
        <f t="shared" si="28"/>
        <v>1000</v>
      </c>
      <c r="K60" s="39">
        <f t="shared" si="28"/>
        <v>1000</v>
      </c>
      <c r="L60" s="39">
        <f t="shared" si="28"/>
        <v>1000</v>
      </c>
    </row>
    <row r="61" spans="1:12" ht="15.75" customHeight="1" x14ac:dyDescent="0.2">
      <c r="A61" s="1"/>
      <c r="B61" s="1"/>
      <c r="C61" s="16"/>
      <c r="D61" s="17"/>
      <c r="E61" s="40"/>
      <c r="F61" s="40"/>
      <c r="G61" s="40"/>
      <c r="H61" s="1"/>
      <c r="I61" s="1"/>
      <c r="J61" s="1"/>
      <c r="K61" s="1"/>
      <c r="L61" s="1"/>
    </row>
    <row r="62" spans="1:12" ht="15.75" customHeight="1" x14ac:dyDescent="0.2">
      <c r="A62" s="1"/>
      <c r="B62" s="1"/>
      <c r="C62" s="16" t="s">
        <v>48</v>
      </c>
      <c r="D62" s="17" t="s">
        <v>22</v>
      </c>
      <c r="E62" s="40"/>
      <c r="F62" s="40"/>
      <c r="G62" s="40"/>
      <c r="H62" s="25">
        <v>0</v>
      </c>
      <c r="I62" s="25">
        <v>0</v>
      </c>
      <c r="J62" s="25">
        <v>0</v>
      </c>
      <c r="K62" s="25">
        <v>0</v>
      </c>
      <c r="L62" s="25">
        <v>0</v>
      </c>
    </row>
    <row r="63" spans="1:12" ht="15.75" customHeight="1" x14ac:dyDescent="0.2">
      <c r="A63" s="1"/>
      <c r="B63" s="1"/>
      <c r="C63" s="16" t="s">
        <v>49</v>
      </c>
      <c r="D63" s="17" t="s">
        <v>22</v>
      </c>
      <c r="E63" s="40"/>
      <c r="F63" s="40"/>
      <c r="G63" s="40"/>
      <c r="H63" s="25">
        <v>0</v>
      </c>
      <c r="I63" s="25">
        <v>0</v>
      </c>
      <c r="J63" s="25">
        <v>0</v>
      </c>
      <c r="K63" s="25">
        <v>0</v>
      </c>
      <c r="L63" s="25">
        <v>0</v>
      </c>
    </row>
    <row r="64" spans="1:12" ht="15.75" customHeight="1" x14ac:dyDescent="0.2">
      <c r="A64" s="1"/>
      <c r="B64" s="1"/>
      <c r="C64" s="16" t="s">
        <v>50</v>
      </c>
      <c r="D64" s="17" t="s">
        <v>22</v>
      </c>
      <c r="E64" s="40"/>
      <c r="F64" s="40"/>
      <c r="G64" s="40"/>
      <c r="H64" s="25">
        <v>0</v>
      </c>
      <c r="I64" s="25">
        <v>0</v>
      </c>
      <c r="J64" s="25">
        <v>0</v>
      </c>
      <c r="K64" s="25">
        <v>0</v>
      </c>
      <c r="L64" s="25">
        <v>0</v>
      </c>
    </row>
    <row r="65" spans="1:12" ht="15.75" customHeight="1" x14ac:dyDescent="0.2">
      <c r="A65" s="1"/>
      <c r="B65" s="1"/>
      <c r="C65" s="16"/>
      <c r="D65" s="17"/>
      <c r="E65" s="40"/>
      <c r="F65" s="40"/>
      <c r="G65" s="40"/>
      <c r="H65" s="1"/>
      <c r="I65" s="1"/>
      <c r="J65" s="1"/>
      <c r="K65" s="1"/>
      <c r="L65" s="1"/>
    </row>
    <row r="66" spans="1:12" ht="15.75" customHeight="1" x14ac:dyDescent="0.2">
      <c r="A66" s="1"/>
      <c r="B66" s="1"/>
      <c r="C66" s="16" t="s">
        <v>51</v>
      </c>
      <c r="D66" s="17" t="s">
        <v>18</v>
      </c>
      <c r="E66" s="18">
        <f t="shared" ref="E66:G66" si="29">+E172/E71</f>
        <v>-6.5794128050937388E-3</v>
      </c>
      <c r="F66" s="18">
        <f t="shared" si="29"/>
        <v>-3.6937310135321734E-2</v>
      </c>
      <c r="G66" s="18">
        <f t="shared" si="29"/>
        <v>-3.4539350988437148E-2</v>
      </c>
      <c r="H66" s="21">
        <f>AVERAGE(E66:G66)</f>
        <v>-2.601869130961754E-2</v>
      </c>
      <c r="I66" s="21">
        <f t="shared" ref="I66:L66" si="30">+H66</f>
        <v>-2.601869130961754E-2</v>
      </c>
      <c r="J66" s="21">
        <f t="shared" si="30"/>
        <v>-2.601869130961754E-2</v>
      </c>
      <c r="K66" s="21">
        <f t="shared" si="30"/>
        <v>-2.601869130961754E-2</v>
      </c>
      <c r="L66" s="21">
        <f t="shared" si="30"/>
        <v>-2.601869130961754E-2</v>
      </c>
    </row>
    <row r="67" spans="1:12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 x14ac:dyDescent="0.2">
      <c r="A68" s="1"/>
      <c r="B68" s="12"/>
      <c r="C68" s="12"/>
      <c r="D68" s="12"/>
      <c r="E68" s="72" t="str">
        <f>$E$18</f>
        <v>Historical</v>
      </c>
      <c r="F68" s="73"/>
      <c r="G68" s="74"/>
      <c r="H68" s="75" t="str">
        <f>$H$18</f>
        <v>Projected</v>
      </c>
      <c r="I68" s="73"/>
      <c r="J68" s="73"/>
      <c r="K68" s="73"/>
      <c r="L68" s="74"/>
    </row>
    <row r="69" spans="1:12" ht="15.75" customHeight="1" x14ac:dyDescent="0.2">
      <c r="A69" s="1"/>
      <c r="B69" s="41" t="s">
        <v>52</v>
      </c>
      <c r="C69" s="41"/>
      <c r="D69" s="42" t="str">
        <f>$D$19</f>
        <v>Units:</v>
      </c>
      <c r="E69" s="43">
        <f>$E$19</f>
        <v>41639</v>
      </c>
      <c r="F69" s="43">
        <f>$F$19</f>
        <v>42004</v>
      </c>
      <c r="G69" s="43">
        <f>$G$19</f>
        <v>42369</v>
      </c>
      <c r="H69" s="44">
        <f>$H$19</f>
        <v>42735</v>
      </c>
      <c r="I69" s="43">
        <f>$I$19</f>
        <v>43100</v>
      </c>
      <c r="J69" s="43">
        <f>$J$19</f>
        <v>43465</v>
      </c>
      <c r="K69" s="43">
        <f>$K$19</f>
        <v>43830</v>
      </c>
      <c r="L69" s="43">
        <f>$L$19</f>
        <v>44196</v>
      </c>
    </row>
    <row r="70" spans="1:12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 x14ac:dyDescent="0.2">
      <c r="A71" s="1"/>
      <c r="B71" s="1"/>
      <c r="C71" s="2" t="s">
        <v>53</v>
      </c>
      <c r="D71" s="17" t="s">
        <v>22</v>
      </c>
      <c r="E71" s="45">
        <v>14135</v>
      </c>
      <c r="F71" s="45">
        <v>14484</v>
      </c>
      <c r="G71" s="45">
        <v>13405</v>
      </c>
      <c r="H71" s="46">
        <f>+G71*(1+H21)</f>
        <v>14075.25</v>
      </c>
      <c r="I71" s="46">
        <f t="shared" ref="I71:L71" si="31">+H71*(1+I21)</f>
        <v>14638.26</v>
      </c>
      <c r="J71" s="46">
        <f t="shared" si="31"/>
        <v>15223.7904</v>
      </c>
      <c r="K71" s="46">
        <f t="shared" si="31"/>
        <v>15680.504112000001</v>
      </c>
      <c r="L71" s="46">
        <f t="shared" si="31"/>
        <v>16150.919235360001</v>
      </c>
    </row>
    <row r="72" spans="1:12" ht="15.75" customHeight="1" x14ac:dyDescent="0.2">
      <c r="A72" s="1"/>
      <c r="B72" s="1"/>
      <c r="C72" s="1"/>
      <c r="D72" s="1"/>
      <c r="E72" s="47"/>
      <c r="F72" s="47"/>
      <c r="G72" s="47"/>
      <c r="H72" s="29"/>
      <c r="I72" s="29"/>
      <c r="J72" s="29"/>
      <c r="K72" s="29"/>
      <c r="L72" s="29"/>
    </row>
    <row r="73" spans="1:12" ht="15.75" customHeight="1" x14ac:dyDescent="0.2">
      <c r="A73" s="1"/>
      <c r="B73" s="1"/>
      <c r="C73" s="1" t="s">
        <v>54</v>
      </c>
      <c r="D73" s="17" t="s">
        <v>22</v>
      </c>
      <c r="E73" s="47">
        <v>8554</v>
      </c>
      <c r="F73" s="47">
        <v>8673</v>
      </c>
      <c r="G73" s="47">
        <v>7888</v>
      </c>
      <c r="H73" s="29">
        <f>+H71*(1-H22)</f>
        <v>8240.17425</v>
      </c>
      <c r="I73" s="29">
        <f t="shared" ref="I73:L73" si="32">+I71*(1-I22)</f>
        <v>8525.8664399999998</v>
      </c>
      <c r="J73" s="29">
        <f t="shared" si="32"/>
        <v>8821.2297264000008</v>
      </c>
      <c r="K73" s="29">
        <f t="shared" si="32"/>
        <v>9038.8251058559981</v>
      </c>
      <c r="L73" s="29">
        <f t="shared" si="32"/>
        <v>9261.5371013256008</v>
      </c>
    </row>
    <row r="74" spans="1:12" ht="15.75" customHeight="1" x14ac:dyDescent="0.2">
      <c r="A74" s="1"/>
      <c r="B74" s="1"/>
      <c r="C74" s="1"/>
      <c r="D74" s="1"/>
      <c r="E74" s="47"/>
      <c r="F74" s="47"/>
      <c r="G74" s="47"/>
      <c r="H74" s="29"/>
      <c r="I74" s="29"/>
      <c r="J74" s="29"/>
      <c r="K74" s="29"/>
      <c r="L74" s="29"/>
    </row>
    <row r="75" spans="1:12" ht="15.75" customHeight="1" x14ac:dyDescent="0.2">
      <c r="A75" s="1"/>
      <c r="B75" s="1"/>
      <c r="C75" s="28" t="s">
        <v>55</v>
      </c>
      <c r="D75" s="17" t="s">
        <v>22</v>
      </c>
      <c r="E75" s="48">
        <v>5581</v>
      </c>
      <c r="F75" s="48">
        <v>5811</v>
      </c>
      <c r="G75" s="48">
        <v>5517</v>
      </c>
      <c r="H75" s="49">
        <f t="shared" ref="H75:L75" si="33">+H71-H73</f>
        <v>5835.07575</v>
      </c>
      <c r="I75" s="49">
        <f t="shared" si="33"/>
        <v>6112.3935600000004</v>
      </c>
      <c r="J75" s="49">
        <f t="shared" si="33"/>
        <v>6402.5606735999991</v>
      </c>
      <c r="K75" s="49">
        <f t="shared" si="33"/>
        <v>6641.6790061440024</v>
      </c>
      <c r="L75" s="49">
        <f t="shared" si="33"/>
        <v>6889.3821340344002</v>
      </c>
    </row>
    <row r="76" spans="1:12" ht="15.75" customHeight="1" x14ac:dyDescent="0.2">
      <c r="A76" s="1"/>
      <c r="B76" s="1"/>
      <c r="C76" s="50"/>
      <c r="D76" s="1"/>
      <c r="E76" s="20"/>
      <c r="F76" s="20"/>
      <c r="G76" s="20"/>
      <c r="H76" s="29"/>
      <c r="I76" s="29"/>
      <c r="J76" s="29"/>
      <c r="K76" s="29"/>
      <c r="L76" s="29"/>
    </row>
    <row r="77" spans="1:12" ht="15.75" customHeight="1" x14ac:dyDescent="0.2">
      <c r="A77" s="1"/>
      <c r="B77" s="1"/>
      <c r="C77" s="2" t="s">
        <v>56</v>
      </c>
      <c r="D77" s="1"/>
      <c r="E77" s="29"/>
      <c r="F77" s="29"/>
      <c r="G77" s="29"/>
      <c r="H77" s="29"/>
      <c r="I77" s="29"/>
      <c r="J77" s="29"/>
      <c r="K77" s="29"/>
      <c r="L77" s="29"/>
    </row>
    <row r="78" spans="1:12" ht="15.75" customHeight="1" x14ac:dyDescent="0.2">
      <c r="A78" s="1"/>
      <c r="B78" s="1"/>
      <c r="C78" s="16" t="s">
        <v>57</v>
      </c>
      <c r="D78" s="17" t="s">
        <v>22</v>
      </c>
      <c r="E78" s="47">
        <v>2815</v>
      </c>
      <c r="F78" s="47">
        <v>2678</v>
      </c>
      <c r="G78" s="47">
        <v>2417</v>
      </c>
      <c r="H78" s="29">
        <f t="shared" ref="H78:L78" si="34">+H71*H23</f>
        <v>2533.5450000000001</v>
      </c>
      <c r="I78" s="29">
        <f t="shared" si="34"/>
        <v>2561.6954999999998</v>
      </c>
      <c r="J78" s="29">
        <f t="shared" si="34"/>
        <v>2664.1633199999997</v>
      </c>
      <c r="K78" s="29">
        <f t="shared" si="34"/>
        <v>2665.6856990400001</v>
      </c>
      <c r="L78" s="29">
        <f t="shared" si="34"/>
        <v>2745.6562700112004</v>
      </c>
    </row>
    <row r="79" spans="1:12" ht="15.75" customHeight="1" x14ac:dyDescent="0.2">
      <c r="A79" s="1"/>
      <c r="B79" s="1"/>
      <c r="C79" s="26" t="s">
        <v>58</v>
      </c>
      <c r="D79" s="17" t="s">
        <v>22</v>
      </c>
      <c r="E79" s="47">
        <v>250</v>
      </c>
      <c r="F79" s="47">
        <v>242</v>
      </c>
      <c r="G79" s="47">
        <v>231</v>
      </c>
      <c r="H79" s="29">
        <f t="shared" ref="H79:L79" si="35">+H25</f>
        <v>217</v>
      </c>
      <c r="I79" s="29">
        <f t="shared" si="35"/>
        <v>196</v>
      </c>
      <c r="J79" s="29">
        <f t="shared" si="35"/>
        <v>175</v>
      </c>
      <c r="K79" s="29">
        <f t="shared" si="35"/>
        <v>153</v>
      </c>
      <c r="L79" s="29">
        <f t="shared" si="35"/>
        <v>134</v>
      </c>
    </row>
    <row r="80" spans="1:12" ht="15.75" customHeight="1" x14ac:dyDescent="0.2">
      <c r="A80" s="1"/>
      <c r="B80" s="1"/>
      <c r="C80" s="51" t="s">
        <v>59</v>
      </c>
      <c r="D80" s="31" t="s">
        <v>22</v>
      </c>
      <c r="E80" s="52">
        <v>2</v>
      </c>
      <c r="F80" s="52">
        <v>3</v>
      </c>
      <c r="G80" s="52">
        <v>2</v>
      </c>
      <c r="H80" s="32">
        <f t="shared" ref="H80:L80" si="36">+H26</f>
        <v>0</v>
      </c>
      <c r="I80" s="32">
        <f t="shared" si="36"/>
        <v>0</v>
      </c>
      <c r="J80" s="32">
        <f t="shared" si="36"/>
        <v>0</v>
      </c>
      <c r="K80" s="32">
        <f t="shared" si="36"/>
        <v>0</v>
      </c>
      <c r="L80" s="32">
        <f t="shared" si="36"/>
        <v>0</v>
      </c>
    </row>
    <row r="81" spans="1:12" ht="15.75" customHeight="1" x14ac:dyDescent="0.2">
      <c r="A81" s="1"/>
      <c r="B81" s="1"/>
      <c r="C81" s="53" t="s">
        <v>60</v>
      </c>
      <c r="D81" s="17" t="s">
        <v>22</v>
      </c>
      <c r="E81" s="48">
        <v>3067</v>
      </c>
      <c r="F81" s="48">
        <v>2923</v>
      </c>
      <c r="G81" s="48">
        <v>2650</v>
      </c>
      <c r="H81" s="54">
        <f t="shared" ref="H81:L81" si="37">SUM(H78:H80)</f>
        <v>2750.5450000000001</v>
      </c>
      <c r="I81" s="54">
        <f t="shared" si="37"/>
        <v>2757.6954999999998</v>
      </c>
      <c r="J81" s="54">
        <f t="shared" si="37"/>
        <v>2839.1633199999997</v>
      </c>
      <c r="K81" s="54">
        <f t="shared" si="37"/>
        <v>2818.6856990400001</v>
      </c>
      <c r="L81" s="54">
        <f t="shared" si="37"/>
        <v>2879.6562700112004</v>
      </c>
    </row>
    <row r="82" spans="1:12" ht="15.75" customHeight="1" x14ac:dyDescent="0.2">
      <c r="A82" s="1"/>
      <c r="B82" s="1"/>
      <c r="C82" s="26"/>
      <c r="D82" s="1"/>
      <c r="E82" s="47"/>
      <c r="F82" s="47"/>
      <c r="G82" s="47"/>
      <c r="H82" s="29"/>
      <c r="I82" s="29"/>
      <c r="J82" s="29"/>
      <c r="K82" s="29"/>
      <c r="L82" s="29"/>
    </row>
    <row r="83" spans="1:12" ht="15.75" customHeight="1" x14ac:dyDescent="0.2">
      <c r="A83" s="1"/>
      <c r="B83" s="1"/>
      <c r="C83" s="28" t="s">
        <v>61</v>
      </c>
      <c r="D83" s="17" t="s">
        <v>22</v>
      </c>
      <c r="E83" s="48">
        <v>2514</v>
      </c>
      <c r="F83" s="48">
        <v>2888</v>
      </c>
      <c r="G83" s="48">
        <v>2867</v>
      </c>
      <c r="H83" s="30">
        <f t="shared" ref="H83:L83" si="38">+H75-H81</f>
        <v>3084.5307499999999</v>
      </c>
      <c r="I83" s="30">
        <f t="shared" si="38"/>
        <v>3354.6980600000006</v>
      </c>
      <c r="J83" s="30">
        <f t="shared" si="38"/>
        <v>3563.3973535999994</v>
      </c>
      <c r="K83" s="30">
        <f t="shared" si="38"/>
        <v>3822.9933071040023</v>
      </c>
      <c r="L83" s="30">
        <f t="shared" si="38"/>
        <v>4009.7258640231998</v>
      </c>
    </row>
    <row r="84" spans="1:12" ht="15.75" customHeight="1" x14ac:dyDescent="0.2">
      <c r="A84" s="1"/>
      <c r="B84" s="1"/>
      <c r="C84" s="50" t="s">
        <v>62</v>
      </c>
      <c r="D84" s="17" t="s">
        <v>18</v>
      </c>
      <c r="E84" s="55">
        <v>0.17785638486027591</v>
      </c>
      <c r="F84" s="55">
        <v>0.19939243302954984</v>
      </c>
      <c r="G84" s="55">
        <v>0.21387541961954495</v>
      </c>
      <c r="H84" s="56">
        <f t="shared" ref="H84:L84" si="39">+H83/H71</f>
        <v>0.21914571677234862</v>
      </c>
      <c r="I84" s="56">
        <f t="shared" si="39"/>
        <v>0.2291732801576144</v>
      </c>
      <c r="J84" s="56">
        <f t="shared" si="39"/>
        <v>0.23406768353825994</v>
      </c>
      <c r="K84" s="56">
        <f t="shared" si="39"/>
        <v>0.24380551032019029</v>
      </c>
      <c r="L84" s="56">
        <f t="shared" si="39"/>
        <v>0.24826610829955176</v>
      </c>
    </row>
    <row r="85" spans="1:12" ht="15.75" customHeight="1" x14ac:dyDescent="0.2">
      <c r="A85" s="1"/>
      <c r="B85" s="1"/>
      <c r="C85" s="1"/>
      <c r="D85" s="1"/>
      <c r="E85" s="29"/>
      <c r="F85" s="29"/>
      <c r="G85" s="29"/>
      <c r="H85" s="29"/>
      <c r="I85" s="29"/>
      <c r="J85" s="29"/>
      <c r="K85" s="29"/>
      <c r="L85" s="29"/>
    </row>
    <row r="86" spans="1:12" ht="15.75" customHeight="1" x14ac:dyDescent="0.2">
      <c r="A86" s="1"/>
      <c r="B86" s="1"/>
      <c r="C86" s="2" t="s">
        <v>63</v>
      </c>
      <c r="D86" s="1"/>
      <c r="E86" s="29"/>
      <c r="F86" s="29"/>
      <c r="G86" s="29"/>
      <c r="H86" s="29"/>
      <c r="I86" s="29"/>
      <c r="J86" s="29"/>
      <c r="K86" s="29"/>
      <c r="L86" s="29"/>
    </row>
    <row r="87" spans="1:12" ht="15.75" customHeight="1" x14ac:dyDescent="0.2">
      <c r="A87" s="1"/>
      <c r="B87" s="1"/>
      <c r="C87" s="26" t="s">
        <v>64</v>
      </c>
      <c r="D87" s="17" t="s">
        <v>22</v>
      </c>
      <c r="E87" s="47">
        <v>-239</v>
      </c>
      <c r="F87" s="47">
        <v>-250</v>
      </c>
      <c r="G87" s="47">
        <v>-226</v>
      </c>
      <c r="H87" s="29">
        <f t="shared" ref="H87:L87" si="40">-H34</f>
        <v>-296.88</v>
      </c>
      <c r="I87" s="29">
        <f t="shared" si="40"/>
        <v>-267.19200000000001</v>
      </c>
      <c r="J87" s="29">
        <f t="shared" si="40"/>
        <v>-237.50400000000002</v>
      </c>
      <c r="K87" s="29">
        <f t="shared" si="40"/>
        <v>-207.81600000000003</v>
      </c>
      <c r="L87" s="29">
        <f t="shared" si="40"/>
        <v>-178.12800000000004</v>
      </c>
    </row>
    <row r="88" spans="1:12" ht="14.25" customHeight="1" x14ac:dyDescent="0.2">
      <c r="A88" s="1"/>
      <c r="B88" s="1"/>
      <c r="C88" s="51" t="s">
        <v>65</v>
      </c>
      <c r="D88" s="31" t="s">
        <v>22</v>
      </c>
      <c r="E88" s="52">
        <v>72</v>
      </c>
      <c r="F88" s="52">
        <v>61</v>
      </c>
      <c r="G88" s="52">
        <v>78</v>
      </c>
      <c r="H88" s="32">
        <f t="shared" ref="H88:L88" si="41">+H35</f>
        <v>15.450000000000001</v>
      </c>
      <c r="I88" s="32">
        <f t="shared" si="41"/>
        <v>11.866994031081765</v>
      </c>
      <c r="J88" s="32">
        <f t="shared" si="41"/>
        <v>8.8898595411791295</v>
      </c>
      <c r="K88" s="32">
        <f t="shared" si="41"/>
        <v>6.5886504578026077</v>
      </c>
      <c r="L88" s="32">
        <f t="shared" si="41"/>
        <v>4.3576150170608026</v>
      </c>
    </row>
    <row r="89" spans="1:12" ht="15.75" customHeight="1" x14ac:dyDescent="0.2">
      <c r="A89" s="1"/>
      <c r="B89" s="1"/>
      <c r="C89" s="53" t="s">
        <v>66</v>
      </c>
      <c r="D89" s="17" t="s">
        <v>22</v>
      </c>
      <c r="E89" s="48">
        <v>-167</v>
      </c>
      <c r="F89" s="48">
        <v>-189</v>
      </c>
      <c r="G89" s="48">
        <v>-148</v>
      </c>
      <c r="H89" s="54">
        <f>SUM(H87:H88)</f>
        <v>-281.43</v>
      </c>
      <c r="I89" s="54">
        <f t="shared" ref="I89:L89" si="42">SUM(I87:I88)</f>
        <v>-255.32500596891825</v>
      </c>
      <c r="J89" s="54">
        <f t="shared" si="42"/>
        <v>-228.61414045882088</v>
      </c>
      <c r="K89" s="54">
        <f t="shared" si="42"/>
        <v>-201.22734954219743</v>
      </c>
      <c r="L89" s="54">
        <f t="shared" si="42"/>
        <v>-173.77038498293925</v>
      </c>
    </row>
    <row r="90" spans="1:12" ht="15.75" customHeight="1" x14ac:dyDescent="0.2">
      <c r="A90" s="1"/>
      <c r="B90" s="1"/>
      <c r="C90" s="26"/>
      <c r="D90" s="1"/>
      <c r="E90" s="47"/>
      <c r="F90" s="47"/>
      <c r="G90" s="47"/>
      <c r="H90" s="29"/>
      <c r="I90" s="29"/>
      <c r="J90" s="29"/>
      <c r="K90" s="29"/>
      <c r="L90" s="29"/>
    </row>
    <row r="91" spans="1:12" ht="15.75" customHeight="1" x14ac:dyDescent="0.2">
      <c r="A91" s="1"/>
      <c r="B91" s="1"/>
      <c r="C91" s="28" t="s">
        <v>67</v>
      </c>
      <c r="D91" s="17" t="s">
        <v>22</v>
      </c>
      <c r="E91" s="48">
        <v>2347</v>
      </c>
      <c r="F91" s="48">
        <v>2699</v>
      </c>
      <c r="G91" s="48">
        <v>2719</v>
      </c>
      <c r="H91" s="30">
        <f t="shared" ref="H91:L91" si="43">+H83+H89</f>
        <v>2803.1007500000001</v>
      </c>
      <c r="I91" s="30">
        <f t="shared" si="43"/>
        <v>3099.3730540310826</v>
      </c>
      <c r="J91" s="30">
        <f t="shared" si="43"/>
        <v>3334.7832131411787</v>
      </c>
      <c r="K91" s="30">
        <f t="shared" si="43"/>
        <v>3621.765957561805</v>
      </c>
      <c r="L91" s="30">
        <f t="shared" si="43"/>
        <v>3835.9554790402608</v>
      </c>
    </row>
    <row r="92" spans="1:12" ht="15.75" customHeight="1" x14ac:dyDescent="0.2">
      <c r="A92" s="1"/>
      <c r="B92" s="1"/>
      <c r="C92" s="16" t="s">
        <v>68</v>
      </c>
      <c r="D92" s="31" t="s">
        <v>22</v>
      </c>
      <c r="E92" s="47">
        <v>-717</v>
      </c>
      <c r="F92" s="47">
        <v>-809</v>
      </c>
      <c r="G92" s="47">
        <v>-820</v>
      </c>
      <c r="H92" s="29">
        <f>-H91*Tax_Rate</f>
        <v>-840.93022499999995</v>
      </c>
      <c r="I92" s="29">
        <f>-I91*Tax_Rate</f>
        <v>-929.81191620932475</v>
      </c>
      <c r="J92" s="29">
        <f>-J91*Tax_Rate</f>
        <v>-1000.4349639423535</v>
      </c>
      <c r="K92" s="29">
        <f>-K91*Tax_Rate</f>
        <v>-1086.5297872685414</v>
      </c>
      <c r="L92" s="29">
        <f>-L91*Tax_Rate</f>
        <v>-1150.7866437120781</v>
      </c>
    </row>
    <row r="93" spans="1:12" ht="15.75" customHeight="1" x14ac:dyDescent="0.2">
      <c r="A93" s="1"/>
      <c r="B93" s="1"/>
      <c r="C93" s="33" t="s">
        <v>69</v>
      </c>
      <c r="D93" s="17" t="s">
        <v>22</v>
      </c>
      <c r="E93" s="57">
        <v>1630</v>
      </c>
      <c r="F93" s="57">
        <v>1890</v>
      </c>
      <c r="G93" s="57">
        <v>1899</v>
      </c>
      <c r="H93" s="58">
        <f t="shared" ref="H93:L93" si="44">SUM(H91:H92)</f>
        <v>1962.170525</v>
      </c>
      <c r="I93" s="58">
        <f t="shared" si="44"/>
        <v>2169.5611378217577</v>
      </c>
      <c r="J93" s="58">
        <f t="shared" si="44"/>
        <v>2334.3482491988252</v>
      </c>
      <c r="K93" s="58">
        <f t="shared" si="44"/>
        <v>2535.2361702932635</v>
      </c>
      <c r="L93" s="58">
        <f t="shared" si="44"/>
        <v>2685.1688353281825</v>
      </c>
    </row>
    <row r="94" spans="1:12" ht="15.75" customHeight="1" x14ac:dyDescent="0.2">
      <c r="A94" s="1"/>
      <c r="B94" s="1"/>
      <c r="C94" s="16"/>
      <c r="D94" s="1"/>
      <c r="E94" s="29"/>
      <c r="F94" s="29"/>
      <c r="G94" s="29"/>
      <c r="H94" s="29"/>
      <c r="I94" s="29"/>
      <c r="J94" s="29"/>
      <c r="K94" s="29"/>
      <c r="L94" s="29"/>
    </row>
    <row r="95" spans="1:12" ht="15.75" customHeight="1" x14ac:dyDescent="0.2">
      <c r="A95" s="1"/>
      <c r="B95" s="1"/>
      <c r="C95" s="16" t="s">
        <v>70</v>
      </c>
      <c r="D95" s="17" t="s">
        <v>22</v>
      </c>
      <c r="E95" s="47">
        <v>49</v>
      </c>
      <c r="F95" s="47">
        <v>1056</v>
      </c>
      <c r="G95" s="47">
        <v>0</v>
      </c>
      <c r="H95" s="29">
        <f t="shared" ref="H95:L95" si="45">+H37</f>
        <v>0</v>
      </c>
      <c r="I95" s="29">
        <f t="shared" si="45"/>
        <v>0</v>
      </c>
      <c r="J95" s="29">
        <f t="shared" si="45"/>
        <v>0</v>
      </c>
      <c r="K95" s="29">
        <f t="shared" si="45"/>
        <v>0</v>
      </c>
      <c r="L95" s="29">
        <f t="shared" si="45"/>
        <v>0</v>
      </c>
    </row>
    <row r="96" spans="1:12" ht="15.75" customHeight="1" x14ac:dyDescent="0.2">
      <c r="A96" s="1"/>
      <c r="B96" s="1"/>
      <c r="C96" s="16"/>
      <c r="D96" s="1"/>
      <c r="E96" s="47"/>
      <c r="F96" s="47"/>
      <c r="G96" s="47"/>
      <c r="H96" s="29"/>
      <c r="I96" s="29"/>
      <c r="J96" s="29"/>
      <c r="K96" s="29"/>
      <c r="L96" s="29"/>
    </row>
    <row r="97" spans="1:12" ht="15.75" customHeight="1" x14ac:dyDescent="0.2">
      <c r="A97" s="1"/>
      <c r="B97" s="1"/>
      <c r="C97" s="28" t="s">
        <v>71</v>
      </c>
      <c r="D97" s="17" t="s">
        <v>22</v>
      </c>
      <c r="E97" s="45">
        <v>1679</v>
      </c>
      <c r="F97" s="45">
        <v>2946</v>
      </c>
      <c r="G97" s="45">
        <v>1899</v>
      </c>
      <c r="H97" s="46">
        <f t="shared" ref="H97:L97" si="46">+H93+H95</f>
        <v>1962.170525</v>
      </c>
      <c r="I97" s="46">
        <f t="shared" si="46"/>
        <v>2169.5611378217577</v>
      </c>
      <c r="J97" s="46">
        <f t="shared" si="46"/>
        <v>2334.3482491988252</v>
      </c>
      <c r="K97" s="46">
        <f t="shared" si="46"/>
        <v>2535.2361702932635</v>
      </c>
      <c r="L97" s="46">
        <f t="shared" si="46"/>
        <v>2685.1688353281825</v>
      </c>
    </row>
    <row r="98" spans="1:12" ht="15.75" customHeight="1" x14ac:dyDescent="0.2">
      <c r="A98" s="1"/>
      <c r="B98" s="1"/>
      <c r="C98" s="16"/>
      <c r="D98" s="1"/>
      <c r="E98" s="24"/>
      <c r="F98" s="24"/>
      <c r="G98" s="24"/>
      <c r="H98" s="24"/>
      <c r="I98" s="24"/>
      <c r="J98" s="24"/>
      <c r="K98" s="24"/>
      <c r="L98" s="24"/>
    </row>
    <row r="99" spans="1:12" ht="15.75" customHeight="1" x14ac:dyDescent="0.2">
      <c r="A99" s="1"/>
      <c r="B99" s="12"/>
      <c r="C99" s="12"/>
      <c r="D99" s="12"/>
      <c r="E99" s="72" t="str">
        <f>$E$18</f>
        <v>Historical</v>
      </c>
      <c r="F99" s="73"/>
      <c r="G99" s="74"/>
      <c r="H99" s="75" t="str">
        <f>$H$18</f>
        <v>Projected</v>
      </c>
      <c r="I99" s="73"/>
      <c r="J99" s="73"/>
      <c r="K99" s="73"/>
      <c r="L99" s="74"/>
    </row>
    <row r="100" spans="1:12" ht="15.75" customHeight="1" x14ac:dyDescent="0.2">
      <c r="A100" s="1"/>
      <c r="B100" s="41" t="s">
        <v>72</v>
      </c>
      <c r="C100" s="41"/>
      <c r="D100" s="42" t="str">
        <f>$D$19</f>
        <v>Units:</v>
      </c>
      <c r="E100" s="43">
        <f>$E$19</f>
        <v>41639</v>
      </c>
      <c r="F100" s="43">
        <f>$F$19</f>
        <v>42004</v>
      </c>
      <c r="G100" s="43">
        <f>$G$19</f>
        <v>42369</v>
      </c>
      <c r="H100" s="44">
        <f>$H$19</f>
        <v>42735</v>
      </c>
      <c r="I100" s="43">
        <f>$I$19</f>
        <v>43100</v>
      </c>
      <c r="J100" s="43">
        <f>$J$19</f>
        <v>43465</v>
      </c>
      <c r="K100" s="43">
        <f>$K$19</f>
        <v>43830</v>
      </c>
      <c r="L100" s="43">
        <f>$L$19</f>
        <v>44196</v>
      </c>
    </row>
    <row r="101" spans="1:12" ht="15.75" customHeight="1" x14ac:dyDescent="0.2">
      <c r="A101" s="1"/>
      <c r="B101" s="59" t="s">
        <v>73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ht="15.75" customHeight="1" x14ac:dyDescent="0.2">
      <c r="A102" s="1"/>
      <c r="B102" s="1"/>
      <c r="C102" s="2" t="s">
        <v>74</v>
      </c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 x14ac:dyDescent="0.2">
      <c r="A103" s="1"/>
      <c r="B103" s="1"/>
      <c r="C103" s="16" t="s">
        <v>75</v>
      </c>
      <c r="D103" s="17" t="s">
        <v>22</v>
      </c>
      <c r="E103" s="60">
        <v>3618</v>
      </c>
      <c r="F103" s="60">
        <v>3990</v>
      </c>
      <c r="G103" s="60">
        <v>3090</v>
      </c>
      <c r="H103" s="24">
        <f t="shared" ref="H103:L103" si="47">+H176</f>
        <v>2373.398806216353</v>
      </c>
      <c r="I103" s="24">
        <f t="shared" si="47"/>
        <v>1777.9719082358258</v>
      </c>
      <c r="J103" s="24">
        <f t="shared" si="47"/>
        <v>1317.7300915605215</v>
      </c>
      <c r="K103" s="24">
        <f t="shared" si="47"/>
        <v>871.52300341216051</v>
      </c>
      <c r="L103" s="24">
        <f t="shared" si="47"/>
        <v>562.3485069764107</v>
      </c>
    </row>
    <row r="104" spans="1:12" ht="15.75" customHeight="1" x14ac:dyDescent="0.2">
      <c r="A104" s="1"/>
      <c r="B104" s="1"/>
      <c r="C104" s="16" t="s">
        <v>76</v>
      </c>
      <c r="D104" s="17" t="s">
        <v>22</v>
      </c>
      <c r="E104" s="47">
        <v>2365</v>
      </c>
      <c r="F104" s="47">
        <v>2293</v>
      </c>
      <c r="G104" s="47">
        <v>2203</v>
      </c>
      <c r="H104" s="29">
        <f t="shared" ref="H104:L104" si="48">+H40/365*H71</f>
        <v>2298.8142115088485</v>
      </c>
      <c r="I104" s="29">
        <f t="shared" si="48"/>
        <v>2390.7667799692026</v>
      </c>
      <c r="J104" s="29">
        <f t="shared" si="48"/>
        <v>2486.3974511679703</v>
      </c>
      <c r="K104" s="29">
        <f t="shared" si="48"/>
        <v>2560.9893747030096</v>
      </c>
      <c r="L104" s="29">
        <f t="shared" si="48"/>
        <v>2637.8190559441</v>
      </c>
    </row>
    <row r="105" spans="1:12" ht="15.75" customHeight="1" x14ac:dyDescent="0.2">
      <c r="A105" s="1"/>
      <c r="B105" s="1"/>
      <c r="C105" s="16" t="s">
        <v>77</v>
      </c>
      <c r="D105" s="17" t="s">
        <v>22</v>
      </c>
      <c r="E105" s="47">
        <v>1247</v>
      </c>
      <c r="F105" s="47">
        <v>1180</v>
      </c>
      <c r="G105" s="47">
        <v>1086</v>
      </c>
      <c r="H105" s="29">
        <f t="shared" ref="H105:L105" si="49">+H41/365*H73</f>
        <v>1128.7909931506849</v>
      </c>
      <c r="I105" s="29">
        <f t="shared" si="49"/>
        <v>1144.5683713972603</v>
      </c>
      <c r="J105" s="29">
        <f t="shared" si="49"/>
        <v>1184.2198810783564</v>
      </c>
      <c r="K105" s="29">
        <f t="shared" si="49"/>
        <v>1188.6674111810626</v>
      </c>
      <c r="L105" s="29">
        <f t="shared" si="49"/>
        <v>1217.955564009942</v>
      </c>
    </row>
    <row r="106" spans="1:12" ht="15.75" customHeight="1" x14ac:dyDescent="0.2">
      <c r="A106" s="1"/>
      <c r="B106" s="1"/>
      <c r="C106" s="61" t="s">
        <v>78</v>
      </c>
      <c r="D106" s="31" t="s">
        <v>22</v>
      </c>
      <c r="E106" s="52">
        <v>2586</v>
      </c>
      <c r="F106" s="52">
        <v>401</v>
      </c>
      <c r="G106" s="52">
        <v>341</v>
      </c>
      <c r="H106" s="32">
        <f t="shared" ref="H106:L106" si="50">+H44*H78</f>
        <v>329.36085000000003</v>
      </c>
      <c r="I106" s="32">
        <f t="shared" si="50"/>
        <v>333.02041500000001</v>
      </c>
      <c r="J106" s="32">
        <f t="shared" si="50"/>
        <v>319.69959839999996</v>
      </c>
      <c r="K106" s="32">
        <f t="shared" si="50"/>
        <v>319.88228388480002</v>
      </c>
      <c r="L106" s="32">
        <f t="shared" si="50"/>
        <v>302.02218970123204</v>
      </c>
    </row>
    <row r="107" spans="1:12" ht="15.75" customHeight="1" x14ac:dyDescent="0.2">
      <c r="A107" s="1"/>
      <c r="B107" s="1"/>
      <c r="C107" s="28" t="s">
        <v>79</v>
      </c>
      <c r="D107" s="17" t="s">
        <v>22</v>
      </c>
      <c r="E107" s="48">
        <v>9816</v>
      </c>
      <c r="F107" s="48">
        <v>7864</v>
      </c>
      <c r="G107" s="48">
        <v>6720</v>
      </c>
      <c r="H107" s="30">
        <f t="shared" ref="H107:L107" si="51">SUM(H103:H106)</f>
        <v>6130.3648608758867</v>
      </c>
      <c r="I107" s="30">
        <f t="shared" si="51"/>
        <v>5646.3274746022889</v>
      </c>
      <c r="J107" s="30">
        <f t="shared" si="51"/>
        <v>5308.0470222068479</v>
      </c>
      <c r="K107" s="30">
        <f t="shared" si="51"/>
        <v>4941.0620731810332</v>
      </c>
      <c r="L107" s="30">
        <f t="shared" si="51"/>
        <v>4720.1453166316842</v>
      </c>
    </row>
    <row r="108" spans="1:12" ht="15.75" customHeight="1" x14ac:dyDescent="0.2">
      <c r="A108" s="1"/>
      <c r="B108" s="1"/>
      <c r="C108" s="1"/>
      <c r="D108" s="1"/>
      <c r="E108" s="29"/>
      <c r="F108" s="29"/>
      <c r="G108" s="29"/>
      <c r="H108" s="29"/>
      <c r="I108" s="29"/>
      <c r="J108" s="29"/>
      <c r="K108" s="29"/>
      <c r="L108" s="29"/>
    </row>
    <row r="109" spans="1:12" ht="15.75" customHeight="1" x14ac:dyDescent="0.2">
      <c r="A109" s="1"/>
      <c r="B109" s="1"/>
      <c r="C109" s="28" t="s">
        <v>80</v>
      </c>
      <c r="D109" s="1"/>
      <c r="E109" s="29"/>
      <c r="F109" s="29"/>
      <c r="G109" s="29"/>
      <c r="H109" s="29"/>
      <c r="I109" s="29"/>
      <c r="J109" s="29"/>
      <c r="K109" s="29"/>
      <c r="L109" s="29"/>
    </row>
    <row r="110" spans="1:12" ht="15.75" customHeight="1" x14ac:dyDescent="0.2">
      <c r="A110" s="1"/>
      <c r="B110" s="1"/>
      <c r="C110" s="16" t="s">
        <v>81</v>
      </c>
      <c r="D110" s="17" t="s">
        <v>22</v>
      </c>
      <c r="E110" s="47">
        <v>1709</v>
      </c>
      <c r="F110" s="47">
        <v>1686</v>
      </c>
      <c r="G110" s="47">
        <v>1577</v>
      </c>
      <c r="H110" s="29">
        <f t="shared" ref="H110:L110" si="52">+G110-H145-H161-H162</f>
        <v>1622.72075</v>
      </c>
      <c r="I110" s="29">
        <f t="shared" si="52"/>
        <v>1684.23207</v>
      </c>
      <c r="J110" s="29">
        <f t="shared" si="52"/>
        <v>1769.9800524</v>
      </c>
      <c r="K110" s="29">
        <f t="shared" si="52"/>
        <v>1881.3699701599999</v>
      </c>
      <c r="L110" s="29">
        <f t="shared" si="52"/>
        <v>2017.2006662174399</v>
      </c>
    </row>
    <row r="111" spans="1:12" ht="15.75" customHeight="1" x14ac:dyDescent="0.2">
      <c r="A111" s="1"/>
      <c r="B111" s="1"/>
      <c r="C111" s="16" t="s">
        <v>82</v>
      </c>
      <c r="D111" s="17" t="s">
        <v>22</v>
      </c>
      <c r="E111" s="47">
        <v>4886</v>
      </c>
      <c r="F111" s="47">
        <v>4667</v>
      </c>
      <c r="G111" s="47">
        <v>4439</v>
      </c>
      <c r="H111" s="29">
        <f t="shared" ref="H111:L111" si="53">+G111-H146</f>
        <v>4439</v>
      </c>
      <c r="I111" s="29">
        <f t="shared" si="53"/>
        <v>4439</v>
      </c>
      <c r="J111" s="29">
        <f t="shared" si="53"/>
        <v>4439</v>
      </c>
      <c r="K111" s="29">
        <f t="shared" si="53"/>
        <v>4439</v>
      </c>
      <c r="L111" s="29">
        <f t="shared" si="53"/>
        <v>4439</v>
      </c>
    </row>
    <row r="112" spans="1:12" ht="15.75" customHeight="1" x14ac:dyDescent="0.2">
      <c r="A112" s="1"/>
      <c r="B112" s="1"/>
      <c r="C112" s="16" t="s">
        <v>83</v>
      </c>
      <c r="D112" s="17" t="s">
        <v>22</v>
      </c>
      <c r="E112" s="47">
        <v>1999</v>
      </c>
      <c r="F112" s="47">
        <v>1799</v>
      </c>
      <c r="G112" s="47">
        <v>1560</v>
      </c>
      <c r="H112" s="29">
        <f t="shared" ref="H112:L112" si="54">+G112-H147</f>
        <v>1343</v>
      </c>
      <c r="I112" s="29">
        <f t="shared" si="54"/>
        <v>1147</v>
      </c>
      <c r="J112" s="29">
        <f t="shared" si="54"/>
        <v>972</v>
      </c>
      <c r="K112" s="29">
        <f t="shared" si="54"/>
        <v>819</v>
      </c>
      <c r="L112" s="29">
        <f t="shared" si="54"/>
        <v>685</v>
      </c>
    </row>
    <row r="113" spans="1:17" ht="15.75" customHeight="1" x14ac:dyDescent="0.2">
      <c r="A113" s="1"/>
      <c r="B113" s="1"/>
      <c r="C113" s="61" t="s">
        <v>84</v>
      </c>
      <c r="D113" s="31" t="s">
        <v>22</v>
      </c>
      <c r="E113" s="52">
        <v>1556</v>
      </c>
      <c r="F113" s="52">
        <v>1449</v>
      </c>
      <c r="G113" s="52">
        <v>1433</v>
      </c>
      <c r="H113" s="32">
        <f t="shared" ref="H113:L113" si="55">+H45*H71</f>
        <v>1487.3935687875144</v>
      </c>
      <c r="I113" s="32">
        <f t="shared" si="55"/>
        <v>1546.8893115390149</v>
      </c>
      <c r="J113" s="32">
        <f t="shared" si="55"/>
        <v>1608.7648840005756</v>
      </c>
      <c r="K113" s="32">
        <f t="shared" si="55"/>
        <v>1657.0278305205929</v>
      </c>
      <c r="L113" s="32">
        <f t="shared" si="55"/>
        <v>1706.7386654362108</v>
      </c>
    </row>
    <row r="114" spans="1:17" ht="15.75" customHeight="1" x14ac:dyDescent="0.2">
      <c r="A114" s="1"/>
      <c r="B114" s="1"/>
      <c r="C114" s="28" t="s">
        <v>85</v>
      </c>
      <c r="D114" s="17" t="s">
        <v>22</v>
      </c>
      <c r="E114" s="48">
        <v>10150</v>
      </c>
      <c r="F114" s="48">
        <v>9601</v>
      </c>
      <c r="G114" s="48">
        <v>9009</v>
      </c>
      <c r="H114" s="30">
        <f t="shared" ref="H114:L114" si="56">SUM(H110:H113)</f>
        <v>8892.114318787515</v>
      </c>
      <c r="I114" s="30">
        <f t="shared" si="56"/>
        <v>8817.1213815390147</v>
      </c>
      <c r="J114" s="30">
        <f t="shared" si="56"/>
        <v>8789.7449364005752</v>
      </c>
      <c r="K114" s="30">
        <f t="shared" si="56"/>
        <v>8796.3978006805919</v>
      </c>
      <c r="L114" s="30">
        <f t="shared" si="56"/>
        <v>8847.9393316536516</v>
      </c>
    </row>
    <row r="115" spans="1:17" ht="15.75" customHeight="1" x14ac:dyDescent="0.2">
      <c r="A115" s="1"/>
      <c r="B115" s="1"/>
      <c r="C115" s="28"/>
      <c r="D115" s="1"/>
      <c r="E115" s="29"/>
      <c r="F115" s="30"/>
      <c r="G115" s="30"/>
      <c r="H115" s="29"/>
      <c r="I115" s="29"/>
      <c r="J115" s="29"/>
      <c r="K115" s="29"/>
      <c r="L115" s="29"/>
    </row>
    <row r="116" spans="1:17" ht="15.75" customHeight="1" x14ac:dyDescent="0.2">
      <c r="A116" s="1"/>
      <c r="B116" s="1"/>
      <c r="C116" s="28" t="s">
        <v>86</v>
      </c>
      <c r="D116" s="17" t="s">
        <v>22</v>
      </c>
      <c r="E116" s="45">
        <v>19966</v>
      </c>
      <c r="F116" s="45">
        <v>17465</v>
      </c>
      <c r="G116" s="45">
        <v>15729</v>
      </c>
      <c r="H116" s="46">
        <f t="shared" ref="H116:L116" si="57">+H107+H114</f>
        <v>15022.479179663402</v>
      </c>
      <c r="I116" s="46">
        <f t="shared" si="57"/>
        <v>14463.448856141304</v>
      </c>
      <c r="J116" s="46">
        <f t="shared" si="57"/>
        <v>14097.791958607424</v>
      </c>
      <c r="K116" s="46">
        <f t="shared" si="57"/>
        <v>13737.459873861626</v>
      </c>
      <c r="L116" s="46">
        <f t="shared" si="57"/>
        <v>13568.084648285336</v>
      </c>
    </row>
    <row r="117" spans="1:17" ht="15.75" customHeight="1" x14ac:dyDescent="0.2">
      <c r="A117" s="1"/>
      <c r="B117" s="1"/>
      <c r="C117" s="28"/>
      <c r="D117" s="1"/>
      <c r="E117" s="29"/>
      <c r="F117" s="30"/>
      <c r="G117" s="30"/>
      <c r="H117" s="29"/>
      <c r="I117" s="29"/>
      <c r="J117" s="29"/>
      <c r="K117" s="29"/>
      <c r="L117" s="29"/>
    </row>
    <row r="118" spans="1:17" ht="15.75" customHeight="1" x14ac:dyDescent="0.2">
      <c r="A118" s="1"/>
      <c r="B118" s="6" t="s">
        <v>87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7" ht="15.75" customHeight="1" x14ac:dyDescent="0.2">
      <c r="A119" s="1"/>
      <c r="B119" s="1"/>
      <c r="C119" s="2" t="s">
        <v>88</v>
      </c>
      <c r="D119" s="2"/>
      <c r="E119" s="2"/>
      <c r="F119" s="29"/>
      <c r="G119" s="29"/>
      <c r="H119" s="29"/>
      <c r="I119" s="29"/>
      <c r="J119" s="29"/>
      <c r="K119" s="29"/>
      <c r="L119" s="29"/>
      <c r="M119" s="62"/>
      <c r="N119" s="62"/>
      <c r="O119" s="62"/>
      <c r="P119" s="62"/>
      <c r="Q119" s="62"/>
    </row>
    <row r="120" spans="1:17" ht="15.75" customHeight="1" x14ac:dyDescent="0.2">
      <c r="A120" s="1"/>
      <c r="B120" s="1"/>
      <c r="C120" s="16" t="s">
        <v>89</v>
      </c>
      <c r="D120" s="17" t="s">
        <v>22</v>
      </c>
      <c r="E120" s="60">
        <v>634</v>
      </c>
      <c r="F120" s="60">
        <v>512</v>
      </c>
      <c r="G120" s="60">
        <v>449</v>
      </c>
      <c r="H120" s="24">
        <f t="shared" ref="H120:L120" si="58">+H42/365*H73</f>
        <v>451.51639726027395</v>
      </c>
      <c r="I120" s="24">
        <f t="shared" si="58"/>
        <v>443.81222564383563</v>
      </c>
      <c r="J120" s="24">
        <f t="shared" si="58"/>
        <v>459.1873008263014</v>
      </c>
      <c r="K120" s="24">
        <f t="shared" si="58"/>
        <v>445.75027919289852</v>
      </c>
      <c r="L120" s="24">
        <f t="shared" si="58"/>
        <v>456.73333650372825</v>
      </c>
    </row>
    <row r="121" spans="1:17" ht="15.75" customHeight="1" x14ac:dyDescent="0.2">
      <c r="A121" s="1"/>
      <c r="B121" s="1"/>
      <c r="C121" s="16" t="s">
        <v>90</v>
      </c>
      <c r="D121" s="17" t="s">
        <v>22</v>
      </c>
      <c r="E121" s="47">
        <v>1272</v>
      </c>
      <c r="F121" s="47">
        <v>1287</v>
      </c>
      <c r="G121" s="47">
        <v>1136</v>
      </c>
      <c r="H121" s="29">
        <f t="shared" ref="H121:L121" si="59">+H46*H78</f>
        <v>1184.3914725234579</v>
      </c>
      <c r="I121" s="29">
        <f t="shared" si="59"/>
        <v>1197.5513777737185</v>
      </c>
      <c r="J121" s="29">
        <f t="shared" si="59"/>
        <v>1245.4534328846671</v>
      </c>
      <c r="K121" s="29">
        <f t="shared" si="59"/>
        <v>1246.1651205606015</v>
      </c>
      <c r="L121" s="29">
        <f t="shared" si="59"/>
        <v>1283.5500741774197</v>
      </c>
      <c r="M121" s="63"/>
    </row>
    <row r="122" spans="1:17" ht="15.75" customHeight="1" x14ac:dyDescent="0.2">
      <c r="A122" s="1"/>
      <c r="B122" s="1"/>
      <c r="C122" s="16" t="s">
        <v>91</v>
      </c>
      <c r="D122" s="31" t="s">
        <v>22</v>
      </c>
      <c r="E122" s="47">
        <v>577</v>
      </c>
      <c r="F122" s="47">
        <v>250</v>
      </c>
      <c r="G122" s="47">
        <v>257</v>
      </c>
      <c r="H122" s="29">
        <f t="shared" ref="H122:L122" si="60">+H48*H78</f>
        <v>253.35450000000003</v>
      </c>
      <c r="I122" s="29">
        <f t="shared" si="60"/>
        <v>256.16955000000002</v>
      </c>
      <c r="J122" s="29">
        <f t="shared" si="60"/>
        <v>266.41633199999995</v>
      </c>
      <c r="K122" s="29">
        <f t="shared" si="60"/>
        <v>266.56856990400001</v>
      </c>
      <c r="L122" s="29">
        <f t="shared" si="60"/>
        <v>274.56562700112005</v>
      </c>
      <c r="M122" s="63"/>
    </row>
    <row r="123" spans="1:17" ht="15.75" customHeight="1" x14ac:dyDescent="0.2">
      <c r="A123" s="1"/>
      <c r="B123" s="1"/>
      <c r="C123" s="33" t="s">
        <v>92</v>
      </c>
      <c r="D123" s="17" t="s">
        <v>22</v>
      </c>
      <c r="E123" s="57">
        <v>2483</v>
      </c>
      <c r="F123" s="57">
        <v>2049</v>
      </c>
      <c r="G123" s="57">
        <v>1842</v>
      </c>
      <c r="H123" s="58">
        <f t="shared" ref="H123:L123" si="61">SUM(H120:H122)</f>
        <v>1889.2623697837316</v>
      </c>
      <c r="I123" s="58">
        <f t="shared" si="61"/>
        <v>1897.5331534175543</v>
      </c>
      <c r="J123" s="58">
        <f t="shared" si="61"/>
        <v>1971.0570657109686</v>
      </c>
      <c r="K123" s="58">
        <f t="shared" si="61"/>
        <v>1958.4839696575</v>
      </c>
      <c r="L123" s="58">
        <f t="shared" si="61"/>
        <v>2014.8490376822679</v>
      </c>
      <c r="M123" s="63"/>
    </row>
    <row r="124" spans="1:17" ht="15.75" customHeight="1" x14ac:dyDescent="0.2">
      <c r="A124" s="1"/>
      <c r="B124" s="1"/>
      <c r="C124" s="1"/>
      <c r="D124" s="1"/>
      <c r="E124" s="29"/>
      <c r="F124" s="29"/>
      <c r="G124" s="29"/>
      <c r="H124" s="29"/>
      <c r="I124" s="29"/>
      <c r="J124" s="29"/>
      <c r="K124" s="29"/>
      <c r="L124" s="29"/>
      <c r="M124" s="63"/>
    </row>
    <row r="125" spans="1:17" ht="15.75" customHeight="1" x14ac:dyDescent="0.2">
      <c r="A125" s="1"/>
      <c r="B125" s="1"/>
      <c r="C125" s="28" t="s">
        <v>93</v>
      </c>
      <c r="D125" s="1"/>
      <c r="E125" s="29"/>
      <c r="F125" s="29"/>
      <c r="G125" s="29"/>
      <c r="H125" s="29"/>
      <c r="I125" s="29"/>
      <c r="J125" s="29"/>
      <c r="K125" s="29"/>
      <c r="L125" s="29"/>
      <c r="M125" s="63"/>
    </row>
    <row r="126" spans="1:17" ht="15.75" customHeight="1" x14ac:dyDescent="0.2">
      <c r="A126" s="1"/>
      <c r="B126" s="1"/>
      <c r="C126" s="16" t="s">
        <v>94</v>
      </c>
      <c r="D126" s="17" t="s">
        <v>22</v>
      </c>
      <c r="E126" s="47">
        <v>6344</v>
      </c>
      <c r="F126" s="47">
        <v>7419</v>
      </c>
      <c r="G126" s="47">
        <v>7422</v>
      </c>
      <c r="H126" s="29">
        <f t="shared" ref="H126:L126" si="62">+G126+H168</f>
        <v>6679.8</v>
      </c>
      <c r="I126" s="29">
        <f t="shared" si="62"/>
        <v>5937.6</v>
      </c>
      <c r="J126" s="29">
        <f t="shared" si="62"/>
        <v>5195.4000000000005</v>
      </c>
      <c r="K126" s="29">
        <f t="shared" si="62"/>
        <v>4453.2000000000007</v>
      </c>
      <c r="L126" s="29">
        <f t="shared" si="62"/>
        <v>3711.0000000000009</v>
      </c>
      <c r="M126" s="63"/>
    </row>
    <row r="127" spans="1:17" ht="15.75" customHeight="1" x14ac:dyDescent="0.2">
      <c r="A127" s="1"/>
      <c r="B127" s="1"/>
      <c r="C127" s="16" t="s">
        <v>95</v>
      </c>
      <c r="D127" s="17" t="s">
        <v>22</v>
      </c>
      <c r="E127" s="47">
        <v>507</v>
      </c>
      <c r="F127" s="47">
        <v>171</v>
      </c>
      <c r="G127" s="47">
        <v>256</v>
      </c>
      <c r="H127" s="29">
        <f t="shared" ref="H127:L127" si="63">+G127+H148</f>
        <v>273.64236112549463</v>
      </c>
      <c r="I127" s="29">
        <f t="shared" si="63"/>
        <v>293.14942261154488</v>
      </c>
      <c r="J127" s="29">
        <f t="shared" si="63"/>
        <v>314.13812582582432</v>
      </c>
      <c r="K127" s="29">
        <f t="shared" si="63"/>
        <v>336.93306208893523</v>
      </c>
      <c r="L127" s="29">
        <f t="shared" si="63"/>
        <v>361.07608007448147</v>
      </c>
      <c r="M127" s="63"/>
    </row>
    <row r="128" spans="1:17" ht="15.75" customHeight="1" x14ac:dyDescent="0.2">
      <c r="A128" s="1"/>
      <c r="B128" s="1"/>
      <c r="C128" s="61" t="s">
        <v>96</v>
      </c>
      <c r="D128" s="31" t="s">
        <v>22</v>
      </c>
      <c r="E128" s="52">
        <v>923</v>
      </c>
      <c r="F128" s="52">
        <v>1002</v>
      </c>
      <c r="G128" s="52">
        <v>981</v>
      </c>
      <c r="H128" s="29">
        <f t="shared" ref="H128:L128" si="64">+H49*H78</f>
        <v>935.65606862625486</v>
      </c>
      <c r="I128" s="29">
        <f t="shared" si="64"/>
        <v>946.05224716654652</v>
      </c>
      <c r="J128" s="29">
        <f t="shared" si="64"/>
        <v>983.89433705320835</v>
      </c>
      <c r="K128" s="29">
        <f t="shared" si="64"/>
        <v>984.45656238866752</v>
      </c>
      <c r="L128" s="29">
        <f t="shared" si="64"/>
        <v>1013.9902592603275</v>
      </c>
      <c r="M128" s="63"/>
    </row>
    <row r="129" spans="1:13" ht="15.75" customHeight="1" x14ac:dyDescent="0.2">
      <c r="A129" s="1"/>
      <c r="B129" s="1"/>
      <c r="C129" s="28" t="s">
        <v>97</v>
      </c>
      <c r="D129" s="17" t="s">
        <v>22</v>
      </c>
      <c r="E129" s="48">
        <v>7774</v>
      </c>
      <c r="F129" s="48">
        <v>8592</v>
      </c>
      <c r="G129" s="48">
        <v>8659</v>
      </c>
      <c r="H129" s="58">
        <f t="shared" ref="H129:L129" si="65">SUM(H126:H128)</f>
        <v>7889.0984297517498</v>
      </c>
      <c r="I129" s="58">
        <f t="shared" si="65"/>
        <v>7176.8016697780913</v>
      </c>
      <c r="J129" s="58">
        <f t="shared" si="65"/>
        <v>6493.4324628790328</v>
      </c>
      <c r="K129" s="58">
        <f t="shared" si="65"/>
        <v>5774.5896244776031</v>
      </c>
      <c r="L129" s="58">
        <f t="shared" si="65"/>
        <v>5086.0663393348095</v>
      </c>
      <c r="M129" s="63"/>
    </row>
    <row r="130" spans="1:13" ht="15.75" customHeight="1" x14ac:dyDescent="0.2">
      <c r="A130" s="1"/>
      <c r="B130" s="1"/>
      <c r="C130" s="28"/>
      <c r="D130" s="1"/>
      <c r="E130" s="29"/>
      <c r="F130" s="30"/>
      <c r="G130" s="30"/>
      <c r="H130" s="29"/>
      <c r="I130" s="29"/>
      <c r="J130" s="29"/>
      <c r="K130" s="29"/>
      <c r="L130" s="29"/>
      <c r="M130" s="63"/>
    </row>
    <row r="131" spans="1:13" ht="15.75" customHeight="1" x14ac:dyDescent="0.2">
      <c r="A131" s="1"/>
      <c r="B131" s="1"/>
      <c r="C131" s="28" t="s">
        <v>98</v>
      </c>
      <c r="D131" s="17" t="s">
        <v>22</v>
      </c>
      <c r="E131" s="45">
        <v>10257</v>
      </c>
      <c r="F131" s="45">
        <v>10641</v>
      </c>
      <c r="G131" s="45">
        <v>10501</v>
      </c>
      <c r="H131" s="46">
        <f t="shared" ref="H131:L131" si="66">+H123+H129</f>
        <v>9778.3607995354814</v>
      </c>
      <c r="I131" s="46">
        <f t="shared" si="66"/>
        <v>9074.3348231956461</v>
      </c>
      <c r="J131" s="46">
        <f t="shared" si="66"/>
        <v>8464.489528590002</v>
      </c>
      <c r="K131" s="46">
        <f t="shared" si="66"/>
        <v>7733.0735941351031</v>
      </c>
      <c r="L131" s="46">
        <f t="shared" si="66"/>
        <v>7100.9153770170778</v>
      </c>
      <c r="M131" s="63"/>
    </row>
    <row r="132" spans="1:13" ht="15.75" customHeight="1" x14ac:dyDescent="0.2">
      <c r="A132" s="1"/>
      <c r="B132" s="1"/>
      <c r="C132" s="1"/>
      <c r="D132" s="1"/>
      <c r="E132" s="29"/>
      <c r="F132" s="29"/>
      <c r="G132" s="29"/>
      <c r="H132" s="29"/>
      <c r="I132" s="29"/>
      <c r="J132" s="29"/>
      <c r="K132" s="29"/>
      <c r="L132" s="29"/>
      <c r="M132" s="63"/>
    </row>
    <row r="133" spans="1:13" ht="15.75" customHeight="1" x14ac:dyDescent="0.2">
      <c r="A133" s="1"/>
      <c r="B133" s="1"/>
      <c r="C133" s="28" t="s">
        <v>99</v>
      </c>
      <c r="D133" s="17" t="s">
        <v>22</v>
      </c>
      <c r="E133" s="45">
        <v>9709</v>
      </c>
      <c r="F133" s="45">
        <v>6824</v>
      </c>
      <c r="G133" s="45">
        <v>5228</v>
      </c>
      <c r="H133" s="46">
        <f t="shared" ref="H133:L133" si="67">+G133+H143+H149+H150+H166+H167+H169+H172</f>
        <v>5244.1183801279194</v>
      </c>
      <c r="I133" s="46">
        <f t="shared" si="67"/>
        <v>5389.1140329456566</v>
      </c>
      <c r="J133" s="46">
        <f t="shared" si="67"/>
        <v>5633.3024300174211</v>
      </c>
      <c r="K133" s="46">
        <f t="shared" si="67"/>
        <v>6004.386279726521</v>
      </c>
      <c r="L133" s="46">
        <f t="shared" si="67"/>
        <v>6467.169271268257</v>
      </c>
      <c r="M133" s="63"/>
    </row>
    <row r="134" spans="1:13" ht="15.75" customHeight="1" x14ac:dyDescent="0.2">
      <c r="A134" s="1"/>
      <c r="B134" s="1"/>
      <c r="C134" s="28"/>
      <c r="D134" s="1"/>
      <c r="E134" s="29"/>
      <c r="F134" s="30"/>
      <c r="G134" s="30"/>
      <c r="H134" s="29"/>
      <c r="I134" s="29"/>
      <c r="J134" s="29"/>
      <c r="K134" s="29"/>
      <c r="L134" s="29"/>
    </row>
    <row r="135" spans="1:13" ht="15.75" customHeight="1" x14ac:dyDescent="0.2">
      <c r="A135" s="1"/>
      <c r="B135" s="1"/>
      <c r="C135" s="28" t="s">
        <v>100</v>
      </c>
      <c r="D135" s="17" t="s">
        <v>22</v>
      </c>
      <c r="E135" s="45">
        <v>19966</v>
      </c>
      <c r="F135" s="45">
        <v>17465</v>
      </c>
      <c r="G135" s="45">
        <v>15729</v>
      </c>
      <c r="H135" s="46">
        <f t="shared" ref="H135:L135" si="68">+H131+H133</f>
        <v>15022.479179663402</v>
      </c>
      <c r="I135" s="46">
        <f t="shared" si="68"/>
        <v>14463.448856141302</v>
      </c>
      <c r="J135" s="46">
        <f t="shared" si="68"/>
        <v>14097.791958607424</v>
      </c>
      <c r="K135" s="46">
        <f t="shared" si="68"/>
        <v>13737.459873861624</v>
      </c>
      <c r="L135" s="46">
        <f t="shared" si="68"/>
        <v>13568.084648285334</v>
      </c>
    </row>
    <row r="136" spans="1:13" ht="15.75" customHeight="1" x14ac:dyDescent="0.2">
      <c r="A136" s="1"/>
      <c r="B136" s="1"/>
      <c r="C136" s="16"/>
      <c r="D136" s="1"/>
      <c r="E136" s="29"/>
      <c r="F136" s="29"/>
      <c r="G136" s="30"/>
      <c r="H136" s="29"/>
      <c r="I136" s="29"/>
      <c r="J136" s="29"/>
      <c r="K136" s="29"/>
      <c r="L136" s="29"/>
    </row>
    <row r="137" spans="1:13" ht="15.75" customHeight="1" x14ac:dyDescent="0.2">
      <c r="A137" s="1"/>
      <c r="B137" s="1"/>
      <c r="C137" s="64" t="s">
        <v>101</v>
      </c>
      <c r="D137" s="1"/>
      <c r="E137" s="65">
        <f t="shared" ref="E137:L137" si="69">E116-E135</f>
        <v>0</v>
      </c>
      <c r="F137" s="65">
        <f t="shared" si="69"/>
        <v>0</v>
      </c>
      <c r="G137" s="65">
        <f t="shared" si="69"/>
        <v>0</v>
      </c>
      <c r="H137" s="65">
        <f t="shared" si="69"/>
        <v>0</v>
      </c>
      <c r="I137" s="65">
        <f t="shared" si="69"/>
        <v>0</v>
      </c>
      <c r="J137" s="65">
        <f t="shared" si="69"/>
        <v>0</v>
      </c>
      <c r="K137" s="65">
        <f t="shared" si="69"/>
        <v>0</v>
      </c>
      <c r="L137" s="65">
        <f t="shared" si="69"/>
        <v>0</v>
      </c>
    </row>
    <row r="138" spans="1:13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3" ht="15.75" customHeight="1" x14ac:dyDescent="0.2">
      <c r="A139" s="1"/>
      <c r="B139" s="12"/>
      <c r="C139" s="12"/>
      <c r="D139" s="12"/>
      <c r="E139" s="72" t="str">
        <f>$E$18</f>
        <v>Historical</v>
      </c>
      <c r="F139" s="73"/>
      <c r="G139" s="74"/>
      <c r="H139" s="75" t="str">
        <f>$H$18</f>
        <v>Projected</v>
      </c>
      <c r="I139" s="73"/>
      <c r="J139" s="73"/>
      <c r="K139" s="73"/>
      <c r="L139" s="74"/>
    </row>
    <row r="140" spans="1:13" ht="15.75" customHeight="1" x14ac:dyDescent="0.2">
      <c r="A140" s="1"/>
      <c r="B140" s="41" t="s">
        <v>102</v>
      </c>
      <c r="C140" s="41"/>
      <c r="D140" s="42" t="str">
        <f>$D$19</f>
        <v>Units:</v>
      </c>
      <c r="E140" s="43">
        <f>$E$19</f>
        <v>41639</v>
      </c>
      <c r="F140" s="43">
        <f>$F$19</f>
        <v>42004</v>
      </c>
      <c r="G140" s="43">
        <f>$G$19</f>
        <v>42369</v>
      </c>
      <c r="H140" s="44">
        <f>$H$19</f>
        <v>42735</v>
      </c>
      <c r="I140" s="43">
        <f>$I$19</f>
        <v>43100</v>
      </c>
      <c r="J140" s="43">
        <f>$J$19</f>
        <v>43465</v>
      </c>
      <c r="K140" s="43">
        <f>$K$19</f>
        <v>43830</v>
      </c>
      <c r="L140" s="43">
        <f>$L$19</f>
        <v>44196</v>
      </c>
    </row>
    <row r="141" spans="1:13" ht="15.75" customHeight="1" x14ac:dyDescent="0.2">
      <c r="A141" s="1"/>
      <c r="B141" s="6" t="s">
        <v>103</v>
      </c>
      <c r="C141" s="66"/>
      <c r="D141" s="6"/>
      <c r="E141" s="6" t="s">
        <v>104</v>
      </c>
      <c r="F141" s="6" t="s">
        <v>104</v>
      </c>
      <c r="G141" s="6" t="s">
        <v>104</v>
      </c>
      <c r="H141" s="6" t="s">
        <v>104</v>
      </c>
      <c r="I141" s="6" t="s">
        <v>104</v>
      </c>
      <c r="J141" s="6" t="s">
        <v>104</v>
      </c>
      <c r="K141" s="6" t="s">
        <v>104</v>
      </c>
      <c r="L141" s="6" t="s">
        <v>104</v>
      </c>
    </row>
    <row r="142" spans="1:13" ht="15.75" customHeight="1" x14ac:dyDescent="0.2">
      <c r="A142" s="1"/>
      <c r="B142" s="2"/>
      <c r="C142" s="67"/>
      <c r="D142" s="2"/>
      <c r="E142" s="2"/>
      <c r="F142" s="2"/>
      <c r="G142" s="2"/>
      <c r="H142" s="2"/>
      <c r="I142" s="2"/>
      <c r="J142" s="2"/>
      <c r="K142" s="2"/>
      <c r="L142" s="2"/>
    </row>
    <row r="143" spans="1:13" ht="14.25" customHeight="1" x14ac:dyDescent="0.2">
      <c r="A143" s="1"/>
      <c r="B143" s="1"/>
      <c r="C143" s="2" t="s">
        <v>71</v>
      </c>
      <c r="D143" s="17" t="s">
        <v>22</v>
      </c>
      <c r="E143" s="45">
        <v>1679</v>
      </c>
      <c r="F143" s="45">
        <v>2946</v>
      </c>
      <c r="G143" s="45">
        <v>1899</v>
      </c>
      <c r="H143" s="46">
        <f t="shared" ref="H143:L143" si="70">+H97</f>
        <v>1962.170525</v>
      </c>
      <c r="I143" s="46">
        <f t="shared" si="70"/>
        <v>2169.5611378217577</v>
      </c>
      <c r="J143" s="46">
        <f t="shared" si="70"/>
        <v>2334.3482491988252</v>
      </c>
      <c r="K143" s="46">
        <f t="shared" si="70"/>
        <v>2535.2361702932635</v>
      </c>
      <c r="L143" s="46">
        <f t="shared" si="70"/>
        <v>2685.1688353281825</v>
      </c>
    </row>
    <row r="144" spans="1:13" ht="15.75" customHeight="1" x14ac:dyDescent="0.2">
      <c r="A144" s="1"/>
      <c r="B144" s="1"/>
      <c r="C144" s="2" t="s">
        <v>105</v>
      </c>
      <c r="D144" s="1"/>
      <c r="E144" s="68"/>
      <c r="F144" s="68"/>
      <c r="G144" s="68"/>
      <c r="H144" s="68"/>
      <c r="I144" s="68"/>
      <c r="J144" s="68"/>
      <c r="K144" s="68"/>
      <c r="L144" s="68"/>
    </row>
    <row r="145" spans="1:12" ht="15.75" customHeight="1" x14ac:dyDescent="0.2">
      <c r="A145" s="1"/>
      <c r="B145" s="1"/>
      <c r="C145" s="16" t="s">
        <v>106</v>
      </c>
      <c r="D145" s="17" t="s">
        <v>22</v>
      </c>
      <c r="E145" s="47">
        <v>299</v>
      </c>
      <c r="F145" s="47">
        <v>262</v>
      </c>
      <c r="G145" s="47">
        <v>244</v>
      </c>
      <c r="H145" s="29">
        <f t="shared" ref="H145:L145" si="71">+H71*H53</f>
        <v>239.27925000000002</v>
      </c>
      <c r="I145" s="29">
        <f t="shared" si="71"/>
        <v>263.48867999999999</v>
      </c>
      <c r="J145" s="29">
        <f t="shared" si="71"/>
        <v>289.25201759999999</v>
      </c>
      <c r="K145" s="29">
        <f t="shared" si="71"/>
        <v>313.61008224</v>
      </c>
      <c r="L145" s="29">
        <f t="shared" si="71"/>
        <v>339.16930394256002</v>
      </c>
    </row>
    <row r="146" spans="1:12" ht="15.75" customHeight="1" x14ac:dyDescent="0.2">
      <c r="A146" s="1"/>
      <c r="B146" s="1"/>
      <c r="C146" s="16" t="s">
        <v>59</v>
      </c>
      <c r="D146" s="17" t="s">
        <v>22</v>
      </c>
      <c r="E146" s="47">
        <v>2</v>
      </c>
      <c r="F146" s="47">
        <v>3</v>
      </c>
      <c r="G146" s="47">
        <v>2</v>
      </c>
      <c r="H146" s="29">
        <f t="shared" ref="H146:L146" si="72">+H80</f>
        <v>0</v>
      </c>
      <c r="I146" s="29">
        <f t="shared" si="72"/>
        <v>0</v>
      </c>
      <c r="J146" s="29">
        <f t="shared" si="72"/>
        <v>0</v>
      </c>
      <c r="K146" s="29">
        <f t="shared" si="72"/>
        <v>0</v>
      </c>
      <c r="L146" s="29">
        <f t="shared" si="72"/>
        <v>0</v>
      </c>
    </row>
    <row r="147" spans="1:12" ht="15.75" customHeight="1" x14ac:dyDescent="0.2">
      <c r="A147" s="1"/>
      <c r="B147" s="1"/>
      <c r="C147" s="16" t="s">
        <v>107</v>
      </c>
      <c r="D147" s="17" t="s">
        <v>22</v>
      </c>
      <c r="E147" s="47">
        <v>312</v>
      </c>
      <c r="F147" s="47">
        <v>242</v>
      </c>
      <c r="G147" s="47">
        <v>231</v>
      </c>
      <c r="H147" s="29">
        <f t="shared" ref="H147:L147" si="73">+H79</f>
        <v>217</v>
      </c>
      <c r="I147" s="29">
        <f t="shared" si="73"/>
        <v>196</v>
      </c>
      <c r="J147" s="29">
        <f t="shared" si="73"/>
        <v>175</v>
      </c>
      <c r="K147" s="29">
        <f t="shared" si="73"/>
        <v>153</v>
      </c>
      <c r="L147" s="29">
        <f t="shared" si="73"/>
        <v>134</v>
      </c>
    </row>
    <row r="148" spans="1:12" ht="15.75" customHeight="1" x14ac:dyDescent="0.2">
      <c r="A148" s="1"/>
      <c r="B148" s="1"/>
      <c r="C148" s="26" t="s">
        <v>108</v>
      </c>
      <c r="D148" s="17" t="s">
        <v>22</v>
      </c>
      <c r="E148" s="47">
        <v>6</v>
      </c>
      <c r="F148" s="47">
        <v>55</v>
      </c>
      <c r="G148" s="47">
        <v>-11</v>
      </c>
      <c r="H148" s="29">
        <f t="shared" ref="H148:L148" si="74">-H92*H57</f>
        <v>17.642361125494659</v>
      </c>
      <c r="I148" s="29">
        <f t="shared" si="74"/>
        <v>19.507061486050272</v>
      </c>
      <c r="J148" s="29">
        <f t="shared" si="74"/>
        <v>20.988703214279436</v>
      </c>
      <c r="K148" s="29">
        <f t="shared" si="74"/>
        <v>22.794936263110888</v>
      </c>
      <c r="L148" s="29">
        <f t="shared" si="74"/>
        <v>24.143017985546233</v>
      </c>
    </row>
    <row r="149" spans="1:12" ht="15.75" customHeight="1" x14ac:dyDescent="0.2">
      <c r="A149" s="1"/>
      <c r="B149" s="1"/>
      <c r="C149" s="26" t="s">
        <v>109</v>
      </c>
      <c r="D149" s="17" t="s">
        <v>22</v>
      </c>
      <c r="E149" s="47">
        <v>37</v>
      </c>
      <c r="F149" s="47">
        <v>39</v>
      </c>
      <c r="G149" s="47">
        <v>41</v>
      </c>
      <c r="H149" s="29">
        <f t="shared" ref="H149:L149" si="75">+H71*H55</f>
        <v>39.26432881135834</v>
      </c>
      <c r="I149" s="29">
        <f t="shared" si="75"/>
        <v>40.834901963812676</v>
      </c>
      <c r="J149" s="29">
        <f t="shared" si="75"/>
        <v>42.468298042365177</v>
      </c>
      <c r="K149" s="29">
        <f t="shared" si="75"/>
        <v>43.742346983636139</v>
      </c>
      <c r="L149" s="29">
        <f t="shared" si="75"/>
        <v>45.054617393145222</v>
      </c>
    </row>
    <row r="150" spans="1:12" ht="15.75" customHeight="1" x14ac:dyDescent="0.2">
      <c r="A150" s="1"/>
      <c r="B150" s="1"/>
      <c r="C150" s="26" t="s">
        <v>110</v>
      </c>
      <c r="D150" s="17" t="s">
        <v>22</v>
      </c>
      <c r="E150" s="47">
        <v>76</v>
      </c>
      <c r="F150" s="47">
        <v>-1700</v>
      </c>
      <c r="G150" s="47">
        <v>0</v>
      </c>
      <c r="H150" s="29">
        <f t="shared" ref="H150:L150" si="76">+H62</f>
        <v>0</v>
      </c>
      <c r="I150" s="29">
        <f t="shared" si="76"/>
        <v>0</v>
      </c>
      <c r="J150" s="29">
        <f t="shared" si="76"/>
        <v>0</v>
      </c>
      <c r="K150" s="29">
        <f t="shared" si="76"/>
        <v>0</v>
      </c>
      <c r="L150" s="29">
        <f t="shared" si="76"/>
        <v>0</v>
      </c>
    </row>
    <row r="151" spans="1:12" ht="15.75" customHeight="1" x14ac:dyDescent="0.2">
      <c r="A151" s="1"/>
      <c r="B151" s="1"/>
      <c r="C151" s="2" t="s">
        <v>111</v>
      </c>
      <c r="D151" s="1"/>
      <c r="E151" s="47"/>
      <c r="F151" s="47"/>
      <c r="G151" s="47"/>
      <c r="H151" s="29"/>
      <c r="I151" s="29"/>
      <c r="J151" s="29"/>
      <c r="K151" s="29"/>
      <c r="L151" s="29"/>
    </row>
    <row r="152" spans="1:12" ht="15.75" customHeight="1" x14ac:dyDescent="0.2">
      <c r="A152" s="1"/>
      <c r="B152" s="1"/>
      <c r="C152" s="16" t="s">
        <v>76</v>
      </c>
      <c r="D152" s="17" t="s">
        <v>22</v>
      </c>
      <c r="E152" s="47">
        <v>-83</v>
      </c>
      <c r="F152" s="47">
        <v>-70</v>
      </c>
      <c r="G152" s="47">
        <v>-42</v>
      </c>
      <c r="H152" s="29">
        <f t="shared" ref="H152:L152" si="77">+G104-H104</f>
        <v>-95.81421150884853</v>
      </c>
      <c r="I152" s="29">
        <f t="shared" si="77"/>
        <v>-91.952568460354087</v>
      </c>
      <c r="J152" s="29">
        <f t="shared" si="77"/>
        <v>-95.630671198767686</v>
      </c>
      <c r="K152" s="29">
        <f t="shared" si="77"/>
        <v>-74.591923535039314</v>
      </c>
      <c r="L152" s="29">
        <f t="shared" si="77"/>
        <v>-76.829681241090384</v>
      </c>
    </row>
    <row r="153" spans="1:12" ht="15.75" customHeight="1" x14ac:dyDescent="0.2">
      <c r="A153" s="1"/>
      <c r="B153" s="1"/>
      <c r="C153" s="16" t="s">
        <v>77</v>
      </c>
      <c r="D153" s="17" t="s">
        <v>22</v>
      </c>
      <c r="E153" s="47">
        <v>24</v>
      </c>
      <c r="F153" s="47">
        <v>-10</v>
      </c>
      <c r="G153" s="47">
        <v>25</v>
      </c>
      <c r="H153" s="29">
        <f t="shared" ref="H153:L153" si="78">+G105-H105</f>
        <v>-42.790993150684926</v>
      </c>
      <c r="I153" s="29">
        <f t="shared" si="78"/>
        <v>-15.777378246575381</v>
      </c>
      <c r="J153" s="29">
        <f t="shared" si="78"/>
        <v>-39.651509681096059</v>
      </c>
      <c r="K153" s="29">
        <f t="shared" si="78"/>
        <v>-4.447530102706196</v>
      </c>
      <c r="L153" s="29">
        <f t="shared" si="78"/>
        <v>-29.288152828879447</v>
      </c>
    </row>
    <row r="154" spans="1:12" ht="15.75" customHeight="1" x14ac:dyDescent="0.2">
      <c r="A154" s="1"/>
      <c r="B154" s="1"/>
      <c r="C154" s="16" t="s">
        <v>112</v>
      </c>
      <c r="D154" s="17" t="s">
        <v>22</v>
      </c>
      <c r="E154" s="47">
        <v>226</v>
      </c>
      <c r="F154" s="47">
        <v>-98</v>
      </c>
      <c r="G154" s="47">
        <v>24</v>
      </c>
      <c r="H154" s="29">
        <f t="shared" ref="H154:L154" si="79">+G106-H106+G113-H113</f>
        <v>-42.754418787514396</v>
      </c>
      <c r="I154" s="29">
        <f t="shared" si="79"/>
        <v>-63.155307751500459</v>
      </c>
      <c r="J154" s="29">
        <f t="shared" si="79"/>
        <v>-48.554755861560579</v>
      </c>
      <c r="K154" s="29">
        <f t="shared" si="79"/>
        <v>-48.445632004817298</v>
      </c>
      <c r="L154" s="29">
        <f t="shared" si="79"/>
        <v>-31.850740732049871</v>
      </c>
    </row>
    <row r="155" spans="1:12" ht="15.75" customHeight="1" x14ac:dyDescent="0.2">
      <c r="A155" s="1"/>
      <c r="B155" s="1"/>
      <c r="C155" s="16" t="s">
        <v>89</v>
      </c>
      <c r="D155" s="17" t="s">
        <v>22</v>
      </c>
      <c r="E155" s="47">
        <v>8</v>
      </c>
      <c r="F155" s="47">
        <v>-20</v>
      </c>
      <c r="G155" s="47">
        <v>-30</v>
      </c>
      <c r="H155" s="29">
        <f t="shared" ref="H155:L155" si="80">+H120-G120</f>
        <v>2.5163972602739477</v>
      </c>
      <c r="I155" s="29">
        <f t="shared" si="80"/>
        <v>-7.7041716164383161</v>
      </c>
      <c r="J155" s="29">
        <f t="shared" si="80"/>
        <v>15.375075182465764</v>
      </c>
      <c r="K155" s="29">
        <f t="shared" si="80"/>
        <v>-13.437021633402878</v>
      </c>
      <c r="L155" s="29">
        <f t="shared" si="80"/>
        <v>10.983057310829736</v>
      </c>
    </row>
    <row r="156" spans="1:12" ht="15.75" customHeight="1" x14ac:dyDescent="0.2">
      <c r="A156" s="1"/>
      <c r="B156" s="1"/>
      <c r="C156" s="16" t="s">
        <v>90</v>
      </c>
      <c r="D156" s="17" t="s">
        <v>22</v>
      </c>
      <c r="E156" s="47">
        <v>161</v>
      </c>
      <c r="F156" s="47">
        <v>5</v>
      </c>
      <c r="G156" s="47">
        <v>-56</v>
      </c>
      <c r="H156" s="29">
        <f t="shared" ref="H156:L156" si="81">+H121-G121</f>
        <v>48.391472523457878</v>
      </c>
      <c r="I156" s="29">
        <f t="shared" si="81"/>
        <v>13.159905250260636</v>
      </c>
      <c r="J156" s="29">
        <f t="shared" si="81"/>
        <v>47.902055110948595</v>
      </c>
      <c r="K156" s="29">
        <f t="shared" si="81"/>
        <v>0.71168767593439952</v>
      </c>
      <c r="L156" s="29">
        <f t="shared" si="81"/>
        <v>37.384953616818166</v>
      </c>
    </row>
    <row r="157" spans="1:12" ht="14.25" customHeight="1" x14ac:dyDescent="0.2">
      <c r="A157" s="1"/>
      <c r="B157" s="1"/>
      <c r="C157" s="61" t="s">
        <v>113</v>
      </c>
      <c r="D157" s="31" t="s">
        <v>22</v>
      </c>
      <c r="E157" s="52">
        <v>-219</v>
      </c>
      <c r="F157" s="52">
        <v>-38</v>
      </c>
      <c r="G157" s="52">
        <v>-28</v>
      </c>
      <c r="H157" s="32">
        <f t="shared" ref="H157:L157" si="82">+H122-G122+H128-G128</f>
        <v>-48.989431373745106</v>
      </c>
      <c r="I157" s="32">
        <f t="shared" si="82"/>
        <v>13.211228540291586</v>
      </c>
      <c r="J157" s="32">
        <f t="shared" si="82"/>
        <v>48.088871886661764</v>
      </c>
      <c r="K157" s="32">
        <f t="shared" si="82"/>
        <v>0.7144632394592918</v>
      </c>
      <c r="L157" s="32">
        <f t="shared" si="82"/>
        <v>37.530753968780004</v>
      </c>
    </row>
    <row r="158" spans="1:12" ht="15.75" customHeight="1" x14ac:dyDescent="0.2">
      <c r="A158" s="1"/>
      <c r="B158" s="1"/>
      <c r="C158" s="2" t="s">
        <v>114</v>
      </c>
      <c r="D158" s="17" t="s">
        <v>22</v>
      </c>
      <c r="E158" s="48">
        <v>2528</v>
      </c>
      <c r="F158" s="48">
        <v>1616</v>
      </c>
      <c r="G158" s="48">
        <v>2299</v>
      </c>
      <c r="H158" s="30">
        <f t="shared" ref="H158:L158" si="83">SUM(H143:H157)</f>
        <v>2295.915279899792</v>
      </c>
      <c r="I158" s="30">
        <f t="shared" si="83"/>
        <v>2537.1734889873051</v>
      </c>
      <c r="J158" s="30">
        <f t="shared" si="83"/>
        <v>2789.5863334941214</v>
      </c>
      <c r="K158" s="30">
        <f t="shared" si="83"/>
        <v>2928.8875794194382</v>
      </c>
      <c r="L158" s="30">
        <f t="shared" si="83"/>
        <v>3175.4659647438421</v>
      </c>
    </row>
    <row r="159" spans="1:12" ht="15.75" customHeight="1" x14ac:dyDescent="0.2">
      <c r="A159" s="1"/>
      <c r="B159" s="1"/>
      <c r="C159" s="2"/>
      <c r="D159" s="1"/>
      <c r="E159" s="29"/>
      <c r="F159" s="29"/>
      <c r="G159" s="29"/>
      <c r="H159" s="29"/>
      <c r="I159" s="29"/>
      <c r="J159" s="29"/>
      <c r="K159" s="29"/>
      <c r="L159" s="29"/>
    </row>
    <row r="160" spans="1:12" ht="15.75" customHeight="1" x14ac:dyDescent="0.2">
      <c r="A160" s="1"/>
      <c r="B160" s="6" t="s">
        <v>115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ht="15.75" customHeight="1" x14ac:dyDescent="0.2">
      <c r="A161" s="1"/>
      <c r="B161" s="1"/>
      <c r="C161" s="16" t="s">
        <v>116</v>
      </c>
      <c r="D161" s="17" t="s">
        <v>22</v>
      </c>
      <c r="E161" s="47">
        <v>-368</v>
      </c>
      <c r="F161" s="47">
        <v>-361</v>
      </c>
      <c r="G161" s="47">
        <v>-284</v>
      </c>
      <c r="H161" s="29">
        <f t="shared" ref="H161:L161" si="84">+H52</f>
        <v>-285</v>
      </c>
      <c r="I161" s="29">
        <f t="shared" si="84"/>
        <v>-325</v>
      </c>
      <c r="J161" s="29">
        <f t="shared" si="84"/>
        <v>-375</v>
      </c>
      <c r="K161" s="29">
        <f t="shared" si="84"/>
        <v>-425</v>
      </c>
      <c r="L161" s="29">
        <f t="shared" si="84"/>
        <v>-475</v>
      </c>
    </row>
    <row r="162" spans="1:12" ht="15.75" customHeight="1" x14ac:dyDescent="0.2">
      <c r="A162" s="1"/>
      <c r="B162" s="1"/>
      <c r="C162" s="16" t="s">
        <v>117</v>
      </c>
      <c r="D162" s="31" t="s">
        <v>22</v>
      </c>
      <c r="E162" s="47">
        <v>-88</v>
      </c>
      <c r="F162" s="47">
        <v>3203</v>
      </c>
      <c r="G162" s="47">
        <v>74</v>
      </c>
      <c r="H162" s="29">
        <f t="shared" ref="H162:L162" si="85">+H63</f>
        <v>0</v>
      </c>
      <c r="I162" s="29">
        <f t="shared" si="85"/>
        <v>0</v>
      </c>
      <c r="J162" s="29">
        <f t="shared" si="85"/>
        <v>0</v>
      </c>
      <c r="K162" s="29">
        <f t="shared" si="85"/>
        <v>0</v>
      </c>
      <c r="L162" s="29">
        <f t="shared" si="85"/>
        <v>0</v>
      </c>
    </row>
    <row r="163" spans="1:12" ht="15.75" customHeight="1" x14ac:dyDescent="0.2">
      <c r="A163" s="1"/>
      <c r="B163" s="1"/>
      <c r="C163" s="67" t="s">
        <v>118</v>
      </c>
      <c r="D163" s="17" t="s">
        <v>22</v>
      </c>
      <c r="E163" s="57">
        <v>-456</v>
      </c>
      <c r="F163" s="57">
        <v>2842</v>
      </c>
      <c r="G163" s="57">
        <v>-210</v>
      </c>
      <c r="H163" s="58">
        <f t="shared" ref="H163:L163" si="86">SUM(H161:H162)</f>
        <v>-285</v>
      </c>
      <c r="I163" s="58">
        <f t="shared" si="86"/>
        <v>-325</v>
      </c>
      <c r="J163" s="58">
        <f t="shared" si="86"/>
        <v>-375</v>
      </c>
      <c r="K163" s="58">
        <f t="shared" si="86"/>
        <v>-425</v>
      </c>
      <c r="L163" s="58">
        <f t="shared" si="86"/>
        <v>-475</v>
      </c>
    </row>
    <row r="164" spans="1:12" ht="15.75" customHeight="1" x14ac:dyDescent="0.2">
      <c r="A164" s="1"/>
      <c r="B164" s="1"/>
      <c r="C164" s="2"/>
      <c r="D164" s="1"/>
      <c r="E164" s="29"/>
      <c r="F164" s="29"/>
      <c r="G164" s="29"/>
      <c r="H164" s="29"/>
      <c r="I164" s="29"/>
      <c r="J164" s="29"/>
      <c r="K164" s="29"/>
      <c r="L164" s="29"/>
    </row>
    <row r="165" spans="1:12" ht="15.75" customHeight="1" x14ac:dyDescent="0.2">
      <c r="A165" s="1"/>
      <c r="B165" s="6" t="s">
        <v>119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ht="15.75" customHeight="1" x14ac:dyDescent="0.2">
      <c r="A166" s="1"/>
      <c r="B166" s="1"/>
      <c r="C166" s="26" t="s">
        <v>120</v>
      </c>
      <c r="D166" s="17" t="s">
        <v>22</v>
      </c>
      <c r="E166" s="47">
        <v>-528</v>
      </c>
      <c r="F166" s="47">
        <v>-711</v>
      </c>
      <c r="G166" s="47">
        <v>-742</v>
      </c>
      <c r="H166" s="29">
        <f t="shared" ref="H166:L166" si="87">-H58*H97</f>
        <v>-619.09688882774435</v>
      </c>
      <c r="I166" s="29">
        <f t="shared" si="87"/>
        <v>-684.53201871790998</v>
      </c>
      <c r="J166" s="29">
        <f t="shared" si="87"/>
        <v>-736.52504718950706</v>
      </c>
      <c r="K166" s="29">
        <f t="shared" si="87"/>
        <v>-799.90847149848253</v>
      </c>
      <c r="L166" s="29">
        <f t="shared" si="87"/>
        <v>-847.21467922819579</v>
      </c>
    </row>
    <row r="167" spans="1:12" ht="14.25" customHeight="1" x14ac:dyDescent="0.2">
      <c r="A167" s="1"/>
      <c r="B167" s="1"/>
      <c r="C167" s="26" t="s">
        <v>121</v>
      </c>
      <c r="D167" s="17" t="s">
        <v>22</v>
      </c>
      <c r="E167" s="47">
        <v>-1900</v>
      </c>
      <c r="F167" s="47">
        <v>-4198</v>
      </c>
      <c r="G167" s="47">
        <v>-1943</v>
      </c>
      <c r="H167" s="29">
        <f t="shared" ref="H167:L167" si="88">-H60</f>
        <v>-1000</v>
      </c>
      <c r="I167" s="29">
        <f t="shared" si="88"/>
        <v>-1000</v>
      </c>
      <c r="J167" s="29">
        <f t="shared" si="88"/>
        <v>-1000</v>
      </c>
      <c r="K167" s="29">
        <f t="shared" si="88"/>
        <v>-1000</v>
      </c>
      <c r="L167" s="29">
        <f t="shared" si="88"/>
        <v>-1000</v>
      </c>
    </row>
    <row r="168" spans="1:12" ht="15.75" customHeight="1" x14ac:dyDescent="0.2">
      <c r="A168" s="1"/>
      <c r="B168" s="1"/>
      <c r="C168" s="26" t="s">
        <v>122</v>
      </c>
      <c r="D168" s="17" t="s">
        <v>22</v>
      </c>
      <c r="E168" s="47">
        <v>1264</v>
      </c>
      <c r="F168" s="47">
        <v>1339</v>
      </c>
      <c r="G168" s="47">
        <v>151</v>
      </c>
      <c r="H168" s="29">
        <f t="shared" ref="H168:L168" si="89">+H31</f>
        <v>-742.2</v>
      </c>
      <c r="I168" s="29">
        <f t="shared" si="89"/>
        <v>-742.2</v>
      </c>
      <c r="J168" s="29">
        <f t="shared" si="89"/>
        <v>-742.2</v>
      </c>
      <c r="K168" s="29">
        <f t="shared" si="89"/>
        <v>-742.2</v>
      </c>
      <c r="L168" s="29">
        <f t="shared" si="89"/>
        <v>-742.2</v>
      </c>
    </row>
    <row r="169" spans="1:12" ht="15.75" customHeight="1" x14ac:dyDescent="0.2">
      <c r="A169" s="1"/>
      <c r="B169" s="1"/>
      <c r="C169" s="51" t="s">
        <v>123</v>
      </c>
      <c r="D169" s="31" t="s">
        <v>22</v>
      </c>
      <c r="E169" s="52">
        <v>24</v>
      </c>
      <c r="F169" s="52">
        <v>19</v>
      </c>
      <c r="G169" s="47">
        <v>8</v>
      </c>
      <c r="H169" s="29">
        <f t="shared" ref="H169:L169" si="90">+H64</f>
        <v>0</v>
      </c>
      <c r="I169" s="29">
        <f t="shared" si="90"/>
        <v>0</v>
      </c>
      <c r="J169" s="29">
        <f t="shared" si="90"/>
        <v>0</v>
      </c>
      <c r="K169" s="29">
        <f t="shared" si="90"/>
        <v>0</v>
      </c>
      <c r="L169" s="29">
        <f t="shared" si="90"/>
        <v>0</v>
      </c>
    </row>
    <row r="170" spans="1:12" ht="14.25" customHeight="1" x14ac:dyDescent="0.2">
      <c r="A170" s="1"/>
      <c r="B170" s="1"/>
      <c r="C170" s="2" t="s">
        <v>124</v>
      </c>
      <c r="D170" s="17" t="s">
        <v>22</v>
      </c>
      <c r="E170" s="48">
        <v>-1140</v>
      </c>
      <c r="F170" s="48">
        <v>-3551</v>
      </c>
      <c r="G170" s="57">
        <v>-2526</v>
      </c>
      <c r="H170" s="58">
        <f t="shared" ref="H170:L170" si="91">SUM(H166:H169)</f>
        <v>-2361.2968888277446</v>
      </c>
      <c r="I170" s="58">
        <f t="shared" si="91"/>
        <v>-2426.7320187179103</v>
      </c>
      <c r="J170" s="58">
        <f t="shared" si="91"/>
        <v>-2478.7250471895068</v>
      </c>
      <c r="K170" s="58">
        <f t="shared" si="91"/>
        <v>-2542.1084714984827</v>
      </c>
      <c r="L170" s="58">
        <f t="shared" si="91"/>
        <v>-2589.4146792281958</v>
      </c>
    </row>
    <row r="171" spans="1:12" ht="15.75" customHeight="1" x14ac:dyDescent="0.2">
      <c r="A171" s="1"/>
      <c r="B171" s="1"/>
      <c r="C171" s="2"/>
      <c r="D171" s="1"/>
      <c r="E171" s="29"/>
      <c r="F171" s="29"/>
      <c r="G171" s="29"/>
      <c r="H171" s="29"/>
      <c r="I171" s="29"/>
      <c r="J171" s="29"/>
      <c r="K171" s="29"/>
      <c r="L171" s="29"/>
    </row>
    <row r="172" spans="1:12" ht="14.25" customHeight="1" x14ac:dyDescent="0.2">
      <c r="A172" s="1"/>
      <c r="B172" s="1"/>
      <c r="C172" s="26" t="s">
        <v>125</v>
      </c>
      <c r="D172" s="17" t="s">
        <v>22</v>
      </c>
      <c r="E172" s="47">
        <v>-93</v>
      </c>
      <c r="F172" s="47">
        <v>-535</v>
      </c>
      <c r="G172" s="47">
        <v>-463</v>
      </c>
      <c r="H172" s="29">
        <f t="shared" ref="H172:L172" si="92">+H66*H71</f>
        <v>-366.21958485569428</v>
      </c>
      <c r="I172" s="29">
        <f t="shared" si="92"/>
        <v>-380.86836824992207</v>
      </c>
      <c r="J172" s="29">
        <f t="shared" si="92"/>
        <v>-396.1031029799189</v>
      </c>
      <c r="K172" s="29">
        <f t="shared" si="92"/>
        <v>-407.98619606931652</v>
      </c>
      <c r="L172" s="29">
        <f t="shared" si="92"/>
        <v>-420.22578195139602</v>
      </c>
    </row>
    <row r="173" spans="1:12" ht="15.75" customHeight="1" x14ac:dyDescent="0.2">
      <c r="A173" s="1"/>
      <c r="B173" s="1"/>
      <c r="C173" s="26"/>
      <c r="D173" s="1"/>
      <c r="E173" s="29"/>
      <c r="F173" s="29"/>
      <c r="G173" s="29"/>
      <c r="H173" s="29"/>
      <c r="I173" s="29"/>
      <c r="J173" s="29"/>
      <c r="K173" s="29"/>
      <c r="L173" s="29"/>
    </row>
    <row r="174" spans="1:12" ht="14.25" customHeight="1" x14ac:dyDescent="0.2">
      <c r="A174" s="1"/>
      <c r="B174" s="1"/>
      <c r="C174" s="16" t="s">
        <v>126</v>
      </c>
      <c r="D174" s="17" t="s">
        <v>22</v>
      </c>
      <c r="E174" s="47">
        <v>839</v>
      </c>
      <c r="F174" s="47">
        <v>372</v>
      </c>
      <c r="G174" s="47">
        <v>-900</v>
      </c>
      <c r="H174" s="69">
        <f t="shared" ref="H174:L174" si="93">+H158+H163+H170+H172</f>
        <v>-716.60119378364686</v>
      </c>
      <c r="I174" s="69">
        <f t="shared" si="93"/>
        <v>-595.4268979805272</v>
      </c>
      <c r="J174" s="69">
        <f t="shared" si="93"/>
        <v>-460.24181667530428</v>
      </c>
      <c r="K174" s="69">
        <f t="shared" si="93"/>
        <v>-446.20708814836098</v>
      </c>
      <c r="L174" s="69">
        <f t="shared" si="93"/>
        <v>-309.1744964357498</v>
      </c>
    </row>
    <row r="175" spans="1:12" ht="14.25" customHeight="1" x14ac:dyDescent="0.2">
      <c r="A175" s="1"/>
      <c r="B175" s="1"/>
      <c r="C175" s="61" t="s">
        <v>127</v>
      </c>
      <c r="D175" s="31" t="s">
        <v>22</v>
      </c>
      <c r="E175" s="52">
        <v>2779</v>
      </c>
      <c r="F175" s="52">
        <v>3618</v>
      </c>
      <c r="G175" s="47">
        <v>3990</v>
      </c>
      <c r="H175" s="29">
        <f t="shared" ref="H175:L175" si="94">+G176</f>
        <v>3090</v>
      </c>
      <c r="I175" s="29">
        <f t="shared" si="94"/>
        <v>2373.398806216353</v>
      </c>
      <c r="J175" s="29">
        <f t="shared" si="94"/>
        <v>1777.9719082358258</v>
      </c>
      <c r="K175" s="29">
        <f t="shared" si="94"/>
        <v>1317.7300915605215</v>
      </c>
      <c r="L175" s="29">
        <f t="shared" si="94"/>
        <v>871.52300341216051</v>
      </c>
    </row>
    <row r="176" spans="1:12" ht="14.25" customHeight="1" x14ac:dyDescent="0.2">
      <c r="A176" s="1"/>
      <c r="B176" s="1"/>
      <c r="C176" s="2" t="s">
        <v>128</v>
      </c>
      <c r="D176" s="17" t="s">
        <v>22</v>
      </c>
      <c r="E176" s="45">
        <v>3618</v>
      </c>
      <c r="F176" s="45">
        <v>3990</v>
      </c>
      <c r="G176" s="70">
        <v>3090</v>
      </c>
      <c r="H176" s="71">
        <f t="shared" ref="H176:L176" si="95">SUM(H174:H175)</f>
        <v>2373.398806216353</v>
      </c>
      <c r="I176" s="71">
        <f t="shared" si="95"/>
        <v>1777.9719082358258</v>
      </c>
      <c r="J176" s="71">
        <f t="shared" si="95"/>
        <v>1317.7300915605215</v>
      </c>
      <c r="K176" s="71">
        <f t="shared" si="95"/>
        <v>871.52300341216051</v>
      </c>
      <c r="L176" s="71">
        <f t="shared" si="95"/>
        <v>562.3485069764107</v>
      </c>
    </row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</sheetData>
  <mergeCells count="9">
    <mergeCell ref="E139:G139"/>
    <mergeCell ref="H139:L139"/>
    <mergeCell ref="D8:F8"/>
    <mergeCell ref="E18:G18"/>
    <mergeCell ref="H18:L18"/>
    <mergeCell ref="E68:G68"/>
    <mergeCell ref="H68:L68"/>
    <mergeCell ref="E99:G99"/>
    <mergeCell ref="H99:L99"/>
  </mergeCells>
  <pageMargins left="0.7" right="0.7" top="0.75" bottom="0.75" header="0" footer="0"/>
  <pageSetup orientation="portrait"/>
  <rowBreaks count="4" manualBreakCount="4">
    <brk id="138" man="1"/>
    <brk id="17" man="1"/>
    <brk id="98" man="1"/>
    <brk id="6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Company1354-3-Statements</vt:lpstr>
      <vt:lpstr>Cash_Interest_Rate</vt:lpstr>
      <vt:lpstr>Company_Name</vt:lpstr>
      <vt:lpstr>Debt_Interest_Rate</vt:lpstr>
      <vt:lpstr>GM_Improv</vt:lpstr>
      <vt:lpstr>Hist_Yr</vt:lpstr>
      <vt:lpstr>Share_Price</vt:lpstr>
      <vt:lpstr>Tax_Rate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