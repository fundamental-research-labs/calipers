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bookViews>
    <workbookView xWindow="19660" yWindow="-20360" windowWidth="38400" windowHeight="21100" activeTab="3" xr2:uid="{28A27389-C5E6-344F-A6BC-0D3E139E7C46}"/>
  </bookViews>
  <sheets>
    <sheet name="ASSUMPTIONS" sheetId="1" r:id="rId1"/>
    <sheet name="RENT ROLL" sheetId="2" r:id="rId2"/>
    <sheet name="Projected Rent Roll" sheetId="5" r:id="rId3"/>
    <sheet name="OPERATING STATEMENT" sheetId="3" r:id="rId4"/>
    <sheet name="Sources and Uses" sheetId="4" r:id="rId5"/>
    <sheet name="Debt Financing" sheetId="6" r:id="rId6"/>
    <sheet name="Project Costs" sheetId="7" r:id="rId7"/>
    <sheet name="Sale of Property" sheetId="10" r:id="rId8"/>
    <sheet name="Est Property Value" sheetId="8" r:id="rId9"/>
    <sheet name="IRR" sheetId="9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19" i="5"/>
  <c r="B18" i="5"/>
  <c r="B17" i="5"/>
  <c r="B16" i="5"/>
  <c r="B15" i="5"/>
  <c r="D19" i="9"/>
  <c r="E19" i="9"/>
  <c r="F19" i="9"/>
  <c r="G19" i="9"/>
  <c r="H19" i="9"/>
  <c r="I19" i="9"/>
  <c r="J19" i="9"/>
  <c r="K19" i="9"/>
  <c r="L19" i="9"/>
  <c r="C19" i="9"/>
  <c r="B25" i="9"/>
  <c r="B23" i="9"/>
  <c r="B18" i="9"/>
  <c r="B8" i="9"/>
  <c r="B4" i="9"/>
  <c r="B10" i="9"/>
  <c r="K37" i="8"/>
  <c r="B9" i="10"/>
  <c r="C37" i="8"/>
  <c r="D37" i="8"/>
  <c r="E37" i="8"/>
  <c r="F37" i="8"/>
  <c r="G37" i="8"/>
  <c r="H37" i="8"/>
  <c r="I37" i="8"/>
  <c r="J37" i="8"/>
  <c r="B37" i="8"/>
  <c r="B35" i="8"/>
  <c r="B5" i="8"/>
  <c r="C4" i="6"/>
  <c r="D4" i="6"/>
  <c r="E4" i="6"/>
  <c r="F4" i="6"/>
  <c r="G4" i="6"/>
  <c r="H4" i="6"/>
  <c r="I4" i="6"/>
  <c r="J4" i="6"/>
  <c r="K4" i="6"/>
  <c r="L4" i="6"/>
  <c r="C3" i="6"/>
  <c r="D3" i="6"/>
  <c r="E3" i="6"/>
  <c r="F3" i="6"/>
  <c r="G3" i="6"/>
  <c r="H3" i="6"/>
  <c r="I3" i="6"/>
  <c r="J3" i="6"/>
  <c r="K3" i="6"/>
  <c r="L3" i="6"/>
  <c r="B3" i="6"/>
  <c r="L2" i="6"/>
  <c r="D2" i="6"/>
  <c r="E2" i="6"/>
  <c r="F2" i="6"/>
  <c r="G2" i="6"/>
  <c r="H2" i="6"/>
  <c r="I2" i="6"/>
  <c r="J2" i="6"/>
  <c r="K2" i="6"/>
  <c r="C2" i="6"/>
  <c r="B2" i="6"/>
  <c r="B11" i="4"/>
  <c r="B10" i="4"/>
  <c r="B6" i="4"/>
  <c r="C6" i="4" s="1"/>
  <c r="B5" i="4"/>
  <c r="C5" i="4" s="1"/>
  <c r="B7" i="4"/>
  <c r="C130" i="1"/>
  <c r="C131" i="1"/>
  <c r="C132" i="1"/>
  <c r="C129" i="1"/>
  <c r="C133" i="1"/>
  <c r="F125" i="1"/>
  <c r="F29" i="7" s="1"/>
  <c r="A29" i="7"/>
  <c r="F28" i="7"/>
  <c r="B14" i="4" s="1"/>
  <c r="E26" i="7" a="1"/>
  <c r="E26" i="7" s="1"/>
  <c r="C27" i="7"/>
  <c r="F24" i="7"/>
  <c r="B13" i="4" s="1"/>
  <c r="E22" i="7" a="1"/>
  <c r="E22" i="7" s="1"/>
  <c r="F20" i="7"/>
  <c r="B12" i="4" s="1"/>
  <c r="E18" i="7" a="1"/>
  <c r="E18" i="7" s="1"/>
  <c r="C18" i="7" a="1"/>
  <c r="C18" i="7" s="1"/>
  <c r="F16" i="7"/>
  <c r="E15" i="7"/>
  <c r="F124" i="1"/>
  <c r="E123" i="1"/>
  <c r="E114" i="1"/>
  <c r="E115" i="1" s="1"/>
  <c r="B26" i="7" a="1"/>
  <c r="B26" i="7" s="1"/>
  <c r="A25" i="7"/>
  <c r="C22" i="7" a="1"/>
  <c r="C22" i="7" s="1"/>
  <c r="B22" i="7" a="1"/>
  <c r="B22" i="7" s="1"/>
  <c r="A21" i="7"/>
  <c r="A17" i="7"/>
  <c r="B18" i="7" a="1"/>
  <c r="B18" i="7" s="1"/>
  <c r="C15" i="7"/>
  <c r="C6" i="7" a="1"/>
  <c r="C6" i="7" s="1"/>
  <c r="A2" i="7"/>
  <c r="B6" i="7" a="1"/>
  <c r="B6" i="7" s="1"/>
  <c r="A5" i="7"/>
  <c r="B3" i="7"/>
  <c r="B7" i="6"/>
  <c r="B3" i="4" s="1"/>
  <c r="C3" i="4" s="1"/>
  <c r="C7" i="4" s="1"/>
  <c r="B92" i="1"/>
  <c r="E119" i="1" s="1"/>
  <c r="B10" i="6"/>
  <c r="B9" i="6"/>
  <c r="E167" i="6" s="1"/>
  <c r="F81" i="6"/>
  <c r="F102" i="6"/>
  <c r="F113" i="6"/>
  <c r="F123" i="6"/>
  <c r="F133" i="6"/>
  <c r="F141" i="6"/>
  <c r="F149" i="6"/>
  <c r="F157" i="6"/>
  <c r="F165" i="6"/>
  <c r="F173" i="6"/>
  <c r="F181" i="6"/>
  <c r="F189" i="6"/>
  <c r="F197" i="6"/>
  <c r="F205" i="6"/>
  <c r="F213" i="6"/>
  <c r="F221" i="6"/>
  <c r="F229" i="6"/>
  <c r="F237" i="6"/>
  <c r="F245" i="6"/>
  <c r="F253" i="6"/>
  <c r="F261" i="6"/>
  <c r="F269" i="6"/>
  <c r="F277" i="6"/>
  <c r="F285" i="6"/>
  <c r="F293" i="6"/>
  <c r="F301" i="6"/>
  <c r="F309" i="6"/>
  <c r="B11" i="6"/>
  <c r="B12" i="6" s="1"/>
  <c r="C16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16" i="6"/>
  <c r="B133" i="1"/>
  <c r="E103" i="1"/>
  <c r="E102" i="1"/>
  <c r="F100" i="1"/>
  <c r="F3" i="7" s="1"/>
  <c r="H10" i="5"/>
  <c r="G10" i="5"/>
  <c r="F10" i="5"/>
  <c r="E10" i="5"/>
  <c r="C10" i="5"/>
  <c r="B10" i="5"/>
  <c r="A10" i="5"/>
  <c r="H9" i="5"/>
  <c r="G9" i="5"/>
  <c r="F9" i="5"/>
  <c r="E9" i="5"/>
  <c r="C9" i="5"/>
  <c r="B9" i="5"/>
  <c r="A9" i="5"/>
  <c r="H8" i="5"/>
  <c r="G8" i="5"/>
  <c r="F8" i="5"/>
  <c r="E8" i="5"/>
  <c r="C8" i="5"/>
  <c r="B8" i="5"/>
  <c r="A8" i="5"/>
  <c r="H7" i="5"/>
  <c r="G7" i="5"/>
  <c r="F7" i="5"/>
  <c r="E7" i="5"/>
  <c r="C7" i="5"/>
  <c r="B7" i="5"/>
  <c r="A7" i="5"/>
  <c r="H6" i="5"/>
  <c r="G6" i="5"/>
  <c r="F6" i="5"/>
  <c r="E6" i="5"/>
  <c r="C6" i="5"/>
  <c r="B6" i="5"/>
  <c r="A6" i="5"/>
  <c r="H5" i="5"/>
  <c r="G5" i="5"/>
  <c r="F5" i="5"/>
  <c r="E5" i="5"/>
  <c r="C5" i="5"/>
  <c r="B5" i="5"/>
  <c r="A5" i="5"/>
  <c r="H4" i="5"/>
  <c r="G4" i="5"/>
  <c r="F4" i="5"/>
  <c r="E4" i="5"/>
  <c r="C4" i="5"/>
  <c r="B4" i="5"/>
  <c r="A4" i="5"/>
  <c r="B88" i="1"/>
  <c r="M21" i="3"/>
  <c r="L21" i="3"/>
  <c r="K21" i="3"/>
  <c r="J21" i="3"/>
  <c r="I21" i="3"/>
  <c r="H21" i="3"/>
  <c r="G21" i="3"/>
  <c r="F21" i="3"/>
  <c r="E21" i="3"/>
  <c r="D21" i="3"/>
  <c r="C21" i="3"/>
  <c r="M22" i="3"/>
  <c r="L22" i="3"/>
  <c r="K22" i="3"/>
  <c r="J22" i="3"/>
  <c r="I22" i="3"/>
  <c r="H22" i="3"/>
  <c r="G22" i="3"/>
  <c r="F22" i="3"/>
  <c r="E22" i="3"/>
  <c r="D22" i="3"/>
  <c r="C22" i="3"/>
  <c r="B22" i="3"/>
  <c r="C20" i="3"/>
  <c r="D20" i="3" s="1"/>
  <c r="E20" i="3" s="1"/>
  <c r="C80" i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C10" i="3"/>
  <c r="D10" i="3" s="1"/>
  <c r="E10" i="3" s="1"/>
  <c r="B16" i="3"/>
  <c r="B15" i="3"/>
  <c r="B14" i="3"/>
  <c r="B13" i="3"/>
  <c r="B12" i="3"/>
  <c r="B11" i="3"/>
  <c r="B10" i="3"/>
  <c r="B75" i="1"/>
  <c r="B74" i="1"/>
  <c r="B73" i="1"/>
  <c r="B72" i="1"/>
  <c r="B71" i="1"/>
  <c r="B70" i="1"/>
  <c r="B69" i="1"/>
  <c r="G62" i="1"/>
  <c r="F62" i="1"/>
  <c r="H61" i="1"/>
  <c r="H60" i="1"/>
  <c r="H59" i="1"/>
  <c r="H58" i="1"/>
  <c r="H57" i="1"/>
  <c r="H56" i="1"/>
  <c r="H55" i="1"/>
  <c r="B30" i="1"/>
  <c r="B6" i="3" s="1"/>
  <c r="H10" i="2"/>
  <c r="H9" i="2"/>
  <c r="H8" i="2"/>
  <c r="H7" i="2"/>
  <c r="H6" i="2"/>
  <c r="H5" i="2"/>
  <c r="H4" i="2"/>
  <c r="G10" i="2"/>
  <c r="G9" i="2"/>
  <c r="G8" i="2"/>
  <c r="G7" i="2"/>
  <c r="G6" i="2"/>
  <c r="G5" i="2"/>
  <c r="G4" i="2"/>
  <c r="F10" i="2"/>
  <c r="F9" i="2"/>
  <c r="F8" i="2"/>
  <c r="F7" i="2"/>
  <c r="F6" i="2"/>
  <c r="F5" i="2"/>
  <c r="F4" i="2"/>
  <c r="E10" i="2"/>
  <c r="E9" i="2"/>
  <c r="E8" i="2"/>
  <c r="E7" i="2"/>
  <c r="E6" i="2"/>
  <c r="E5" i="2"/>
  <c r="E4" i="2"/>
  <c r="C10" i="2"/>
  <c r="C9" i="2"/>
  <c r="C8" i="2"/>
  <c r="C7" i="2"/>
  <c r="C6" i="2"/>
  <c r="C5" i="2"/>
  <c r="C4" i="2"/>
  <c r="B10" i="2"/>
  <c r="B9" i="2"/>
  <c r="B8" i="2"/>
  <c r="B7" i="2"/>
  <c r="B6" i="2"/>
  <c r="B5" i="2"/>
  <c r="B4" i="2"/>
  <c r="A10" i="2"/>
  <c r="A9" i="2"/>
  <c r="A8" i="2"/>
  <c r="A7" i="2"/>
  <c r="A6" i="2"/>
  <c r="A5" i="2"/>
  <c r="A4" i="2"/>
  <c r="B42" i="1"/>
  <c r="B41" i="1"/>
  <c r="B40" i="1"/>
  <c r="B39" i="1"/>
  <c r="B38" i="1"/>
  <c r="B37" i="1"/>
  <c r="B36" i="1"/>
  <c r="G27" i="1"/>
  <c r="F27" i="1"/>
  <c r="H26" i="1"/>
  <c r="I10" i="2" s="1"/>
  <c r="H25" i="1"/>
  <c r="I9" i="2" s="1"/>
  <c r="H24" i="1"/>
  <c r="I8" i="2" s="1"/>
  <c r="H23" i="1"/>
  <c r="I7" i="2" s="1"/>
  <c r="H22" i="1"/>
  <c r="I6" i="2" s="1"/>
  <c r="H21" i="1"/>
  <c r="I5" i="2" s="1"/>
  <c r="H20" i="1"/>
  <c r="I4" i="5" s="1"/>
  <c r="D299" i="6" l="1"/>
  <c r="E231" i="6"/>
  <c r="F307" i="6"/>
  <c r="F291" i="6"/>
  <c r="F267" i="6"/>
  <c r="F251" i="6"/>
  <c r="F235" i="6"/>
  <c r="F211" i="6"/>
  <c r="F195" i="6"/>
  <c r="F179" i="6"/>
  <c r="F163" i="6"/>
  <c r="F147" i="6"/>
  <c r="F121" i="6"/>
  <c r="F99" i="6"/>
  <c r="D283" i="6"/>
  <c r="F313" i="6"/>
  <c r="F305" i="6"/>
  <c r="F297" i="6"/>
  <c r="F289" i="6"/>
  <c r="F281" i="6"/>
  <c r="F273" i="6"/>
  <c r="F265" i="6"/>
  <c r="F257" i="6"/>
  <c r="F249" i="6"/>
  <c r="F241" i="6"/>
  <c r="F233" i="6"/>
  <c r="F225" i="6"/>
  <c r="F217" i="6"/>
  <c r="F209" i="6"/>
  <c r="F201" i="6"/>
  <c r="F193" i="6"/>
  <c r="F185" i="6"/>
  <c r="F177" i="6"/>
  <c r="F169" i="6"/>
  <c r="F161" i="6"/>
  <c r="F153" i="6"/>
  <c r="F145" i="6"/>
  <c r="F137" i="6"/>
  <c r="F129" i="6"/>
  <c r="F118" i="6"/>
  <c r="F107" i="6"/>
  <c r="F95" i="6"/>
  <c r="F43" i="6"/>
  <c r="D267" i="6"/>
  <c r="C13" i="4"/>
  <c r="B15" i="4"/>
  <c r="C10" i="4" s="1"/>
  <c r="E108" i="6"/>
  <c r="E159" i="6"/>
  <c r="E191" i="6"/>
  <c r="E223" i="6"/>
  <c r="D247" i="6"/>
  <c r="D263" i="6"/>
  <c r="D279" i="6"/>
  <c r="D295" i="6"/>
  <c r="D311" i="6"/>
  <c r="F35" i="6"/>
  <c r="F67" i="6"/>
  <c r="F78" i="6"/>
  <c r="F89" i="6"/>
  <c r="F97" i="6"/>
  <c r="F103" i="6"/>
  <c r="F109" i="6"/>
  <c r="F114" i="6"/>
  <c r="F119" i="6"/>
  <c r="F125" i="6"/>
  <c r="F130" i="6"/>
  <c r="F134" i="6"/>
  <c r="F138" i="6"/>
  <c r="F142" i="6"/>
  <c r="F146" i="6"/>
  <c r="F150" i="6"/>
  <c r="F154" i="6"/>
  <c r="F158" i="6"/>
  <c r="F162" i="6"/>
  <c r="F166" i="6"/>
  <c r="F170" i="6"/>
  <c r="F174" i="6"/>
  <c r="F178" i="6"/>
  <c r="F182" i="6"/>
  <c r="F186" i="6"/>
  <c r="F190" i="6"/>
  <c r="F194" i="6"/>
  <c r="F198" i="6"/>
  <c r="F202" i="6"/>
  <c r="F206" i="6"/>
  <c r="F210" i="6"/>
  <c r="F214" i="6"/>
  <c r="F218" i="6"/>
  <c r="F222" i="6"/>
  <c r="F226" i="6"/>
  <c r="F230" i="6"/>
  <c r="F234" i="6"/>
  <c r="F238" i="6"/>
  <c r="F242" i="6"/>
  <c r="F246" i="6"/>
  <c r="F250" i="6"/>
  <c r="F254" i="6"/>
  <c r="F258" i="6"/>
  <c r="F262" i="6"/>
  <c r="F266" i="6"/>
  <c r="F270" i="6"/>
  <c r="F274" i="6"/>
  <c r="F278" i="6"/>
  <c r="F282" i="6"/>
  <c r="F286" i="6"/>
  <c r="F290" i="6"/>
  <c r="F294" i="6"/>
  <c r="F298" i="6"/>
  <c r="F302" i="6"/>
  <c r="F306" i="6"/>
  <c r="F310" i="6"/>
  <c r="F314" i="6"/>
  <c r="E66" i="6"/>
  <c r="E140" i="6"/>
  <c r="E175" i="6"/>
  <c r="E207" i="6"/>
  <c r="E238" i="6"/>
  <c r="D255" i="6"/>
  <c r="D271" i="6"/>
  <c r="D287" i="6"/>
  <c r="D303" i="6"/>
  <c r="F19" i="6"/>
  <c r="F51" i="6"/>
  <c r="F73" i="6"/>
  <c r="F83" i="6"/>
  <c r="F93" i="6"/>
  <c r="F101" i="6"/>
  <c r="F106" i="6"/>
  <c r="F111" i="6"/>
  <c r="F117" i="6"/>
  <c r="F122" i="6"/>
  <c r="F127" i="6"/>
  <c r="F132" i="6"/>
  <c r="F136" i="6"/>
  <c r="F140" i="6"/>
  <c r="F144" i="6"/>
  <c r="F148" i="6"/>
  <c r="F152" i="6"/>
  <c r="F156" i="6"/>
  <c r="F160" i="6"/>
  <c r="F164" i="6"/>
  <c r="F168" i="6"/>
  <c r="F172" i="6"/>
  <c r="F176" i="6"/>
  <c r="F180" i="6"/>
  <c r="F184" i="6"/>
  <c r="F188" i="6"/>
  <c r="F192" i="6"/>
  <c r="F196" i="6"/>
  <c r="F200" i="6"/>
  <c r="F204" i="6"/>
  <c r="F208" i="6"/>
  <c r="F212" i="6"/>
  <c r="F216" i="6"/>
  <c r="F220" i="6"/>
  <c r="F224" i="6"/>
  <c r="F228" i="6"/>
  <c r="F232" i="6"/>
  <c r="F236" i="6"/>
  <c r="F240" i="6"/>
  <c r="F244" i="6"/>
  <c r="F248" i="6"/>
  <c r="F252" i="6"/>
  <c r="F256" i="6"/>
  <c r="F260" i="6"/>
  <c r="F264" i="6"/>
  <c r="F268" i="6"/>
  <c r="F272" i="6"/>
  <c r="F276" i="6"/>
  <c r="F280" i="6"/>
  <c r="F284" i="6"/>
  <c r="F288" i="6"/>
  <c r="F292" i="6"/>
  <c r="F296" i="6"/>
  <c r="F300" i="6"/>
  <c r="F304" i="6"/>
  <c r="F308" i="6"/>
  <c r="F312" i="6"/>
  <c r="F16" i="6"/>
  <c r="E92" i="6"/>
  <c r="E151" i="6"/>
  <c r="E183" i="6"/>
  <c r="E215" i="6"/>
  <c r="D243" i="6"/>
  <c r="D259" i="6"/>
  <c r="D275" i="6"/>
  <c r="D291" i="6"/>
  <c r="D307" i="6"/>
  <c r="F27" i="6"/>
  <c r="F59" i="6"/>
  <c r="F75" i="6"/>
  <c r="F86" i="6"/>
  <c r="F315" i="6"/>
  <c r="F299" i="6"/>
  <c r="F283" i="6"/>
  <c r="F275" i="6"/>
  <c r="F259" i="6"/>
  <c r="F243" i="6"/>
  <c r="F227" i="6"/>
  <c r="F219" i="6"/>
  <c r="F203" i="6"/>
  <c r="F187" i="6"/>
  <c r="F171" i="6"/>
  <c r="F155" i="6"/>
  <c r="F139" i="6"/>
  <c r="F131" i="6"/>
  <c r="F110" i="6"/>
  <c r="F70" i="6"/>
  <c r="E199" i="6"/>
  <c r="C14" i="4"/>
  <c r="F311" i="6"/>
  <c r="F303" i="6"/>
  <c r="F295" i="6"/>
  <c r="F287" i="6"/>
  <c r="F279" i="6"/>
  <c r="F271" i="6"/>
  <c r="F263" i="6"/>
  <c r="F255" i="6"/>
  <c r="F247" i="6"/>
  <c r="F239" i="6"/>
  <c r="F231" i="6"/>
  <c r="F223" i="6"/>
  <c r="F215" i="6"/>
  <c r="F207" i="6"/>
  <c r="F199" i="6"/>
  <c r="F191" i="6"/>
  <c r="F183" i="6"/>
  <c r="F175" i="6"/>
  <c r="F167" i="6"/>
  <c r="F159" i="6"/>
  <c r="F151" i="6"/>
  <c r="F143" i="6"/>
  <c r="F135" i="6"/>
  <c r="F126" i="6"/>
  <c r="F115" i="6"/>
  <c r="F105" i="6"/>
  <c r="F91" i="6"/>
  <c r="D315" i="6"/>
  <c r="D251" i="6"/>
  <c r="E124" i="6"/>
  <c r="G11" i="5"/>
  <c r="E23" i="6"/>
  <c r="E55" i="6"/>
  <c r="E62" i="6"/>
  <c r="E67" i="6"/>
  <c r="E72" i="6"/>
  <c r="D77" i="6"/>
  <c r="E81" i="6"/>
  <c r="D85" i="6"/>
  <c r="D87" i="6"/>
  <c r="D89" i="6"/>
  <c r="D91" i="6"/>
  <c r="D93" i="6"/>
  <c r="D95" i="6"/>
  <c r="D97" i="6"/>
  <c r="D99" i="6"/>
  <c r="D101" i="6"/>
  <c r="D103" i="6"/>
  <c r="D105" i="6"/>
  <c r="D107" i="6"/>
  <c r="D109" i="6"/>
  <c r="D111" i="6"/>
  <c r="D113" i="6"/>
  <c r="D115" i="6"/>
  <c r="D117" i="6"/>
  <c r="D119" i="6"/>
  <c r="D121" i="6"/>
  <c r="D123" i="6"/>
  <c r="D125" i="6"/>
  <c r="D127" i="6"/>
  <c r="D129" i="6"/>
  <c r="D131" i="6"/>
  <c r="D133" i="6"/>
  <c r="D135" i="6"/>
  <c r="D137" i="6"/>
  <c r="D139" i="6"/>
  <c r="D141" i="6"/>
  <c r="D143" i="6"/>
  <c r="D145" i="6"/>
  <c r="D147" i="6"/>
  <c r="D149" i="6"/>
  <c r="D151" i="6"/>
  <c r="D153" i="6"/>
  <c r="D155" i="6"/>
  <c r="D157" i="6"/>
  <c r="D159" i="6"/>
  <c r="D161" i="6"/>
  <c r="D163" i="6"/>
  <c r="D165" i="6"/>
  <c r="D167" i="6"/>
  <c r="D169" i="6"/>
  <c r="D171" i="6"/>
  <c r="D173" i="6"/>
  <c r="D175" i="6"/>
  <c r="D177" i="6"/>
  <c r="D179" i="6"/>
  <c r="D181" i="6"/>
  <c r="D183" i="6"/>
  <c r="D185" i="6"/>
  <c r="D187" i="6"/>
  <c r="D189" i="6"/>
  <c r="D191" i="6"/>
  <c r="D193" i="6"/>
  <c r="D195" i="6"/>
  <c r="D197" i="6"/>
  <c r="D199" i="6"/>
  <c r="D201" i="6"/>
  <c r="D203" i="6"/>
  <c r="D205" i="6"/>
  <c r="D207" i="6"/>
  <c r="D209" i="6"/>
  <c r="D211" i="6"/>
  <c r="D213" i="6"/>
  <c r="D215" i="6"/>
  <c r="D217" i="6"/>
  <c r="D219" i="6"/>
  <c r="D221" i="6"/>
  <c r="D223" i="6"/>
  <c r="D225" i="6"/>
  <c r="D227" i="6"/>
  <c r="D229" i="6"/>
  <c r="D231" i="6"/>
  <c r="D233" i="6"/>
  <c r="D235" i="6"/>
  <c r="D237" i="6"/>
  <c r="D239" i="6"/>
  <c r="E35" i="6"/>
  <c r="E58" i="6"/>
  <c r="E64" i="6"/>
  <c r="D69" i="6"/>
  <c r="D73" i="6"/>
  <c r="E78" i="6"/>
  <c r="E82" i="6"/>
  <c r="E85" i="6"/>
  <c r="E87" i="6"/>
  <c r="E89" i="6"/>
  <c r="E91" i="6"/>
  <c r="E93" i="6"/>
  <c r="E95" i="6"/>
  <c r="E97" i="6"/>
  <c r="E99" i="6"/>
  <c r="E101" i="6"/>
  <c r="E103" i="6"/>
  <c r="E105" i="6"/>
  <c r="E107" i="6"/>
  <c r="E109" i="6"/>
  <c r="E111" i="6"/>
  <c r="E113" i="6"/>
  <c r="E115" i="6"/>
  <c r="E117" i="6"/>
  <c r="E119" i="6"/>
  <c r="E121" i="6"/>
  <c r="E123" i="6"/>
  <c r="E125" i="6"/>
  <c r="E127" i="6"/>
  <c r="E129" i="6"/>
  <c r="E131" i="6"/>
  <c r="E133" i="6"/>
  <c r="E135" i="6"/>
  <c r="E137" i="6"/>
  <c r="E139" i="6"/>
  <c r="E141" i="6"/>
  <c r="E143" i="6"/>
  <c r="E145" i="6"/>
  <c r="E51" i="6"/>
  <c r="D59" i="6"/>
  <c r="D65" i="6"/>
  <c r="E69" i="6"/>
  <c r="D75" i="6"/>
  <c r="E79" i="6"/>
  <c r="D83" i="6"/>
  <c r="D86" i="6"/>
  <c r="D88" i="6"/>
  <c r="D90" i="6"/>
  <c r="D92" i="6"/>
  <c r="D94" i="6"/>
  <c r="D96" i="6"/>
  <c r="D98" i="6"/>
  <c r="D100" i="6"/>
  <c r="D102" i="6"/>
  <c r="D104" i="6"/>
  <c r="D106" i="6"/>
  <c r="D108" i="6"/>
  <c r="D110" i="6"/>
  <c r="D112" i="6"/>
  <c r="D114" i="6"/>
  <c r="D116" i="6"/>
  <c r="D118" i="6"/>
  <c r="D120" i="6"/>
  <c r="D122" i="6"/>
  <c r="D124" i="6"/>
  <c r="D126" i="6"/>
  <c r="D128" i="6"/>
  <c r="D130" i="6"/>
  <c r="D132" i="6"/>
  <c r="D134" i="6"/>
  <c r="D136" i="6"/>
  <c r="D138" i="6"/>
  <c r="D140" i="6"/>
  <c r="D142" i="6"/>
  <c r="D144" i="6"/>
  <c r="D146" i="6"/>
  <c r="D148" i="6"/>
  <c r="D150" i="6"/>
  <c r="D152" i="6"/>
  <c r="D154" i="6"/>
  <c r="D156" i="6"/>
  <c r="D158" i="6"/>
  <c r="D160" i="6"/>
  <c r="D162" i="6"/>
  <c r="D164" i="6"/>
  <c r="D166" i="6"/>
  <c r="D168" i="6"/>
  <c r="D170" i="6"/>
  <c r="D172" i="6"/>
  <c r="D174" i="6"/>
  <c r="D176" i="6"/>
  <c r="D178" i="6"/>
  <c r="D180" i="6"/>
  <c r="D182" i="6"/>
  <c r="D184" i="6"/>
  <c r="D186" i="6"/>
  <c r="D188" i="6"/>
  <c r="D190" i="6"/>
  <c r="D192" i="6"/>
  <c r="D194" i="6"/>
  <c r="D196" i="6"/>
  <c r="D198" i="6"/>
  <c r="D200" i="6"/>
  <c r="D202" i="6"/>
  <c r="D204" i="6"/>
  <c r="D206" i="6"/>
  <c r="D208" i="6"/>
  <c r="D210" i="6"/>
  <c r="D212" i="6"/>
  <c r="D214" i="6"/>
  <c r="D216" i="6"/>
  <c r="D218" i="6"/>
  <c r="D220" i="6"/>
  <c r="D222" i="6"/>
  <c r="D224" i="6"/>
  <c r="D226" i="6"/>
  <c r="D228" i="6"/>
  <c r="D230" i="6"/>
  <c r="D232" i="6"/>
  <c r="D234" i="6"/>
  <c r="D236" i="6"/>
  <c r="E71" i="6"/>
  <c r="E86" i="6"/>
  <c r="E94" i="6"/>
  <c r="E102" i="6"/>
  <c r="E110" i="6"/>
  <c r="E118" i="6"/>
  <c r="E126" i="6"/>
  <c r="E134" i="6"/>
  <c r="E142" i="6"/>
  <c r="E148" i="6"/>
  <c r="E152" i="6"/>
  <c r="E156" i="6"/>
  <c r="E160" i="6"/>
  <c r="E164" i="6"/>
  <c r="E168" i="6"/>
  <c r="E172" i="6"/>
  <c r="E176" i="6"/>
  <c r="E180" i="6"/>
  <c r="E184" i="6"/>
  <c r="E188" i="6"/>
  <c r="E192" i="6"/>
  <c r="E196" i="6"/>
  <c r="E200" i="6"/>
  <c r="E204" i="6"/>
  <c r="E208" i="6"/>
  <c r="E212" i="6"/>
  <c r="E216" i="6"/>
  <c r="E220" i="6"/>
  <c r="E224" i="6"/>
  <c r="E228" i="6"/>
  <c r="E232" i="6"/>
  <c r="E236" i="6"/>
  <c r="E239" i="6"/>
  <c r="E241" i="6"/>
  <c r="E243" i="6"/>
  <c r="E245" i="6"/>
  <c r="E247" i="6"/>
  <c r="E249" i="6"/>
  <c r="E251" i="6"/>
  <c r="E253" i="6"/>
  <c r="E255" i="6"/>
  <c r="E257" i="6"/>
  <c r="E259" i="6"/>
  <c r="E261" i="6"/>
  <c r="E263" i="6"/>
  <c r="E265" i="6"/>
  <c r="E267" i="6"/>
  <c r="E269" i="6"/>
  <c r="E271" i="6"/>
  <c r="E273" i="6"/>
  <c r="E275" i="6"/>
  <c r="E277" i="6"/>
  <c r="E279" i="6"/>
  <c r="E281" i="6"/>
  <c r="E283" i="6"/>
  <c r="E285" i="6"/>
  <c r="E287" i="6"/>
  <c r="E289" i="6"/>
  <c r="E291" i="6"/>
  <c r="E293" i="6"/>
  <c r="E295" i="6"/>
  <c r="E297" i="6"/>
  <c r="E299" i="6"/>
  <c r="E301" i="6"/>
  <c r="E303" i="6"/>
  <c r="E305" i="6"/>
  <c r="E307" i="6"/>
  <c r="E309" i="6"/>
  <c r="E311" i="6"/>
  <c r="E313" i="6"/>
  <c r="E315" i="6"/>
  <c r="D16" i="6"/>
  <c r="F20" i="6"/>
  <c r="F24" i="6"/>
  <c r="F28" i="6"/>
  <c r="F32" i="6"/>
  <c r="F36" i="6"/>
  <c r="F40" i="6"/>
  <c r="F44" i="6"/>
  <c r="F48" i="6"/>
  <c r="F52" i="6"/>
  <c r="F56" i="6"/>
  <c r="F60" i="6"/>
  <c r="F64" i="6"/>
  <c r="F68" i="6"/>
  <c r="F72" i="6"/>
  <c r="F76" i="6"/>
  <c r="F80" i="6"/>
  <c r="F84" i="6"/>
  <c r="F88" i="6"/>
  <c r="E54" i="6"/>
  <c r="E75" i="6"/>
  <c r="E88" i="6"/>
  <c r="E96" i="6"/>
  <c r="E104" i="6"/>
  <c r="E112" i="6"/>
  <c r="E120" i="6"/>
  <c r="E128" i="6"/>
  <c r="E136" i="6"/>
  <c r="E144" i="6"/>
  <c r="E149" i="6"/>
  <c r="E153" i="6"/>
  <c r="E157" i="6"/>
  <c r="E161" i="6"/>
  <c r="E165" i="6"/>
  <c r="E169" i="6"/>
  <c r="E173" i="6"/>
  <c r="E177" i="6"/>
  <c r="E181" i="6"/>
  <c r="E185" i="6"/>
  <c r="E189" i="6"/>
  <c r="E193" i="6"/>
  <c r="E197" i="6"/>
  <c r="E201" i="6"/>
  <c r="E205" i="6"/>
  <c r="E209" i="6"/>
  <c r="E213" i="6"/>
  <c r="E217" i="6"/>
  <c r="E221" i="6"/>
  <c r="E225" i="6"/>
  <c r="E229" i="6"/>
  <c r="E233" i="6"/>
  <c r="E237" i="6"/>
  <c r="D240" i="6"/>
  <c r="D242" i="6"/>
  <c r="D244" i="6"/>
  <c r="D246" i="6"/>
  <c r="D248" i="6"/>
  <c r="D250" i="6"/>
  <c r="D252" i="6"/>
  <c r="D254" i="6"/>
  <c r="D256" i="6"/>
  <c r="D258" i="6"/>
  <c r="D260" i="6"/>
  <c r="D262" i="6"/>
  <c r="D264" i="6"/>
  <c r="D266" i="6"/>
  <c r="D268" i="6"/>
  <c r="D270" i="6"/>
  <c r="D272" i="6"/>
  <c r="D274" i="6"/>
  <c r="D276" i="6"/>
  <c r="D278" i="6"/>
  <c r="D280" i="6"/>
  <c r="D282" i="6"/>
  <c r="D284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314" i="6"/>
  <c r="E17" i="6"/>
  <c r="F17" i="6"/>
  <c r="F21" i="6"/>
  <c r="F25" i="6"/>
  <c r="F29" i="6"/>
  <c r="F33" i="6"/>
  <c r="F37" i="6"/>
  <c r="F41" i="6"/>
  <c r="F45" i="6"/>
  <c r="F49" i="6"/>
  <c r="F53" i="6"/>
  <c r="F57" i="6"/>
  <c r="F61" i="6"/>
  <c r="F65" i="6"/>
  <c r="E61" i="6"/>
  <c r="E80" i="6"/>
  <c r="E90" i="6"/>
  <c r="E98" i="6"/>
  <c r="E106" i="6"/>
  <c r="E114" i="6"/>
  <c r="E122" i="6"/>
  <c r="E130" i="6"/>
  <c r="E138" i="6"/>
  <c r="E146" i="6"/>
  <c r="E150" i="6"/>
  <c r="E154" i="6"/>
  <c r="E158" i="6"/>
  <c r="E162" i="6"/>
  <c r="E166" i="6"/>
  <c r="E170" i="6"/>
  <c r="E174" i="6"/>
  <c r="E178" i="6"/>
  <c r="E182" i="6"/>
  <c r="E186" i="6"/>
  <c r="E190" i="6"/>
  <c r="E194" i="6"/>
  <c r="E198" i="6"/>
  <c r="E202" i="6"/>
  <c r="E206" i="6"/>
  <c r="E210" i="6"/>
  <c r="E214" i="6"/>
  <c r="E218" i="6"/>
  <c r="E222" i="6"/>
  <c r="E226" i="6"/>
  <c r="E230" i="6"/>
  <c r="E234" i="6"/>
  <c r="D238" i="6"/>
  <c r="E240" i="6"/>
  <c r="E242" i="6"/>
  <c r="E244" i="6"/>
  <c r="E246" i="6"/>
  <c r="E248" i="6"/>
  <c r="E250" i="6"/>
  <c r="E252" i="6"/>
  <c r="E254" i="6"/>
  <c r="E256" i="6"/>
  <c r="E258" i="6"/>
  <c r="E260" i="6"/>
  <c r="E262" i="6"/>
  <c r="E264" i="6"/>
  <c r="E266" i="6"/>
  <c r="E268" i="6"/>
  <c r="E270" i="6"/>
  <c r="E272" i="6"/>
  <c r="E274" i="6"/>
  <c r="E276" i="6"/>
  <c r="E278" i="6"/>
  <c r="E280" i="6"/>
  <c r="E282" i="6"/>
  <c r="E284" i="6"/>
  <c r="E286" i="6"/>
  <c r="E288" i="6"/>
  <c r="E290" i="6"/>
  <c r="E292" i="6"/>
  <c r="E294" i="6"/>
  <c r="E296" i="6"/>
  <c r="E298" i="6"/>
  <c r="E300" i="6"/>
  <c r="E302" i="6"/>
  <c r="E304" i="6"/>
  <c r="E306" i="6"/>
  <c r="E308" i="6"/>
  <c r="E310" i="6"/>
  <c r="E312" i="6"/>
  <c r="E314" i="6"/>
  <c r="D17" i="6"/>
  <c r="F18" i="6"/>
  <c r="F22" i="6"/>
  <c r="F26" i="6"/>
  <c r="F30" i="6"/>
  <c r="F34" i="6"/>
  <c r="F38" i="6"/>
  <c r="F42" i="6"/>
  <c r="F46" i="6"/>
  <c r="F50" i="6"/>
  <c r="F54" i="6"/>
  <c r="F58" i="6"/>
  <c r="F62" i="6"/>
  <c r="F66" i="6"/>
  <c r="F98" i="6"/>
  <c r="F94" i="6"/>
  <c r="F90" i="6"/>
  <c r="F85" i="6"/>
  <c r="F79" i="6"/>
  <c r="F74" i="6"/>
  <c r="F69" i="6"/>
  <c r="F55" i="6"/>
  <c r="F39" i="6"/>
  <c r="F23" i="6"/>
  <c r="D313" i="6"/>
  <c r="D305" i="6"/>
  <c r="D297" i="6"/>
  <c r="D289" i="6"/>
  <c r="D281" i="6"/>
  <c r="D273" i="6"/>
  <c r="D265" i="6"/>
  <c r="D257" i="6"/>
  <c r="D249" i="6"/>
  <c r="D241" i="6"/>
  <c r="E227" i="6"/>
  <c r="E211" i="6"/>
  <c r="E195" i="6"/>
  <c r="E179" i="6"/>
  <c r="E163" i="6"/>
  <c r="E147" i="6"/>
  <c r="E116" i="6"/>
  <c r="E84" i="6"/>
  <c r="H11" i="5"/>
  <c r="F128" i="6"/>
  <c r="F124" i="6"/>
  <c r="F120" i="6"/>
  <c r="F116" i="6"/>
  <c r="F112" i="6"/>
  <c r="F108" i="6"/>
  <c r="F104" i="6"/>
  <c r="F100" i="6"/>
  <c r="F96" i="6"/>
  <c r="F92" i="6"/>
  <c r="F87" i="6"/>
  <c r="F82" i="6"/>
  <c r="F77" i="6"/>
  <c r="F71" i="6"/>
  <c r="F63" i="6"/>
  <c r="F47" i="6"/>
  <c r="F31" i="6"/>
  <c r="E16" i="6"/>
  <c r="G16" i="6" s="1"/>
  <c r="C17" i="6" s="1"/>
  <c r="D309" i="6"/>
  <c r="D301" i="6"/>
  <c r="D293" i="6"/>
  <c r="D285" i="6"/>
  <c r="D277" i="6"/>
  <c r="D269" i="6"/>
  <c r="D261" i="6"/>
  <c r="D253" i="6"/>
  <c r="D245" i="6"/>
  <c r="E235" i="6"/>
  <c r="E219" i="6"/>
  <c r="E203" i="6"/>
  <c r="E187" i="6"/>
  <c r="E171" i="6"/>
  <c r="E155" i="6"/>
  <c r="E132" i="6"/>
  <c r="E100" i="6"/>
  <c r="E52" i="6"/>
  <c r="F112" i="1"/>
  <c r="E104" i="1"/>
  <c r="E47" i="6"/>
  <c r="E31" i="6"/>
  <c r="E6" i="7" a="1"/>
  <c r="E6" i="7" s="1"/>
  <c r="E111" i="1"/>
  <c r="F116" i="1"/>
  <c r="C100" i="1"/>
  <c r="C3" i="7" s="1"/>
  <c r="D61" i="6"/>
  <c r="D57" i="6"/>
  <c r="E53" i="6"/>
  <c r="E43" i="6"/>
  <c r="E27" i="6"/>
  <c r="E118" i="1"/>
  <c r="F120" i="1" s="1"/>
  <c r="E83" i="6"/>
  <c r="D81" i="6"/>
  <c r="E77" i="6"/>
  <c r="E74" i="6"/>
  <c r="E70" i="6"/>
  <c r="D67" i="6"/>
  <c r="E63" i="6"/>
  <c r="E59" i="6"/>
  <c r="E56" i="6"/>
  <c r="D53" i="6"/>
  <c r="E39" i="6"/>
  <c r="I5" i="5"/>
  <c r="I6" i="5"/>
  <c r="I7" i="5"/>
  <c r="I8" i="5"/>
  <c r="I9" i="5"/>
  <c r="I10" i="5"/>
  <c r="E50" i="6"/>
  <c r="E46" i="6"/>
  <c r="E42" i="6"/>
  <c r="E38" i="6"/>
  <c r="E34" i="6"/>
  <c r="E30" i="6"/>
  <c r="E26" i="6"/>
  <c r="E22" i="6"/>
  <c r="D19" i="6"/>
  <c r="E49" i="6"/>
  <c r="E45" i="6"/>
  <c r="E41" i="6"/>
  <c r="E37" i="6"/>
  <c r="E33" i="6"/>
  <c r="E29" i="6"/>
  <c r="E25" i="6"/>
  <c r="E21" i="6"/>
  <c r="D50" i="6"/>
  <c r="D79" i="6"/>
  <c r="E76" i="6"/>
  <c r="E73" i="6"/>
  <c r="D71" i="6"/>
  <c r="E68" i="6"/>
  <c r="E65" i="6"/>
  <c r="D63" i="6"/>
  <c r="E60" i="6"/>
  <c r="E57" i="6"/>
  <c r="D55" i="6"/>
  <c r="E48" i="6"/>
  <c r="E44" i="6"/>
  <c r="E40" i="6"/>
  <c r="E36" i="6"/>
  <c r="E32" i="6"/>
  <c r="E28" i="6"/>
  <c r="E24" i="6"/>
  <c r="E20" i="6"/>
  <c r="D18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48" i="6"/>
  <c r="D46" i="6"/>
  <c r="D44" i="6"/>
  <c r="D42" i="6"/>
  <c r="D40" i="6"/>
  <c r="D38" i="6"/>
  <c r="D36" i="6"/>
  <c r="D34" i="6"/>
  <c r="D32" i="6"/>
  <c r="D30" i="6"/>
  <c r="D28" i="6"/>
  <c r="D26" i="6"/>
  <c r="D24" i="6"/>
  <c r="D22" i="6"/>
  <c r="D20" i="6"/>
  <c r="E18" i="6"/>
  <c r="E19" i="6"/>
  <c r="C23" i="3"/>
  <c r="F10" i="3"/>
  <c r="E23" i="3"/>
  <c r="F20" i="3"/>
  <c r="F23" i="3" s="1"/>
  <c r="H62" i="1"/>
  <c r="B63" i="1" s="1"/>
  <c r="D23" i="3"/>
  <c r="I4" i="2"/>
  <c r="I11" i="2" s="1"/>
  <c r="H11" i="2"/>
  <c r="G11" i="2"/>
  <c r="H27" i="1"/>
  <c r="B29" i="1" s="1"/>
  <c r="B31" i="1" s="1"/>
  <c r="C43" i="1" s="1"/>
  <c r="G17" i="6" l="1"/>
  <c r="C18" i="6" s="1"/>
  <c r="G18" i="6" s="1"/>
  <c r="C19" i="6" s="1"/>
  <c r="C11" i="4"/>
  <c r="C15" i="4" s="1"/>
  <c r="C12" i="4"/>
  <c r="I11" i="5"/>
  <c r="G19" i="6"/>
  <c r="C20" i="6" s="1"/>
  <c r="G20" i="6" s="1"/>
  <c r="C21" i="6" s="1"/>
  <c r="G21" i="6" s="1"/>
  <c r="C22" i="6" s="1"/>
  <c r="G22" i="6" s="1"/>
  <c r="C23" i="6" s="1"/>
  <c r="G23" i="6" s="1"/>
  <c r="C24" i="6" s="1"/>
  <c r="G24" i="6" s="1"/>
  <c r="C25" i="6" s="1"/>
  <c r="G25" i="6" s="1"/>
  <c r="C26" i="6" s="1"/>
  <c r="G26" i="6" s="1"/>
  <c r="C27" i="6" s="1"/>
  <c r="G27" i="6" s="1"/>
  <c r="C28" i="6" s="1"/>
  <c r="G28" i="6" s="1"/>
  <c r="C29" i="6" s="1"/>
  <c r="G29" i="6" s="1"/>
  <c r="C30" i="6" s="1"/>
  <c r="G30" i="6" s="1"/>
  <c r="C31" i="6" s="1"/>
  <c r="G31" i="6" s="1"/>
  <c r="C32" i="6" s="1"/>
  <c r="G32" i="6" s="1"/>
  <c r="C33" i="6" s="1"/>
  <c r="G33" i="6" s="1"/>
  <c r="C34" i="6" s="1"/>
  <c r="G34" i="6" s="1"/>
  <c r="C35" i="6" s="1"/>
  <c r="G35" i="6" s="1"/>
  <c r="C36" i="6" s="1"/>
  <c r="G36" i="6" s="1"/>
  <c r="C37" i="6" s="1"/>
  <c r="G37" i="6" s="1"/>
  <c r="C38" i="6" s="1"/>
  <c r="G38" i="6" s="1"/>
  <c r="C39" i="6" s="1"/>
  <c r="G39" i="6" s="1"/>
  <c r="C40" i="6" s="1"/>
  <c r="G40" i="6" s="1"/>
  <c r="C41" i="6" s="1"/>
  <c r="G41" i="6" s="1"/>
  <c r="C42" i="6" s="1"/>
  <c r="G42" i="6" s="1"/>
  <c r="C43" i="6" s="1"/>
  <c r="G43" i="6" s="1"/>
  <c r="C44" i="6" s="1"/>
  <c r="G44" i="6" s="1"/>
  <c r="C45" i="6" s="1"/>
  <c r="G45" i="6" s="1"/>
  <c r="C46" i="6" s="1"/>
  <c r="G46" i="6" s="1"/>
  <c r="C47" i="6" s="1"/>
  <c r="G47" i="6" s="1"/>
  <c r="C48" i="6" s="1"/>
  <c r="G48" i="6" s="1"/>
  <c r="C49" i="6" s="1"/>
  <c r="G49" i="6" s="1"/>
  <c r="C50" i="6" s="1"/>
  <c r="G50" i="6" s="1"/>
  <c r="C51" i="6" s="1"/>
  <c r="G51" i="6" s="1"/>
  <c r="C52" i="6" s="1"/>
  <c r="G52" i="6" s="1"/>
  <c r="C53" i="6" s="1"/>
  <c r="G53" i="6" s="1"/>
  <c r="C54" i="6" s="1"/>
  <c r="G54" i="6" s="1"/>
  <c r="C55" i="6" s="1"/>
  <c r="G55" i="6" s="1"/>
  <c r="C56" i="6" s="1"/>
  <c r="G56" i="6" s="1"/>
  <c r="C57" i="6" s="1"/>
  <c r="G57" i="6" s="1"/>
  <c r="C58" i="6" s="1"/>
  <c r="G58" i="6" s="1"/>
  <c r="C59" i="6" s="1"/>
  <c r="G59" i="6" s="1"/>
  <c r="C60" i="6" s="1"/>
  <c r="G60" i="6" s="1"/>
  <c r="C61" i="6" s="1"/>
  <c r="G61" i="6" s="1"/>
  <c r="C62" i="6" s="1"/>
  <c r="G62" i="6" s="1"/>
  <c r="C63" i="6" s="1"/>
  <c r="G63" i="6" s="1"/>
  <c r="C64" i="6" s="1"/>
  <c r="G64" i="6" s="1"/>
  <c r="C65" i="6" s="1"/>
  <c r="G65" i="6" s="1"/>
  <c r="C66" i="6" s="1"/>
  <c r="G66" i="6" s="1"/>
  <c r="C67" i="6" s="1"/>
  <c r="G67" i="6" s="1"/>
  <c r="C68" i="6" s="1"/>
  <c r="G68" i="6" s="1"/>
  <c r="C69" i="6" s="1"/>
  <c r="G69" i="6" s="1"/>
  <c r="C70" i="6" s="1"/>
  <c r="G70" i="6" s="1"/>
  <c r="C71" i="6" s="1"/>
  <c r="G71" i="6" s="1"/>
  <c r="C72" i="6" s="1"/>
  <c r="G72" i="6" s="1"/>
  <c r="C73" i="6" s="1"/>
  <c r="G73" i="6" s="1"/>
  <c r="C74" i="6" s="1"/>
  <c r="G74" i="6" s="1"/>
  <c r="C75" i="6" s="1"/>
  <c r="G75" i="6" s="1"/>
  <c r="C76" i="6" s="1"/>
  <c r="G76" i="6" s="1"/>
  <c r="C77" i="6" s="1"/>
  <c r="G77" i="6" s="1"/>
  <c r="C78" i="6" s="1"/>
  <c r="G78" i="6" s="1"/>
  <c r="C79" i="6" s="1"/>
  <c r="G79" i="6" s="1"/>
  <c r="C80" i="6" s="1"/>
  <c r="G80" i="6" s="1"/>
  <c r="C81" i="6" s="1"/>
  <c r="G81" i="6" s="1"/>
  <c r="C82" i="6" s="1"/>
  <c r="G82" i="6" s="1"/>
  <c r="C83" i="6" s="1"/>
  <c r="G83" i="6" s="1"/>
  <c r="C84" i="6" s="1"/>
  <c r="G84" i="6" s="1"/>
  <c r="C85" i="6" s="1"/>
  <c r="G85" i="6" s="1"/>
  <c r="C86" i="6" s="1"/>
  <c r="G86" i="6" s="1"/>
  <c r="C87" i="6" s="1"/>
  <c r="G87" i="6" s="1"/>
  <c r="C88" i="6" s="1"/>
  <c r="G88" i="6" s="1"/>
  <c r="C89" i="6" s="1"/>
  <c r="G89" i="6" s="1"/>
  <c r="C90" i="6" s="1"/>
  <c r="G90" i="6" s="1"/>
  <c r="C91" i="6" s="1"/>
  <c r="G91" i="6" s="1"/>
  <c r="C92" i="6" s="1"/>
  <c r="G92" i="6" s="1"/>
  <c r="C93" i="6" s="1"/>
  <c r="G93" i="6" s="1"/>
  <c r="C94" i="6" s="1"/>
  <c r="G94" i="6" s="1"/>
  <c r="C95" i="6" s="1"/>
  <c r="G95" i="6" s="1"/>
  <c r="C96" i="6" s="1"/>
  <c r="G96" i="6" s="1"/>
  <c r="C97" i="6" s="1"/>
  <c r="G97" i="6" s="1"/>
  <c r="C98" i="6" s="1"/>
  <c r="G98" i="6" s="1"/>
  <c r="C99" i="6" s="1"/>
  <c r="G99" i="6" s="1"/>
  <c r="C100" i="6" s="1"/>
  <c r="G100" i="6" s="1"/>
  <c r="C101" i="6" s="1"/>
  <c r="G101" i="6" s="1"/>
  <c r="C102" i="6" s="1"/>
  <c r="G102" i="6" s="1"/>
  <c r="C103" i="6" s="1"/>
  <c r="G103" i="6" s="1"/>
  <c r="C104" i="6" s="1"/>
  <c r="G104" i="6" s="1"/>
  <c r="C105" i="6" s="1"/>
  <c r="G105" i="6" s="1"/>
  <c r="C106" i="6" s="1"/>
  <c r="G106" i="6" s="1"/>
  <c r="C107" i="6" s="1"/>
  <c r="G107" i="6" s="1"/>
  <c r="C108" i="6" s="1"/>
  <c r="G108" i="6" s="1"/>
  <c r="C109" i="6" s="1"/>
  <c r="G109" i="6" s="1"/>
  <c r="C110" i="6" s="1"/>
  <c r="G110" i="6" s="1"/>
  <c r="C111" i="6" s="1"/>
  <c r="G111" i="6" s="1"/>
  <c r="C112" i="6" s="1"/>
  <c r="G112" i="6" s="1"/>
  <c r="C113" i="6" s="1"/>
  <c r="G113" i="6" s="1"/>
  <c r="C114" i="6" s="1"/>
  <c r="G114" i="6" s="1"/>
  <c r="C115" i="6" s="1"/>
  <c r="G115" i="6" s="1"/>
  <c r="C116" i="6" s="1"/>
  <c r="G116" i="6" s="1"/>
  <c r="C117" i="6" s="1"/>
  <c r="G117" i="6" s="1"/>
  <c r="C118" i="6" s="1"/>
  <c r="G118" i="6" s="1"/>
  <c r="C119" i="6" s="1"/>
  <c r="G119" i="6" s="1"/>
  <c r="C120" i="6" s="1"/>
  <c r="G120" i="6" s="1"/>
  <c r="C121" i="6" s="1"/>
  <c r="G121" i="6" s="1"/>
  <c r="C122" i="6" s="1"/>
  <c r="G122" i="6" s="1"/>
  <c r="C123" i="6" s="1"/>
  <c r="G123" i="6" s="1"/>
  <c r="C124" i="6" s="1"/>
  <c r="G124" i="6" s="1"/>
  <c r="C125" i="6" s="1"/>
  <c r="G125" i="6" s="1"/>
  <c r="C126" i="6" s="1"/>
  <c r="G126" i="6" s="1"/>
  <c r="C127" i="6" s="1"/>
  <c r="G127" i="6" s="1"/>
  <c r="C128" i="6" s="1"/>
  <c r="G128" i="6" s="1"/>
  <c r="C129" i="6" s="1"/>
  <c r="G129" i="6" s="1"/>
  <c r="C130" i="6" s="1"/>
  <c r="G130" i="6" s="1"/>
  <c r="C131" i="6" s="1"/>
  <c r="G131" i="6" s="1"/>
  <c r="C132" i="6" s="1"/>
  <c r="G132" i="6" s="1"/>
  <c r="C133" i="6" s="1"/>
  <c r="G133" i="6" s="1"/>
  <c r="C134" i="6" s="1"/>
  <c r="G134" i="6" s="1"/>
  <c r="C135" i="6" s="1"/>
  <c r="G135" i="6" s="1"/>
  <c r="C136" i="6" s="1"/>
  <c r="G136" i="6" s="1"/>
  <c r="C137" i="6" s="1"/>
  <c r="G137" i="6" s="1"/>
  <c r="C138" i="6" s="1"/>
  <c r="G138" i="6" s="1"/>
  <c r="C139" i="6" s="1"/>
  <c r="G139" i="6" s="1"/>
  <c r="C140" i="6" s="1"/>
  <c r="G140" i="6" s="1"/>
  <c r="C141" i="6" s="1"/>
  <c r="G141" i="6" s="1"/>
  <c r="C142" i="6" s="1"/>
  <c r="G142" i="6" s="1"/>
  <c r="C143" i="6" s="1"/>
  <c r="G143" i="6" s="1"/>
  <c r="C144" i="6" s="1"/>
  <c r="G144" i="6" s="1"/>
  <c r="C145" i="6" s="1"/>
  <c r="G145" i="6" s="1"/>
  <c r="C146" i="6" s="1"/>
  <c r="G146" i="6" s="1"/>
  <c r="C147" i="6" s="1"/>
  <c r="G147" i="6" s="1"/>
  <c r="C148" i="6" s="1"/>
  <c r="G148" i="6" s="1"/>
  <c r="C149" i="6" s="1"/>
  <c r="G149" i="6" s="1"/>
  <c r="C150" i="6" s="1"/>
  <c r="G150" i="6" s="1"/>
  <c r="C151" i="6" s="1"/>
  <c r="G151" i="6" s="1"/>
  <c r="C152" i="6" s="1"/>
  <c r="G152" i="6" s="1"/>
  <c r="C153" i="6" s="1"/>
  <c r="G153" i="6" s="1"/>
  <c r="C154" i="6" s="1"/>
  <c r="G154" i="6" s="1"/>
  <c r="C155" i="6" s="1"/>
  <c r="G155" i="6" s="1"/>
  <c r="C156" i="6" s="1"/>
  <c r="G156" i="6" s="1"/>
  <c r="C157" i="6" s="1"/>
  <c r="G157" i="6" s="1"/>
  <c r="C158" i="6" s="1"/>
  <c r="G158" i="6" s="1"/>
  <c r="C159" i="6" s="1"/>
  <c r="G159" i="6" s="1"/>
  <c r="C160" i="6" s="1"/>
  <c r="G160" i="6" s="1"/>
  <c r="C161" i="6" s="1"/>
  <c r="G161" i="6" s="1"/>
  <c r="C162" i="6" s="1"/>
  <c r="G162" i="6" s="1"/>
  <c r="C163" i="6" s="1"/>
  <c r="G163" i="6" s="1"/>
  <c r="C164" i="6" s="1"/>
  <c r="G164" i="6" s="1"/>
  <c r="C165" i="6" s="1"/>
  <c r="G165" i="6" s="1"/>
  <c r="C166" i="6" s="1"/>
  <c r="G166" i="6" s="1"/>
  <c r="C167" i="6" s="1"/>
  <c r="G167" i="6" s="1"/>
  <c r="C168" i="6" s="1"/>
  <c r="G168" i="6" s="1"/>
  <c r="C169" i="6" s="1"/>
  <c r="G169" i="6" s="1"/>
  <c r="C170" i="6" s="1"/>
  <c r="G170" i="6" s="1"/>
  <c r="C171" i="6" s="1"/>
  <c r="G171" i="6" s="1"/>
  <c r="C172" i="6" s="1"/>
  <c r="G172" i="6" s="1"/>
  <c r="C173" i="6" s="1"/>
  <c r="G173" i="6" s="1"/>
  <c r="C174" i="6" s="1"/>
  <c r="G174" i="6" s="1"/>
  <c r="C175" i="6" s="1"/>
  <c r="G175" i="6" s="1"/>
  <c r="C176" i="6" s="1"/>
  <c r="G176" i="6" s="1"/>
  <c r="C177" i="6" s="1"/>
  <c r="G177" i="6" s="1"/>
  <c r="C178" i="6" s="1"/>
  <c r="G178" i="6" s="1"/>
  <c r="C179" i="6" s="1"/>
  <c r="G179" i="6" s="1"/>
  <c r="C180" i="6" s="1"/>
  <c r="G180" i="6" s="1"/>
  <c r="C181" i="6" s="1"/>
  <c r="G181" i="6" s="1"/>
  <c r="C182" i="6" s="1"/>
  <c r="G182" i="6" s="1"/>
  <c r="C183" i="6" s="1"/>
  <c r="G183" i="6" s="1"/>
  <c r="C184" i="6" s="1"/>
  <c r="G184" i="6" s="1"/>
  <c r="C185" i="6" s="1"/>
  <c r="G185" i="6" s="1"/>
  <c r="C186" i="6" s="1"/>
  <c r="G186" i="6" s="1"/>
  <c r="C187" i="6" s="1"/>
  <c r="G187" i="6" s="1"/>
  <c r="C188" i="6" s="1"/>
  <c r="G188" i="6" s="1"/>
  <c r="C189" i="6" s="1"/>
  <c r="G189" i="6" s="1"/>
  <c r="C190" i="6" s="1"/>
  <c r="G190" i="6" s="1"/>
  <c r="C191" i="6" s="1"/>
  <c r="G191" i="6" s="1"/>
  <c r="C192" i="6" s="1"/>
  <c r="G192" i="6" s="1"/>
  <c r="C193" i="6" s="1"/>
  <c r="G193" i="6" s="1"/>
  <c r="C194" i="6" s="1"/>
  <c r="G194" i="6" s="1"/>
  <c r="C195" i="6" s="1"/>
  <c r="G195" i="6" s="1"/>
  <c r="C196" i="6" s="1"/>
  <c r="G196" i="6" s="1"/>
  <c r="C197" i="6" s="1"/>
  <c r="G197" i="6" s="1"/>
  <c r="C198" i="6" s="1"/>
  <c r="G198" i="6" s="1"/>
  <c r="C199" i="6" s="1"/>
  <c r="G199" i="6" s="1"/>
  <c r="C200" i="6" s="1"/>
  <c r="G200" i="6" s="1"/>
  <c r="C201" i="6" s="1"/>
  <c r="G201" i="6" s="1"/>
  <c r="C202" i="6" s="1"/>
  <c r="G202" i="6" s="1"/>
  <c r="C203" i="6" s="1"/>
  <c r="G203" i="6" s="1"/>
  <c r="C204" i="6" s="1"/>
  <c r="G204" i="6" s="1"/>
  <c r="C205" i="6" s="1"/>
  <c r="G205" i="6" s="1"/>
  <c r="C206" i="6" s="1"/>
  <c r="G206" i="6" s="1"/>
  <c r="C207" i="6" s="1"/>
  <c r="G207" i="6" s="1"/>
  <c r="C208" i="6" s="1"/>
  <c r="G208" i="6" s="1"/>
  <c r="C209" i="6" s="1"/>
  <c r="G209" i="6" s="1"/>
  <c r="C210" i="6" s="1"/>
  <c r="G210" i="6" s="1"/>
  <c r="C211" i="6" s="1"/>
  <c r="G211" i="6" s="1"/>
  <c r="C212" i="6" s="1"/>
  <c r="G212" i="6" s="1"/>
  <c r="C213" i="6" s="1"/>
  <c r="G213" i="6" s="1"/>
  <c r="C214" i="6" s="1"/>
  <c r="G214" i="6" s="1"/>
  <c r="C215" i="6" s="1"/>
  <c r="G215" i="6" s="1"/>
  <c r="C216" i="6" s="1"/>
  <c r="G216" i="6" s="1"/>
  <c r="C217" i="6" s="1"/>
  <c r="G217" i="6" s="1"/>
  <c r="C218" i="6" s="1"/>
  <c r="G218" i="6" s="1"/>
  <c r="C219" i="6" s="1"/>
  <c r="G219" i="6" s="1"/>
  <c r="C220" i="6" s="1"/>
  <c r="G220" i="6" s="1"/>
  <c r="C221" i="6" s="1"/>
  <c r="G221" i="6" s="1"/>
  <c r="C222" i="6" s="1"/>
  <c r="G222" i="6" s="1"/>
  <c r="C223" i="6" s="1"/>
  <c r="G223" i="6" s="1"/>
  <c r="C224" i="6" s="1"/>
  <c r="G224" i="6" s="1"/>
  <c r="C225" i="6" s="1"/>
  <c r="G225" i="6" s="1"/>
  <c r="C226" i="6" s="1"/>
  <c r="G226" i="6" s="1"/>
  <c r="C227" i="6" s="1"/>
  <c r="G227" i="6" s="1"/>
  <c r="C228" i="6" s="1"/>
  <c r="G228" i="6" s="1"/>
  <c r="C229" i="6" s="1"/>
  <c r="G229" i="6" s="1"/>
  <c r="C230" i="6" s="1"/>
  <c r="G230" i="6" s="1"/>
  <c r="C231" i="6" s="1"/>
  <c r="G231" i="6" s="1"/>
  <c r="C232" i="6" s="1"/>
  <c r="G232" i="6" s="1"/>
  <c r="C233" i="6" s="1"/>
  <c r="G233" i="6" s="1"/>
  <c r="C234" i="6" s="1"/>
  <c r="G234" i="6" s="1"/>
  <c r="C235" i="6" s="1"/>
  <c r="G235" i="6" s="1"/>
  <c r="C236" i="6" s="1"/>
  <c r="G236" i="6" s="1"/>
  <c r="C237" i="6" s="1"/>
  <c r="G237" i="6" s="1"/>
  <c r="C238" i="6" s="1"/>
  <c r="G238" i="6" s="1"/>
  <c r="C239" i="6" s="1"/>
  <c r="G239" i="6" s="1"/>
  <c r="C240" i="6" s="1"/>
  <c r="G240" i="6" s="1"/>
  <c r="C241" i="6" s="1"/>
  <c r="G241" i="6" s="1"/>
  <c r="C242" i="6" s="1"/>
  <c r="G242" i="6" s="1"/>
  <c r="C243" i="6" s="1"/>
  <c r="G243" i="6" s="1"/>
  <c r="C244" i="6" s="1"/>
  <c r="G244" i="6" s="1"/>
  <c r="C245" i="6" s="1"/>
  <c r="G245" i="6" s="1"/>
  <c r="C246" i="6" s="1"/>
  <c r="G246" i="6" s="1"/>
  <c r="C247" i="6" s="1"/>
  <c r="G247" i="6" s="1"/>
  <c r="C248" i="6" s="1"/>
  <c r="G248" i="6" s="1"/>
  <c r="C249" i="6" s="1"/>
  <c r="G249" i="6" s="1"/>
  <c r="C250" i="6" s="1"/>
  <c r="G250" i="6" s="1"/>
  <c r="C251" i="6" s="1"/>
  <c r="G251" i="6" s="1"/>
  <c r="C252" i="6" s="1"/>
  <c r="G252" i="6" s="1"/>
  <c r="C253" i="6" s="1"/>
  <c r="G253" i="6" s="1"/>
  <c r="C254" i="6" s="1"/>
  <c r="G254" i="6" s="1"/>
  <c r="C255" i="6" s="1"/>
  <c r="G255" i="6" s="1"/>
  <c r="C256" i="6" s="1"/>
  <c r="G256" i="6" s="1"/>
  <c r="C257" i="6" s="1"/>
  <c r="G257" i="6" s="1"/>
  <c r="C258" i="6" s="1"/>
  <c r="G258" i="6" s="1"/>
  <c r="C259" i="6" s="1"/>
  <c r="G259" i="6" s="1"/>
  <c r="C260" i="6" s="1"/>
  <c r="G260" i="6" s="1"/>
  <c r="C261" i="6" s="1"/>
  <c r="G261" i="6" s="1"/>
  <c r="C262" i="6" s="1"/>
  <c r="G262" i="6" s="1"/>
  <c r="C263" i="6" s="1"/>
  <c r="G263" i="6" s="1"/>
  <c r="C264" i="6" s="1"/>
  <c r="G264" i="6" s="1"/>
  <c r="C265" i="6" s="1"/>
  <c r="G265" i="6" s="1"/>
  <c r="C266" i="6" s="1"/>
  <c r="G266" i="6" s="1"/>
  <c r="C267" i="6" s="1"/>
  <c r="G267" i="6" s="1"/>
  <c r="C268" i="6" s="1"/>
  <c r="G268" i="6" s="1"/>
  <c r="C269" i="6" s="1"/>
  <c r="G269" i="6" s="1"/>
  <c r="C270" i="6" s="1"/>
  <c r="G270" i="6" s="1"/>
  <c r="C271" i="6" s="1"/>
  <c r="G271" i="6" s="1"/>
  <c r="C272" i="6" s="1"/>
  <c r="G272" i="6" s="1"/>
  <c r="C273" i="6" s="1"/>
  <c r="G273" i="6" s="1"/>
  <c r="C274" i="6" s="1"/>
  <c r="G274" i="6" s="1"/>
  <c r="C275" i="6" s="1"/>
  <c r="G275" i="6" s="1"/>
  <c r="C276" i="6" s="1"/>
  <c r="G276" i="6" s="1"/>
  <c r="C277" i="6" s="1"/>
  <c r="G277" i="6" s="1"/>
  <c r="C278" i="6" s="1"/>
  <c r="G278" i="6" s="1"/>
  <c r="C279" i="6" s="1"/>
  <c r="G279" i="6" s="1"/>
  <c r="C280" i="6" s="1"/>
  <c r="G280" i="6" s="1"/>
  <c r="C281" i="6" s="1"/>
  <c r="G281" i="6" s="1"/>
  <c r="C282" i="6" s="1"/>
  <c r="G282" i="6" s="1"/>
  <c r="C283" i="6" s="1"/>
  <c r="G283" i="6" s="1"/>
  <c r="C284" i="6" s="1"/>
  <c r="G284" i="6" s="1"/>
  <c r="C285" i="6" s="1"/>
  <c r="G285" i="6" s="1"/>
  <c r="C286" i="6" s="1"/>
  <c r="G286" i="6" s="1"/>
  <c r="C287" i="6" s="1"/>
  <c r="G287" i="6" s="1"/>
  <c r="C288" i="6" s="1"/>
  <c r="G288" i="6" s="1"/>
  <c r="C289" i="6" s="1"/>
  <c r="G289" i="6" s="1"/>
  <c r="C290" i="6" s="1"/>
  <c r="G290" i="6" s="1"/>
  <c r="C291" i="6" s="1"/>
  <c r="G291" i="6" s="1"/>
  <c r="C292" i="6" s="1"/>
  <c r="G292" i="6" s="1"/>
  <c r="C293" i="6" s="1"/>
  <c r="G293" i="6" s="1"/>
  <c r="C294" i="6" s="1"/>
  <c r="G294" i="6" s="1"/>
  <c r="C295" i="6" s="1"/>
  <c r="G295" i="6" s="1"/>
  <c r="C296" i="6" s="1"/>
  <c r="G296" i="6" s="1"/>
  <c r="C297" i="6" s="1"/>
  <c r="G297" i="6" s="1"/>
  <c r="C298" i="6" s="1"/>
  <c r="G298" i="6" s="1"/>
  <c r="C299" i="6" s="1"/>
  <c r="G299" i="6" s="1"/>
  <c r="C300" i="6" s="1"/>
  <c r="G300" i="6" s="1"/>
  <c r="C301" i="6" s="1"/>
  <c r="G301" i="6" s="1"/>
  <c r="C302" i="6" s="1"/>
  <c r="G302" i="6" s="1"/>
  <c r="C303" i="6" s="1"/>
  <c r="G303" i="6" s="1"/>
  <c r="C304" i="6" s="1"/>
  <c r="G304" i="6" s="1"/>
  <c r="C305" i="6" s="1"/>
  <c r="G305" i="6" s="1"/>
  <c r="C306" i="6" s="1"/>
  <c r="G306" i="6" s="1"/>
  <c r="C307" i="6" s="1"/>
  <c r="G307" i="6" s="1"/>
  <c r="C308" i="6" s="1"/>
  <c r="G308" i="6" s="1"/>
  <c r="C309" i="6" s="1"/>
  <c r="G309" i="6" s="1"/>
  <c r="C310" i="6" s="1"/>
  <c r="G310" i="6" s="1"/>
  <c r="C311" i="6" s="1"/>
  <c r="G311" i="6" s="1"/>
  <c r="C312" i="6" s="1"/>
  <c r="G312" i="6" s="1"/>
  <c r="C313" i="6" s="1"/>
  <c r="G313" i="6" s="1"/>
  <c r="C314" i="6" s="1"/>
  <c r="G314" i="6" s="1"/>
  <c r="C315" i="6" s="1"/>
  <c r="G315" i="6" s="1"/>
  <c r="G20" i="3"/>
  <c r="G23" i="3" s="1"/>
  <c r="B64" i="1"/>
  <c r="B65" i="1" s="1"/>
  <c r="C76" i="1" s="1"/>
  <c r="B17" i="3"/>
  <c r="B18" i="3" s="1"/>
  <c r="C44" i="1"/>
  <c r="B44" i="1" s="1"/>
  <c r="G10" i="3"/>
  <c r="B5" i="3"/>
  <c r="B43" i="1"/>
  <c r="B4" i="6" l="1"/>
  <c r="H20" i="3"/>
  <c r="I20" i="3" s="1"/>
  <c r="B7" i="3"/>
  <c r="B25" i="3" s="1"/>
  <c r="C5" i="3"/>
  <c r="H10" i="3"/>
  <c r="B76" i="1"/>
  <c r="C17" i="3"/>
  <c r="C77" i="1"/>
  <c r="B77" i="1" s="1"/>
  <c r="H23" i="3" l="1"/>
  <c r="I10" i="3"/>
  <c r="D17" i="3"/>
  <c r="C18" i="3"/>
  <c r="C6" i="3"/>
  <c r="C7" i="3" s="1"/>
  <c r="C25" i="3" s="1"/>
  <c r="D5" i="3"/>
  <c r="J20" i="3"/>
  <c r="I23" i="3"/>
  <c r="C21" i="9" l="1"/>
  <c r="C23" i="9" s="1"/>
  <c r="C6" i="9"/>
  <c r="C8" i="9" s="1"/>
  <c r="B39" i="8"/>
  <c r="B41" i="8" s="1"/>
  <c r="B7" i="8"/>
  <c r="B9" i="8" s="1"/>
  <c r="E5" i="3"/>
  <c r="D6" i="3"/>
  <c r="D7" i="3" s="1"/>
  <c r="E17" i="3"/>
  <c r="D18" i="3"/>
  <c r="J10" i="3"/>
  <c r="J23" i="3"/>
  <c r="K20" i="3"/>
  <c r="D25" i="3" l="1"/>
  <c r="F17" i="3"/>
  <c r="E18" i="3"/>
  <c r="K10" i="3"/>
  <c r="F5" i="3"/>
  <c r="E6" i="3"/>
  <c r="E7" i="3" s="1"/>
  <c r="K23" i="3"/>
  <c r="L20" i="3"/>
  <c r="C7" i="8" l="1"/>
  <c r="C9" i="8" s="1"/>
  <c r="D21" i="9"/>
  <c r="D23" i="9" s="1"/>
  <c r="D6" i="9"/>
  <c r="D8" i="9" s="1"/>
  <c r="C39" i="8"/>
  <c r="C41" i="8" s="1"/>
  <c r="E25" i="3"/>
  <c r="G5" i="3"/>
  <c r="F6" i="3"/>
  <c r="F7" i="3" s="1"/>
  <c r="L10" i="3"/>
  <c r="G17" i="3"/>
  <c r="F18" i="3"/>
  <c r="M20" i="3"/>
  <c r="M23" i="3" s="1"/>
  <c r="L23" i="3"/>
  <c r="D39" i="8" l="1"/>
  <c r="D41" i="8" s="1"/>
  <c r="D7" i="8"/>
  <c r="D9" i="8" s="1"/>
  <c r="E21" i="9"/>
  <c r="E23" i="9" s="1"/>
  <c r="E6" i="9"/>
  <c r="E8" i="9" s="1"/>
  <c r="F25" i="3"/>
  <c r="M10" i="3"/>
  <c r="H17" i="3"/>
  <c r="G18" i="3"/>
  <c r="H5" i="3"/>
  <c r="G6" i="3"/>
  <c r="G7" i="3" s="1"/>
  <c r="E39" i="8" l="1"/>
  <c r="E41" i="8" s="1"/>
  <c r="F21" i="9"/>
  <c r="F23" i="9" s="1"/>
  <c r="E7" i="8"/>
  <c r="E9" i="8" s="1"/>
  <c r="F6" i="9"/>
  <c r="F8" i="9" s="1"/>
  <c r="G25" i="3"/>
  <c r="I5" i="3"/>
  <c r="H6" i="3"/>
  <c r="H7" i="3" s="1"/>
  <c r="I17" i="3"/>
  <c r="H18" i="3"/>
  <c r="F39" i="8" l="1"/>
  <c r="F41" i="8" s="1"/>
  <c r="F7" i="8"/>
  <c r="F9" i="8" s="1"/>
  <c r="G21" i="9"/>
  <c r="G23" i="9" s="1"/>
  <c r="G6" i="9"/>
  <c r="G8" i="9" s="1"/>
  <c r="H25" i="3"/>
  <c r="J17" i="3"/>
  <c r="I18" i="3"/>
  <c r="J5" i="3"/>
  <c r="I6" i="3"/>
  <c r="I7" i="3"/>
  <c r="H6" i="9" l="1"/>
  <c r="H8" i="9" s="1"/>
  <c r="G7" i="8"/>
  <c r="G9" i="8" s="1"/>
  <c r="G39" i="8"/>
  <c r="G41" i="8" s="1"/>
  <c r="H21" i="9"/>
  <c r="H23" i="9" s="1"/>
  <c r="I25" i="3"/>
  <c r="K17" i="3"/>
  <c r="J18" i="3"/>
  <c r="K5" i="3"/>
  <c r="J6" i="3"/>
  <c r="J7" i="3" s="1"/>
  <c r="I6" i="9" l="1"/>
  <c r="I8" i="9" s="1"/>
  <c r="H39" i="8"/>
  <c r="H41" i="8" s="1"/>
  <c r="H7" i="8"/>
  <c r="H9" i="8" s="1"/>
  <c r="I21" i="9"/>
  <c r="I23" i="9" s="1"/>
  <c r="J25" i="3"/>
  <c r="L5" i="3"/>
  <c r="K6" i="3"/>
  <c r="K7" i="3" s="1"/>
  <c r="L17" i="3"/>
  <c r="K18" i="3"/>
  <c r="J6" i="9" l="1"/>
  <c r="J8" i="9" s="1"/>
  <c r="I39" i="8"/>
  <c r="I41" i="8" s="1"/>
  <c r="I7" i="8"/>
  <c r="I9" i="8" s="1"/>
  <c r="J21" i="9"/>
  <c r="J23" i="9" s="1"/>
  <c r="K25" i="3"/>
  <c r="M17" i="3"/>
  <c r="M18" i="3" s="1"/>
  <c r="L18" i="3"/>
  <c r="M5" i="3"/>
  <c r="L6" i="3"/>
  <c r="L7" i="3" s="1"/>
  <c r="K21" i="9" l="1"/>
  <c r="K23" i="9" s="1"/>
  <c r="J39" i="8"/>
  <c r="J41" i="8" s="1"/>
  <c r="J7" i="8"/>
  <c r="J9" i="8" s="1"/>
  <c r="K6" i="9"/>
  <c r="K8" i="9" s="1"/>
  <c r="L25" i="3"/>
  <c r="M6" i="3"/>
  <c r="M7" i="3" s="1"/>
  <c r="M25" i="3" s="1"/>
  <c r="B3" i="10" s="1"/>
  <c r="B5" i="10" s="1"/>
  <c r="B7" i="10" l="1"/>
  <c r="B6" i="10"/>
  <c r="L21" i="9"/>
  <c r="L6" i="9"/>
  <c r="K39" i="8"/>
  <c r="K7" i="8"/>
  <c r="B8" i="10" l="1"/>
  <c r="K8" i="8"/>
  <c r="K9" i="8" s="1"/>
  <c r="B10" i="10"/>
  <c r="L7" i="9"/>
  <c r="L8" i="9"/>
  <c r="L22" i="9" l="1"/>
  <c r="L23" i="9" s="1"/>
  <c r="K40" i="8"/>
  <c r="K41" i="8" s="1"/>
  <c r="B12" i="9"/>
  <c r="B11" i="9"/>
  <c r="B17" i="8"/>
  <c r="C17" i="8" s="1"/>
  <c r="B20" i="8"/>
  <c r="C20" i="8" s="1"/>
  <c r="B29" i="8"/>
  <c r="C29" i="8" s="1"/>
  <c r="B28" i="8"/>
  <c r="C28" i="8" s="1"/>
  <c r="B23" i="8"/>
  <c r="C23" i="8" s="1"/>
  <c r="B24" i="8"/>
  <c r="C24" i="8" s="1"/>
  <c r="B25" i="8"/>
  <c r="C25" i="8" s="1"/>
  <c r="B16" i="8"/>
  <c r="C16" i="8" s="1"/>
  <c r="B26" i="8"/>
  <c r="C26" i="8" s="1"/>
  <c r="B22" i="8"/>
  <c r="C22" i="8" s="1"/>
  <c r="B18" i="8"/>
  <c r="C18" i="8" s="1"/>
  <c r="B30" i="8"/>
  <c r="C30" i="8" s="1"/>
  <c r="B27" i="8"/>
  <c r="C27" i="8" s="1"/>
  <c r="B15" i="8"/>
  <c r="C15" i="8" s="1"/>
  <c r="B14" i="8"/>
  <c r="C14" i="8" s="1"/>
  <c r="B21" i="8"/>
  <c r="C21" i="8" s="1"/>
  <c r="B19" i="8"/>
  <c r="C19" i="8" s="1"/>
  <c r="B47" i="8" l="1"/>
  <c r="C47" i="8" s="1"/>
  <c r="B56" i="8"/>
  <c r="C56" i="8" s="1"/>
  <c r="B46" i="8"/>
  <c r="C46" i="8" s="1"/>
  <c r="B50" i="8"/>
  <c r="C50" i="8" s="1"/>
  <c r="B48" i="8"/>
  <c r="C48" i="8" s="1"/>
  <c r="B49" i="8"/>
  <c r="C49" i="8" s="1"/>
  <c r="B52" i="8"/>
  <c r="C52" i="8" s="1"/>
  <c r="B61" i="8"/>
  <c r="C61" i="8" s="1"/>
  <c r="B54" i="8"/>
  <c r="C54" i="8" s="1"/>
  <c r="B58" i="8"/>
  <c r="C58" i="8" s="1"/>
  <c r="B53" i="8"/>
  <c r="C53" i="8" s="1"/>
  <c r="B51" i="8"/>
  <c r="C51" i="8" s="1"/>
  <c r="B60" i="8"/>
  <c r="C60" i="8" s="1"/>
  <c r="B59" i="8"/>
  <c r="C59" i="8" s="1"/>
  <c r="B57" i="8"/>
  <c r="C57" i="8" s="1"/>
  <c r="B55" i="8"/>
  <c r="C55" i="8" s="1"/>
  <c r="B27" i="9"/>
  <c r="B2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<sst xmlns="http://schemas.openxmlformats.org/spreadsheetml/2006/main" count="367" uniqueCount="216">
  <si>
    <t>Property Level information</t>
  </si>
  <si>
    <t>Address</t>
  </si>
  <si>
    <t>Asking Price</t>
  </si>
  <si>
    <t>Gross SF</t>
  </si>
  <si>
    <t>Resedential Units</t>
  </si>
  <si>
    <t>Block / Lot</t>
  </si>
  <si>
    <t>Lot Size (SF)</t>
  </si>
  <si>
    <t>Air Rights / Development Rights</t>
  </si>
  <si>
    <t>Historic / Landmark Status</t>
  </si>
  <si>
    <t>Frontage / Street Width</t>
  </si>
  <si>
    <t>Lot Dimenisons</t>
  </si>
  <si>
    <t>1183/24</t>
  </si>
  <si>
    <t>17 x 102.17</t>
  </si>
  <si>
    <t>Zoning / FAR</t>
  </si>
  <si>
    <t>R8B / 4.0</t>
  </si>
  <si>
    <t>317 West 71st St New York, NY</t>
  </si>
  <si>
    <t>Historicals / Current</t>
  </si>
  <si>
    <t>Revenue</t>
  </si>
  <si>
    <t>Unit</t>
  </si>
  <si>
    <t xml:space="preserve">Status </t>
  </si>
  <si>
    <t># of Bdrm</t>
  </si>
  <si>
    <t>Terrace</t>
  </si>
  <si>
    <t>Lease expiration</t>
  </si>
  <si>
    <t>Est. Sq Ft</t>
  </si>
  <si>
    <t>Base Rent</t>
  </si>
  <si>
    <t>Annual Rent</t>
  </si>
  <si>
    <t>Free Market</t>
  </si>
  <si>
    <t>No</t>
  </si>
  <si>
    <t>Vacant</t>
  </si>
  <si>
    <t>1- (Grnd Fl)</t>
  </si>
  <si>
    <t>2- (2R)</t>
  </si>
  <si>
    <t>3- (2F)</t>
  </si>
  <si>
    <t>4- (Ent 3rd Fl.)</t>
  </si>
  <si>
    <t>5- (4R)</t>
  </si>
  <si>
    <t>6- (4F)</t>
  </si>
  <si>
    <t>7- (Ent 5th Fl)</t>
  </si>
  <si>
    <t>Yes</t>
  </si>
  <si>
    <t>MTM</t>
  </si>
  <si>
    <t>Months</t>
  </si>
  <si>
    <t>TOTAL</t>
  </si>
  <si>
    <t>Potential Gross Income</t>
  </si>
  <si>
    <t>(Vacancy)</t>
  </si>
  <si>
    <t>Effective Gross Income</t>
  </si>
  <si>
    <t>Operating Expenses</t>
  </si>
  <si>
    <t>Real Estate Taxes</t>
  </si>
  <si>
    <t>Water &amp; Sewer</t>
  </si>
  <si>
    <t>Insurance</t>
  </si>
  <si>
    <t>Fuel</t>
  </si>
  <si>
    <t>Electric</t>
  </si>
  <si>
    <t>Repairs &amp; Maintenance</t>
  </si>
  <si>
    <t>Payroll</t>
  </si>
  <si>
    <t>Management</t>
  </si>
  <si>
    <t>Expenses / PSF</t>
  </si>
  <si>
    <t>Annual Expenses</t>
  </si>
  <si>
    <t>Rent Roll</t>
  </si>
  <si>
    <t>Status</t>
  </si>
  <si>
    <t># of Bedrooms</t>
  </si>
  <si>
    <t>Baths</t>
  </si>
  <si>
    <t>Lease Expiration</t>
  </si>
  <si>
    <t>Est. Square Footage</t>
  </si>
  <si>
    <t>OPERATING STATEMENT</t>
  </si>
  <si>
    <t>Historical</t>
  </si>
  <si>
    <t>Projected</t>
  </si>
  <si>
    <t>Year 1</t>
  </si>
  <si>
    <t>Year 2</t>
  </si>
  <si>
    <t>Year 3</t>
  </si>
  <si>
    <t xml:space="preserve">Year 4 </t>
  </si>
  <si>
    <t>Year 5</t>
  </si>
  <si>
    <t>Year 6</t>
  </si>
  <si>
    <t>Year 7</t>
  </si>
  <si>
    <t>Year 8</t>
  </si>
  <si>
    <t>Year 9</t>
  </si>
  <si>
    <t>Year 10</t>
  </si>
  <si>
    <t>Year 11</t>
  </si>
  <si>
    <t>Total</t>
  </si>
  <si>
    <t>of Effective Gross Revenue</t>
  </si>
  <si>
    <t>Capital Expenditures</t>
  </si>
  <si>
    <t>Reserves</t>
  </si>
  <si>
    <r>
      <t>Operating Expenses</t>
    </r>
    <r>
      <rPr>
        <b/>
        <sz val="12"/>
        <color theme="1"/>
        <rFont val="Calibri (Body)"/>
      </rPr>
      <t xml:space="preserve"> </t>
    </r>
  </si>
  <si>
    <t>Projected Income and Expenses</t>
  </si>
  <si>
    <t>Income</t>
  </si>
  <si>
    <t>Vacancy rate @ historical / market vacancy rate</t>
  </si>
  <si>
    <t>Annual</t>
  </si>
  <si>
    <t>Tenant Improvements</t>
  </si>
  <si>
    <t>Leasing Commissions</t>
  </si>
  <si>
    <t>$/ PSF (Gross)</t>
  </si>
  <si>
    <t>Rates / Inflation Rate / Growth Rate</t>
  </si>
  <si>
    <t>Vacancy</t>
  </si>
  <si>
    <t>Management ( % of Company0843)</t>
  </si>
  <si>
    <t>Year 4</t>
  </si>
  <si>
    <t xml:space="preserve">Year 8 </t>
  </si>
  <si>
    <t>N/A</t>
  </si>
  <si>
    <t>By: Person0241 Person1264</t>
  </si>
  <si>
    <t>Expenses</t>
  </si>
  <si>
    <t>Total Operating Expenses</t>
  </si>
  <si>
    <t>Reserves for Capital Expenditures</t>
  </si>
  <si>
    <t>Total Reserves for Leasing and Capital Expenditures</t>
  </si>
  <si>
    <t>Net Operating Income</t>
  </si>
  <si>
    <t xml:space="preserve">In-Place Income </t>
  </si>
  <si>
    <t>West 71st Street Historic Districts</t>
  </si>
  <si>
    <t>Sources</t>
  </si>
  <si>
    <t>$ to Project Costs</t>
  </si>
  <si>
    <t>% to Project Costs</t>
  </si>
  <si>
    <t>Debt</t>
  </si>
  <si>
    <t>Loan</t>
  </si>
  <si>
    <t>Equity</t>
  </si>
  <si>
    <t>GP</t>
  </si>
  <si>
    <t>LP</t>
  </si>
  <si>
    <t>Total Sources</t>
  </si>
  <si>
    <t>Uses</t>
  </si>
  <si>
    <t>Acquisition</t>
  </si>
  <si>
    <t>Indirect Costs</t>
  </si>
  <si>
    <t>Direct Costs</t>
  </si>
  <si>
    <t>Financing Cost</t>
  </si>
  <si>
    <t>Markerting</t>
  </si>
  <si>
    <t>Total Uses</t>
  </si>
  <si>
    <t>Debt Financing</t>
  </si>
  <si>
    <t>Loan Amount</t>
  </si>
  <si>
    <t>Years</t>
  </si>
  <si>
    <t>Interests Rate</t>
  </si>
  <si>
    <t>Loan Balance</t>
  </si>
  <si>
    <t>Timing of Payment</t>
  </si>
  <si>
    <t>Project Costs</t>
  </si>
  <si>
    <t>Acquistion Cost</t>
  </si>
  <si>
    <t>Land and Exisiting Building</t>
  </si>
  <si>
    <t>Soft Costs</t>
  </si>
  <si>
    <t>Architectural Fees</t>
  </si>
  <si>
    <t>Engineering Fees</t>
  </si>
  <si>
    <t>Acquistion Fees</t>
  </si>
  <si>
    <t>Consultants</t>
  </si>
  <si>
    <t>Apprasial Fees</t>
  </si>
  <si>
    <t>Legal and Accounting Fees</t>
  </si>
  <si>
    <t>Insurance Costs</t>
  </si>
  <si>
    <t>Building Permit Fees</t>
  </si>
  <si>
    <t>Contingency</t>
  </si>
  <si>
    <t>SF</t>
  </si>
  <si>
    <t>Construction Costs</t>
  </si>
  <si>
    <t>Contigency</t>
  </si>
  <si>
    <t>Financing Costs</t>
  </si>
  <si>
    <t>Broker Fee</t>
  </si>
  <si>
    <t>Closing Costs</t>
  </si>
  <si>
    <t>Marketing</t>
  </si>
  <si>
    <t>Advertising</t>
  </si>
  <si>
    <t>Residential Commisions</t>
  </si>
  <si>
    <t>Total Project Cost</t>
  </si>
  <si>
    <t>Required Equity</t>
  </si>
  <si>
    <t>GP / LP Contributions</t>
  </si>
  <si>
    <t>GP A</t>
  </si>
  <si>
    <t>GP B</t>
  </si>
  <si>
    <t>GP C</t>
  </si>
  <si>
    <t>% of Project Costs</t>
  </si>
  <si>
    <t>Equity Requirement</t>
  </si>
  <si>
    <t>Interests</t>
  </si>
  <si>
    <t>Present Value of Loan Amount</t>
  </si>
  <si>
    <t>Future Value of Loan Amount</t>
  </si>
  <si>
    <t>Rate of Interests</t>
  </si>
  <si>
    <t>Number of Periods in Years</t>
  </si>
  <si>
    <t>Monthyl Payement</t>
  </si>
  <si>
    <t>Annual Debt Service</t>
  </si>
  <si>
    <t xml:space="preserve"> </t>
  </si>
  <si>
    <t>Principal</t>
  </si>
  <si>
    <t>Debt Service</t>
  </si>
  <si>
    <t>Year</t>
  </si>
  <si>
    <t>Month</t>
  </si>
  <si>
    <t>Beginning Balance</t>
  </si>
  <si>
    <t>Interests Payment</t>
  </si>
  <si>
    <t>Principal Payment</t>
  </si>
  <si>
    <t>Monthly Payment</t>
  </si>
  <si>
    <t>Ending Balance</t>
  </si>
  <si>
    <t>LTV</t>
  </si>
  <si>
    <t>Project Cost</t>
  </si>
  <si>
    <t>/SF</t>
  </si>
  <si>
    <t>WORKSPACE</t>
  </si>
  <si>
    <t>Anuuak Basis (#of months)</t>
  </si>
  <si>
    <t>Sum (Monthly Rent</t>
  </si>
  <si>
    <t>Sum (Annual Rent)</t>
  </si>
  <si>
    <t>Max Monthly Rent</t>
  </si>
  <si>
    <t>Min Monthly Rent</t>
  </si>
  <si>
    <t>Avg Rent</t>
  </si>
  <si>
    <t>Number of Units</t>
  </si>
  <si>
    <t>Property Sale</t>
  </si>
  <si>
    <t>Going out Cap Rate</t>
  </si>
  <si>
    <t>Closing Closts</t>
  </si>
  <si>
    <t>Disposition Costs</t>
  </si>
  <si>
    <t>Financial Measures</t>
  </si>
  <si>
    <t>Unlevered Discount Rate</t>
  </si>
  <si>
    <t>Levered Discount Rate</t>
  </si>
  <si>
    <t>Unlevered Cash Flow</t>
  </si>
  <si>
    <t>Cash Outflow</t>
  </si>
  <si>
    <t>NOI</t>
  </si>
  <si>
    <t>Net Sale Proceeds</t>
  </si>
  <si>
    <t>Cash Inflow</t>
  </si>
  <si>
    <t>Total Cash Flows</t>
  </si>
  <si>
    <t>Estimated Property Value</t>
  </si>
  <si>
    <t>Discount Rate</t>
  </si>
  <si>
    <t>Present Value of Future</t>
  </si>
  <si>
    <t>Going in Cap Rate</t>
  </si>
  <si>
    <t>Levered Cash Flow</t>
  </si>
  <si>
    <t>Cash Inflows</t>
  </si>
  <si>
    <t>Total Costs Including Acquistion</t>
  </si>
  <si>
    <t>Net Sales Proceeds</t>
  </si>
  <si>
    <t>Sale of Property</t>
  </si>
  <si>
    <t>Seling Price (Year 10)</t>
  </si>
  <si>
    <t>Gross Sale Price</t>
  </si>
  <si>
    <t>closing cost</t>
  </si>
  <si>
    <t>disposition fee</t>
  </si>
  <si>
    <t>Net Sale Price</t>
  </si>
  <si>
    <t>RMB (YR 10)</t>
  </si>
  <si>
    <t>BTER</t>
  </si>
  <si>
    <t>NPV</t>
  </si>
  <si>
    <t>IRR</t>
  </si>
  <si>
    <t>avg</t>
  </si>
  <si>
    <t>min</t>
  </si>
  <si>
    <t>max</t>
  </si>
  <si>
    <t>median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</si>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</sst>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b/>
      <sz val="12"/>
      <color theme="1"/>
      <name val="Calibri (Body)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/>
    <xf numFmtId="3" fontId="0" fillId="0" borderId="0" xfId="0" applyNumberFormat="1"/>
    <xf numFmtId="44" fontId="0" fillId="0" borderId="0" xfId="1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0" fillId="0" borderId="5" xfId="0" applyBorder="1"/>
    <xf numFmtId="0" fontId="0" fillId="0" borderId="4" xfId="0" applyBorder="1"/>
    <xf numFmtId="0" fontId="7" fillId="0" borderId="4" xfId="0" applyFont="1" applyBorder="1"/>
    <xf numFmtId="0" fontId="2" fillId="0" borderId="1" xfId="0" applyFont="1" applyBorder="1"/>
    <xf numFmtId="44" fontId="0" fillId="0" borderId="0" xfId="0" applyNumberFormat="1"/>
    <xf numFmtId="0" fontId="2" fillId="0" borderId="0" xfId="0" applyFont="1" applyAlignment="1">
      <alignment horizontal="right"/>
    </xf>
    <xf numFmtId="0" fontId="8" fillId="0" borderId="1" xfId="0" applyFont="1" applyBorder="1"/>
    <xf numFmtId="0" fontId="0" fillId="0" borderId="8" xfId="0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3" fontId="5" fillId="0" borderId="0" xfId="0" applyNumberFormat="1" applyFont="1"/>
    <xf numFmtId="44" fontId="5" fillId="0" borderId="0" xfId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/>
    <xf numFmtId="0" fontId="9" fillId="0" borderId="7" xfId="0" applyFont="1" applyBorder="1"/>
    <xf numFmtId="0" fontId="5" fillId="0" borderId="5" xfId="0" applyFont="1" applyBorder="1" applyAlignment="1">
      <alignment horizontal="center" vertical="center"/>
    </xf>
    <xf numFmtId="0" fontId="0" fillId="0" borderId="13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3" fontId="0" fillId="0" borderId="1" xfId="0" applyNumberFormat="1" applyBorder="1"/>
    <xf numFmtId="0" fontId="0" fillId="0" borderId="15" xfId="0" applyBorder="1"/>
    <xf numFmtId="0" fontId="2" fillId="0" borderId="15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4" fontId="0" fillId="0" borderId="3" xfId="0" applyNumberFormat="1" applyBorder="1"/>
    <xf numFmtId="44" fontId="0" fillId="0" borderId="2" xfId="0" applyNumberForma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5" xfId="0" applyFont="1" applyBorder="1"/>
    <xf numFmtId="3" fontId="4" fillId="0" borderId="15" xfId="0" applyNumberFormat="1" applyFont="1" applyBorder="1"/>
    <xf numFmtId="0" fontId="0" fillId="0" borderId="9" xfId="0" applyBorder="1"/>
    <xf numFmtId="0" fontId="2" fillId="0" borderId="19" xfId="0" applyFont="1" applyBorder="1"/>
    <xf numFmtId="44" fontId="0" fillId="0" borderId="1" xfId="1" applyFont="1" applyBorder="1"/>
    <xf numFmtId="0" fontId="0" fillId="0" borderId="20" xfId="0" applyBorder="1"/>
    <xf numFmtId="0" fontId="0" fillId="0" borderId="21" xfId="0" applyBorder="1"/>
    <xf numFmtId="44" fontId="0" fillId="0" borderId="2" xfId="1" applyFont="1" applyBorder="1"/>
    <xf numFmtId="44" fontId="2" fillId="0" borderId="12" xfId="0" applyNumberFormat="1" applyFont="1" applyBorder="1"/>
    <xf numFmtId="44" fontId="5" fillId="0" borderId="1" xfId="0" applyNumberFormat="1" applyFont="1" applyBorder="1"/>
    <xf numFmtId="9" fontId="5" fillId="0" borderId="1" xfId="2" applyFont="1" applyBorder="1" applyAlignment="1">
      <alignment horizontal="center"/>
    </xf>
    <xf numFmtId="0" fontId="7" fillId="0" borderId="1" xfId="0" applyFont="1" applyBorder="1"/>
    <xf numFmtId="44" fontId="2" fillId="0" borderId="10" xfId="1" applyFont="1" applyBorder="1"/>
    <xf numFmtId="3" fontId="2" fillId="0" borderId="10" xfId="0" applyNumberFormat="1" applyFont="1" applyBorder="1"/>
    <xf numFmtId="0" fontId="6" fillId="0" borderId="6" xfId="0" applyFont="1" applyBorder="1"/>
    <xf numFmtId="0" fontId="5" fillId="0" borderId="20" xfId="0" applyFont="1" applyBorder="1"/>
    <xf numFmtId="44" fontId="5" fillId="0" borderId="20" xfId="1" applyFont="1" applyBorder="1"/>
    <xf numFmtId="0" fontId="12" fillId="0" borderId="0" xfId="0" applyFont="1"/>
    <xf numFmtId="0" fontId="2" fillId="0" borderId="4" xfId="0" applyFont="1" applyBorder="1"/>
    <xf numFmtId="44" fontId="5" fillId="0" borderId="4" xfId="1" applyFont="1" applyBorder="1"/>
    <xf numFmtId="9" fontId="5" fillId="0" borderId="0" xfId="2" applyFont="1" applyFill="1" applyBorder="1"/>
    <xf numFmtId="9" fontId="5" fillId="0" borderId="0" xfId="2" applyFont="1"/>
    <xf numFmtId="0" fontId="6" fillId="3" borderId="0" xfId="0" applyFont="1" applyFill="1"/>
    <xf numFmtId="0" fontId="0" fillId="0" borderId="25" xfId="0" applyBorder="1"/>
    <xf numFmtId="44" fontId="0" fillId="0" borderId="12" xfId="0" applyNumberFormat="1" applyBorder="1"/>
    <xf numFmtId="0" fontId="0" fillId="0" borderId="16" xfId="0" applyBorder="1"/>
    <xf numFmtId="5" fontId="0" fillId="0" borderId="0" xfId="0" applyNumberFormat="1"/>
    <xf numFmtId="5" fontId="0" fillId="0" borderId="3" xfId="0" applyNumberFormat="1" applyBorder="1"/>
    <xf numFmtId="5" fontId="0" fillId="0" borderId="1" xfId="0" applyNumberFormat="1" applyBorder="1"/>
    <xf numFmtId="5" fontId="0" fillId="0" borderId="2" xfId="0" applyNumberFormat="1" applyBorder="1"/>
    <xf numFmtId="164" fontId="0" fillId="0" borderId="0" xfId="1" applyNumberFormat="1" applyFont="1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2" fillId="0" borderId="15" xfId="1" applyNumberFormat="1" applyFont="1" applyBorder="1"/>
    <xf numFmtId="164" fontId="2" fillId="0" borderId="18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2" fillId="0" borderId="0" xfId="1" applyNumberFormat="1" applyFont="1" applyBorder="1"/>
    <xf numFmtId="164" fontId="2" fillId="0" borderId="3" xfId="1" applyNumberFormat="1" applyFont="1" applyBorder="1"/>
    <xf numFmtId="164" fontId="2" fillId="3" borderId="15" xfId="1" applyNumberFormat="1" applyFont="1" applyFill="1" applyBorder="1"/>
    <xf numFmtId="0" fontId="4" fillId="0" borderId="4" xfId="0" applyFont="1" applyBorder="1"/>
    <xf numFmtId="0" fontId="5" fillId="0" borderId="4" xfId="0" applyFont="1" applyBorder="1"/>
    <xf numFmtId="9" fontId="5" fillId="0" borderId="4" xfId="2" applyFont="1" applyFill="1" applyBorder="1"/>
    <xf numFmtId="9" fontId="0" fillId="0" borderId="0" xfId="2" applyFont="1"/>
    <xf numFmtId="0" fontId="0" fillId="0" borderId="0" xfId="0" applyAlignment="1">
      <alignment horizontal="left"/>
    </xf>
    <xf numFmtId="10" fontId="5" fillId="0" borderId="0" xfId="0" applyNumberFormat="1" applyFont="1"/>
    <xf numFmtId="0" fontId="13" fillId="0" borderId="0" xfId="0" applyFont="1"/>
    <xf numFmtId="9" fontId="0" fillId="0" borderId="0" xfId="0" applyNumberFormat="1"/>
    <xf numFmtId="9" fontId="0" fillId="0" borderId="1" xfId="2" applyFont="1" applyBorder="1"/>
    <xf numFmtId="8" fontId="0" fillId="0" borderId="0" xfId="0" applyNumberFormat="1"/>
    <xf numFmtId="6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9" fontId="9" fillId="0" borderId="0" xfId="0" applyNumberFormat="1" applyFont="1"/>
    <xf numFmtId="10" fontId="0" fillId="0" borderId="0" xfId="2" applyNumberFormat="1" applyFont="1"/>
    <xf numFmtId="165" fontId="5" fillId="0" borderId="0" xfId="1" applyNumberFormat="1" applyFont="1"/>
    <xf numFmtId="9" fontId="5" fillId="0" borderId="1" xfId="2" applyFont="1" applyBorder="1"/>
    <xf numFmtId="165" fontId="0" fillId="0" borderId="1" xfId="0" applyNumberFormat="1" applyBorder="1"/>
    <xf numFmtId="0" fontId="0" fillId="0" borderId="26" xfId="0" applyBorder="1"/>
    <xf numFmtId="9" fontId="0" fillId="0" borderId="1" xfId="0" applyNumberFormat="1" applyBorder="1"/>
    <xf numFmtId="165" fontId="0" fillId="0" borderId="1" xfId="1" applyNumberFormat="1" applyFont="1" applyBorder="1"/>
    <xf numFmtId="44" fontId="2" fillId="0" borderId="3" xfId="0" applyNumberFormat="1" applyFont="1" applyBorder="1"/>
    <xf numFmtId="10" fontId="0" fillId="0" borderId="0" xfId="2" applyNumberFormat="1" applyFont="1" applyBorder="1"/>
    <xf numFmtId="44" fontId="0" fillId="0" borderId="0" xfId="1" applyFont="1" applyBorder="1"/>
    <xf numFmtId="9" fontId="0" fillId="0" borderId="0" xfId="2" applyFont="1" applyBorder="1"/>
    <xf numFmtId="1" fontId="0" fillId="0" borderId="0" xfId="0" applyNumberFormat="1"/>
    <xf numFmtId="165" fontId="2" fillId="0" borderId="3" xfId="1" applyNumberFormat="1" applyFont="1" applyBorder="1"/>
    <xf numFmtId="165" fontId="0" fillId="0" borderId="0" xfId="1" applyNumberFormat="1" applyFont="1" applyBorder="1"/>
    <xf numFmtId="165" fontId="2" fillId="0" borderId="27" xfId="0" applyNumberFormat="1" applyFont="1" applyBorder="1"/>
    <xf numFmtId="165" fontId="4" fillId="0" borderId="15" xfId="0" applyNumberFormat="1" applyFont="1" applyBorder="1"/>
    <xf numFmtId="165" fontId="4" fillId="0" borderId="18" xfId="0" applyNumberFormat="1" applyFont="1" applyBorder="1"/>
    <xf numFmtId="165" fontId="5" fillId="0" borderId="1" xfId="1" applyNumberFormat="1" applyFont="1" applyBorder="1"/>
    <xf numFmtId="165" fontId="2" fillId="0" borderId="10" xfId="1" applyNumberFormat="1" applyFont="1" applyBorder="1"/>
    <xf numFmtId="165" fontId="5" fillId="0" borderId="3" xfId="1" applyNumberFormat="1" applyFont="1" applyBorder="1" applyAlignment="1">
      <alignment horizontal="center"/>
    </xf>
    <xf numFmtId="165" fontId="0" fillId="3" borderId="0" xfId="1" applyNumberFormat="1" applyFont="1" applyFill="1"/>
    <xf numFmtId="165" fontId="0" fillId="3" borderId="0" xfId="0" applyNumberFormat="1" applyFill="1"/>
    <xf numFmtId="9" fontId="0" fillId="0" borderId="4" xfId="0" applyNumberFormat="1" applyBorder="1"/>
    <xf numFmtId="165" fontId="0" fillId="0" borderId="4" xfId="0" applyNumberFormat="1" applyBorder="1"/>
    <xf numFmtId="165" fontId="2" fillId="0" borderId="3" xfId="0" applyNumberFormat="1" applyFont="1" applyBorder="1"/>
    <xf numFmtId="44" fontId="2" fillId="0" borderId="27" xfId="1" applyFont="1" applyBorder="1"/>
    <xf numFmtId="165" fontId="4" fillId="0" borderId="12" xfId="0" applyNumberFormat="1" applyFont="1" applyBorder="1"/>
    <xf numFmtId="9" fontId="5" fillId="0" borderId="3" xfId="2" applyFont="1" applyFill="1" applyBorder="1"/>
    <xf numFmtId="9" fontId="5" fillId="0" borderId="5" xfId="2" applyFont="1" applyFill="1" applyBorder="1"/>
    <xf numFmtId="0" fontId="5" fillId="0" borderId="3" xfId="0" applyFont="1" applyBorder="1"/>
    <xf numFmtId="0" fontId="13" fillId="0" borderId="13" xfId="0" applyFont="1" applyBorder="1"/>
    <xf numFmtId="0" fontId="0" fillId="0" borderId="14" xfId="0" applyBorder="1"/>
    <xf numFmtId="0" fontId="2" fillId="0" borderId="0" xfId="0" applyFont="1" applyAlignment="1">
      <alignment horizontal="left"/>
    </xf>
    <xf numFmtId="9" fontId="5" fillId="0" borderId="4" xfId="2" applyFont="1" applyBorder="1"/>
    <xf numFmtId="9" fontId="5" fillId="0" borderId="0" xfId="2" applyFont="1" applyBorder="1"/>
    <xf numFmtId="165" fontId="2" fillId="0" borderId="5" xfId="1" applyNumberFormat="1" applyFont="1" applyBorder="1"/>
    <xf numFmtId="165" fontId="0" fillId="0" borderId="3" xfId="0" applyNumberFormat="1" applyBorder="1"/>
    <xf numFmtId="165" fontId="0" fillId="0" borderId="2" xfId="0" applyNumberFormat="1" applyBorder="1"/>
    <xf numFmtId="6" fontId="0" fillId="0" borderId="2" xfId="0" applyNumberFormat="1" applyBorder="1"/>
    <xf numFmtId="0" fontId="2" fillId="0" borderId="26" xfId="0" applyFont="1" applyBorder="1" applyAlignment="1">
      <alignment horizontal="left"/>
    </xf>
    <xf numFmtId="0" fontId="6" fillId="0" borderId="0" xfId="0" applyFont="1" applyAlignment="1">
      <alignment horizontal="left"/>
    </xf>
    <xf numFmtId="37" fontId="0" fillId="0" borderId="0" xfId="0" applyNumberFormat="1"/>
    <xf numFmtId="10" fontId="0" fillId="0" borderId="0" xfId="0" applyNumberFormat="1"/>
    <xf numFmtId="0" fontId="6" fillId="0" borderId="0" xfId="0" applyFont="1"/>
    <xf numFmtId="0" fontId="0" fillId="0" borderId="0" xfId="0"/>
    <xf numFmtId="0" fontId="4" fillId="3" borderId="23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4" fillId="2" borderId="8" xfId="0" applyFont="1" applyFill="1" applyBorder="1"/>
    <xf numFmtId="0" fontId="11" fillId="3" borderId="22" xfId="0" applyFont="1" applyFill="1" applyBorder="1"/>
    <xf numFmtId="0" fontId="2" fillId="3" borderId="0" xfId="0" applyFont="1" applyFill="1"/>
    <xf numFmtId="0" fontId="1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9" xfId="0" applyFont="1" applyBorder="1"/>
    <xf numFmtId="0" fontId="0" fillId="0" borderId="19" xfId="0" applyBorder="1"/>
    <xf numFmtId="0" fontId="0" fillId="0" borderId="24" xfId="0" applyBorder="1"/>
    <xf numFmtId="0" fontId="14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144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C76C-0328-2F46-B468-435581214B37}">
  <dimension ref="A1:L143"/>
  <sheetViews>
    <sheetView topLeftCell="A48" zoomScale="90" zoomScaleNormal="100" workbookViewId="0">
      <selection activeCell="B142" sqref="B142:B143"/>
    </sheetView>
  </sheetViews>
  <sheetFormatPr baseColWidth="10" defaultRowHeight="16" x14ac:dyDescent="0.2"/>
  <cols>
    <col min="1" max="1" width="45.5" customWidth="1"/>
    <col min="2" max="2" width="33.83203125" customWidth="1"/>
    <col min="3" max="3" width="25" customWidth="1"/>
    <col min="4" max="4" width="16.5" customWidth="1"/>
    <col min="5" max="5" width="20.6640625" customWidth="1"/>
    <col min="6" max="6" width="19" customWidth="1"/>
    <col min="7" max="7" width="17.1640625" customWidth="1"/>
    <col min="8" max="8" width="17.33203125" customWidth="1"/>
  </cols>
  <sheetData>
    <row r="1" spans="1:9" x14ac:dyDescent="0.2">
      <c r="A1" s="149" t="s">
        <v>0</v>
      </c>
      <c r="B1" s="5"/>
    </row>
    <row r="2" spans="1:9" x14ac:dyDescent="0.2">
      <c r="A2" s="149"/>
      <c r="B2" s="5"/>
      <c r="C2" s="147" t="s">
        <v>92</v>
      </c>
      <c r="D2" s="148"/>
    </row>
    <row r="3" spans="1:9" x14ac:dyDescent="0.2">
      <c r="A3" s="150"/>
      <c r="B3" s="6"/>
      <c r="C3" s="147"/>
      <c r="D3" s="148"/>
    </row>
    <row r="4" spans="1:9" x14ac:dyDescent="0.2">
      <c r="A4" s="10" t="s">
        <v>1</v>
      </c>
      <c r="B4" s="7" t="s">
        <v>15</v>
      </c>
    </row>
    <row r="5" spans="1:9" x14ac:dyDescent="0.2">
      <c r="A5" s="10" t="s">
        <v>2</v>
      </c>
      <c r="B5" s="121">
        <v>5950000</v>
      </c>
    </row>
    <row r="6" spans="1:9" x14ac:dyDescent="0.2">
      <c r="A6" s="10" t="s">
        <v>3</v>
      </c>
      <c r="B6" s="8">
        <v>5380</v>
      </c>
    </row>
    <row r="7" spans="1:9" x14ac:dyDescent="0.2">
      <c r="A7" s="10" t="s">
        <v>4</v>
      </c>
      <c r="B7" s="7">
        <v>7</v>
      </c>
    </row>
    <row r="8" spans="1:9" x14ac:dyDescent="0.2">
      <c r="A8" s="10" t="s">
        <v>5</v>
      </c>
      <c r="B8" s="7" t="s">
        <v>11</v>
      </c>
    </row>
    <row r="9" spans="1:9" x14ac:dyDescent="0.2">
      <c r="A9" s="10" t="s">
        <v>6</v>
      </c>
      <c r="B9" s="8">
        <v>1737</v>
      </c>
    </row>
    <row r="10" spans="1:9" x14ac:dyDescent="0.2">
      <c r="A10" s="10" t="s">
        <v>10</v>
      </c>
      <c r="B10" s="7" t="s">
        <v>12</v>
      </c>
    </row>
    <row r="11" spans="1:9" x14ac:dyDescent="0.2">
      <c r="A11" s="10" t="s">
        <v>13</v>
      </c>
      <c r="B11" s="7" t="s">
        <v>14</v>
      </c>
    </row>
    <row r="12" spans="1:9" x14ac:dyDescent="0.2">
      <c r="A12" s="10" t="s">
        <v>7</v>
      </c>
      <c r="B12" s="8">
        <v>1568</v>
      </c>
    </row>
    <row r="13" spans="1:9" x14ac:dyDescent="0.2">
      <c r="A13" s="10" t="s">
        <v>8</v>
      </c>
      <c r="B13" s="7" t="s">
        <v>99</v>
      </c>
    </row>
    <row r="14" spans="1:9" s="12" customFormat="1" ht="17" thickBot="1" x14ac:dyDescent="0.25">
      <c r="A14" s="13" t="s">
        <v>9</v>
      </c>
      <c r="B14" s="33">
        <v>17</v>
      </c>
    </row>
    <row r="15" spans="1:9" x14ac:dyDescent="0.2">
      <c r="A15" s="151" t="s">
        <v>16</v>
      </c>
      <c r="B15" s="18"/>
      <c r="C15" s="18"/>
      <c r="D15" s="18"/>
      <c r="E15" s="18"/>
      <c r="F15" s="18"/>
      <c r="G15" s="18"/>
      <c r="H15" s="18"/>
      <c r="I15" s="21"/>
    </row>
    <row r="16" spans="1:9" x14ac:dyDescent="0.2">
      <c r="A16" s="149"/>
      <c r="I16" s="5"/>
    </row>
    <row r="17" spans="1:9" x14ac:dyDescent="0.2">
      <c r="A17" s="150"/>
      <c r="B17" s="4"/>
      <c r="C17" s="4"/>
      <c r="D17" s="4"/>
      <c r="E17" s="4"/>
      <c r="F17" s="4"/>
      <c r="G17" s="4"/>
      <c r="H17" s="4"/>
      <c r="I17" s="5"/>
    </row>
    <row r="18" spans="1:9" x14ac:dyDescent="0.2">
      <c r="A18" s="9" t="s">
        <v>17</v>
      </c>
      <c r="I18" s="61" t="s">
        <v>38</v>
      </c>
    </row>
    <row r="19" spans="1:9" s="9" customFormat="1" x14ac:dyDescent="0.2">
      <c r="A19" s="17" t="s">
        <v>18</v>
      </c>
      <c r="B19" s="14" t="s">
        <v>19</v>
      </c>
      <c r="C19" s="14" t="s">
        <v>20</v>
      </c>
      <c r="D19" s="14" t="s">
        <v>21</v>
      </c>
      <c r="E19" s="14" t="s">
        <v>22</v>
      </c>
      <c r="F19" s="14" t="s">
        <v>23</v>
      </c>
      <c r="G19" s="14" t="s">
        <v>24</v>
      </c>
      <c r="H19" s="14" t="s">
        <v>25</v>
      </c>
      <c r="I19" s="32">
        <v>12</v>
      </c>
    </row>
    <row r="20" spans="1:9" x14ac:dyDescent="0.2">
      <c r="A20" s="23" t="s">
        <v>29</v>
      </c>
      <c r="B20" s="23" t="s">
        <v>26</v>
      </c>
      <c r="C20" s="24">
        <v>2</v>
      </c>
      <c r="D20" s="25" t="s">
        <v>27</v>
      </c>
      <c r="E20" s="25" t="s">
        <v>28</v>
      </c>
      <c r="F20" s="26">
        <v>1021</v>
      </c>
      <c r="G20" s="103">
        <v>6800</v>
      </c>
      <c r="H20" s="103">
        <f t="shared" ref="H20:H26" si="0">G20*$I$19</f>
        <v>81600</v>
      </c>
      <c r="I20" s="5"/>
    </row>
    <row r="21" spans="1:9" x14ac:dyDescent="0.2">
      <c r="A21" s="23" t="s">
        <v>30</v>
      </c>
      <c r="B21" s="23" t="s">
        <v>26</v>
      </c>
      <c r="C21" s="24">
        <v>1</v>
      </c>
      <c r="D21" s="25" t="s">
        <v>27</v>
      </c>
      <c r="E21" s="25" t="s">
        <v>28</v>
      </c>
      <c r="F21" s="23">
        <v>510</v>
      </c>
      <c r="G21" s="103">
        <v>3400</v>
      </c>
      <c r="H21" s="103">
        <f t="shared" si="0"/>
        <v>40800</v>
      </c>
      <c r="I21" s="5"/>
    </row>
    <row r="22" spans="1:9" x14ac:dyDescent="0.2">
      <c r="A22" s="23" t="s">
        <v>31</v>
      </c>
      <c r="B22" s="23" t="s">
        <v>26</v>
      </c>
      <c r="C22" s="24">
        <v>1</v>
      </c>
      <c r="D22" s="25" t="s">
        <v>27</v>
      </c>
      <c r="E22" s="25" t="s">
        <v>28</v>
      </c>
      <c r="F22" s="23">
        <v>510</v>
      </c>
      <c r="G22" s="103">
        <v>3400</v>
      </c>
      <c r="H22" s="103">
        <f t="shared" si="0"/>
        <v>40800</v>
      </c>
      <c r="I22" s="5"/>
    </row>
    <row r="23" spans="1:9" x14ac:dyDescent="0.2">
      <c r="A23" s="23" t="s">
        <v>32</v>
      </c>
      <c r="B23" s="23" t="s">
        <v>26</v>
      </c>
      <c r="C23" s="24">
        <v>2</v>
      </c>
      <c r="D23" s="25" t="s">
        <v>27</v>
      </c>
      <c r="E23" s="25" t="s">
        <v>37</v>
      </c>
      <c r="F23" s="23">
        <v>1021</v>
      </c>
      <c r="G23" s="103">
        <v>4000</v>
      </c>
      <c r="H23" s="103">
        <f t="shared" si="0"/>
        <v>48000</v>
      </c>
      <c r="I23" s="5"/>
    </row>
    <row r="24" spans="1:9" x14ac:dyDescent="0.2">
      <c r="A24" s="23" t="s">
        <v>33</v>
      </c>
      <c r="B24" s="23" t="s">
        <v>26</v>
      </c>
      <c r="C24" s="24">
        <v>1</v>
      </c>
      <c r="D24" s="25" t="s">
        <v>36</v>
      </c>
      <c r="E24" s="25" t="s">
        <v>28</v>
      </c>
      <c r="F24" s="23">
        <v>414</v>
      </c>
      <c r="G24" s="103">
        <v>2700</v>
      </c>
      <c r="H24" s="103">
        <f t="shared" si="0"/>
        <v>32400</v>
      </c>
      <c r="I24" s="5"/>
    </row>
    <row r="25" spans="1:9" x14ac:dyDescent="0.2">
      <c r="A25" s="23" t="s">
        <v>34</v>
      </c>
      <c r="B25" s="23" t="s">
        <v>26</v>
      </c>
      <c r="C25" s="24">
        <v>1</v>
      </c>
      <c r="D25" s="25" t="s">
        <v>27</v>
      </c>
      <c r="E25" s="25" t="s">
        <v>37</v>
      </c>
      <c r="F25" s="23">
        <v>414</v>
      </c>
      <c r="G25" s="103">
        <v>2300</v>
      </c>
      <c r="H25" s="103">
        <f t="shared" si="0"/>
        <v>27600</v>
      </c>
      <c r="I25" s="5"/>
    </row>
    <row r="26" spans="1:9" x14ac:dyDescent="0.2">
      <c r="A26" s="28" t="s">
        <v>35</v>
      </c>
      <c r="B26" s="28" t="s">
        <v>26</v>
      </c>
      <c r="C26" s="29">
        <v>1</v>
      </c>
      <c r="D26" s="30" t="s">
        <v>36</v>
      </c>
      <c r="E26" s="31">
        <v>42428</v>
      </c>
      <c r="F26" s="28">
        <v>482</v>
      </c>
      <c r="G26" s="119">
        <v>2300</v>
      </c>
      <c r="H26" s="119">
        <f t="shared" si="0"/>
        <v>27600</v>
      </c>
      <c r="I26" s="6"/>
    </row>
    <row r="27" spans="1:9" x14ac:dyDescent="0.2">
      <c r="B27" s="53"/>
      <c r="E27" s="16" t="s">
        <v>39</v>
      </c>
      <c r="F27" s="2">
        <f>SUM(F20:F26)</f>
        <v>4372</v>
      </c>
      <c r="G27" s="15">
        <f>SUM(G20:G26)</f>
        <v>24900</v>
      </c>
      <c r="H27" s="15">
        <f>SUM(H20:H26)</f>
        <v>298800</v>
      </c>
      <c r="I27" s="5"/>
    </row>
    <row r="28" spans="1:9" x14ac:dyDescent="0.2">
      <c r="B28" s="5"/>
      <c r="I28" s="5"/>
    </row>
    <row r="29" spans="1:9" x14ac:dyDescent="0.2">
      <c r="A29" s="9" t="s">
        <v>40</v>
      </c>
      <c r="B29" s="43">
        <f>H27</f>
        <v>298800</v>
      </c>
      <c r="I29" s="5"/>
    </row>
    <row r="30" spans="1:9" x14ac:dyDescent="0.2">
      <c r="A30" s="14" t="s">
        <v>41</v>
      </c>
      <c r="B30" s="54">
        <f>SUMIF(E20:E26, "vacant",H20:H26)</f>
        <v>195600</v>
      </c>
      <c r="C30" s="4"/>
      <c r="D30" s="4"/>
      <c r="E30" s="4"/>
      <c r="F30" s="4"/>
      <c r="G30" s="4"/>
      <c r="H30" s="4"/>
      <c r="I30" s="6"/>
    </row>
    <row r="31" spans="1:9" ht="17" thickBot="1" x14ac:dyDescent="0.25">
      <c r="A31" s="19" t="s">
        <v>42</v>
      </c>
      <c r="B31" s="55">
        <f>B29-B30</f>
        <v>103200</v>
      </c>
      <c r="C31" s="20"/>
      <c r="D31" s="20"/>
      <c r="E31" s="20"/>
      <c r="F31" s="20"/>
      <c r="G31" s="20"/>
      <c r="H31" s="20"/>
      <c r="I31" s="22"/>
    </row>
    <row r="32" spans="1:9" x14ac:dyDescent="0.2">
      <c r="A32" s="151" t="s">
        <v>78</v>
      </c>
      <c r="C32" s="18"/>
      <c r="D32" s="18"/>
      <c r="E32" s="18"/>
      <c r="F32" s="18"/>
      <c r="G32" s="18"/>
      <c r="I32" s="21"/>
    </row>
    <row r="33" spans="1:9" x14ac:dyDescent="0.2">
      <c r="A33" s="149"/>
      <c r="I33" s="5"/>
    </row>
    <row r="34" spans="1:9" x14ac:dyDescent="0.2">
      <c r="A34" s="150"/>
      <c r="B34" s="4"/>
      <c r="C34" s="4"/>
      <c r="D34" s="4"/>
      <c r="E34" s="4"/>
      <c r="F34" s="4"/>
      <c r="G34" s="4"/>
      <c r="H34" s="4"/>
      <c r="I34" s="6"/>
    </row>
    <row r="35" spans="1:9" x14ac:dyDescent="0.2">
      <c r="B35" s="9" t="s">
        <v>52</v>
      </c>
      <c r="C35" s="9" t="s">
        <v>53</v>
      </c>
      <c r="I35" s="5"/>
    </row>
    <row r="36" spans="1:9" x14ac:dyDescent="0.2">
      <c r="A36" s="23" t="s">
        <v>44</v>
      </c>
      <c r="B36" s="3">
        <f>C36/$B$6</f>
        <v>10.952973977695168</v>
      </c>
      <c r="C36" s="26">
        <v>58927</v>
      </c>
      <c r="I36" s="5"/>
    </row>
    <row r="37" spans="1:9" x14ac:dyDescent="0.2">
      <c r="A37" s="23" t="s">
        <v>45</v>
      </c>
      <c r="B37" s="3">
        <f t="shared" ref="B37:B44" si="1">C37/$B$6</f>
        <v>1</v>
      </c>
      <c r="C37" s="26">
        <v>5380</v>
      </c>
      <c r="I37" s="5"/>
    </row>
    <row r="38" spans="1:9" x14ac:dyDescent="0.2">
      <c r="A38" s="23" t="s">
        <v>46</v>
      </c>
      <c r="B38" s="3">
        <f t="shared" si="1"/>
        <v>1</v>
      </c>
      <c r="C38" s="26">
        <v>5380</v>
      </c>
      <c r="I38" s="5"/>
    </row>
    <row r="39" spans="1:9" x14ac:dyDescent="0.2">
      <c r="A39" s="23" t="s">
        <v>47</v>
      </c>
      <c r="B39" s="3">
        <f t="shared" si="1"/>
        <v>1.65</v>
      </c>
      <c r="C39" s="26">
        <v>8877</v>
      </c>
      <c r="I39" s="5"/>
    </row>
    <row r="40" spans="1:9" x14ac:dyDescent="0.2">
      <c r="A40" s="23" t="s">
        <v>48</v>
      </c>
      <c r="B40" s="3">
        <f t="shared" si="1"/>
        <v>0.35</v>
      </c>
      <c r="C40" s="26">
        <v>1883</v>
      </c>
      <c r="I40" s="5"/>
    </row>
    <row r="41" spans="1:9" x14ac:dyDescent="0.2">
      <c r="A41" s="23" t="s">
        <v>49</v>
      </c>
      <c r="B41" s="3">
        <f t="shared" si="1"/>
        <v>1</v>
      </c>
      <c r="C41" s="26">
        <v>5380</v>
      </c>
      <c r="I41" s="5"/>
    </row>
    <row r="42" spans="1:9" x14ac:dyDescent="0.2">
      <c r="A42" s="23" t="s">
        <v>50</v>
      </c>
      <c r="B42" s="3">
        <f t="shared" si="1"/>
        <v>1.1152416356877324</v>
      </c>
      <c r="C42" s="26">
        <v>6000</v>
      </c>
      <c r="I42" s="5"/>
    </row>
    <row r="43" spans="1:9" x14ac:dyDescent="0.2">
      <c r="A43" s="28" t="s">
        <v>51</v>
      </c>
      <c r="B43" s="51">
        <f t="shared" si="1"/>
        <v>0.57546468401486994</v>
      </c>
      <c r="C43" s="56">
        <f>D43*B31</f>
        <v>3096</v>
      </c>
      <c r="D43" s="57">
        <v>0.03</v>
      </c>
      <c r="E43" s="58" t="s">
        <v>75</v>
      </c>
      <c r="F43" s="4"/>
      <c r="G43" s="4"/>
      <c r="H43" s="4"/>
      <c r="I43" s="6"/>
    </row>
    <row r="44" spans="1:9" ht="17" thickBot="1" x14ac:dyDescent="0.25">
      <c r="A44" s="19" t="s">
        <v>74</v>
      </c>
      <c r="B44" s="59">
        <f t="shared" si="1"/>
        <v>17.643680297397768</v>
      </c>
      <c r="C44" s="60">
        <f>SUM(C36:C43)</f>
        <v>94923</v>
      </c>
      <c r="D44" s="20"/>
      <c r="E44" s="12"/>
      <c r="F44" s="12"/>
      <c r="G44" s="12"/>
      <c r="H44" s="12"/>
      <c r="I44" s="11"/>
    </row>
    <row r="45" spans="1:9" x14ac:dyDescent="0.2">
      <c r="A45" s="151" t="s">
        <v>76</v>
      </c>
      <c r="B45" s="18"/>
      <c r="C45" s="18"/>
      <c r="D45" s="18"/>
      <c r="I45" s="5"/>
    </row>
    <row r="46" spans="1:9" x14ac:dyDescent="0.2">
      <c r="A46" s="149"/>
      <c r="I46" s="5"/>
    </row>
    <row r="47" spans="1:9" x14ac:dyDescent="0.2">
      <c r="A47" s="62" t="s">
        <v>77</v>
      </c>
      <c r="B47" s="63">
        <v>0</v>
      </c>
      <c r="C47" s="52"/>
      <c r="D47" s="52"/>
      <c r="E47" s="52"/>
      <c r="F47" s="52"/>
      <c r="G47" s="52"/>
      <c r="H47" s="52"/>
      <c r="I47" s="53"/>
    </row>
    <row r="48" spans="1:9" x14ac:dyDescent="0.2">
      <c r="I48" s="5"/>
    </row>
    <row r="49" spans="1:9" ht="17" thickBot="1" x14ac:dyDescent="0.25">
      <c r="A49" s="34"/>
      <c r="B49" s="34"/>
      <c r="C49" s="34"/>
      <c r="D49" s="34"/>
      <c r="E49" s="34"/>
      <c r="F49" s="34"/>
      <c r="G49" s="34"/>
      <c r="H49" s="34"/>
      <c r="I49" s="72"/>
    </row>
    <row r="50" spans="1:9" ht="17" thickTop="1" x14ac:dyDescent="0.2">
      <c r="A50" s="152" t="s">
        <v>79</v>
      </c>
      <c r="I50" s="5"/>
    </row>
    <row r="51" spans="1:9" x14ac:dyDescent="0.2">
      <c r="A51" s="153"/>
      <c r="I51" s="5"/>
    </row>
    <row r="52" spans="1:9" x14ac:dyDescent="0.2">
      <c r="I52" s="5"/>
    </row>
    <row r="53" spans="1:9" ht="19" x14ac:dyDescent="0.25">
      <c r="A53" s="64" t="s">
        <v>80</v>
      </c>
      <c r="I53" s="61" t="s">
        <v>38</v>
      </c>
    </row>
    <row r="54" spans="1:9" x14ac:dyDescent="0.2">
      <c r="A54" s="17" t="s">
        <v>18</v>
      </c>
      <c r="B54" s="14" t="s">
        <v>19</v>
      </c>
      <c r="C54" s="14" t="s">
        <v>20</v>
      </c>
      <c r="D54" s="14" t="s">
        <v>21</v>
      </c>
      <c r="E54" s="14" t="s">
        <v>22</v>
      </c>
      <c r="F54" s="14" t="s">
        <v>23</v>
      </c>
      <c r="G54" s="14" t="s">
        <v>24</v>
      </c>
      <c r="H54" s="14" t="s">
        <v>25</v>
      </c>
      <c r="I54" s="32">
        <v>12</v>
      </c>
    </row>
    <row r="55" spans="1:9" x14ac:dyDescent="0.2">
      <c r="A55" s="23" t="s">
        <v>29</v>
      </c>
      <c r="B55" s="23" t="s">
        <v>26</v>
      </c>
      <c r="C55" s="24">
        <v>2</v>
      </c>
      <c r="D55" s="25" t="s">
        <v>27</v>
      </c>
      <c r="E55" s="25" t="s">
        <v>28</v>
      </c>
      <c r="F55" s="26">
        <v>1021</v>
      </c>
      <c r="G55" s="103">
        <v>6800</v>
      </c>
      <c r="H55" s="103">
        <f t="shared" ref="H55:H61" si="2">G55*$I$19</f>
        <v>81600</v>
      </c>
      <c r="I55" s="5"/>
    </row>
    <row r="56" spans="1:9" x14ac:dyDescent="0.2">
      <c r="A56" s="23" t="s">
        <v>30</v>
      </c>
      <c r="B56" s="23" t="s">
        <v>26</v>
      </c>
      <c r="C56" s="24">
        <v>1</v>
      </c>
      <c r="D56" s="25" t="s">
        <v>27</v>
      </c>
      <c r="E56" s="25" t="s">
        <v>28</v>
      </c>
      <c r="F56" s="23">
        <v>510</v>
      </c>
      <c r="G56" s="103">
        <v>3400</v>
      </c>
      <c r="H56" s="103">
        <f t="shared" si="2"/>
        <v>40800</v>
      </c>
      <c r="I56" s="5"/>
    </row>
    <row r="57" spans="1:9" x14ac:dyDescent="0.2">
      <c r="A57" s="23" t="s">
        <v>31</v>
      </c>
      <c r="B57" s="23" t="s">
        <v>26</v>
      </c>
      <c r="C57" s="24">
        <v>1</v>
      </c>
      <c r="D57" s="25" t="s">
        <v>27</v>
      </c>
      <c r="E57" s="25" t="s">
        <v>28</v>
      </c>
      <c r="F57" s="23">
        <v>510</v>
      </c>
      <c r="G57" s="103">
        <v>3400</v>
      </c>
      <c r="H57" s="103">
        <f t="shared" si="2"/>
        <v>40800</v>
      </c>
      <c r="I57" s="5"/>
    </row>
    <row r="58" spans="1:9" x14ac:dyDescent="0.2">
      <c r="A58" s="23" t="s">
        <v>32</v>
      </c>
      <c r="B58" s="23" t="s">
        <v>26</v>
      </c>
      <c r="C58" s="24">
        <v>2</v>
      </c>
      <c r="D58" s="25" t="s">
        <v>27</v>
      </c>
      <c r="E58" s="25" t="s">
        <v>37</v>
      </c>
      <c r="F58" s="23">
        <v>1021</v>
      </c>
      <c r="G58" s="103">
        <v>4000</v>
      </c>
      <c r="H58" s="103">
        <f t="shared" si="2"/>
        <v>48000</v>
      </c>
      <c r="I58" s="5"/>
    </row>
    <row r="59" spans="1:9" x14ac:dyDescent="0.2">
      <c r="A59" s="23" t="s">
        <v>33</v>
      </c>
      <c r="B59" s="23" t="s">
        <v>26</v>
      </c>
      <c r="C59" s="24">
        <v>1</v>
      </c>
      <c r="D59" s="25" t="s">
        <v>36</v>
      </c>
      <c r="E59" s="25" t="s">
        <v>28</v>
      </c>
      <c r="F59" s="23">
        <v>414</v>
      </c>
      <c r="G59" s="103">
        <v>2700</v>
      </c>
      <c r="H59" s="103">
        <f t="shared" si="2"/>
        <v>32400</v>
      </c>
      <c r="I59" s="5"/>
    </row>
    <row r="60" spans="1:9" x14ac:dyDescent="0.2">
      <c r="A60" s="23" t="s">
        <v>34</v>
      </c>
      <c r="B60" s="23" t="s">
        <v>26</v>
      </c>
      <c r="C60" s="24">
        <v>1</v>
      </c>
      <c r="D60" s="25" t="s">
        <v>27</v>
      </c>
      <c r="E60" s="25" t="s">
        <v>37</v>
      </c>
      <c r="F60" s="23">
        <v>414</v>
      </c>
      <c r="G60" s="103">
        <v>2300</v>
      </c>
      <c r="H60" s="103">
        <f t="shared" si="2"/>
        <v>27600</v>
      </c>
      <c r="I60" s="5"/>
    </row>
    <row r="61" spans="1:9" x14ac:dyDescent="0.2">
      <c r="A61" s="28" t="s">
        <v>35</v>
      </c>
      <c r="B61" s="28" t="s">
        <v>26</v>
      </c>
      <c r="C61" s="29">
        <v>1</v>
      </c>
      <c r="D61" s="30" t="s">
        <v>36</v>
      </c>
      <c r="E61" s="31">
        <v>42428</v>
      </c>
      <c r="F61" s="28">
        <v>482</v>
      </c>
      <c r="G61" s="119">
        <v>2300</v>
      </c>
      <c r="H61" s="119">
        <f t="shared" si="2"/>
        <v>27600</v>
      </c>
      <c r="I61" s="6"/>
    </row>
    <row r="62" spans="1:9" x14ac:dyDescent="0.2">
      <c r="B62" s="53"/>
      <c r="E62" s="16" t="s">
        <v>39</v>
      </c>
      <c r="F62" s="2">
        <f>SUM(F55:F61)</f>
        <v>4372</v>
      </c>
      <c r="G62" s="100">
        <f>SUM(G55:G61)</f>
        <v>24900</v>
      </c>
      <c r="H62" s="100">
        <f>SUM(H55:H61)</f>
        <v>298800</v>
      </c>
      <c r="I62" s="5"/>
    </row>
    <row r="63" spans="1:9" x14ac:dyDescent="0.2">
      <c r="A63" s="9" t="s">
        <v>40</v>
      </c>
      <c r="B63" s="43">
        <f>H62</f>
        <v>298800</v>
      </c>
      <c r="I63" s="5"/>
    </row>
    <row r="64" spans="1:9" x14ac:dyDescent="0.2">
      <c r="A64" s="14" t="s">
        <v>41</v>
      </c>
      <c r="B64" s="44">
        <f>B63*B85</f>
        <v>8964</v>
      </c>
      <c r="C64" s="145" t="s">
        <v>81</v>
      </c>
      <c r="D64" s="146"/>
      <c r="I64" s="5"/>
    </row>
    <row r="65" spans="1:9" ht="17" thickBot="1" x14ac:dyDescent="0.25">
      <c r="A65" s="19" t="s">
        <v>42</v>
      </c>
      <c r="B65" s="71">
        <f>B63-B64</f>
        <v>289836</v>
      </c>
      <c r="I65" s="5"/>
    </row>
    <row r="66" spans="1:9" x14ac:dyDescent="0.2">
      <c r="I66" s="5"/>
    </row>
    <row r="67" spans="1:9" ht="19" x14ac:dyDescent="0.25">
      <c r="A67" s="64" t="s">
        <v>43</v>
      </c>
      <c r="I67" s="5"/>
    </row>
    <row r="68" spans="1:9" x14ac:dyDescent="0.2">
      <c r="A68" s="4"/>
      <c r="B68" s="14" t="s">
        <v>52</v>
      </c>
      <c r="C68" s="14" t="s">
        <v>53</v>
      </c>
      <c r="D68" s="4"/>
      <c r="E68" s="4"/>
      <c r="F68" s="4"/>
      <c r="G68" s="4"/>
      <c r="H68" s="4"/>
      <c r="I68" s="6"/>
    </row>
    <row r="69" spans="1:9" x14ac:dyDescent="0.2">
      <c r="A69" s="23" t="s">
        <v>44</v>
      </c>
      <c r="B69" s="3">
        <f>C69/$B$6</f>
        <v>10.952973977695168</v>
      </c>
      <c r="C69" s="103">
        <v>58927</v>
      </c>
      <c r="I69" s="5"/>
    </row>
    <row r="70" spans="1:9" x14ac:dyDescent="0.2">
      <c r="A70" s="23" t="s">
        <v>45</v>
      </c>
      <c r="B70" s="3">
        <f t="shared" ref="B70:B77" si="3">C70/$B$6</f>
        <v>1</v>
      </c>
      <c r="C70" s="103">
        <v>5380</v>
      </c>
      <c r="I70" s="5"/>
    </row>
    <row r="71" spans="1:9" x14ac:dyDescent="0.2">
      <c r="A71" s="23" t="s">
        <v>46</v>
      </c>
      <c r="B71" s="3">
        <f t="shared" si="3"/>
        <v>1</v>
      </c>
      <c r="C71" s="103">
        <v>5380</v>
      </c>
      <c r="I71" s="5"/>
    </row>
    <row r="72" spans="1:9" x14ac:dyDescent="0.2">
      <c r="A72" s="23" t="s">
        <v>47</v>
      </c>
      <c r="B72" s="3">
        <f t="shared" si="3"/>
        <v>1.65</v>
      </c>
      <c r="C72" s="103">
        <v>8877</v>
      </c>
      <c r="I72" s="5"/>
    </row>
    <row r="73" spans="1:9" x14ac:dyDescent="0.2">
      <c r="A73" s="23" t="s">
        <v>48</v>
      </c>
      <c r="B73" s="3">
        <f t="shared" si="3"/>
        <v>0.35</v>
      </c>
      <c r="C73" s="103">
        <v>1883</v>
      </c>
      <c r="I73" s="5"/>
    </row>
    <row r="74" spans="1:9" x14ac:dyDescent="0.2">
      <c r="A74" s="23" t="s">
        <v>49</v>
      </c>
      <c r="B74" s="3">
        <f t="shared" si="3"/>
        <v>1</v>
      </c>
      <c r="C74" s="103">
        <v>5380</v>
      </c>
      <c r="I74" s="5"/>
    </row>
    <row r="75" spans="1:9" x14ac:dyDescent="0.2">
      <c r="A75" s="23" t="s">
        <v>50</v>
      </c>
      <c r="B75" s="3">
        <f t="shared" si="3"/>
        <v>1.1152416356877324</v>
      </c>
      <c r="C75" s="103">
        <v>6000</v>
      </c>
      <c r="I75" s="5"/>
    </row>
    <row r="76" spans="1:9" x14ac:dyDescent="0.2">
      <c r="A76" s="28" t="s">
        <v>51</v>
      </c>
      <c r="B76" s="51">
        <f t="shared" si="3"/>
        <v>1.616185873605948</v>
      </c>
      <c r="C76" s="119">
        <f>B88*B65</f>
        <v>8695.08</v>
      </c>
      <c r="D76" s="57">
        <v>0.03</v>
      </c>
      <c r="E76" s="58" t="s">
        <v>75</v>
      </c>
      <c r="I76" s="5"/>
    </row>
    <row r="77" spans="1:9" ht="17" thickBot="1" x14ac:dyDescent="0.25">
      <c r="A77" s="19" t="s">
        <v>74</v>
      </c>
      <c r="B77" s="59">
        <f t="shared" si="3"/>
        <v>18.684401486988847</v>
      </c>
      <c r="C77" s="120">
        <f>SUM(C69:C76)</f>
        <v>100522.08</v>
      </c>
      <c r="D77" s="20"/>
      <c r="E77" s="20"/>
      <c r="I77" s="5"/>
    </row>
    <row r="78" spans="1:9" x14ac:dyDescent="0.2">
      <c r="I78" s="5"/>
    </row>
    <row r="79" spans="1:9" ht="19" x14ac:dyDescent="0.25">
      <c r="A79" s="1" t="s">
        <v>76</v>
      </c>
      <c r="B79" s="9" t="s">
        <v>85</v>
      </c>
      <c r="C79" s="9" t="s">
        <v>82</v>
      </c>
      <c r="I79" s="5"/>
    </row>
    <row r="80" spans="1:9" x14ac:dyDescent="0.2">
      <c r="A80" t="s">
        <v>77</v>
      </c>
      <c r="B80" s="27">
        <v>5</v>
      </c>
      <c r="C80" s="15">
        <f>B80*B6</f>
        <v>26900</v>
      </c>
      <c r="I80" s="5"/>
    </row>
    <row r="81" spans="1:12" x14ac:dyDescent="0.2">
      <c r="A81" t="s">
        <v>83</v>
      </c>
      <c r="B81" s="27">
        <v>0</v>
      </c>
      <c r="I81" s="5"/>
    </row>
    <row r="82" spans="1:12" ht="17" thickBot="1" x14ac:dyDescent="0.25">
      <c r="A82" s="12" t="s">
        <v>84</v>
      </c>
      <c r="B82" s="66">
        <v>0</v>
      </c>
      <c r="C82" s="12"/>
      <c r="D82" s="12"/>
      <c r="E82" s="12"/>
      <c r="F82" s="12"/>
      <c r="G82" s="12"/>
      <c r="H82" s="12"/>
      <c r="I82" s="11"/>
      <c r="J82" s="12"/>
      <c r="K82" s="12"/>
      <c r="L82" s="12"/>
    </row>
    <row r="83" spans="1:12" x14ac:dyDescent="0.2">
      <c r="L83" s="21"/>
    </row>
    <row r="84" spans="1:12" ht="19" x14ac:dyDescent="0.25">
      <c r="A84" s="1" t="s">
        <v>86</v>
      </c>
      <c r="B84" t="s">
        <v>63</v>
      </c>
      <c r="C84" t="s">
        <v>64</v>
      </c>
      <c r="D84" t="s">
        <v>65</v>
      </c>
      <c r="E84" t="s">
        <v>89</v>
      </c>
      <c r="F84" t="s">
        <v>67</v>
      </c>
      <c r="G84" t="s">
        <v>68</v>
      </c>
      <c r="H84" t="s">
        <v>69</v>
      </c>
      <c r="I84" t="s">
        <v>90</v>
      </c>
      <c r="J84" t="s">
        <v>71</v>
      </c>
      <c r="K84" t="s">
        <v>72</v>
      </c>
      <c r="L84" s="5" t="s">
        <v>73</v>
      </c>
    </row>
    <row r="85" spans="1:12" x14ac:dyDescent="0.2">
      <c r="A85" t="s">
        <v>87</v>
      </c>
      <c r="B85" s="67">
        <v>0.03</v>
      </c>
      <c r="C85" s="67">
        <v>0.03</v>
      </c>
      <c r="D85" s="67">
        <v>0.03</v>
      </c>
      <c r="E85" s="67">
        <v>0.03</v>
      </c>
      <c r="F85" s="67">
        <v>0.03</v>
      </c>
      <c r="G85" s="67">
        <v>0.03</v>
      </c>
      <c r="H85" s="67">
        <v>0.03</v>
      </c>
      <c r="I85" s="67">
        <v>0.03</v>
      </c>
      <c r="J85" s="67">
        <v>0.03</v>
      </c>
      <c r="K85" s="67">
        <v>0.03</v>
      </c>
      <c r="L85" s="129">
        <v>0.03</v>
      </c>
    </row>
    <row r="86" spans="1:12" x14ac:dyDescent="0.2">
      <c r="A86" t="s">
        <v>17</v>
      </c>
      <c r="B86" s="23" t="s">
        <v>91</v>
      </c>
      <c r="C86" s="67">
        <v>0.03</v>
      </c>
      <c r="D86" s="67">
        <v>0.03</v>
      </c>
      <c r="E86" s="67">
        <v>0.03</v>
      </c>
      <c r="F86" s="67">
        <v>0.03</v>
      </c>
      <c r="G86" s="67">
        <v>0.03</v>
      </c>
      <c r="H86" s="67">
        <v>0.03</v>
      </c>
      <c r="I86" s="67">
        <v>0.03</v>
      </c>
      <c r="J86" s="67">
        <v>0.03</v>
      </c>
      <c r="K86" s="67">
        <v>0.03</v>
      </c>
      <c r="L86" s="129">
        <v>0.03</v>
      </c>
    </row>
    <row r="87" spans="1:12" x14ac:dyDescent="0.2">
      <c r="A87" t="s">
        <v>43</v>
      </c>
      <c r="B87" s="23" t="s">
        <v>91</v>
      </c>
      <c r="C87" s="67">
        <v>0.03</v>
      </c>
      <c r="D87" s="67">
        <v>0.03</v>
      </c>
      <c r="E87" s="67">
        <v>0.03</v>
      </c>
      <c r="F87" s="67">
        <v>0.03</v>
      </c>
      <c r="G87" s="67">
        <v>0.03</v>
      </c>
      <c r="H87" s="67">
        <v>0.03</v>
      </c>
      <c r="I87" s="67">
        <v>0.03</v>
      </c>
      <c r="J87" s="67">
        <v>0.03</v>
      </c>
      <c r="K87" s="67">
        <v>0.03</v>
      </c>
      <c r="L87" s="129">
        <v>0.03</v>
      </c>
    </row>
    <row r="88" spans="1:12" x14ac:dyDescent="0.2">
      <c r="A88" t="s">
        <v>88</v>
      </c>
      <c r="B88" s="68">
        <f>D76</f>
        <v>0.03</v>
      </c>
      <c r="C88" s="67">
        <v>0.03</v>
      </c>
      <c r="D88" s="67">
        <v>0.03</v>
      </c>
      <c r="E88" s="67">
        <v>0.03</v>
      </c>
      <c r="F88" s="67">
        <v>0.03</v>
      </c>
      <c r="G88" s="67">
        <v>0.03</v>
      </c>
      <c r="H88" s="67">
        <v>0.03</v>
      </c>
      <c r="I88" s="67">
        <v>0.03</v>
      </c>
      <c r="J88" s="67">
        <v>0.03</v>
      </c>
      <c r="K88" s="67">
        <v>0.03</v>
      </c>
      <c r="L88" s="129">
        <v>0.03</v>
      </c>
    </row>
    <row r="89" spans="1:12" ht="17" thickBot="1" x14ac:dyDescent="0.25">
      <c r="A89" s="12" t="s">
        <v>76</v>
      </c>
      <c r="B89" s="89" t="s">
        <v>91</v>
      </c>
      <c r="C89" s="90">
        <v>0.03</v>
      </c>
      <c r="D89" s="90">
        <v>0.03</v>
      </c>
      <c r="E89" s="90">
        <v>0.03</v>
      </c>
      <c r="F89" s="90">
        <v>0.03</v>
      </c>
      <c r="G89" s="90">
        <v>0.03</v>
      </c>
      <c r="H89" s="90">
        <v>0.03</v>
      </c>
      <c r="I89" s="90">
        <v>0.03</v>
      </c>
      <c r="J89" s="90">
        <v>0.03</v>
      </c>
      <c r="K89" s="90">
        <v>0.03</v>
      </c>
      <c r="L89" s="130">
        <v>0.03</v>
      </c>
    </row>
    <row r="90" spans="1:12" x14ac:dyDescent="0.2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131"/>
    </row>
    <row r="91" spans="1:12" ht="19" x14ac:dyDescent="0.25">
      <c r="A91" s="1" t="s">
        <v>116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131"/>
    </row>
    <row r="92" spans="1:12" x14ac:dyDescent="0.2">
      <c r="A92" t="s">
        <v>117</v>
      </c>
      <c r="B92" s="15">
        <f>C92*B5</f>
        <v>1487500</v>
      </c>
      <c r="C92" s="101">
        <v>0.25</v>
      </c>
      <c r="D92" t="s">
        <v>169</v>
      </c>
      <c r="L92" s="5"/>
    </row>
    <row r="93" spans="1:12" x14ac:dyDescent="0.2">
      <c r="A93" t="s">
        <v>118</v>
      </c>
      <c r="B93" s="23">
        <v>30</v>
      </c>
      <c r="L93" s="5"/>
    </row>
    <row r="94" spans="1:12" x14ac:dyDescent="0.2">
      <c r="A94" t="s">
        <v>119</v>
      </c>
      <c r="B94" s="68">
        <v>0.05</v>
      </c>
      <c r="L94" s="5"/>
    </row>
    <row r="95" spans="1:12" x14ac:dyDescent="0.2">
      <c r="A95" t="s">
        <v>120</v>
      </c>
      <c r="B95" s="23">
        <v>0</v>
      </c>
      <c r="L95" s="5"/>
    </row>
    <row r="96" spans="1:12" ht="17" thickBot="1" x14ac:dyDescent="0.25">
      <c r="A96" s="12" t="s">
        <v>121</v>
      </c>
      <c r="B96" s="89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1"/>
    </row>
    <row r="97" spans="1:6" x14ac:dyDescent="0.2">
      <c r="F97" s="21"/>
    </row>
    <row r="98" spans="1:6" ht="19" x14ac:dyDescent="0.25">
      <c r="A98" s="1" t="s">
        <v>122</v>
      </c>
      <c r="F98" s="5"/>
    </row>
    <row r="99" spans="1:6" x14ac:dyDescent="0.2">
      <c r="A99" s="92" t="s">
        <v>124</v>
      </c>
      <c r="F99" s="5"/>
    </row>
    <row r="100" spans="1:6" x14ac:dyDescent="0.2">
      <c r="B100" s="92" t="s">
        <v>123</v>
      </c>
      <c r="C100" s="15">
        <f>F100/B6</f>
        <v>1105.9479553903345</v>
      </c>
      <c r="D100" t="s">
        <v>171</v>
      </c>
      <c r="F100" s="109">
        <f>B5</f>
        <v>5950000</v>
      </c>
    </row>
    <row r="101" spans="1:6" x14ac:dyDescent="0.2">
      <c r="A101" t="s">
        <v>125</v>
      </c>
      <c r="F101" s="5"/>
    </row>
    <row r="102" spans="1:6" x14ac:dyDescent="0.2">
      <c r="B102" t="s">
        <v>126</v>
      </c>
      <c r="C102" s="93">
        <v>5.0000000000000001E-4</v>
      </c>
      <c r="E102" s="15">
        <f>C102*F100</f>
        <v>2975</v>
      </c>
      <c r="F102" s="5"/>
    </row>
    <row r="103" spans="1:6" x14ac:dyDescent="0.2">
      <c r="B103" t="s">
        <v>127</v>
      </c>
      <c r="C103" s="93">
        <v>5.0000000000000001E-4</v>
      </c>
      <c r="E103" s="15">
        <f>C103*F100</f>
        <v>2975</v>
      </c>
      <c r="F103" s="5"/>
    </row>
    <row r="104" spans="1:6" x14ac:dyDescent="0.2">
      <c r="B104" t="s">
        <v>128</v>
      </c>
      <c r="C104" s="68">
        <v>0.03</v>
      </c>
      <c r="E104" s="15">
        <f>C104*F100</f>
        <v>178500</v>
      </c>
      <c r="F104" s="5"/>
    </row>
    <row r="105" spans="1:6" x14ac:dyDescent="0.2">
      <c r="B105" t="s">
        <v>129</v>
      </c>
      <c r="E105" s="23">
        <v>5000</v>
      </c>
      <c r="F105" s="5"/>
    </row>
    <row r="106" spans="1:6" x14ac:dyDescent="0.2">
      <c r="B106" t="s">
        <v>130</v>
      </c>
      <c r="E106" s="23">
        <v>2000</v>
      </c>
      <c r="F106" s="5"/>
    </row>
    <row r="107" spans="1:6" x14ac:dyDescent="0.2">
      <c r="B107" t="s">
        <v>131</v>
      </c>
      <c r="E107" s="26">
        <v>10000</v>
      </c>
      <c r="F107" s="5"/>
    </row>
    <row r="108" spans="1:6" x14ac:dyDescent="0.2">
      <c r="B108" t="s">
        <v>44</v>
      </c>
      <c r="E108" s="26">
        <v>58927</v>
      </c>
      <c r="F108" s="5"/>
    </row>
    <row r="109" spans="1:6" x14ac:dyDescent="0.2">
      <c r="B109" t="s">
        <v>132</v>
      </c>
      <c r="E109" s="26">
        <v>10000</v>
      </c>
      <c r="F109" s="5"/>
    </row>
    <row r="110" spans="1:6" x14ac:dyDescent="0.2">
      <c r="B110" t="s">
        <v>133</v>
      </c>
      <c r="E110" s="26">
        <v>2500</v>
      </c>
      <c r="F110" s="5"/>
    </row>
    <row r="111" spans="1:6" x14ac:dyDescent="0.2">
      <c r="A111" s="4"/>
      <c r="B111" s="4" t="s">
        <v>134</v>
      </c>
      <c r="C111" s="104">
        <v>0.05</v>
      </c>
      <c r="D111" s="4"/>
      <c r="E111" s="105">
        <f>C111*SUM(E102:E110)</f>
        <v>13643.85</v>
      </c>
      <c r="F111" s="44"/>
    </row>
    <row r="112" spans="1:6" x14ac:dyDescent="0.2">
      <c r="F112" s="109">
        <f>SUM(E102:E111)</f>
        <v>286520.84999999998</v>
      </c>
    </row>
    <row r="113" spans="1:6" x14ac:dyDescent="0.2">
      <c r="A113" t="s">
        <v>112</v>
      </c>
      <c r="F113" s="5"/>
    </row>
    <row r="114" spans="1:6" x14ac:dyDescent="0.2">
      <c r="B114" t="s">
        <v>136</v>
      </c>
      <c r="C114" s="103">
        <v>5</v>
      </c>
      <c r="D114" t="s">
        <v>171</v>
      </c>
      <c r="E114" s="100">
        <f>C114*B6</f>
        <v>26900</v>
      </c>
      <c r="F114" s="5"/>
    </row>
    <row r="115" spans="1:6" x14ac:dyDescent="0.2">
      <c r="A115" s="4"/>
      <c r="B115" s="4" t="s">
        <v>137</v>
      </c>
      <c r="C115" s="104">
        <v>0.1</v>
      </c>
      <c r="D115" s="4"/>
      <c r="E115" s="105">
        <f>C115*E114</f>
        <v>2690</v>
      </c>
      <c r="F115" s="6"/>
    </row>
    <row r="116" spans="1:6" x14ac:dyDescent="0.2">
      <c r="F116" s="126">
        <f>SUM(E114:E115)</f>
        <v>29590</v>
      </c>
    </row>
    <row r="117" spans="1:6" x14ac:dyDescent="0.2">
      <c r="A117" t="s">
        <v>138</v>
      </c>
      <c r="F117" s="5"/>
    </row>
    <row r="118" spans="1:6" x14ac:dyDescent="0.2">
      <c r="B118" t="s">
        <v>139</v>
      </c>
      <c r="C118" s="68">
        <v>0.01</v>
      </c>
      <c r="E118" s="100">
        <f>C118*B92</f>
        <v>14875</v>
      </c>
      <c r="F118" s="5"/>
    </row>
    <row r="119" spans="1:6" x14ac:dyDescent="0.2">
      <c r="A119" s="4"/>
      <c r="B119" s="4" t="s">
        <v>140</v>
      </c>
      <c r="C119" s="104">
        <v>0.03</v>
      </c>
      <c r="D119" s="4"/>
      <c r="E119" s="105">
        <f>C119*B92</f>
        <v>44625</v>
      </c>
      <c r="F119" s="6"/>
    </row>
    <row r="120" spans="1:6" x14ac:dyDescent="0.2">
      <c r="F120" s="126">
        <f>SUM(E118:E119)</f>
        <v>59500</v>
      </c>
    </row>
    <row r="121" spans="1:6" x14ac:dyDescent="0.2">
      <c r="A121" t="s">
        <v>141</v>
      </c>
      <c r="F121" s="5"/>
    </row>
    <row r="122" spans="1:6" x14ac:dyDescent="0.2">
      <c r="B122" t="s">
        <v>142</v>
      </c>
      <c r="E122" s="103">
        <v>10000</v>
      </c>
      <c r="F122" s="5"/>
    </row>
    <row r="123" spans="1:6" x14ac:dyDescent="0.2">
      <c r="A123" s="4"/>
      <c r="B123" s="4" t="s">
        <v>143</v>
      </c>
      <c r="C123" s="104">
        <v>0.1</v>
      </c>
      <c r="D123" s="4"/>
      <c r="E123" s="105">
        <f>C123*H62</f>
        <v>29880</v>
      </c>
      <c r="F123" s="6"/>
    </row>
    <row r="124" spans="1:6" x14ac:dyDescent="0.2">
      <c r="A124" s="106"/>
      <c r="B124" s="106"/>
      <c r="C124" s="106"/>
      <c r="D124" s="106"/>
      <c r="E124" s="106"/>
      <c r="F124" s="127">
        <f>SUM(E122:E123)</f>
        <v>39880</v>
      </c>
    </row>
    <row r="125" spans="1:6" ht="20" thickBot="1" x14ac:dyDescent="0.3">
      <c r="A125" s="65" t="s">
        <v>144</v>
      </c>
      <c r="B125" s="12"/>
      <c r="C125" s="12"/>
      <c r="D125" s="12"/>
      <c r="E125" s="12"/>
      <c r="F125" s="128">
        <f>SUM(F100:F124)</f>
        <v>6365490.8499999996</v>
      </c>
    </row>
    <row r="126" spans="1:6" x14ac:dyDescent="0.2">
      <c r="F126" s="5"/>
    </row>
    <row r="127" spans="1:6" x14ac:dyDescent="0.2">
      <c r="A127" s="94" t="s">
        <v>145</v>
      </c>
      <c r="F127" s="5"/>
    </row>
    <row r="128" spans="1:6" x14ac:dyDescent="0.2">
      <c r="A128" t="s">
        <v>146</v>
      </c>
      <c r="B128" t="s">
        <v>150</v>
      </c>
      <c r="C128" t="s">
        <v>151</v>
      </c>
      <c r="F128" s="5"/>
    </row>
    <row r="129" spans="1:6" x14ac:dyDescent="0.2">
      <c r="A129" t="s">
        <v>147</v>
      </c>
      <c r="B129" s="91">
        <v>0.05</v>
      </c>
      <c r="C129" s="100">
        <f>$B129*$C$133</f>
        <v>243899.54249999998</v>
      </c>
      <c r="F129" s="5"/>
    </row>
    <row r="130" spans="1:6" x14ac:dyDescent="0.2">
      <c r="A130" t="s">
        <v>148</v>
      </c>
      <c r="B130" s="91">
        <v>0.1</v>
      </c>
      <c r="C130" s="100">
        <f t="shared" ref="C130:C132" si="4">$B130*$C$133</f>
        <v>487799.08499999996</v>
      </c>
      <c r="F130" s="5"/>
    </row>
    <row r="131" spans="1:6" x14ac:dyDescent="0.2">
      <c r="A131" t="s">
        <v>149</v>
      </c>
      <c r="B131" s="91">
        <v>0.05</v>
      </c>
      <c r="C131" s="100">
        <f t="shared" si="4"/>
        <v>243899.54249999998</v>
      </c>
      <c r="F131" s="5"/>
    </row>
    <row r="132" spans="1:6" x14ac:dyDescent="0.2">
      <c r="A132" s="4" t="s">
        <v>107</v>
      </c>
      <c r="B132" s="96">
        <v>0.8</v>
      </c>
      <c r="C132" s="105">
        <f t="shared" si="4"/>
        <v>3902392.6799999997</v>
      </c>
      <c r="F132" s="5"/>
    </row>
    <row r="133" spans="1:6" ht="17" thickBot="1" x14ac:dyDescent="0.25">
      <c r="A133" s="12"/>
      <c r="B133" s="124">
        <f>SUM(B129:B132)</f>
        <v>1</v>
      </c>
      <c r="C133" s="125">
        <f>F125-B92</f>
        <v>4877990.8499999996</v>
      </c>
      <c r="D133" s="12"/>
      <c r="E133" s="12"/>
      <c r="F133" s="11"/>
    </row>
    <row r="134" spans="1:6" x14ac:dyDescent="0.2">
      <c r="F134" s="5"/>
    </row>
    <row r="135" spans="1:6" x14ac:dyDescent="0.2">
      <c r="F135" s="5"/>
    </row>
    <row r="136" spans="1:6" x14ac:dyDescent="0.2">
      <c r="A136" s="94" t="s">
        <v>180</v>
      </c>
      <c r="F136" s="5"/>
    </row>
    <row r="137" spans="1:6" x14ac:dyDescent="0.2">
      <c r="A137" t="s">
        <v>181</v>
      </c>
      <c r="B137" s="68">
        <v>0.04</v>
      </c>
      <c r="F137" s="5"/>
    </row>
    <row r="138" spans="1:6" x14ac:dyDescent="0.2">
      <c r="A138" t="s">
        <v>182</v>
      </c>
      <c r="B138" s="68">
        <v>0.05</v>
      </c>
      <c r="F138" s="5"/>
    </row>
    <row r="139" spans="1:6" ht="17" thickBot="1" x14ac:dyDescent="0.25">
      <c r="A139" s="12" t="s">
        <v>183</v>
      </c>
      <c r="B139" s="135">
        <v>0.03</v>
      </c>
      <c r="C139" s="12"/>
      <c r="D139" s="12"/>
      <c r="E139" s="12"/>
      <c r="F139" s="11"/>
    </row>
    <row r="140" spans="1:6" x14ac:dyDescent="0.2">
      <c r="F140" s="5"/>
    </row>
    <row r="141" spans="1:6" x14ac:dyDescent="0.2">
      <c r="A141" s="94" t="s">
        <v>184</v>
      </c>
      <c r="F141" s="5"/>
    </row>
    <row r="142" spans="1:6" x14ac:dyDescent="0.2">
      <c r="A142" t="s">
        <v>185</v>
      </c>
      <c r="B142" s="136">
        <v>0.1</v>
      </c>
      <c r="F142" s="5"/>
    </row>
    <row r="143" spans="1:6" ht="17" thickBot="1" x14ac:dyDescent="0.25">
      <c r="A143" s="12" t="s">
        <v>186</v>
      </c>
      <c r="B143" s="135">
        <v>0.14000000000000001</v>
      </c>
      <c r="C143" s="12"/>
      <c r="D143" s="12"/>
      <c r="E143" s="12"/>
      <c r="F143" s="11"/>
    </row>
  </sheetData>
  <mergeCells count="7">
    <mergeCell ref="C64:D64"/>
    <mergeCell ref="C2:D3"/>
    <mergeCell ref="A1:A3"/>
    <mergeCell ref="A15:A17"/>
    <mergeCell ref="A32:A34"/>
    <mergeCell ref="A45:A46"/>
    <mergeCell ref="A50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1074-5C3F-3143-8343-3230E84C2687}">
  <dimension ref="A1:I21"/>
  <sheetViews>
    <sheetView workbookViewId="0">
      <selection activeCell="F28" sqref="F28"/>
    </sheetView>
  </sheetViews>
  <sheetFormatPr baseColWidth="10" defaultRowHeight="16" x14ac:dyDescent="0.2"/>
  <cols>
    <col min="1" max="1" width="24" customWidth="1"/>
    <col min="2" max="2" width="18" customWidth="1"/>
    <col min="3" max="3" width="17.83203125" customWidth="1"/>
    <col min="4" max="4" width="13.83203125" customWidth="1"/>
    <col min="6" max="6" width="19.83203125" customWidth="1"/>
    <col min="7" max="7" width="23" customWidth="1"/>
    <col min="8" max="8" width="14" customWidth="1"/>
    <col min="9" max="9" width="15.83203125" customWidth="1"/>
  </cols>
  <sheetData>
    <row r="1" spans="1:9" x14ac:dyDescent="0.2">
      <c r="A1" s="154" t="s">
        <v>54</v>
      </c>
      <c r="B1" s="154"/>
      <c r="C1" s="155"/>
      <c r="D1" s="155"/>
      <c r="E1" s="155"/>
      <c r="F1" s="155"/>
      <c r="G1" s="155"/>
      <c r="H1" s="155"/>
      <c r="I1" s="156"/>
    </row>
    <row r="2" spans="1:9" ht="17" thickBot="1" x14ac:dyDescent="0.25">
      <c r="A2" s="157"/>
      <c r="B2" s="157"/>
      <c r="C2" s="158"/>
      <c r="D2" s="158"/>
      <c r="E2" s="158"/>
      <c r="F2" s="158"/>
      <c r="G2" s="158"/>
      <c r="H2" s="158"/>
      <c r="I2" s="159"/>
    </row>
    <row r="3" spans="1:9" ht="20" thickTop="1" x14ac:dyDescent="0.25">
      <c r="A3" s="45" t="s">
        <v>18</v>
      </c>
      <c r="B3" s="45" t="s">
        <v>55</v>
      </c>
      <c r="C3" s="45" t="s">
        <v>56</v>
      </c>
      <c r="D3" s="45" t="s">
        <v>57</v>
      </c>
      <c r="E3" s="45" t="s">
        <v>21</v>
      </c>
      <c r="F3" s="45" t="s">
        <v>58</v>
      </c>
      <c r="G3" s="45" t="s">
        <v>59</v>
      </c>
      <c r="H3" s="45" t="s">
        <v>24</v>
      </c>
      <c r="I3" s="46" t="s">
        <v>25</v>
      </c>
    </row>
    <row r="4" spans="1:9" x14ac:dyDescent="0.2">
      <c r="A4" t="str">
        <f>ASSUMPTIONS!A20</f>
        <v>1- (Grnd Fl)</v>
      </c>
      <c r="B4" s="41" t="str">
        <f>ASSUMPTIONS!B20</f>
        <v>Free Market</v>
      </c>
      <c r="C4" s="42">
        <f>ASSUMPTIONS!C20</f>
        <v>2</v>
      </c>
      <c r="E4" s="41" t="str">
        <f>ASSUMPTIONS!D20</f>
        <v>No</v>
      </c>
      <c r="F4" s="41" t="str">
        <f>ASSUMPTIONS!E20</f>
        <v>Vacant</v>
      </c>
      <c r="G4" s="2">
        <f>ASSUMPTIONS!F20</f>
        <v>1021</v>
      </c>
      <c r="H4" s="73">
        <f>ASSUMPTIONS!G20</f>
        <v>6800</v>
      </c>
      <c r="I4" s="74">
        <f>ASSUMPTIONS!H20</f>
        <v>81600</v>
      </c>
    </row>
    <row r="5" spans="1:9" x14ac:dyDescent="0.2">
      <c r="A5" t="str">
        <f>ASSUMPTIONS!A21</f>
        <v>2- (2R)</v>
      </c>
      <c r="B5" s="41" t="str">
        <f>ASSUMPTIONS!B21</f>
        <v>Free Market</v>
      </c>
      <c r="C5" s="42">
        <f>ASSUMPTIONS!C21</f>
        <v>1</v>
      </c>
      <c r="E5" s="41" t="str">
        <f>ASSUMPTIONS!D21</f>
        <v>No</v>
      </c>
      <c r="F5" s="41" t="str">
        <f>ASSUMPTIONS!E21</f>
        <v>Vacant</v>
      </c>
      <c r="G5" s="2">
        <f>ASSUMPTIONS!F21</f>
        <v>510</v>
      </c>
      <c r="H5" s="73">
        <f>ASSUMPTIONS!G21</f>
        <v>3400</v>
      </c>
      <c r="I5" s="74">
        <f>ASSUMPTIONS!H21</f>
        <v>40800</v>
      </c>
    </row>
    <row r="6" spans="1:9" x14ac:dyDescent="0.2">
      <c r="A6" t="str">
        <f>ASSUMPTIONS!A22</f>
        <v>3- (2F)</v>
      </c>
      <c r="B6" s="41" t="str">
        <f>ASSUMPTIONS!B22</f>
        <v>Free Market</v>
      </c>
      <c r="C6" s="42">
        <f>ASSUMPTIONS!C22</f>
        <v>1</v>
      </c>
      <c r="E6" s="41" t="str">
        <f>ASSUMPTIONS!D22</f>
        <v>No</v>
      </c>
      <c r="F6" s="41" t="str">
        <f>ASSUMPTIONS!E22</f>
        <v>Vacant</v>
      </c>
      <c r="G6" s="2">
        <f>ASSUMPTIONS!F22</f>
        <v>510</v>
      </c>
      <c r="H6" s="73">
        <f>ASSUMPTIONS!G22</f>
        <v>3400</v>
      </c>
      <c r="I6" s="74">
        <f>ASSUMPTIONS!H22</f>
        <v>40800</v>
      </c>
    </row>
    <row r="7" spans="1:9" x14ac:dyDescent="0.2">
      <c r="A7" t="str">
        <f>ASSUMPTIONS!A23</f>
        <v>4- (Ent 3rd Fl.)</v>
      </c>
      <c r="B7" s="41" t="str">
        <f>ASSUMPTIONS!B23</f>
        <v>Free Market</v>
      </c>
      <c r="C7" s="42">
        <f>ASSUMPTIONS!C23</f>
        <v>2</v>
      </c>
      <c r="E7" s="41" t="str">
        <f>ASSUMPTIONS!D23</f>
        <v>No</v>
      </c>
      <c r="F7" s="41" t="str">
        <f>ASSUMPTIONS!E23</f>
        <v>MTM</v>
      </c>
      <c r="G7" s="2">
        <f>ASSUMPTIONS!F23</f>
        <v>1021</v>
      </c>
      <c r="H7" s="73">
        <f>ASSUMPTIONS!G23</f>
        <v>4000</v>
      </c>
      <c r="I7" s="74">
        <f>ASSUMPTIONS!H23</f>
        <v>48000</v>
      </c>
    </row>
    <row r="8" spans="1:9" x14ac:dyDescent="0.2">
      <c r="A8" t="str">
        <f>ASSUMPTIONS!A24</f>
        <v>5- (4R)</v>
      </c>
      <c r="B8" s="41" t="str">
        <f>ASSUMPTIONS!B24</f>
        <v>Free Market</v>
      </c>
      <c r="C8" s="42">
        <f>ASSUMPTIONS!C24</f>
        <v>1</v>
      </c>
      <c r="E8" s="41" t="str">
        <f>ASSUMPTIONS!D24</f>
        <v>Yes</v>
      </c>
      <c r="F8" s="41" t="str">
        <f>ASSUMPTIONS!E24</f>
        <v>Vacant</v>
      </c>
      <c r="G8" s="2">
        <f>ASSUMPTIONS!F24</f>
        <v>414</v>
      </c>
      <c r="H8" s="73">
        <f>ASSUMPTIONS!G24</f>
        <v>2700</v>
      </c>
      <c r="I8" s="74">
        <f>ASSUMPTIONS!H24</f>
        <v>32400</v>
      </c>
    </row>
    <row r="9" spans="1:9" x14ac:dyDescent="0.2">
      <c r="A9" t="str">
        <f>ASSUMPTIONS!A25</f>
        <v>6- (4F)</v>
      </c>
      <c r="B9" s="41" t="str">
        <f>ASSUMPTIONS!B25</f>
        <v>Free Market</v>
      </c>
      <c r="C9" s="42">
        <f>ASSUMPTIONS!C25</f>
        <v>1</v>
      </c>
      <c r="E9" s="41" t="str">
        <f>ASSUMPTIONS!D25</f>
        <v>No</v>
      </c>
      <c r="F9" s="41" t="str">
        <f>ASSUMPTIONS!E25</f>
        <v>MTM</v>
      </c>
      <c r="G9" s="2">
        <f>ASSUMPTIONS!F25</f>
        <v>414</v>
      </c>
      <c r="H9" s="73">
        <f>ASSUMPTIONS!G25</f>
        <v>2300</v>
      </c>
      <c r="I9" s="74">
        <f>ASSUMPTIONS!H25</f>
        <v>27600</v>
      </c>
    </row>
    <row r="10" spans="1:9" x14ac:dyDescent="0.2">
      <c r="A10" s="4" t="str">
        <f>ASSUMPTIONS!A26</f>
        <v>7- (Ent 5th Fl)</v>
      </c>
      <c r="B10" s="35" t="str">
        <f>ASSUMPTIONS!B26</f>
        <v>Free Market</v>
      </c>
      <c r="C10" s="36">
        <f>ASSUMPTIONS!C26</f>
        <v>1</v>
      </c>
      <c r="D10" s="4"/>
      <c r="E10" s="35" t="str">
        <f>ASSUMPTIONS!D26</f>
        <v>Yes</v>
      </c>
      <c r="F10" s="37">
        <f>ASSUMPTIONS!E26</f>
        <v>42428</v>
      </c>
      <c r="G10" s="38">
        <f>ASSUMPTIONS!F26</f>
        <v>482</v>
      </c>
      <c r="H10" s="75">
        <f>ASSUMPTIONS!G26</f>
        <v>2300</v>
      </c>
      <c r="I10" s="76">
        <f>ASSUMPTIONS!H26</f>
        <v>27600</v>
      </c>
    </row>
    <row r="11" spans="1:9" ht="20" thickBot="1" x14ac:dyDescent="0.3">
      <c r="A11" s="39"/>
      <c r="B11" s="39"/>
      <c r="C11" s="39"/>
      <c r="D11" s="39"/>
      <c r="E11" s="39"/>
      <c r="F11" s="47" t="s">
        <v>39</v>
      </c>
      <c r="G11" s="48">
        <f>SUM(G4:G10)</f>
        <v>4372</v>
      </c>
      <c r="H11" s="117">
        <f>SUM(H4:H10)</f>
        <v>24900</v>
      </c>
      <c r="I11" s="118">
        <f>SUM(I4:I10)</f>
        <v>298800</v>
      </c>
    </row>
    <row r="12" spans="1:9" ht="17" thickTop="1" x14ac:dyDescent="0.2"/>
    <row r="14" spans="1:9" x14ac:dyDescent="0.2">
      <c r="A14" s="160" t="s">
        <v>172</v>
      </c>
      <c r="B14" s="160"/>
      <c r="C14" s="160"/>
      <c r="D14" s="160"/>
      <c r="E14" s="160"/>
      <c r="F14" s="160"/>
      <c r="G14" s="160"/>
      <c r="H14" s="160"/>
      <c r="I14" s="160"/>
    </row>
    <row r="15" spans="1:9" x14ac:dyDescent="0.2">
      <c r="A15" t="s">
        <v>173</v>
      </c>
    </row>
    <row r="16" spans="1:9" x14ac:dyDescent="0.2">
      <c r="A16" t="s">
        <v>174</v>
      </c>
    </row>
    <row r="17" spans="1:1" x14ac:dyDescent="0.2">
      <c r="A17" t="s">
        <v>175</v>
      </c>
    </row>
    <row r="18" spans="1:1" x14ac:dyDescent="0.2">
      <c r="A18" t="s">
        <v>176</v>
      </c>
    </row>
    <row r="19" spans="1:1" x14ac:dyDescent="0.2">
      <c r="A19" t="s">
        <v>177</v>
      </c>
    </row>
    <row r="20" spans="1:1" x14ac:dyDescent="0.2">
      <c r="A20" t="s">
        <v>178</v>
      </c>
    </row>
    <row r="21" spans="1:1" x14ac:dyDescent="0.2">
      <c r="A21" t="s">
        <v>179</v>
      </c>
    </row>
  </sheetData>
  <mergeCells count="2">
    <mergeCell ref="A1:I2"/>
    <mergeCell ref="A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F00-A503-A240-AC78-3AA5AAF17FDB}">
  <dimension ref="A1:I19"/>
  <sheetViews>
    <sheetView workbookViewId="0">
      <selection activeCell="G30" sqref="G30"/>
    </sheetView>
  </sheetViews>
  <sheetFormatPr baseColWidth="10" defaultRowHeight="16" x14ac:dyDescent="0.2"/>
  <cols>
    <col min="6" max="6" width="21.6640625" customWidth="1"/>
    <col min="7" max="7" width="20.83203125" customWidth="1"/>
    <col min="8" max="8" width="13.33203125" customWidth="1"/>
    <col min="9" max="9" width="19.5" customWidth="1"/>
  </cols>
  <sheetData>
    <row r="1" spans="1:9" x14ac:dyDescent="0.2">
      <c r="A1" s="154" t="s">
        <v>54</v>
      </c>
      <c r="B1" s="154"/>
      <c r="C1" s="155"/>
      <c r="D1" s="155"/>
      <c r="E1" s="155"/>
      <c r="F1" s="155"/>
      <c r="G1" s="155"/>
      <c r="H1" s="155"/>
      <c r="I1" s="156"/>
    </row>
    <row r="2" spans="1:9" ht="17" thickBot="1" x14ac:dyDescent="0.25">
      <c r="A2" s="157"/>
      <c r="B2" s="157"/>
      <c r="C2" s="158"/>
      <c r="D2" s="158"/>
      <c r="E2" s="158"/>
      <c r="F2" s="158"/>
      <c r="G2" s="158"/>
      <c r="H2" s="158"/>
      <c r="I2" s="159"/>
    </row>
    <row r="3" spans="1:9" ht="20" thickTop="1" x14ac:dyDescent="0.25">
      <c r="A3" s="45" t="s">
        <v>18</v>
      </c>
      <c r="B3" s="45" t="s">
        <v>55</v>
      </c>
      <c r="C3" s="45" t="s">
        <v>56</v>
      </c>
      <c r="D3" s="45" t="s">
        <v>57</v>
      </c>
      <c r="E3" s="45" t="s">
        <v>21</v>
      </c>
      <c r="F3" s="45" t="s">
        <v>58</v>
      </c>
      <c r="G3" s="45" t="s">
        <v>59</v>
      </c>
      <c r="H3" s="45" t="s">
        <v>24</v>
      </c>
      <c r="I3" s="46" t="s">
        <v>25</v>
      </c>
    </row>
    <row r="4" spans="1:9" x14ac:dyDescent="0.2">
      <c r="A4" t="str">
        <f>ASSUMPTIONS!A20</f>
        <v>1- (Grnd Fl)</v>
      </c>
      <c r="B4" s="41" t="str">
        <f>ASSUMPTIONS!B20</f>
        <v>Free Market</v>
      </c>
      <c r="C4" s="42">
        <f>ASSUMPTIONS!C20</f>
        <v>2</v>
      </c>
      <c r="E4" s="41" t="str">
        <f>ASSUMPTIONS!D20</f>
        <v>No</v>
      </c>
      <c r="F4" s="41" t="str">
        <f>ASSUMPTIONS!E20</f>
        <v>Vacant</v>
      </c>
      <c r="G4" s="2">
        <f>ASSUMPTIONS!F20</f>
        <v>1021</v>
      </c>
      <c r="H4" s="73">
        <f>ASSUMPTIONS!G20</f>
        <v>6800</v>
      </c>
      <c r="I4" s="74">
        <f>ASSUMPTIONS!H20</f>
        <v>81600</v>
      </c>
    </row>
    <row r="5" spans="1:9" x14ac:dyDescent="0.2">
      <c r="A5" t="str">
        <f>ASSUMPTIONS!A21</f>
        <v>2- (2R)</v>
      </c>
      <c r="B5" s="41" t="str">
        <f>ASSUMPTIONS!B21</f>
        <v>Free Market</v>
      </c>
      <c r="C5" s="42">
        <f>ASSUMPTIONS!C21</f>
        <v>1</v>
      </c>
      <c r="E5" s="41" t="str">
        <f>ASSUMPTIONS!D21</f>
        <v>No</v>
      </c>
      <c r="F5" s="41" t="str">
        <f>ASSUMPTIONS!E21</f>
        <v>Vacant</v>
      </c>
      <c r="G5" s="2">
        <f>ASSUMPTIONS!F21</f>
        <v>510</v>
      </c>
      <c r="H5" s="73">
        <f>ASSUMPTIONS!G21</f>
        <v>3400</v>
      </c>
      <c r="I5" s="74">
        <f>ASSUMPTIONS!H21</f>
        <v>40800</v>
      </c>
    </row>
    <row r="6" spans="1:9" x14ac:dyDescent="0.2">
      <c r="A6" t="str">
        <f>ASSUMPTIONS!A22</f>
        <v>3- (2F)</v>
      </c>
      <c r="B6" s="41" t="str">
        <f>ASSUMPTIONS!B22</f>
        <v>Free Market</v>
      </c>
      <c r="C6" s="42">
        <f>ASSUMPTIONS!C22</f>
        <v>1</v>
      </c>
      <c r="E6" s="41" t="str">
        <f>ASSUMPTIONS!D22</f>
        <v>No</v>
      </c>
      <c r="F6" s="41" t="str">
        <f>ASSUMPTIONS!E22</f>
        <v>Vacant</v>
      </c>
      <c r="G6" s="2">
        <f>ASSUMPTIONS!F22</f>
        <v>510</v>
      </c>
      <c r="H6" s="73">
        <f>ASSUMPTIONS!G22</f>
        <v>3400</v>
      </c>
      <c r="I6" s="74">
        <f>ASSUMPTIONS!H22</f>
        <v>40800</v>
      </c>
    </row>
    <row r="7" spans="1:9" x14ac:dyDescent="0.2">
      <c r="A7" t="str">
        <f>ASSUMPTIONS!A23</f>
        <v>4- (Ent 3rd Fl.)</v>
      </c>
      <c r="B7" s="41" t="str">
        <f>ASSUMPTIONS!B23</f>
        <v>Free Market</v>
      </c>
      <c r="C7" s="42">
        <f>ASSUMPTIONS!C23</f>
        <v>2</v>
      </c>
      <c r="E7" s="41" t="str">
        <f>ASSUMPTIONS!D23</f>
        <v>No</v>
      </c>
      <c r="F7" s="41" t="str">
        <f>ASSUMPTIONS!E23</f>
        <v>MTM</v>
      </c>
      <c r="G7" s="2">
        <f>ASSUMPTIONS!F23</f>
        <v>1021</v>
      </c>
      <c r="H7" s="73">
        <f>ASSUMPTIONS!G23</f>
        <v>4000</v>
      </c>
      <c r="I7" s="74">
        <f>ASSUMPTIONS!H23</f>
        <v>48000</v>
      </c>
    </row>
    <row r="8" spans="1:9" x14ac:dyDescent="0.2">
      <c r="A8" t="str">
        <f>ASSUMPTIONS!A24</f>
        <v>5- (4R)</v>
      </c>
      <c r="B8" s="41" t="str">
        <f>ASSUMPTIONS!B24</f>
        <v>Free Market</v>
      </c>
      <c r="C8" s="42">
        <f>ASSUMPTIONS!C24</f>
        <v>1</v>
      </c>
      <c r="E8" s="41" t="str">
        <f>ASSUMPTIONS!D24</f>
        <v>Yes</v>
      </c>
      <c r="F8" s="41" t="str">
        <f>ASSUMPTIONS!E24</f>
        <v>Vacant</v>
      </c>
      <c r="G8" s="2">
        <f>ASSUMPTIONS!F24</f>
        <v>414</v>
      </c>
      <c r="H8" s="73">
        <f>ASSUMPTIONS!G24</f>
        <v>2700</v>
      </c>
      <c r="I8" s="74">
        <f>ASSUMPTIONS!H24</f>
        <v>32400</v>
      </c>
    </row>
    <row r="9" spans="1:9" x14ac:dyDescent="0.2">
      <c r="A9" t="str">
        <f>ASSUMPTIONS!A25</f>
        <v>6- (4F)</v>
      </c>
      <c r="B9" s="41" t="str">
        <f>ASSUMPTIONS!B25</f>
        <v>Free Market</v>
      </c>
      <c r="C9" s="42">
        <f>ASSUMPTIONS!C25</f>
        <v>1</v>
      </c>
      <c r="E9" s="41" t="str">
        <f>ASSUMPTIONS!D25</f>
        <v>No</v>
      </c>
      <c r="F9" s="41" t="str">
        <f>ASSUMPTIONS!E25</f>
        <v>MTM</v>
      </c>
      <c r="G9" s="2">
        <f>ASSUMPTIONS!F25</f>
        <v>414</v>
      </c>
      <c r="H9" s="73">
        <f>ASSUMPTIONS!G25</f>
        <v>2300</v>
      </c>
      <c r="I9" s="74">
        <f>ASSUMPTIONS!H25</f>
        <v>27600</v>
      </c>
    </row>
    <row r="10" spans="1:9" x14ac:dyDescent="0.2">
      <c r="A10" s="4" t="str">
        <f>ASSUMPTIONS!A26</f>
        <v>7- (Ent 5th Fl)</v>
      </c>
      <c r="B10" s="35" t="str">
        <f>ASSUMPTIONS!B26</f>
        <v>Free Market</v>
      </c>
      <c r="C10" s="36">
        <f>ASSUMPTIONS!C26</f>
        <v>1</v>
      </c>
      <c r="D10" s="4"/>
      <c r="E10" s="35" t="str">
        <f>ASSUMPTIONS!D26</f>
        <v>Yes</v>
      </c>
      <c r="F10" s="37">
        <f>ASSUMPTIONS!E26</f>
        <v>42428</v>
      </c>
      <c r="G10" s="38">
        <f>ASSUMPTIONS!F26</f>
        <v>482</v>
      </c>
      <c r="H10" s="75">
        <f>ASSUMPTIONS!G26</f>
        <v>2300</v>
      </c>
      <c r="I10" s="76">
        <f>ASSUMPTIONS!H26</f>
        <v>27600</v>
      </c>
    </row>
    <row r="11" spans="1:9" ht="20" thickBot="1" x14ac:dyDescent="0.3">
      <c r="A11" s="39"/>
      <c r="B11" s="39"/>
      <c r="C11" s="39"/>
      <c r="D11" s="39"/>
      <c r="E11" s="39"/>
      <c r="F11" s="47" t="s">
        <v>39</v>
      </c>
      <c r="G11" s="48">
        <f>SUM(G4:G10)</f>
        <v>4372</v>
      </c>
      <c r="H11" s="117">
        <f>SUM(H4:H10)</f>
        <v>24900</v>
      </c>
      <c r="I11" s="118">
        <f>SUM(I4:I10)</f>
        <v>298800</v>
      </c>
    </row>
    <row r="12" spans="1:9" ht="17" thickTop="1" x14ac:dyDescent="0.2"/>
    <row r="15" spans="1:9" x14ac:dyDescent="0.2">
      <c r="A15" t="s">
        <v>211</v>
      </c>
      <c r="B15" s="73">
        <f>AVERAGE(H4:H10)</f>
        <v>3557.1428571428573</v>
      </c>
    </row>
    <row r="16" spans="1:9" x14ac:dyDescent="0.2">
      <c r="A16" t="s">
        <v>212</v>
      </c>
      <c r="B16" s="73">
        <f>MIN(H4:H10)</f>
        <v>2300</v>
      </c>
    </row>
    <row r="17" spans="1:2" x14ac:dyDescent="0.2">
      <c r="A17" t="s">
        <v>213</v>
      </c>
      <c r="B17" s="73">
        <f>MAX(H4:H10)</f>
        <v>6800</v>
      </c>
    </row>
    <row r="18" spans="1:2" x14ac:dyDescent="0.2">
      <c r="A18" t="s">
        <v>214</v>
      </c>
      <c r="B18" s="73">
        <f>MEDIAN(H4:H10)</f>
        <v>3400</v>
      </c>
    </row>
    <row r="19" spans="1:2" x14ac:dyDescent="0.2">
      <c r="A19" t="s">
        <v>215</v>
      </c>
      <c r="B19">
        <f>COUNT(H4:H10)</f>
        <v>7</v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6A87-7ABA-C34F-88CC-938E8E5079A0}">
  <dimension ref="A1:M26"/>
  <sheetViews>
    <sheetView tabSelected="1" zoomScale="125" workbookViewId="0">
      <selection activeCell="B21" sqref="B21"/>
    </sheetView>
  </sheetViews>
  <sheetFormatPr baseColWidth="10" defaultRowHeight="16" x14ac:dyDescent="0.2"/>
  <cols>
    <col min="1" max="1" width="44" customWidth="1"/>
    <col min="2" max="2" width="16.33203125" customWidth="1"/>
    <col min="3" max="3" width="16" customWidth="1"/>
    <col min="4" max="4" width="15.33203125" customWidth="1"/>
    <col min="5" max="5" width="15.6640625" customWidth="1"/>
    <col min="6" max="6" width="14.5" customWidth="1"/>
    <col min="7" max="7" width="15.83203125" customWidth="1"/>
    <col min="8" max="8" width="15.5" customWidth="1"/>
    <col min="9" max="9" width="14.83203125" customWidth="1"/>
    <col min="10" max="10" width="17.1640625" customWidth="1"/>
    <col min="11" max="11" width="15.1640625" customWidth="1"/>
    <col min="12" max="12" width="16.1640625" customWidth="1"/>
    <col min="13" max="13" width="13.5" customWidth="1"/>
  </cols>
  <sheetData>
    <row r="1" spans="1:13" x14ac:dyDescent="0.2">
      <c r="A1" s="154" t="s">
        <v>60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7" thickBot="1" x14ac:dyDescent="0.2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9"/>
    </row>
    <row r="3" spans="1:13" ht="18" thickTop="1" thickBot="1" x14ac:dyDescent="0.25">
      <c r="A3" s="50" t="s">
        <v>17</v>
      </c>
      <c r="B3" s="50" t="s">
        <v>61</v>
      </c>
      <c r="C3" s="161" t="s">
        <v>62</v>
      </c>
      <c r="D3" s="162"/>
      <c r="E3" s="162"/>
      <c r="F3" s="162"/>
      <c r="G3" s="162"/>
      <c r="H3" s="162"/>
      <c r="I3" s="162"/>
      <c r="J3" s="162"/>
      <c r="K3" s="162"/>
      <c r="L3" s="162"/>
      <c r="M3" s="163"/>
    </row>
    <row r="4" spans="1:13" x14ac:dyDescent="0.2">
      <c r="A4" s="49"/>
      <c r="B4" s="49"/>
      <c r="C4" s="49" t="s">
        <v>63</v>
      </c>
      <c r="D4" s="49" t="s">
        <v>64</v>
      </c>
      <c r="E4" s="49" t="s">
        <v>65</v>
      </c>
      <c r="F4" s="49" t="s">
        <v>66</v>
      </c>
      <c r="G4" s="49" t="s">
        <v>67</v>
      </c>
      <c r="H4" s="49" t="s">
        <v>68</v>
      </c>
      <c r="I4" s="49" t="s">
        <v>69</v>
      </c>
      <c r="J4" s="49" t="s">
        <v>70</v>
      </c>
      <c r="K4" s="49" t="s">
        <v>71</v>
      </c>
      <c r="L4" s="49" t="s">
        <v>72</v>
      </c>
      <c r="M4" s="70" t="s">
        <v>73</v>
      </c>
    </row>
    <row r="5" spans="1:13" x14ac:dyDescent="0.2">
      <c r="A5" t="s">
        <v>40</v>
      </c>
      <c r="B5" s="77">
        <f>ASSUMPTIONS!B29</f>
        <v>298800</v>
      </c>
      <c r="C5" s="77">
        <f>B5</f>
        <v>298800</v>
      </c>
      <c r="D5" s="77">
        <f>C5*(1+ASSUMPTIONS!C86)</f>
        <v>307764</v>
      </c>
      <c r="E5" s="77">
        <f>D5*(1+ASSUMPTIONS!D86)</f>
        <v>316996.92</v>
      </c>
      <c r="F5" s="77">
        <f>E5*(1+ASSUMPTIONS!E86)</f>
        <v>326506.82760000002</v>
      </c>
      <c r="G5" s="77">
        <f>F5*(1+ASSUMPTIONS!F86)</f>
        <v>336302.03242800001</v>
      </c>
      <c r="H5" s="77">
        <f>G5*(1+ASSUMPTIONS!G86)</f>
        <v>346391.09340084001</v>
      </c>
      <c r="I5" s="77">
        <f>H5*(1+ASSUMPTIONS!H86)</f>
        <v>356782.82620286522</v>
      </c>
      <c r="J5" s="77">
        <f>I5*(1+ASSUMPTIONS!I86)</f>
        <v>367486.31098895118</v>
      </c>
      <c r="K5" s="77">
        <f>J5*(1+ASSUMPTIONS!J86)</f>
        <v>378510.90031861974</v>
      </c>
      <c r="L5" s="77">
        <f>K5*(1+ASSUMPTIONS!K86)</f>
        <v>389866.22732817836</v>
      </c>
      <c r="M5" s="78">
        <f>L5*(1+ASSUMPTIONS!L86)</f>
        <v>401562.21414802369</v>
      </c>
    </row>
    <row r="6" spans="1:13" x14ac:dyDescent="0.2">
      <c r="A6" s="4" t="s">
        <v>41</v>
      </c>
      <c r="B6" s="79">
        <f>ASSUMPTIONS!B30</f>
        <v>195600</v>
      </c>
      <c r="C6" s="79">
        <f>C5*ASSUMPTIONS!B$85</f>
        <v>8964</v>
      </c>
      <c r="D6" s="79">
        <f>D5*ASSUMPTIONS!C$85</f>
        <v>9232.92</v>
      </c>
      <c r="E6" s="79">
        <f>E5*ASSUMPTIONS!D$85</f>
        <v>9509.9075999999986</v>
      </c>
      <c r="F6" s="79">
        <f>F5*ASSUMPTIONS!E$85</f>
        <v>9795.2048279999999</v>
      </c>
      <c r="G6" s="79">
        <f>G5*ASSUMPTIONS!F$85</f>
        <v>10089.06097284</v>
      </c>
      <c r="H6" s="79">
        <f>H5*ASSUMPTIONS!G$85</f>
        <v>10391.732802025201</v>
      </c>
      <c r="I6" s="79">
        <f>I5*ASSUMPTIONS!H$85</f>
        <v>10703.484786085957</v>
      </c>
      <c r="J6" s="79">
        <f>J5*ASSUMPTIONS!I$85</f>
        <v>11024.589329668535</v>
      </c>
      <c r="K6" s="79">
        <f>K5*ASSUMPTIONS!J$85</f>
        <v>11355.327009558592</v>
      </c>
      <c r="L6" s="79">
        <f>L5*ASSUMPTIONS!K$85</f>
        <v>11695.98681984535</v>
      </c>
      <c r="M6" s="80">
        <f>M5*ASSUMPTIONS!L$85</f>
        <v>12046.86642444071</v>
      </c>
    </row>
    <row r="7" spans="1:13" s="9" customFormat="1" ht="17" thickBot="1" x14ac:dyDescent="0.25">
      <c r="A7" s="40" t="s">
        <v>42</v>
      </c>
      <c r="B7" s="81">
        <f>B5-B6</f>
        <v>103200</v>
      </c>
      <c r="C7" s="81">
        <f>C5-C6</f>
        <v>289836</v>
      </c>
      <c r="D7" s="81">
        <f t="shared" ref="D7:F7" si="0">D5-D6</f>
        <v>298531.08</v>
      </c>
      <c r="E7" s="81">
        <f t="shared" si="0"/>
        <v>307487.01240000001</v>
      </c>
      <c r="F7" s="81">
        <f t="shared" si="0"/>
        <v>316711.62277200003</v>
      </c>
      <c r="G7" s="81">
        <f t="shared" ref="G7" si="1">G5-G6</f>
        <v>326212.97145516</v>
      </c>
      <c r="H7" s="81">
        <f t="shared" ref="H7" si="2">H5-H6</f>
        <v>335999.36059881479</v>
      </c>
      <c r="I7" s="81">
        <f t="shared" ref="I7" si="3">I5-I6</f>
        <v>346079.34141677927</v>
      </c>
      <c r="J7" s="81">
        <f t="shared" ref="J7" si="4">J5-J6</f>
        <v>356461.72165928263</v>
      </c>
      <c r="K7" s="81">
        <f t="shared" ref="K7" si="5">K5-K6</f>
        <v>367155.57330906112</v>
      </c>
      <c r="L7" s="81">
        <f t="shared" ref="L7" si="6">L5-L6</f>
        <v>378170.24050833302</v>
      </c>
      <c r="M7" s="82">
        <f t="shared" ref="M7" si="7">M5-M6</f>
        <v>389515.34772358299</v>
      </c>
    </row>
    <row r="8" spans="1:13" ht="17" thickTop="1" x14ac:dyDescent="0.2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8"/>
    </row>
    <row r="9" spans="1:13" ht="17" thickBot="1" x14ac:dyDescent="0.25">
      <c r="A9" s="65" t="s">
        <v>93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4"/>
    </row>
    <row r="10" spans="1:13" x14ac:dyDescent="0.2">
      <c r="A10" t="s">
        <v>44</v>
      </c>
      <c r="B10" s="77">
        <f>ASSUMPTIONS!C36</f>
        <v>58927</v>
      </c>
      <c r="C10" s="77">
        <f>ASSUMPTIONS!C69</f>
        <v>58927</v>
      </c>
      <c r="D10" s="77">
        <f>C10*(1+ASSUMPTIONS!C87)</f>
        <v>60694.810000000005</v>
      </c>
      <c r="E10" s="77">
        <f>D10*(1+ASSUMPTIONS!D87)</f>
        <v>62515.654300000009</v>
      </c>
      <c r="F10" s="77">
        <f>E10*(1+ASSUMPTIONS!E87)</f>
        <v>64391.123929000009</v>
      </c>
      <c r="G10" s="77">
        <f>F10*(1+ASSUMPTIONS!F87)</f>
        <v>66322.857646870005</v>
      </c>
      <c r="H10" s="77">
        <f>G10*(1+ASSUMPTIONS!G87)</f>
        <v>68312.543376276109</v>
      </c>
      <c r="I10" s="77">
        <f>H10*(1+ASSUMPTIONS!H87)</f>
        <v>70361.919677564394</v>
      </c>
      <c r="J10" s="77">
        <f>I10*(1+ASSUMPTIONS!I87)</f>
        <v>72472.777267891332</v>
      </c>
      <c r="K10" s="77">
        <f>J10*(1+ASSUMPTIONS!J87)</f>
        <v>74646.960585928071</v>
      </c>
      <c r="L10" s="77">
        <f>K10*(1+ASSUMPTIONS!K87)</f>
        <v>76886.369403505916</v>
      </c>
      <c r="M10" s="78">
        <f>L10*(1+ASSUMPTIONS!L87)</f>
        <v>79192.960485611096</v>
      </c>
    </row>
    <row r="11" spans="1:13" x14ac:dyDescent="0.2">
      <c r="A11" t="s">
        <v>45</v>
      </c>
      <c r="B11" s="77">
        <f>ASSUMPTIONS!C37</f>
        <v>5380</v>
      </c>
      <c r="C11" s="77">
        <f>ASSUMPTIONS!C70</f>
        <v>5380</v>
      </c>
      <c r="D11" s="77">
        <f>C11*(1+ASSUMPTIONS!C87)</f>
        <v>5541.4000000000005</v>
      </c>
      <c r="E11" s="77">
        <f>D11*(1+ASSUMPTIONS!D87)</f>
        <v>5707.6420000000007</v>
      </c>
      <c r="F11" s="77">
        <f>E11*(1+ASSUMPTIONS!E87)</f>
        <v>5878.8712600000008</v>
      </c>
      <c r="G11" s="77">
        <f>F11*(1+ASSUMPTIONS!F87)</f>
        <v>6055.2373978000014</v>
      </c>
      <c r="H11" s="77">
        <f>G11*(1+ASSUMPTIONS!G87)</f>
        <v>6236.8945197340017</v>
      </c>
      <c r="I11" s="77">
        <f>H11*(1+ASSUMPTIONS!H87)</f>
        <v>6424.0013553260223</v>
      </c>
      <c r="J11" s="77">
        <f>I11*(1+ASSUMPTIONS!I87)</f>
        <v>6616.7213959858036</v>
      </c>
      <c r="K11" s="77">
        <f>J11*(1+ASSUMPTIONS!J87)</f>
        <v>6815.2230378653776</v>
      </c>
      <c r="L11" s="77">
        <f>K11*(1+ASSUMPTIONS!K87)</f>
        <v>7019.6797290013392</v>
      </c>
      <c r="M11" s="78">
        <f>L11*(1+ASSUMPTIONS!L87)</f>
        <v>7230.2701208713797</v>
      </c>
    </row>
    <row r="12" spans="1:13" x14ac:dyDescent="0.2">
      <c r="A12" t="s">
        <v>46</v>
      </c>
      <c r="B12" s="77">
        <f>ASSUMPTIONS!C38</f>
        <v>5380</v>
      </c>
      <c r="C12" s="77">
        <f>ASSUMPTIONS!C71</f>
        <v>5380</v>
      </c>
      <c r="D12" s="77">
        <f>C12*(1+ASSUMPTIONS!C87)</f>
        <v>5541.4000000000005</v>
      </c>
      <c r="E12" s="77">
        <f>D12*(1+ASSUMPTIONS!D87)</f>
        <v>5707.6420000000007</v>
      </c>
      <c r="F12" s="77">
        <f>E12*(1+ASSUMPTIONS!E87)</f>
        <v>5878.8712600000008</v>
      </c>
      <c r="G12" s="77">
        <f>F12*(1+ASSUMPTIONS!F87)</f>
        <v>6055.2373978000014</v>
      </c>
      <c r="H12" s="77">
        <f>G12*(1+ASSUMPTIONS!G87)</f>
        <v>6236.8945197340017</v>
      </c>
      <c r="I12" s="77">
        <f>H12*(1+ASSUMPTIONS!H87)</f>
        <v>6424.0013553260223</v>
      </c>
      <c r="J12" s="77">
        <f>I12*(1+ASSUMPTIONS!I87)</f>
        <v>6616.7213959858036</v>
      </c>
      <c r="K12" s="77">
        <f>J12*(1+ASSUMPTIONS!J87)</f>
        <v>6815.2230378653776</v>
      </c>
      <c r="L12" s="77">
        <f>K12*(1+ASSUMPTIONS!K87)</f>
        <v>7019.6797290013392</v>
      </c>
      <c r="M12" s="78">
        <f>L12*(1+ASSUMPTIONS!L87)</f>
        <v>7230.2701208713797</v>
      </c>
    </row>
    <row r="13" spans="1:13" x14ac:dyDescent="0.2">
      <c r="A13" t="s">
        <v>47</v>
      </c>
      <c r="B13" s="77">
        <f>ASSUMPTIONS!C39</f>
        <v>8877</v>
      </c>
      <c r="C13" s="77">
        <f>ASSUMPTIONS!C72</f>
        <v>8877</v>
      </c>
      <c r="D13" s="77">
        <f>C13*(1+ASSUMPTIONS!C87)</f>
        <v>9143.31</v>
      </c>
      <c r="E13" s="77">
        <f>D13*(1+ASSUMPTIONS!D87)</f>
        <v>9417.6093000000001</v>
      </c>
      <c r="F13" s="77">
        <f>E13*(1+ASSUMPTIONS!E87)</f>
        <v>9700.1375790000002</v>
      </c>
      <c r="G13" s="77">
        <f>F13*(1+ASSUMPTIONS!F87)</f>
        <v>9991.141706370001</v>
      </c>
      <c r="H13" s="77">
        <f>G13*(1+ASSUMPTIONS!G87)</f>
        <v>10290.875957561102</v>
      </c>
      <c r="I13" s="77">
        <f>H13*(1+ASSUMPTIONS!H87)</f>
        <v>10599.602236287936</v>
      </c>
      <c r="J13" s="77">
        <f>I13*(1+ASSUMPTIONS!I87)</f>
        <v>10917.590303376574</v>
      </c>
      <c r="K13" s="77">
        <f>J13*(1+ASSUMPTIONS!J87)</f>
        <v>11245.118012477871</v>
      </c>
      <c r="L13" s="77">
        <f>K13*(1+ASSUMPTIONS!K87)</f>
        <v>11582.471552852208</v>
      </c>
      <c r="M13" s="78">
        <f>L13*(1+ASSUMPTIONS!L87)</f>
        <v>11929.945699437774</v>
      </c>
    </row>
    <row r="14" spans="1:13" x14ac:dyDescent="0.2">
      <c r="A14" t="s">
        <v>48</v>
      </c>
      <c r="B14" s="77">
        <f>ASSUMPTIONS!C40</f>
        <v>1883</v>
      </c>
      <c r="C14" s="77">
        <f>ASSUMPTIONS!C73</f>
        <v>1883</v>
      </c>
      <c r="D14" s="77">
        <f>C14*(1+ASSUMPTIONS!C87)</f>
        <v>1939.49</v>
      </c>
      <c r="E14" s="77">
        <f>D14*(1+ASSUMPTIONS!D87)</f>
        <v>1997.6747</v>
      </c>
      <c r="F14" s="77">
        <f>E14*(1+ASSUMPTIONS!E87)</f>
        <v>2057.6049410000001</v>
      </c>
      <c r="G14" s="77">
        <f>F14*(1+ASSUMPTIONS!F87)</f>
        <v>2119.33308923</v>
      </c>
      <c r="H14" s="77">
        <f>G14*(1+ASSUMPTIONS!G87)</f>
        <v>2182.9130819069001</v>
      </c>
      <c r="I14" s="77">
        <f>H14*(1+ASSUMPTIONS!H87)</f>
        <v>2248.4004743641071</v>
      </c>
      <c r="J14" s="77">
        <f>I14*(1+ASSUMPTIONS!I87)</f>
        <v>2315.8524885950305</v>
      </c>
      <c r="K14" s="77">
        <f>J14*(1+ASSUMPTIONS!J87)</f>
        <v>2385.3280632528813</v>
      </c>
      <c r="L14" s="77">
        <f>K14*(1+ASSUMPTIONS!K87)</f>
        <v>2456.8879051504678</v>
      </c>
      <c r="M14" s="78">
        <f>L14*(1+ASSUMPTIONS!L87)</f>
        <v>2530.594542304982</v>
      </c>
    </row>
    <row r="15" spans="1:13" x14ac:dyDescent="0.2">
      <c r="A15" t="s">
        <v>49</v>
      </c>
      <c r="B15" s="77">
        <f>ASSUMPTIONS!C41</f>
        <v>5380</v>
      </c>
      <c r="C15" s="77">
        <f>ASSUMPTIONS!C74</f>
        <v>5380</v>
      </c>
      <c r="D15" s="77">
        <f>C15*(1+ASSUMPTIONS!C87)</f>
        <v>5541.4000000000005</v>
      </c>
      <c r="E15" s="77">
        <f>D15*(1+ASSUMPTIONS!D87)</f>
        <v>5707.6420000000007</v>
      </c>
      <c r="F15" s="77">
        <f>E15*(1+ASSUMPTIONS!E87)</f>
        <v>5878.8712600000008</v>
      </c>
      <c r="G15" s="77">
        <f>F15*(1+ASSUMPTIONS!F87)</f>
        <v>6055.2373978000014</v>
      </c>
      <c r="H15" s="77">
        <f>G15*(1+ASSUMPTIONS!G87)</f>
        <v>6236.8945197340017</v>
      </c>
      <c r="I15" s="77">
        <f>H15*(1+ASSUMPTIONS!H87)</f>
        <v>6424.0013553260223</v>
      </c>
      <c r="J15" s="77">
        <f>I15*(1+ASSUMPTIONS!I87)</f>
        <v>6616.7213959858036</v>
      </c>
      <c r="K15" s="77">
        <f>J15*(1+ASSUMPTIONS!J87)</f>
        <v>6815.2230378653776</v>
      </c>
      <c r="L15" s="77">
        <f>K15*(1+ASSUMPTIONS!K87)</f>
        <v>7019.6797290013392</v>
      </c>
      <c r="M15" s="78">
        <f>L15*(1+ASSUMPTIONS!L87)</f>
        <v>7230.2701208713797</v>
      </c>
    </row>
    <row r="16" spans="1:13" x14ac:dyDescent="0.2">
      <c r="A16" t="s">
        <v>50</v>
      </c>
      <c r="B16" s="77">
        <f>ASSUMPTIONS!C42</f>
        <v>6000</v>
      </c>
      <c r="C16" s="77">
        <f>ASSUMPTIONS!C75</f>
        <v>6000</v>
      </c>
      <c r="D16" s="77">
        <f>C16*(1+ASSUMPTIONS!C87)</f>
        <v>6180</v>
      </c>
      <c r="E16" s="77">
        <f>D16*(1+ASSUMPTIONS!D87)</f>
        <v>6365.4000000000005</v>
      </c>
      <c r="F16" s="77">
        <f>E16*(1+ASSUMPTIONS!E87)</f>
        <v>6556.362000000001</v>
      </c>
      <c r="G16" s="77">
        <f>F16*(1+ASSUMPTIONS!F87)</f>
        <v>6753.0528600000016</v>
      </c>
      <c r="H16" s="77">
        <f>G16*(1+ASSUMPTIONS!G87)</f>
        <v>6955.6444458000014</v>
      </c>
      <c r="I16" s="77">
        <f>H16*(1+ASSUMPTIONS!H87)</f>
        <v>7164.3137791740019</v>
      </c>
      <c r="J16" s="77">
        <f>I16*(1+ASSUMPTIONS!I87)</f>
        <v>7379.2431925492219</v>
      </c>
      <c r="K16" s="77">
        <f>J16*(1+ASSUMPTIONS!J87)</f>
        <v>7600.6204883256987</v>
      </c>
      <c r="L16" s="77">
        <f>K16*(1+ASSUMPTIONS!K87)</f>
        <v>7828.6391029754695</v>
      </c>
      <c r="M16" s="78">
        <f>L16*(1+ASSUMPTIONS!L87)</f>
        <v>8063.4982760647335</v>
      </c>
    </row>
    <row r="17" spans="1:13" x14ac:dyDescent="0.2">
      <c r="A17" s="4" t="s">
        <v>51</v>
      </c>
      <c r="B17" s="79">
        <f>ASSUMPTIONS!C43</f>
        <v>3096</v>
      </c>
      <c r="C17" s="79">
        <f>ASSUMPTIONS!C76</f>
        <v>8695.08</v>
      </c>
      <c r="D17" s="79">
        <f>C17*(1+ASSUMPTIONS!C87)</f>
        <v>8955.9323999999997</v>
      </c>
      <c r="E17" s="79">
        <f>D17*(1+ASSUMPTIONS!D87)</f>
        <v>9224.6103719999992</v>
      </c>
      <c r="F17" s="79">
        <f>E17*(1+ASSUMPTIONS!E87)</f>
        <v>9501.3486831600003</v>
      </c>
      <c r="G17" s="79">
        <f>F17*(1+ASSUMPTIONS!F87)</f>
        <v>9786.3891436548001</v>
      </c>
      <c r="H17" s="79">
        <f>G17*(1+ASSUMPTIONS!G87)</f>
        <v>10079.980817964444</v>
      </c>
      <c r="I17" s="79">
        <f>H17*(1+ASSUMPTIONS!H87)</f>
        <v>10382.380242503377</v>
      </c>
      <c r="J17" s="79">
        <f>I17*(1+ASSUMPTIONS!I87)</f>
        <v>10693.851649778479</v>
      </c>
      <c r="K17" s="79">
        <f>J17*(1+ASSUMPTIONS!J87)</f>
        <v>11014.667199271833</v>
      </c>
      <c r="L17" s="79">
        <f>K17*(1+ASSUMPTIONS!K87)</f>
        <v>11345.107215249987</v>
      </c>
      <c r="M17" s="80">
        <f>L17*(1+ASSUMPTIONS!L87)</f>
        <v>11685.460431707488</v>
      </c>
    </row>
    <row r="18" spans="1:13" s="9" customFormat="1" x14ac:dyDescent="0.2">
      <c r="A18" s="9" t="s">
        <v>94</v>
      </c>
      <c r="B18" s="85">
        <f>SUM(B10:B17)</f>
        <v>94923</v>
      </c>
      <c r="C18" s="85">
        <f>SUM(C10:C17)</f>
        <v>100522.08</v>
      </c>
      <c r="D18" s="85">
        <f t="shared" ref="D18:M18" si="8">SUM(D10:D17)</f>
        <v>103537.7424</v>
      </c>
      <c r="E18" s="85">
        <f t="shared" si="8"/>
        <v>106643.87467200002</v>
      </c>
      <c r="F18" s="85">
        <f t="shared" si="8"/>
        <v>109843.19091216</v>
      </c>
      <c r="G18" s="85">
        <f t="shared" si="8"/>
        <v>113138.4866395248</v>
      </c>
      <c r="H18" s="85">
        <f t="shared" si="8"/>
        <v>116532.64123871058</v>
      </c>
      <c r="I18" s="85">
        <f t="shared" si="8"/>
        <v>120028.62047587188</v>
      </c>
      <c r="J18" s="85">
        <f t="shared" si="8"/>
        <v>123629.47909014806</v>
      </c>
      <c r="K18" s="85">
        <f t="shared" si="8"/>
        <v>127338.36346285249</v>
      </c>
      <c r="L18" s="85">
        <f t="shared" si="8"/>
        <v>131158.51436673806</v>
      </c>
      <c r="M18" s="86">
        <f t="shared" si="8"/>
        <v>135093.26979774024</v>
      </c>
    </row>
    <row r="19" spans="1:13" x14ac:dyDescent="0.2"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</row>
    <row r="20" spans="1:13" x14ac:dyDescent="0.2">
      <c r="A20" t="s">
        <v>95</v>
      </c>
      <c r="B20" s="77">
        <v>0</v>
      </c>
      <c r="C20" s="77">
        <f>ASSUMPTIONS!C80</f>
        <v>26900</v>
      </c>
      <c r="D20" s="77">
        <f>C20*(1+ASSUMPTIONS!C89)</f>
        <v>27707</v>
      </c>
      <c r="E20" s="77">
        <f>D20*(1+ASSUMPTIONS!D89)</f>
        <v>28538.21</v>
      </c>
      <c r="F20" s="77">
        <f>E20*(1+ASSUMPTIONS!E89)</f>
        <v>29394.356299999999</v>
      </c>
      <c r="G20" s="77">
        <f>F20*(1+ASSUMPTIONS!F89)</f>
        <v>30276.186989000002</v>
      </c>
      <c r="H20" s="77">
        <f>G20*(1+ASSUMPTIONS!G89)</f>
        <v>31184.472598670003</v>
      </c>
      <c r="I20" s="77">
        <f>H20*(1+ASSUMPTIONS!H89)</f>
        <v>32120.006776630104</v>
      </c>
      <c r="J20" s="77">
        <f>I20*(1+ASSUMPTIONS!I89)</f>
        <v>33083.606979929005</v>
      </c>
      <c r="K20" s="77">
        <f>J20*(1+ASSUMPTIONS!J89)</f>
        <v>34076.115189326876</v>
      </c>
      <c r="L20" s="77">
        <f>K20*(1+ASSUMPTIONS!K89)</f>
        <v>35098.39864500668</v>
      </c>
      <c r="M20" s="78">
        <f>L20*(1+ASSUMPTIONS!L89)</f>
        <v>36151.350604356885</v>
      </c>
    </row>
    <row r="21" spans="1:13" x14ac:dyDescent="0.2">
      <c r="A21" t="s">
        <v>83</v>
      </c>
      <c r="B21" s="77">
        <f>ASSUMPTIONS!B81</f>
        <v>0</v>
      </c>
      <c r="C21" s="77">
        <f>ASSUMPTIONS!C81</f>
        <v>0</v>
      </c>
      <c r="D21" s="77">
        <f>ASSUMPTIONS!D81</f>
        <v>0</v>
      </c>
      <c r="E21" s="77">
        <f>ASSUMPTIONS!E81</f>
        <v>0</v>
      </c>
      <c r="F21" s="77">
        <f>ASSUMPTIONS!F81</f>
        <v>0</v>
      </c>
      <c r="G21" s="77">
        <f>ASSUMPTIONS!G81</f>
        <v>0</v>
      </c>
      <c r="H21" s="77">
        <f>ASSUMPTIONS!H81</f>
        <v>0</v>
      </c>
      <c r="I21" s="77">
        <f>ASSUMPTIONS!I81</f>
        <v>0</v>
      </c>
      <c r="J21" s="77">
        <f>ASSUMPTIONS!J81</f>
        <v>0</v>
      </c>
      <c r="K21" s="77">
        <f>ASSUMPTIONS!K81</f>
        <v>0</v>
      </c>
      <c r="L21" s="77">
        <f>ASSUMPTIONS!L81</f>
        <v>0</v>
      </c>
      <c r="M21" s="78">
        <f>ASSUMPTIONS!M81</f>
        <v>0</v>
      </c>
    </row>
    <row r="22" spans="1:13" x14ac:dyDescent="0.2">
      <c r="A22" s="4" t="s">
        <v>84</v>
      </c>
      <c r="B22" s="79">
        <f>ASSUMPTIONS!B82</f>
        <v>0</v>
      </c>
      <c r="C22" s="79">
        <f>ASSUMPTIONS!C82</f>
        <v>0</v>
      </c>
      <c r="D22" s="79">
        <f>ASSUMPTIONS!D82</f>
        <v>0</v>
      </c>
      <c r="E22" s="79">
        <f>ASSUMPTIONS!E82</f>
        <v>0</v>
      </c>
      <c r="F22" s="79">
        <f>ASSUMPTIONS!F82</f>
        <v>0</v>
      </c>
      <c r="G22" s="79">
        <f>ASSUMPTIONS!G82</f>
        <v>0</v>
      </c>
      <c r="H22" s="79">
        <f>ASSUMPTIONS!H82</f>
        <v>0</v>
      </c>
      <c r="I22" s="79">
        <f>ASSUMPTIONS!I82</f>
        <v>0</v>
      </c>
      <c r="J22" s="79">
        <f>ASSUMPTIONS!J82</f>
        <v>0</v>
      </c>
      <c r="K22" s="79">
        <f>ASSUMPTIONS!K82</f>
        <v>0</v>
      </c>
      <c r="L22" s="79">
        <f>ASSUMPTIONS!L82</f>
        <v>0</v>
      </c>
      <c r="M22" s="80">
        <f>ASSUMPTIONS!M82</f>
        <v>0</v>
      </c>
    </row>
    <row r="23" spans="1:13" x14ac:dyDescent="0.2">
      <c r="A23" t="s">
        <v>96</v>
      </c>
      <c r="B23" s="77"/>
      <c r="C23" s="77">
        <f>SUM(C20:C22)</f>
        <v>26900</v>
      </c>
      <c r="D23" s="77">
        <f>SUM(D20:D22)</f>
        <v>27707</v>
      </c>
      <c r="E23" s="77">
        <f>SUM(E20:E22)</f>
        <v>28538.21</v>
      </c>
      <c r="F23" s="77">
        <f>SUM(F20:F22)</f>
        <v>29394.356299999999</v>
      </c>
      <c r="G23" s="77">
        <f>SUM(G20:G22)</f>
        <v>30276.186989000002</v>
      </c>
      <c r="H23" s="77">
        <f>SUM(H20:H22)</f>
        <v>31184.472598670003</v>
      </c>
      <c r="I23" s="77">
        <f>SUM(I20:I22)</f>
        <v>32120.006776630104</v>
      </c>
      <c r="J23" s="77">
        <f>SUM(J20:J22)</f>
        <v>33083.606979929005</v>
      </c>
      <c r="K23" s="77">
        <f>SUM(K20:K22)</f>
        <v>34076.115189326876</v>
      </c>
      <c r="L23" s="77">
        <f>SUM(L20:L22)</f>
        <v>35098.39864500668</v>
      </c>
      <c r="M23" s="78">
        <f>SUM(M20:M22)</f>
        <v>36151.350604356885</v>
      </c>
    </row>
    <row r="24" spans="1:13" x14ac:dyDescent="0.2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</row>
    <row r="25" spans="1:13" s="40" customFormat="1" ht="17" thickBot="1" x14ac:dyDescent="0.25">
      <c r="A25" s="40" t="s">
        <v>97</v>
      </c>
      <c r="B25" s="87">
        <f>B7-B18</f>
        <v>8277</v>
      </c>
      <c r="C25" s="81">
        <f>C7-C18-C23</f>
        <v>162413.91999999998</v>
      </c>
      <c r="D25" s="81">
        <f>D7-D18-D23</f>
        <v>167286.33760000003</v>
      </c>
      <c r="E25" s="81">
        <f>E7-E18-E23</f>
        <v>172304.92772800001</v>
      </c>
      <c r="F25" s="81">
        <f>F7-F18-F23</f>
        <v>177474.07555984001</v>
      </c>
      <c r="G25" s="81">
        <f>G7-G18-G23</f>
        <v>182798.29782663519</v>
      </c>
      <c r="H25" s="81">
        <f>H7-H18-H23</f>
        <v>188282.24676143422</v>
      </c>
      <c r="I25" s="81">
        <f>I7-I18-I23</f>
        <v>193930.71416427728</v>
      </c>
      <c r="J25" s="81">
        <f>J7-J18-J23</f>
        <v>199748.63558920557</v>
      </c>
      <c r="K25" s="81">
        <f>K7-K18-K23</f>
        <v>205741.09465688176</v>
      </c>
      <c r="L25" s="81">
        <f>L7-L18-L23</f>
        <v>211913.32749658829</v>
      </c>
      <c r="M25" s="82">
        <f>M7-M18-M23</f>
        <v>218270.72732148587</v>
      </c>
    </row>
    <row r="26" spans="1:13" ht="17" thickTop="1" x14ac:dyDescent="0.2">
      <c r="B26" s="69" t="s">
        <v>98</v>
      </c>
    </row>
  </sheetData>
  <mergeCells count="2">
    <mergeCell ref="A1:M2"/>
    <mergeCell ref="C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2176-A750-D049-AB2B-3EF58668238A}">
  <dimension ref="A1:C15"/>
  <sheetViews>
    <sheetView zoomScale="139" workbookViewId="0">
      <selection activeCell="B7" sqref="B7"/>
    </sheetView>
  </sheetViews>
  <sheetFormatPr baseColWidth="10" defaultRowHeight="16" x14ac:dyDescent="0.2"/>
  <cols>
    <col min="1" max="1" width="18.1640625" customWidth="1"/>
    <col min="2" max="2" width="18.6640625" customWidth="1"/>
    <col min="3" max="3" width="23" customWidth="1"/>
    <col min="4" max="4" width="18.6640625" customWidth="1"/>
  </cols>
  <sheetData>
    <row r="1" spans="1:3" ht="20" thickBot="1" x14ac:dyDescent="0.3">
      <c r="A1" s="88" t="s">
        <v>100</v>
      </c>
      <c r="B1" s="88" t="s">
        <v>101</v>
      </c>
      <c r="C1" s="88" t="s">
        <v>102</v>
      </c>
    </row>
    <row r="2" spans="1:3" x14ac:dyDescent="0.2">
      <c r="A2" s="9" t="s">
        <v>103</v>
      </c>
    </row>
    <row r="3" spans="1:3" x14ac:dyDescent="0.2">
      <c r="A3" s="42" t="s">
        <v>104</v>
      </c>
      <c r="B3" s="100">
        <f>'Debt Financing'!B7</f>
        <v>1487500</v>
      </c>
      <c r="C3" s="102">
        <f>$B3/$B$7</f>
        <v>0.23368190058744645</v>
      </c>
    </row>
    <row r="4" spans="1:3" x14ac:dyDescent="0.2">
      <c r="A4" s="9" t="s">
        <v>105</v>
      </c>
    </row>
    <row r="5" spans="1:3" x14ac:dyDescent="0.2">
      <c r="A5" s="42" t="s">
        <v>106</v>
      </c>
      <c r="B5" s="99">
        <f>SUM(ASSUMPTIONS!C129:C131)</f>
        <v>975598.16999999993</v>
      </c>
      <c r="C5" s="102">
        <f>$B5/$B$7</f>
        <v>0.15326361988251072</v>
      </c>
    </row>
    <row r="6" spans="1:3" x14ac:dyDescent="0.2">
      <c r="A6" s="42" t="s">
        <v>107</v>
      </c>
      <c r="B6" s="99">
        <f>ASSUMPTIONS!C132</f>
        <v>3902392.6799999997</v>
      </c>
      <c r="C6" s="102">
        <f>$B6/$B$7</f>
        <v>0.61305447953004288</v>
      </c>
    </row>
    <row r="7" spans="1:3" x14ac:dyDescent="0.2">
      <c r="A7" s="41" t="s">
        <v>108</v>
      </c>
      <c r="B7" s="122">
        <f>ASSUMPTIONS!F125</f>
        <v>6365490.8499999996</v>
      </c>
      <c r="C7" s="95">
        <f>SUM(C3:C6)</f>
        <v>1</v>
      </c>
    </row>
    <row r="9" spans="1:3" x14ac:dyDescent="0.2">
      <c r="A9" s="9" t="s">
        <v>109</v>
      </c>
    </row>
    <row r="10" spans="1:3" x14ac:dyDescent="0.2">
      <c r="A10" t="s">
        <v>110</v>
      </c>
      <c r="B10" s="99">
        <f>ASSUMPTIONS!B5</f>
        <v>5950000</v>
      </c>
      <c r="C10" s="102">
        <f>$B10/$B$15</f>
        <v>0.9347276023497858</v>
      </c>
    </row>
    <row r="11" spans="1:3" x14ac:dyDescent="0.2">
      <c r="A11" t="s">
        <v>111</v>
      </c>
      <c r="B11" s="99">
        <f>'Project Costs'!F16</f>
        <v>286520.84999999998</v>
      </c>
      <c r="C11" s="91">
        <f t="shared" ref="C11:C14" si="0">$B11/$B$15</f>
        <v>4.5011587755247502E-2</v>
      </c>
    </row>
    <row r="12" spans="1:3" x14ac:dyDescent="0.2">
      <c r="A12" t="s">
        <v>112</v>
      </c>
      <c r="B12" s="99">
        <f>'Project Costs'!F20</f>
        <v>29590</v>
      </c>
      <c r="C12" s="91">
        <f t="shared" si="0"/>
        <v>4.6485024795849018E-3</v>
      </c>
    </row>
    <row r="13" spans="1:3" x14ac:dyDescent="0.2">
      <c r="A13" t="s">
        <v>113</v>
      </c>
      <c r="B13" s="99">
        <f>'Project Costs'!F24</f>
        <v>59500</v>
      </c>
      <c r="C13" s="91">
        <f t="shared" si="0"/>
        <v>9.347276023497858E-3</v>
      </c>
    </row>
    <row r="14" spans="1:3" x14ac:dyDescent="0.2">
      <c r="A14" t="s">
        <v>114</v>
      </c>
      <c r="B14" s="99">
        <f>'Project Costs'!F28</f>
        <v>39880</v>
      </c>
      <c r="C14" s="91">
        <f t="shared" si="0"/>
        <v>6.2650313918839427E-3</v>
      </c>
    </row>
    <row r="15" spans="1:3" x14ac:dyDescent="0.2">
      <c r="A15" t="s">
        <v>115</v>
      </c>
      <c r="B15" s="123">
        <f>SUM(B10:B14)</f>
        <v>6365490.8499999996</v>
      </c>
      <c r="C15" s="95">
        <f>SUM(C10:C14)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7C1D-65BC-1143-B13C-7A27B9ABDCB0}">
  <dimension ref="A1:L315"/>
  <sheetViews>
    <sheetView workbookViewId="0">
      <selection activeCell="F6" sqref="F6"/>
    </sheetView>
  </sheetViews>
  <sheetFormatPr baseColWidth="10" defaultRowHeight="16" x14ac:dyDescent="0.2"/>
  <cols>
    <col min="1" max="1" width="27.33203125" customWidth="1"/>
    <col min="2" max="2" width="21.83203125" customWidth="1"/>
    <col min="3" max="3" width="23.33203125" customWidth="1"/>
    <col min="4" max="4" width="24.6640625" customWidth="1"/>
    <col min="5" max="5" width="26.5" customWidth="1"/>
    <col min="6" max="6" width="21.1640625" customWidth="1"/>
    <col min="7" max="7" width="22" customWidth="1"/>
    <col min="8" max="8" width="21" customWidth="1"/>
    <col min="9" max="9" width="17.33203125" customWidth="1"/>
    <col min="11" max="11" width="22.1640625" customWidth="1"/>
    <col min="12" max="12" width="24.5" customWidth="1"/>
  </cols>
  <sheetData>
    <row r="1" spans="1:12" x14ac:dyDescent="0.2">
      <c r="A1" t="s">
        <v>162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2">
      <c r="A2" t="s">
        <v>152</v>
      </c>
      <c r="B2" s="99">
        <f>SUMIF($A$16:$A$375,B$1,$D$16:$D$375)</f>
        <v>73876.600192350554</v>
      </c>
      <c r="C2" s="99">
        <f>SUMIF($A$16:$A$375,C$1,$D$16:$D$375)</f>
        <v>72753.798136521509</v>
      </c>
      <c r="D2" s="99">
        <f t="shared" ref="D2:K2" si="0">SUMIF($A$16:$A$375,D$1,$D$16:$D$375)</f>
        <v>71573.551396570736</v>
      </c>
      <c r="E2" s="99">
        <f t="shared" si="0"/>
        <v>70332.920993435342</v>
      </c>
      <c r="F2" s="99">
        <f t="shared" si="0"/>
        <v>69028.817584305783</v>
      </c>
      <c r="G2" s="99">
        <f t="shared" si="0"/>
        <v>67657.993769731111</v>
      </c>
      <c r="H2" s="99">
        <f t="shared" si="0"/>
        <v>66217.036007141302</v>
      </c>
      <c r="I2" s="99">
        <f t="shared" si="0"/>
        <v>64702.356110649998</v>
      </c>
      <c r="J2" s="99">
        <f t="shared" si="0"/>
        <v>63110.18231597088</v>
      </c>
      <c r="K2" s="99">
        <f t="shared" si="0"/>
        <v>61436.549888198446</v>
      </c>
      <c r="L2" s="99">
        <f>SUMIF($A$16:$A$375,L$1,$D$16:$D$375)</f>
        <v>59677.291249064736</v>
      </c>
    </row>
    <row r="3" spans="1:12" x14ac:dyDescent="0.2">
      <c r="A3" t="s">
        <v>160</v>
      </c>
      <c r="B3" s="99">
        <f>SUMIF($A$16:$A$375,B$1,$E$16:$E$375)</f>
        <v>21946.059515316265</v>
      </c>
      <c r="C3" s="99">
        <f t="shared" ref="C3:L3" si="1">SUMIF($A$16:$A$375,C$1,$E$16:$E$375)</f>
        <v>23068.861571145313</v>
      </c>
      <c r="D3" s="99">
        <f t="shared" si="1"/>
        <v>24249.10831109609</v>
      </c>
      <c r="E3" s="99">
        <f t="shared" si="1"/>
        <v>25489.73871423148</v>
      </c>
      <c r="F3" s="99">
        <f t="shared" si="1"/>
        <v>26793.84212336105</v>
      </c>
      <c r="G3" s="99">
        <f t="shared" si="1"/>
        <v>28164.665937935726</v>
      </c>
      <c r="H3" s="99">
        <f t="shared" si="1"/>
        <v>29605.623700525528</v>
      </c>
      <c r="I3" s="99">
        <f t="shared" si="1"/>
        <v>31120.303597016835</v>
      </c>
      <c r="J3" s="99">
        <f t="shared" si="1"/>
        <v>32712.477391695942</v>
      </c>
      <c r="K3" s="99">
        <f t="shared" si="1"/>
        <v>34386.109819468395</v>
      </c>
      <c r="L3" s="99">
        <f t="shared" si="1"/>
        <v>36145.368458602097</v>
      </c>
    </row>
    <row r="4" spans="1:12" x14ac:dyDescent="0.2">
      <c r="A4" t="s">
        <v>161</v>
      </c>
      <c r="B4" s="100">
        <f>SUM(B2:B3)</f>
        <v>95822.659707666811</v>
      </c>
      <c r="C4" s="100">
        <f t="shared" ref="C4:L4" si="2">SUM(C2:C3)</f>
        <v>95822.659707666826</v>
      </c>
      <c r="D4" s="100">
        <f t="shared" si="2"/>
        <v>95822.659707666826</v>
      </c>
      <c r="E4" s="100">
        <f t="shared" si="2"/>
        <v>95822.659707666826</v>
      </c>
      <c r="F4" s="100">
        <f t="shared" si="2"/>
        <v>95822.65970766684</v>
      </c>
      <c r="G4" s="100">
        <f t="shared" si="2"/>
        <v>95822.65970766684</v>
      </c>
      <c r="H4" s="100">
        <f t="shared" si="2"/>
        <v>95822.659707666826</v>
      </c>
      <c r="I4" s="100">
        <f t="shared" si="2"/>
        <v>95822.65970766684</v>
      </c>
      <c r="J4" s="100">
        <f t="shared" si="2"/>
        <v>95822.659707666826</v>
      </c>
      <c r="K4" s="100">
        <f t="shared" si="2"/>
        <v>95822.65970766684</v>
      </c>
      <c r="L4" s="100">
        <f t="shared" si="2"/>
        <v>95822.65970766684</v>
      </c>
    </row>
    <row r="5" spans="1:12" x14ac:dyDescent="0.2">
      <c r="B5" t="s">
        <v>159</v>
      </c>
    </row>
    <row r="7" spans="1:12" x14ac:dyDescent="0.2">
      <c r="A7" t="s">
        <v>153</v>
      </c>
      <c r="B7" s="2">
        <f>ASSUMPTIONS!B92</f>
        <v>1487500</v>
      </c>
    </row>
    <row r="8" spans="1:12" x14ac:dyDescent="0.2">
      <c r="A8" t="s">
        <v>154</v>
      </c>
      <c r="B8">
        <v>0</v>
      </c>
    </row>
    <row r="9" spans="1:12" x14ac:dyDescent="0.2">
      <c r="A9" t="s">
        <v>155</v>
      </c>
      <c r="B9" s="91">
        <f>ASSUMPTIONS!B94</f>
        <v>0.05</v>
      </c>
    </row>
    <row r="10" spans="1:12" x14ac:dyDescent="0.2">
      <c r="A10" t="s">
        <v>156</v>
      </c>
      <c r="B10">
        <f>ASSUMPTIONS!B93</f>
        <v>30</v>
      </c>
    </row>
    <row r="11" spans="1:12" x14ac:dyDescent="0.2">
      <c r="A11" t="s">
        <v>157</v>
      </c>
      <c r="B11" s="97">
        <f>-PMT(B9/12,B10*12,B7,B8,0)</f>
        <v>7985.2216423055688</v>
      </c>
    </row>
    <row r="12" spans="1:12" x14ac:dyDescent="0.2">
      <c r="A12" t="s">
        <v>158</v>
      </c>
      <c r="B12" s="97">
        <f>B11*12</f>
        <v>95822.659707666826</v>
      </c>
    </row>
    <row r="15" spans="1:12" x14ac:dyDescent="0.2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</row>
    <row r="16" spans="1:12" x14ac:dyDescent="0.2">
      <c r="A16">
        <f>ROUNDUP(B16/12,0)</f>
        <v>1</v>
      </c>
      <c r="B16">
        <v>1</v>
      </c>
      <c r="C16" s="2">
        <f>B7</f>
        <v>1487500</v>
      </c>
      <c r="D16" s="98">
        <f>-IPMT($B$9/12,$B16,$B$10*12,$B$7,$B$8,0)</f>
        <v>6197.916666666667</v>
      </c>
      <c r="E16" s="98">
        <f>-PPMT($B$9/12,$B16,$B$10*12,$B$7,$B$8,0)</f>
        <v>1787.3049756389016</v>
      </c>
      <c r="F16" s="98">
        <f>-PMT($B$9/12,$B$10*12,$B$7,$B$8,0)</f>
        <v>7985.2216423055688</v>
      </c>
      <c r="G16" s="98">
        <f>C16-E16</f>
        <v>1485712.6950243611</v>
      </c>
    </row>
    <row r="17" spans="1:7" x14ac:dyDescent="0.2">
      <c r="A17">
        <f t="shared" ref="A17:A80" si="3">ROUNDUP(B17/12,0)</f>
        <v>1</v>
      </c>
      <c r="B17">
        <v>2</v>
      </c>
      <c r="C17" s="98">
        <f>G16</f>
        <v>1485712.6950243611</v>
      </c>
      <c r="D17" s="98">
        <f>-IPMT($B$9/12,$B17,$B$10*12,$B$7,$B$8,0)</f>
        <v>6190.4695626015055</v>
      </c>
      <c r="E17" s="98">
        <f>-PPMT($B$9/12,$B17,$B$10*12,$B$7,$B$8,0)</f>
        <v>1794.7520797040636</v>
      </c>
      <c r="F17" s="98">
        <f t="shared" ref="F17:F80" si="4">-PMT($B$9/12,$B$10*12,$B$7,$B$8,0)</f>
        <v>7985.2216423055688</v>
      </c>
      <c r="G17" s="98">
        <f>C17-E17</f>
        <v>1483917.9429446571</v>
      </c>
    </row>
    <row r="18" spans="1:7" x14ac:dyDescent="0.2">
      <c r="A18">
        <f t="shared" si="3"/>
        <v>1</v>
      </c>
      <c r="B18">
        <v>3</v>
      </c>
      <c r="C18" s="98">
        <f t="shared" ref="C18:C81" si="5">G17</f>
        <v>1483917.9429446571</v>
      </c>
      <c r="D18" s="98">
        <f t="shared" ref="D18:D81" si="6">-IPMT($B$9/12,$B18,$B$10*12,$B$7,$B$8,0)</f>
        <v>6182.9914289360713</v>
      </c>
      <c r="E18" s="98">
        <f t="shared" ref="E18:E81" si="7">-PPMT($B$9/12,$B18,$B$10*12,$B$7,$B$8,0)</f>
        <v>1802.2302133694973</v>
      </c>
      <c r="F18" s="98">
        <f t="shared" si="4"/>
        <v>7985.2216423055688</v>
      </c>
      <c r="G18" s="98">
        <f t="shared" ref="G18:G81" si="8">C18-E18</f>
        <v>1482115.7127312876</v>
      </c>
    </row>
    <row r="19" spans="1:7" x14ac:dyDescent="0.2">
      <c r="A19">
        <f t="shared" si="3"/>
        <v>1</v>
      </c>
      <c r="B19">
        <v>4</v>
      </c>
      <c r="C19" s="98">
        <f t="shared" si="5"/>
        <v>1482115.7127312876</v>
      </c>
      <c r="D19" s="98">
        <f t="shared" si="6"/>
        <v>6175.4821363803649</v>
      </c>
      <c r="E19" s="98">
        <f t="shared" si="7"/>
        <v>1809.7395059252037</v>
      </c>
      <c r="F19" s="98">
        <f t="shared" si="4"/>
        <v>7985.2216423055688</v>
      </c>
      <c r="G19" s="98">
        <f t="shared" si="8"/>
        <v>1480305.9732253624</v>
      </c>
    </row>
    <row r="20" spans="1:7" x14ac:dyDescent="0.2">
      <c r="A20">
        <f t="shared" si="3"/>
        <v>1</v>
      </c>
      <c r="B20">
        <v>5</v>
      </c>
      <c r="C20" s="98">
        <f t="shared" si="5"/>
        <v>1480305.9732253624</v>
      </c>
      <c r="D20" s="98">
        <f t="shared" si="6"/>
        <v>6167.9415551056773</v>
      </c>
      <c r="E20" s="98">
        <f t="shared" si="7"/>
        <v>1817.280087199892</v>
      </c>
      <c r="F20" s="98">
        <f t="shared" si="4"/>
        <v>7985.2216423055688</v>
      </c>
      <c r="G20" s="98">
        <f t="shared" si="8"/>
        <v>1478488.6931381624</v>
      </c>
    </row>
    <row r="21" spans="1:7" x14ac:dyDescent="0.2">
      <c r="A21">
        <f t="shared" si="3"/>
        <v>1</v>
      </c>
      <c r="B21">
        <v>6</v>
      </c>
      <c r="C21" s="98">
        <f t="shared" si="5"/>
        <v>1478488.6931381624</v>
      </c>
      <c r="D21" s="98">
        <f t="shared" si="6"/>
        <v>6160.369554742344</v>
      </c>
      <c r="E21" s="98">
        <f t="shared" si="7"/>
        <v>1824.852087563225</v>
      </c>
      <c r="F21" s="98">
        <f t="shared" si="4"/>
        <v>7985.2216423055688</v>
      </c>
      <c r="G21" s="98">
        <f t="shared" si="8"/>
        <v>1476663.8410505992</v>
      </c>
    </row>
    <row r="22" spans="1:7" x14ac:dyDescent="0.2">
      <c r="A22">
        <f t="shared" si="3"/>
        <v>1</v>
      </c>
      <c r="B22">
        <v>7</v>
      </c>
      <c r="C22" s="98">
        <f t="shared" si="5"/>
        <v>1476663.8410505992</v>
      </c>
      <c r="D22" s="98">
        <f t="shared" si="6"/>
        <v>6152.7660043774977</v>
      </c>
      <c r="E22" s="98">
        <f t="shared" si="7"/>
        <v>1832.4556379280714</v>
      </c>
      <c r="F22" s="98">
        <f t="shared" si="4"/>
        <v>7985.2216423055688</v>
      </c>
      <c r="G22" s="98">
        <f t="shared" si="8"/>
        <v>1474831.3854126711</v>
      </c>
    </row>
    <row r="23" spans="1:7" x14ac:dyDescent="0.2">
      <c r="A23">
        <f t="shared" si="3"/>
        <v>1</v>
      </c>
      <c r="B23">
        <v>8</v>
      </c>
      <c r="C23" s="98">
        <f t="shared" si="5"/>
        <v>1474831.3854126711</v>
      </c>
      <c r="D23" s="98">
        <f t="shared" si="6"/>
        <v>6145.1307725527977</v>
      </c>
      <c r="E23" s="98">
        <f t="shared" si="7"/>
        <v>1840.0908697527718</v>
      </c>
      <c r="F23" s="98">
        <f t="shared" si="4"/>
        <v>7985.2216423055688</v>
      </c>
      <c r="G23" s="98">
        <f t="shared" si="8"/>
        <v>1472991.2945429184</v>
      </c>
    </row>
    <row r="24" spans="1:7" x14ac:dyDescent="0.2">
      <c r="A24">
        <f t="shared" si="3"/>
        <v>1</v>
      </c>
      <c r="B24">
        <v>9</v>
      </c>
      <c r="C24" s="98">
        <f t="shared" si="5"/>
        <v>1472991.2945429184</v>
      </c>
      <c r="D24" s="98">
        <f t="shared" si="6"/>
        <v>6137.4637272621603</v>
      </c>
      <c r="E24" s="98">
        <f t="shared" si="7"/>
        <v>1847.7579150434083</v>
      </c>
      <c r="F24" s="98">
        <f t="shared" si="4"/>
        <v>7985.2216423055688</v>
      </c>
      <c r="G24" s="98">
        <f t="shared" si="8"/>
        <v>1471143.5366278749</v>
      </c>
    </row>
    <row r="25" spans="1:7" x14ac:dyDescent="0.2">
      <c r="A25">
        <f t="shared" si="3"/>
        <v>1</v>
      </c>
      <c r="B25">
        <v>10</v>
      </c>
      <c r="C25" s="98">
        <f t="shared" si="5"/>
        <v>1471143.5366278749</v>
      </c>
      <c r="D25" s="98">
        <f t="shared" si="6"/>
        <v>6129.7647359494786</v>
      </c>
      <c r="E25" s="98">
        <f t="shared" si="7"/>
        <v>1855.4569063560893</v>
      </c>
      <c r="F25" s="98">
        <f t="shared" si="4"/>
        <v>7985.2216423055688</v>
      </c>
      <c r="G25" s="98">
        <f t="shared" si="8"/>
        <v>1469288.0797215188</v>
      </c>
    </row>
    <row r="26" spans="1:7" x14ac:dyDescent="0.2">
      <c r="A26">
        <f t="shared" si="3"/>
        <v>1</v>
      </c>
      <c r="B26">
        <v>11</v>
      </c>
      <c r="C26" s="98">
        <f t="shared" si="5"/>
        <v>1469288.0797215188</v>
      </c>
      <c r="D26" s="98">
        <f t="shared" si="6"/>
        <v>6122.0336655063293</v>
      </c>
      <c r="E26" s="98">
        <f t="shared" si="7"/>
        <v>1863.1879767992396</v>
      </c>
      <c r="F26" s="98">
        <f t="shared" si="4"/>
        <v>7985.2216423055688</v>
      </c>
      <c r="G26" s="98">
        <f t="shared" si="8"/>
        <v>1467424.8917447196</v>
      </c>
    </row>
    <row r="27" spans="1:7" x14ac:dyDescent="0.2">
      <c r="A27">
        <f t="shared" si="3"/>
        <v>1</v>
      </c>
      <c r="B27">
        <v>12</v>
      </c>
      <c r="C27" s="98">
        <f t="shared" si="5"/>
        <v>1467424.8917447196</v>
      </c>
      <c r="D27" s="98">
        <f t="shared" si="6"/>
        <v>6114.2703822696658</v>
      </c>
      <c r="E27" s="98">
        <f t="shared" si="7"/>
        <v>1870.951260035903</v>
      </c>
      <c r="F27" s="98">
        <f t="shared" si="4"/>
        <v>7985.2216423055688</v>
      </c>
      <c r="G27" s="98">
        <f t="shared" si="8"/>
        <v>1465553.9404846837</v>
      </c>
    </row>
    <row r="28" spans="1:7" x14ac:dyDescent="0.2">
      <c r="A28">
        <f t="shared" si="3"/>
        <v>2</v>
      </c>
      <c r="B28">
        <v>13</v>
      </c>
      <c r="C28" s="98">
        <f t="shared" si="5"/>
        <v>1465553.9404846837</v>
      </c>
      <c r="D28" s="98">
        <f t="shared" si="6"/>
        <v>6106.474752019516</v>
      </c>
      <c r="E28" s="98">
        <f t="shared" si="7"/>
        <v>1878.7468902860526</v>
      </c>
      <c r="F28" s="98">
        <f t="shared" si="4"/>
        <v>7985.2216423055688</v>
      </c>
      <c r="G28" s="98">
        <f t="shared" si="8"/>
        <v>1463675.1935943977</v>
      </c>
    </row>
    <row r="29" spans="1:7" x14ac:dyDescent="0.2">
      <c r="A29">
        <f t="shared" si="3"/>
        <v>2</v>
      </c>
      <c r="B29">
        <v>14</v>
      </c>
      <c r="C29" s="98">
        <f t="shared" si="5"/>
        <v>1463675.1935943977</v>
      </c>
      <c r="D29" s="98">
        <f t="shared" si="6"/>
        <v>6098.6466399766568</v>
      </c>
      <c r="E29" s="98">
        <f t="shared" si="7"/>
        <v>1886.5750023289113</v>
      </c>
      <c r="F29" s="98">
        <f t="shared" si="4"/>
        <v>7985.2216423055688</v>
      </c>
      <c r="G29" s="98">
        <f t="shared" si="8"/>
        <v>1461788.6185920688</v>
      </c>
    </row>
    <row r="30" spans="1:7" x14ac:dyDescent="0.2">
      <c r="A30">
        <f t="shared" si="3"/>
        <v>2</v>
      </c>
      <c r="B30">
        <v>15</v>
      </c>
      <c r="C30" s="98">
        <f t="shared" si="5"/>
        <v>1461788.6185920688</v>
      </c>
      <c r="D30" s="98">
        <f t="shared" si="6"/>
        <v>6090.7859108002876</v>
      </c>
      <c r="E30" s="98">
        <f t="shared" si="7"/>
        <v>1894.4357315052814</v>
      </c>
      <c r="F30" s="98">
        <f t="shared" si="4"/>
        <v>7985.2216423055688</v>
      </c>
      <c r="G30" s="98">
        <f t="shared" si="8"/>
        <v>1459894.1828605635</v>
      </c>
    </row>
    <row r="31" spans="1:7" x14ac:dyDescent="0.2">
      <c r="A31">
        <f t="shared" si="3"/>
        <v>2</v>
      </c>
      <c r="B31">
        <v>16</v>
      </c>
      <c r="C31" s="98">
        <f t="shared" si="5"/>
        <v>1459894.1828605635</v>
      </c>
      <c r="D31" s="98">
        <f t="shared" si="6"/>
        <v>6082.892428585682</v>
      </c>
      <c r="E31" s="98">
        <f t="shared" si="7"/>
        <v>1902.3292137198871</v>
      </c>
      <c r="F31" s="98">
        <f t="shared" si="4"/>
        <v>7985.2216423055688</v>
      </c>
      <c r="G31" s="98">
        <f t="shared" si="8"/>
        <v>1457991.8536468437</v>
      </c>
    </row>
    <row r="32" spans="1:7" x14ac:dyDescent="0.2">
      <c r="A32">
        <f t="shared" si="3"/>
        <v>2</v>
      </c>
      <c r="B32">
        <v>17</v>
      </c>
      <c r="C32" s="98">
        <f t="shared" si="5"/>
        <v>1457991.8536468437</v>
      </c>
      <c r="D32" s="98">
        <f t="shared" si="6"/>
        <v>6074.9660568618483</v>
      </c>
      <c r="E32" s="98">
        <f t="shared" si="7"/>
        <v>1910.2555854437201</v>
      </c>
      <c r="F32" s="98">
        <f t="shared" si="4"/>
        <v>7985.2216423055688</v>
      </c>
      <c r="G32" s="98">
        <f t="shared" si="8"/>
        <v>1456081.5980614</v>
      </c>
    </row>
    <row r="33" spans="1:7" x14ac:dyDescent="0.2">
      <c r="A33">
        <f t="shared" si="3"/>
        <v>2</v>
      </c>
      <c r="B33">
        <v>18</v>
      </c>
      <c r="C33" s="98">
        <f t="shared" si="5"/>
        <v>1456081.5980614</v>
      </c>
      <c r="D33" s="98">
        <f t="shared" si="6"/>
        <v>6067.0066585891664</v>
      </c>
      <c r="E33" s="98">
        <f t="shared" si="7"/>
        <v>1918.2149837164022</v>
      </c>
      <c r="F33" s="98">
        <f t="shared" si="4"/>
        <v>7985.2216423055688</v>
      </c>
      <c r="G33" s="98">
        <f t="shared" si="8"/>
        <v>1454163.3830776836</v>
      </c>
    </row>
    <row r="34" spans="1:7" x14ac:dyDescent="0.2">
      <c r="A34">
        <f t="shared" si="3"/>
        <v>2</v>
      </c>
      <c r="B34">
        <v>19</v>
      </c>
      <c r="C34" s="98">
        <f t="shared" si="5"/>
        <v>1454163.3830776836</v>
      </c>
      <c r="D34" s="98">
        <f t="shared" si="6"/>
        <v>6059.014096157015</v>
      </c>
      <c r="E34" s="98">
        <f t="shared" si="7"/>
        <v>1926.2075461485542</v>
      </c>
      <c r="F34" s="98">
        <f t="shared" si="4"/>
        <v>7985.2216423055688</v>
      </c>
      <c r="G34" s="98">
        <f t="shared" si="8"/>
        <v>1452237.1755315352</v>
      </c>
    </row>
    <row r="35" spans="1:7" x14ac:dyDescent="0.2">
      <c r="A35">
        <f t="shared" si="3"/>
        <v>2</v>
      </c>
      <c r="B35">
        <v>20</v>
      </c>
      <c r="C35" s="98">
        <f t="shared" si="5"/>
        <v>1452237.1755315352</v>
      </c>
      <c r="D35" s="98">
        <f t="shared" si="6"/>
        <v>6050.9882313813969</v>
      </c>
      <c r="E35" s="98">
        <f t="shared" si="7"/>
        <v>1934.2334109241726</v>
      </c>
      <c r="F35" s="98">
        <f t="shared" si="4"/>
        <v>7985.2216423055688</v>
      </c>
      <c r="G35" s="98">
        <f t="shared" si="8"/>
        <v>1450302.942120611</v>
      </c>
    </row>
    <row r="36" spans="1:7" x14ac:dyDescent="0.2">
      <c r="A36">
        <f t="shared" si="3"/>
        <v>2</v>
      </c>
      <c r="B36">
        <v>21</v>
      </c>
      <c r="C36" s="98">
        <f t="shared" si="5"/>
        <v>1450302.942120611</v>
      </c>
      <c r="D36" s="98">
        <f t="shared" si="6"/>
        <v>6042.928925502546</v>
      </c>
      <c r="E36" s="98">
        <f t="shared" si="7"/>
        <v>1942.2927168030235</v>
      </c>
      <c r="F36" s="98">
        <f t="shared" si="4"/>
        <v>7985.2216423055688</v>
      </c>
      <c r="G36" s="98">
        <f t="shared" si="8"/>
        <v>1448360.6494038079</v>
      </c>
    </row>
    <row r="37" spans="1:7" x14ac:dyDescent="0.2">
      <c r="A37">
        <f t="shared" si="3"/>
        <v>2</v>
      </c>
      <c r="B37">
        <v>22</v>
      </c>
      <c r="C37" s="98">
        <f t="shared" si="5"/>
        <v>1448360.6494038079</v>
      </c>
      <c r="D37" s="98">
        <f t="shared" si="6"/>
        <v>6034.8360391825327</v>
      </c>
      <c r="E37" s="98">
        <f t="shared" si="7"/>
        <v>1950.3856031230359</v>
      </c>
      <c r="F37" s="98">
        <f t="shared" si="4"/>
        <v>7985.2216423055688</v>
      </c>
      <c r="G37" s="98">
        <f t="shared" si="8"/>
        <v>1446410.2638006848</v>
      </c>
    </row>
    <row r="38" spans="1:7" x14ac:dyDescent="0.2">
      <c r="A38">
        <f t="shared" si="3"/>
        <v>2</v>
      </c>
      <c r="B38">
        <v>23</v>
      </c>
      <c r="C38" s="98">
        <f t="shared" si="5"/>
        <v>1446410.2638006848</v>
      </c>
      <c r="D38" s="98">
        <f t="shared" si="6"/>
        <v>6026.7094325028538</v>
      </c>
      <c r="E38" s="98">
        <f t="shared" si="7"/>
        <v>1958.5122098027152</v>
      </c>
      <c r="F38" s="98">
        <f t="shared" si="4"/>
        <v>7985.2216423055688</v>
      </c>
      <c r="G38" s="98">
        <f t="shared" si="8"/>
        <v>1444451.7515908822</v>
      </c>
    </row>
    <row r="39" spans="1:7" x14ac:dyDescent="0.2">
      <c r="A39">
        <f t="shared" si="3"/>
        <v>2</v>
      </c>
      <c r="B39">
        <v>24</v>
      </c>
      <c r="C39" s="98">
        <f t="shared" si="5"/>
        <v>1444451.7515908822</v>
      </c>
      <c r="D39" s="98">
        <f t="shared" si="6"/>
        <v>6018.5489649620094</v>
      </c>
      <c r="E39" s="98">
        <f t="shared" si="7"/>
        <v>1966.6726773435598</v>
      </c>
      <c r="F39" s="98">
        <f t="shared" si="4"/>
        <v>7985.2216423055688</v>
      </c>
      <c r="G39" s="98">
        <f t="shared" si="8"/>
        <v>1442485.0789135387</v>
      </c>
    </row>
    <row r="40" spans="1:7" x14ac:dyDescent="0.2">
      <c r="A40">
        <f t="shared" si="3"/>
        <v>3</v>
      </c>
      <c r="B40">
        <v>25</v>
      </c>
      <c r="C40" s="98">
        <f t="shared" si="5"/>
        <v>1442485.0789135387</v>
      </c>
      <c r="D40" s="98">
        <f t="shared" si="6"/>
        <v>6010.3544954730769</v>
      </c>
      <c r="E40" s="98">
        <f t="shared" si="7"/>
        <v>1974.8671468324915</v>
      </c>
      <c r="F40" s="98">
        <f t="shared" si="4"/>
        <v>7985.2216423055688</v>
      </c>
      <c r="G40" s="98">
        <f t="shared" si="8"/>
        <v>1440510.2117667063</v>
      </c>
    </row>
    <row r="41" spans="1:7" x14ac:dyDescent="0.2">
      <c r="A41">
        <f t="shared" si="3"/>
        <v>3</v>
      </c>
      <c r="B41">
        <v>26</v>
      </c>
      <c r="C41" s="98">
        <f t="shared" si="5"/>
        <v>1440510.2117667063</v>
      </c>
      <c r="D41" s="98">
        <f t="shared" si="6"/>
        <v>6002.1258823612752</v>
      </c>
      <c r="E41" s="98">
        <f t="shared" si="7"/>
        <v>1983.0957599442934</v>
      </c>
      <c r="F41" s="98">
        <f t="shared" si="4"/>
        <v>7985.2216423055688</v>
      </c>
      <c r="G41" s="98">
        <f t="shared" si="8"/>
        <v>1438527.116006762</v>
      </c>
    </row>
    <row r="42" spans="1:7" x14ac:dyDescent="0.2">
      <c r="A42">
        <f t="shared" si="3"/>
        <v>3</v>
      </c>
      <c r="B42">
        <v>27</v>
      </c>
      <c r="C42" s="98">
        <f t="shared" si="5"/>
        <v>1438527.116006762</v>
      </c>
      <c r="D42" s="98">
        <f t="shared" si="6"/>
        <v>5993.8629833615078</v>
      </c>
      <c r="E42" s="98">
        <f t="shared" si="7"/>
        <v>1991.3586589440615</v>
      </c>
      <c r="F42" s="98">
        <f t="shared" si="4"/>
        <v>7985.2216423055688</v>
      </c>
      <c r="G42" s="98">
        <f t="shared" si="8"/>
        <v>1436535.757347818</v>
      </c>
    </row>
    <row r="43" spans="1:7" x14ac:dyDescent="0.2">
      <c r="A43">
        <f t="shared" si="3"/>
        <v>3</v>
      </c>
      <c r="B43">
        <v>28</v>
      </c>
      <c r="C43" s="98">
        <f t="shared" si="5"/>
        <v>1436535.757347818</v>
      </c>
      <c r="D43" s="98">
        <f t="shared" si="6"/>
        <v>5985.5656556159074</v>
      </c>
      <c r="E43" s="98">
        <f t="shared" si="7"/>
        <v>1999.6559866896614</v>
      </c>
      <c r="F43" s="98">
        <f t="shared" si="4"/>
        <v>7985.2216423055688</v>
      </c>
      <c r="G43" s="98">
        <f t="shared" si="8"/>
        <v>1434536.1013611283</v>
      </c>
    </row>
    <row r="44" spans="1:7" x14ac:dyDescent="0.2">
      <c r="A44">
        <f t="shared" si="3"/>
        <v>3</v>
      </c>
      <c r="B44">
        <v>29</v>
      </c>
      <c r="C44" s="98">
        <f t="shared" si="5"/>
        <v>1434536.1013611283</v>
      </c>
      <c r="D44" s="98">
        <f t="shared" si="6"/>
        <v>5977.2337556713674</v>
      </c>
      <c r="E44" s="98">
        <f t="shared" si="7"/>
        <v>2007.9878866342017</v>
      </c>
      <c r="F44" s="98">
        <f t="shared" si="4"/>
        <v>7985.2216423055688</v>
      </c>
      <c r="G44" s="98">
        <f t="shared" si="8"/>
        <v>1432528.1134744941</v>
      </c>
    </row>
    <row r="45" spans="1:7" x14ac:dyDescent="0.2">
      <c r="A45">
        <f t="shared" si="3"/>
        <v>3</v>
      </c>
      <c r="B45">
        <v>30</v>
      </c>
      <c r="C45" s="98">
        <f t="shared" si="5"/>
        <v>1432528.1134744941</v>
      </c>
      <c r="D45" s="98">
        <f t="shared" si="6"/>
        <v>5968.8671394770572</v>
      </c>
      <c r="E45" s="98">
        <f t="shared" si="7"/>
        <v>2016.3545028285114</v>
      </c>
      <c r="F45" s="98">
        <f t="shared" si="4"/>
        <v>7985.2216423055688</v>
      </c>
      <c r="G45" s="98">
        <f t="shared" si="8"/>
        <v>1430511.7589716655</v>
      </c>
    </row>
    <row r="46" spans="1:7" x14ac:dyDescent="0.2">
      <c r="A46">
        <f t="shared" si="3"/>
        <v>3</v>
      </c>
      <c r="B46">
        <v>31</v>
      </c>
      <c r="C46" s="98">
        <f t="shared" si="5"/>
        <v>1430511.7589716655</v>
      </c>
      <c r="D46" s="98">
        <f t="shared" si="6"/>
        <v>5960.4656623819383</v>
      </c>
      <c r="E46" s="98">
        <f t="shared" si="7"/>
        <v>2024.7559799236299</v>
      </c>
      <c r="F46" s="98">
        <f t="shared" si="4"/>
        <v>7985.2216423055688</v>
      </c>
      <c r="G46" s="98">
        <f t="shared" si="8"/>
        <v>1428487.002991742</v>
      </c>
    </row>
    <row r="47" spans="1:7" x14ac:dyDescent="0.2">
      <c r="A47">
        <f t="shared" si="3"/>
        <v>3</v>
      </c>
      <c r="B47">
        <v>32</v>
      </c>
      <c r="C47" s="98">
        <f t="shared" si="5"/>
        <v>1428487.002991742</v>
      </c>
      <c r="D47" s="98">
        <f t="shared" si="6"/>
        <v>5952.029179132257</v>
      </c>
      <c r="E47" s="98">
        <f t="shared" si="7"/>
        <v>2033.1924631733118</v>
      </c>
      <c r="F47" s="98">
        <f t="shared" si="4"/>
        <v>7985.2216423055688</v>
      </c>
      <c r="G47" s="98">
        <f t="shared" si="8"/>
        <v>1426453.8105285687</v>
      </c>
    </row>
    <row r="48" spans="1:7" x14ac:dyDescent="0.2">
      <c r="A48">
        <f t="shared" si="3"/>
        <v>3</v>
      </c>
      <c r="B48">
        <v>33</v>
      </c>
      <c r="C48" s="98">
        <f t="shared" si="5"/>
        <v>1426453.8105285687</v>
      </c>
      <c r="D48" s="98">
        <f t="shared" si="6"/>
        <v>5943.5575438690348</v>
      </c>
      <c r="E48" s="98">
        <f t="shared" si="7"/>
        <v>2041.664098436534</v>
      </c>
      <c r="F48" s="98">
        <f t="shared" si="4"/>
        <v>7985.2216423055688</v>
      </c>
      <c r="G48" s="98">
        <f t="shared" si="8"/>
        <v>1424412.1464301322</v>
      </c>
    </row>
    <row r="49" spans="1:7" x14ac:dyDescent="0.2">
      <c r="A49">
        <f t="shared" si="3"/>
        <v>3</v>
      </c>
      <c r="B49">
        <v>34</v>
      </c>
      <c r="C49" s="98">
        <f t="shared" si="5"/>
        <v>1424412.1464301322</v>
      </c>
      <c r="D49" s="98">
        <f t="shared" si="6"/>
        <v>5935.0506101255487</v>
      </c>
      <c r="E49" s="98">
        <f t="shared" si="7"/>
        <v>2050.1710321800192</v>
      </c>
      <c r="F49" s="98">
        <f t="shared" si="4"/>
        <v>7985.2216423055688</v>
      </c>
      <c r="G49" s="98">
        <f t="shared" si="8"/>
        <v>1422361.9753979521</v>
      </c>
    </row>
    <row r="50" spans="1:7" x14ac:dyDescent="0.2">
      <c r="A50">
        <f t="shared" si="3"/>
        <v>3</v>
      </c>
      <c r="B50">
        <v>35</v>
      </c>
      <c r="C50" s="98">
        <f t="shared" si="5"/>
        <v>1422361.9753979521</v>
      </c>
      <c r="D50" s="98">
        <f t="shared" si="6"/>
        <v>5926.5082308247993</v>
      </c>
      <c r="E50" s="98">
        <f t="shared" si="7"/>
        <v>2058.7134114807695</v>
      </c>
      <c r="F50" s="98">
        <f t="shared" si="4"/>
        <v>7985.2216423055688</v>
      </c>
      <c r="G50" s="98">
        <f t="shared" si="8"/>
        <v>1420303.2619864715</v>
      </c>
    </row>
    <row r="51" spans="1:7" x14ac:dyDescent="0.2">
      <c r="A51">
        <f t="shared" si="3"/>
        <v>3</v>
      </c>
      <c r="B51">
        <v>36</v>
      </c>
      <c r="C51" s="98">
        <f t="shared" si="5"/>
        <v>1420303.2619864715</v>
      </c>
      <c r="D51" s="98">
        <f t="shared" si="6"/>
        <v>5917.9302582769624</v>
      </c>
      <c r="E51" s="98">
        <f t="shared" si="7"/>
        <v>2067.291384028606</v>
      </c>
      <c r="F51" s="98">
        <f t="shared" si="4"/>
        <v>7985.2216423055688</v>
      </c>
      <c r="G51" s="98">
        <f t="shared" si="8"/>
        <v>1418235.970602443</v>
      </c>
    </row>
    <row r="52" spans="1:7" x14ac:dyDescent="0.2">
      <c r="A52">
        <f t="shared" si="3"/>
        <v>4</v>
      </c>
      <c r="B52">
        <v>37</v>
      </c>
      <c r="C52" s="98">
        <f t="shared" si="5"/>
        <v>1418235.970602443</v>
      </c>
      <c r="D52" s="98">
        <f t="shared" si="6"/>
        <v>5909.3165441768433</v>
      </c>
      <c r="E52" s="98">
        <f t="shared" si="7"/>
        <v>2075.9050981287251</v>
      </c>
      <c r="F52" s="98">
        <f t="shared" si="4"/>
        <v>7985.2216423055688</v>
      </c>
      <c r="G52" s="98">
        <f t="shared" si="8"/>
        <v>1416160.0655043141</v>
      </c>
    </row>
    <row r="53" spans="1:7" x14ac:dyDescent="0.2">
      <c r="A53">
        <f t="shared" si="3"/>
        <v>4</v>
      </c>
      <c r="B53">
        <v>38</v>
      </c>
      <c r="C53" s="98">
        <f t="shared" si="5"/>
        <v>1416160.0655043141</v>
      </c>
      <c r="D53" s="98">
        <f t="shared" si="6"/>
        <v>5900.6669396013067</v>
      </c>
      <c r="E53" s="98">
        <f t="shared" si="7"/>
        <v>2084.5547027042617</v>
      </c>
      <c r="F53" s="98">
        <f t="shared" si="4"/>
        <v>7985.2216423055688</v>
      </c>
      <c r="G53" s="98">
        <f t="shared" si="8"/>
        <v>1414075.5108016098</v>
      </c>
    </row>
    <row r="54" spans="1:7" x14ac:dyDescent="0.2">
      <c r="A54">
        <f t="shared" si="3"/>
        <v>4</v>
      </c>
      <c r="B54">
        <v>39</v>
      </c>
      <c r="C54" s="98">
        <f t="shared" si="5"/>
        <v>1414075.5108016098</v>
      </c>
      <c r="D54" s="98">
        <f t="shared" si="6"/>
        <v>5891.9812950067053</v>
      </c>
      <c r="E54" s="98">
        <f t="shared" si="7"/>
        <v>2093.2403472988626</v>
      </c>
      <c r="F54" s="98">
        <f t="shared" si="4"/>
        <v>7985.2216423055688</v>
      </c>
      <c r="G54" s="98">
        <f t="shared" si="8"/>
        <v>1411982.270454311</v>
      </c>
    </row>
    <row r="55" spans="1:7" x14ac:dyDescent="0.2">
      <c r="A55">
        <f t="shared" si="3"/>
        <v>4</v>
      </c>
      <c r="B55">
        <v>40</v>
      </c>
      <c r="C55" s="98">
        <f t="shared" si="5"/>
        <v>1411982.270454311</v>
      </c>
      <c r="D55" s="98">
        <f t="shared" si="6"/>
        <v>5883.2594602262943</v>
      </c>
      <c r="E55" s="98">
        <f t="shared" si="7"/>
        <v>2101.9621820792745</v>
      </c>
      <c r="F55" s="98">
        <f t="shared" si="4"/>
        <v>7985.2216423055688</v>
      </c>
      <c r="G55" s="98">
        <f t="shared" si="8"/>
        <v>1409880.3082722318</v>
      </c>
    </row>
    <row r="56" spans="1:7" x14ac:dyDescent="0.2">
      <c r="A56">
        <f t="shared" si="3"/>
        <v>4</v>
      </c>
      <c r="B56">
        <v>41</v>
      </c>
      <c r="C56" s="98">
        <f t="shared" si="5"/>
        <v>1409880.3082722318</v>
      </c>
      <c r="D56" s="98">
        <f t="shared" si="6"/>
        <v>5874.5012844676303</v>
      </c>
      <c r="E56" s="98">
        <f t="shared" si="7"/>
        <v>2110.7203578379385</v>
      </c>
      <c r="F56" s="98">
        <f t="shared" si="4"/>
        <v>7985.2216423055688</v>
      </c>
      <c r="G56" s="98">
        <f t="shared" si="8"/>
        <v>1407769.587914394</v>
      </c>
    </row>
    <row r="57" spans="1:7" x14ac:dyDescent="0.2">
      <c r="A57">
        <f t="shared" si="3"/>
        <v>4</v>
      </c>
      <c r="B57">
        <v>42</v>
      </c>
      <c r="C57" s="98">
        <f t="shared" si="5"/>
        <v>1407769.587914394</v>
      </c>
      <c r="D57" s="98">
        <f t="shared" si="6"/>
        <v>5865.7066163099726</v>
      </c>
      <c r="E57" s="98">
        <f t="shared" si="7"/>
        <v>2119.5150259955967</v>
      </c>
      <c r="F57" s="98">
        <f t="shared" si="4"/>
        <v>7985.2216423055688</v>
      </c>
      <c r="G57" s="98">
        <f t="shared" si="8"/>
        <v>1405650.0728883983</v>
      </c>
    </row>
    <row r="58" spans="1:7" x14ac:dyDescent="0.2">
      <c r="A58">
        <f t="shared" si="3"/>
        <v>4</v>
      </c>
      <c r="B58">
        <v>43</v>
      </c>
      <c r="C58" s="98">
        <f t="shared" si="5"/>
        <v>1405650.0728883983</v>
      </c>
      <c r="D58" s="98">
        <f t="shared" si="6"/>
        <v>5856.8753037016577</v>
      </c>
      <c r="E58" s="98">
        <f t="shared" si="7"/>
        <v>2128.3463386039116</v>
      </c>
      <c r="F58" s="98">
        <f t="shared" si="4"/>
        <v>7985.2216423055688</v>
      </c>
      <c r="G58" s="98">
        <f t="shared" si="8"/>
        <v>1403521.7265497944</v>
      </c>
    </row>
    <row r="59" spans="1:7" x14ac:dyDescent="0.2">
      <c r="A59">
        <f t="shared" si="3"/>
        <v>4</v>
      </c>
      <c r="B59">
        <v>44</v>
      </c>
      <c r="C59" s="98">
        <f t="shared" si="5"/>
        <v>1403521.7265497944</v>
      </c>
      <c r="D59" s="98">
        <f t="shared" si="6"/>
        <v>5848.0071939574736</v>
      </c>
      <c r="E59" s="98">
        <f t="shared" si="7"/>
        <v>2137.2144483480943</v>
      </c>
      <c r="F59" s="98">
        <f t="shared" si="4"/>
        <v>7985.2216423055688</v>
      </c>
      <c r="G59" s="98">
        <f t="shared" si="8"/>
        <v>1401384.5121014463</v>
      </c>
    </row>
    <row r="60" spans="1:7" x14ac:dyDescent="0.2">
      <c r="A60">
        <f t="shared" si="3"/>
        <v>4</v>
      </c>
      <c r="B60">
        <v>45</v>
      </c>
      <c r="C60" s="98">
        <f t="shared" si="5"/>
        <v>1401384.5121014463</v>
      </c>
      <c r="D60" s="98">
        <f t="shared" si="6"/>
        <v>5839.1021337560242</v>
      </c>
      <c r="E60" s="98">
        <f t="shared" si="7"/>
        <v>2146.1195085495447</v>
      </c>
      <c r="F60" s="98">
        <f t="shared" si="4"/>
        <v>7985.2216423055688</v>
      </c>
      <c r="G60" s="98">
        <f t="shared" si="8"/>
        <v>1399238.3925928967</v>
      </c>
    </row>
    <row r="61" spans="1:7" x14ac:dyDescent="0.2">
      <c r="A61">
        <f t="shared" si="3"/>
        <v>4</v>
      </c>
      <c r="B61">
        <v>46</v>
      </c>
      <c r="C61" s="98">
        <f t="shared" si="5"/>
        <v>1399238.3925928967</v>
      </c>
      <c r="D61" s="98">
        <f t="shared" si="6"/>
        <v>5830.1599691370675</v>
      </c>
      <c r="E61" s="98">
        <f t="shared" si="7"/>
        <v>2155.0616731685009</v>
      </c>
      <c r="F61" s="98">
        <f t="shared" si="4"/>
        <v>7985.2216423055688</v>
      </c>
      <c r="G61" s="98">
        <f t="shared" si="8"/>
        <v>1397083.3309197281</v>
      </c>
    </row>
    <row r="62" spans="1:7" x14ac:dyDescent="0.2">
      <c r="A62">
        <f t="shared" si="3"/>
        <v>4</v>
      </c>
      <c r="B62">
        <v>47</v>
      </c>
      <c r="C62" s="98">
        <f t="shared" si="5"/>
        <v>1397083.3309197281</v>
      </c>
      <c r="D62" s="98">
        <f t="shared" si="6"/>
        <v>5821.1805454988653</v>
      </c>
      <c r="E62" s="98">
        <f t="shared" si="7"/>
        <v>2164.0410968067035</v>
      </c>
      <c r="F62" s="98">
        <f t="shared" si="4"/>
        <v>7985.2216423055688</v>
      </c>
      <c r="G62" s="98">
        <f t="shared" si="8"/>
        <v>1394919.2898229214</v>
      </c>
    </row>
    <row r="63" spans="1:7" x14ac:dyDescent="0.2">
      <c r="A63">
        <f t="shared" si="3"/>
        <v>4</v>
      </c>
      <c r="B63">
        <v>48</v>
      </c>
      <c r="C63" s="98">
        <f t="shared" si="5"/>
        <v>1394919.2898229214</v>
      </c>
      <c r="D63" s="98">
        <f t="shared" si="6"/>
        <v>5812.163707595505</v>
      </c>
      <c r="E63" s="98">
        <f t="shared" si="7"/>
        <v>2173.0579347100643</v>
      </c>
      <c r="F63" s="98">
        <f t="shared" si="4"/>
        <v>7985.2216423055688</v>
      </c>
      <c r="G63" s="98">
        <f t="shared" si="8"/>
        <v>1392746.2318882113</v>
      </c>
    </row>
    <row r="64" spans="1:7" x14ac:dyDescent="0.2">
      <c r="A64">
        <f t="shared" si="3"/>
        <v>5</v>
      </c>
      <c r="B64">
        <v>49</v>
      </c>
      <c r="C64" s="98">
        <f t="shared" si="5"/>
        <v>1392746.2318882113</v>
      </c>
      <c r="D64" s="98">
        <f t="shared" si="6"/>
        <v>5803.1092995342115</v>
      </c>
      <c r="E64" s="98">
        <f t="shared" si="7"/>
        <v>2182.1123427713565</v>
      </c>
      <c r="F64" s="98">
        <f t="shared" si="4"/>
        <v>7985.2216423055688</v>
      </c>
      <c r="G64" s="98">
        <f t="shared" si="8"/>
        <v>1390564.11954544</v>
      </c>
    </row>
    <row r="65" spans="1:7" x14ac:dyDescent="0.2">
      <c r="A65">
        <f t="shared" si="3"/>
        <v>5</v>
      </c>
      <c r="B65">
        <v>50</v>
      </c>
      <c r="C65" s="98">
        <f t="shared" si="5"/>
        <v>1390564.11954544</v>
      </c>
      <c r="D65" s="98">
        <f t="shared" si="6"/>
        <v>5794.0171647726656</v>
      </c>
      <c r="E65" s="98">
        <f t="shared" si="7"/>
        <v>2191.2044775329036</v>
      </c>
      <c r="F65" s="98">
        <f t="shared" si="4"/>
        <v>7985.2216423055688</v>
      </c>
      <c r="G65" s="98">
        <f t="shared" si="8"/>
        <v>1388372.915067907</v>
      </c>
    </row>
    <row r="66" spans="1:7" x14ac:dyDescent="0.2">
      <c r="A66">
        <f t="shared" si="3"/>
        <v>5</v>
      </c>
      <c r="B66">
        <v>51</v>
      </c>
      <c r="C66" s="98">
        <f t="shared" si="5"/>
        <v>1388372.915067907</v>
      </c>
      <c r="D66" s="98">
        <f t="shared" si="6"/>
        <v>5784.887146116278</v>
      </c>
      <c r="E66" s="98">
        <f t="shared" si="7"/>
        <v>2200.3344961892908</v>
      </c>
      <c r="F66" s="98">
        <f t="shared" si="4"/>
        <v>7985.2216423055688</v>
      </c>
      <c r="G66" s="98">
        <f t="shared" si="8"/>
        <v>1386172.5805717176</v>
      </c>
    </row>
    <row r="67" spans="1:7" x14ac:dyDescent="0.2">
      <c r="A67">
        <f t="shared" si="3"/>
        <v>5</v>
      </c>
      <c r="B67">
        <v>52</v>
      </c>
      <c r="C67" s="98">
        <f t="shared" si="5"/>
        <v>1386172.5805717176</v>
      </c>
      <c r="D67" s="98">
        <f t="shared" si="6"/>
        <v>5775.7190857154901</v>
      </c>
      <c r="E67" s="98">
        <f t="shared" si="7"/>
        <v>2209.5025565900796</v>
      </c>
      <c r="F67" s="98">
        <f t="shared" si="4"/>
        <v>7985.2216423055688</v>
      </c>
      <c r="G67" s="98">
        <f t="shared" si="8"/>
        <v>1383963.0780151275</v>
      </c>
    </row>
    <row r="68" spans="1:7" x14ac:dyDescent="0.2">
      <c r="A68">
        <f t="shared" si="3"/>
        <v>5</v>
      </c>
      <c r="B68">
        <v>53</v>
      </c>
      <c r="C68" s="98">
        <f t="shared" si="5"/>
        <v>1383963.0780151275</v>
      </c>
      <c r="D68" s="98">
        <f t="shared" si="6"/>
        <v>5766.5128250630314</v>
      </c>
      <c r="E68" s="98">
        <f t="shared" si="7"/>
        <v>2218.7088172425383</v>
      </c>
      <c r="F68" s="98">
        <f t="shared" si="4"/>
        <v>7985.2216423055688</v>
      </c>
      <c r="G68" s="98">
        <f t="shared" si="8"/>
        <v>1381744.3691978848</v>
      </c>
    </row>
    <row r="69" spans="1:7" x14ac:dyDescent="0.2">
      <c r="A69">
        <f t="shared" si="3"/>
        <v>5</v>
      </c>
      <c r="B69">
        <v>54</v>
      </c>
      <c r="C69" s="98">
        <f t="shared" si="5"/>
        <v>1381744.3691978848</v>
      </c>
      <c r="D69" s="98">
        <f t="shared" si="6"/>
        <v>5757.2682049911864</v>
      </c>
      <c r="E69" s="98">
        <f t="shared" si="7"/>
        <v>2227.9534373143824</v>
      </c>
      <c r="F69" s="98">
        <f t="shared" si="4"/>
        <v>7985.2216423055688</v>
      </c>
      <c r="G69" s="98">
        <f t="shared" si="8"/>
        <v>1379516.4157605704</v>
      </c>
    </row>
    <row r="70" spans="1:7" x14ac:dyDescent="0.2">
      <c r="A70">
        <f t="shared" si="3"/>
        <v>5</v>
      </c>
      <c r="B70">
        <v>55</v>
      </c>
      <c r="C70" s="98">
        <f t="shared" si="5"/>
        <v>1379516.4157605704</v>
      </c>
      <c r="D70" s="98">
        <f t="shared" si="6"/>
        <v>5747.9850656690433</v>
      </c>
      <c r="E70" s="98">
        <f t="shared" si="7"/>
        <v>2237.2365766365251</v>
      </c>
      <c r="F70" s="98">
        <f t="shared" si="4"/>
        <v>7985.2216423055688</v>
      </c>
      <c r="G70" s="98">
        <f t="shared" si="8"/>
        <v>1377279.1791839339</v>
      </c>
    </row>
    <row r="71" spans="1:7" x14ac:dyDescent="0.2">
      <c r="A71">
        <f t="shared" si="3"/>
        <v>5</v>
      </c>
      <c r="B71">
        <v>56</v>
      </c>
      <c r="C71" s="98">
        <f t="shared" si="5"/>
        <v>1377279.1791839339</v>
      </c>
      <c r="D71" s="98">
        <f t="shared" si="6"/>
        <v>5738.6632465997254</v>
      </c>
      <c r="E71" s="98">
        <f t="shared" si="7"/>
        <v>2246.5583957058443</v>
      </c>
      <c r="F71" s="98">
        <f t="shared" si="4"/>
        <v>7985.2216423055688</v>
      </c>
      <c r="G71" s="98">
        <f t="shared" si="8"/>
        <v>1375032.620788228</v>
      </c>
    </row>
    <row r="72" spans="1:7" x14ac:dyDescent="0.2">
      <c r="A72">
        <f t="shared" si="3"/>
        <v>5</v>
      </c>
      <c r="B72">
        <v>57</v>
      </c>
      <c r="C72" s="98">
        <f t="shared" si="5"/>
        <v>1375032.620788228</v>
      </c>
      <c r="D72" s="98">
        <f t="shared" si="6"/>
        <v>5729.3025866176176</v>
      </c>
      <c r="E72" s="98">
        <f t="shared" si="7"/>
        <v>2255.9190556879521</v>
      </c>
      <c r="F72" s="98">
        <f t="shared" si="4"/>
        <v>7985.2216423055688</v>
      </c>
      <c r="G72" s="98">
        <f t="shared" si="8"/>
        <v>1372776.70173254</v>
      </c>
    </row>
    <row r="73" spans="1:7" x14ac:dyDescent="0.2">
      <c r="A73">
        <f t="shared" si="3"/>
        <v>5</v>
      </c>
      <c r="B73">
        <v>58</v>
      </c>
      <c r="C73" s="98">
        <f t="shared" si="5"/>
        <v>1372776.70173254</v>
      </c>
      <c r="D73" s="98">
        <f t="shared" si="6"/>
        <v>5719.9029238855837</v>
      </c>
      <c r="E73" s="98">
        <f t="shared" si="7"/>
        <v>2265.3187184199851</v>
      </c>
      <c r="F73" s="98">
        <f t="shared" si="4"/>
        <v>7985.2216423055688</v>
      </c>
      <c r="G73" s="98">
        <f t="shared" si="8"/>
        <v>1370511.3830141202</v>
      </c>
    </row>
    <row r="74" spans="1:7" x14ac:dyDescent="0.2">
      <c r="A74">
        <f t="shared" si="3"/>
        <v>5</v>
      </c>
      <c r="B74">
        <v>59</v>
      </c>
      <c r="C74" s="98">
        <f t="shared" si="5"/>
        <v>1370511.3830141202</v>
      </c>
      <c r="D74" s="98">
        <f t="shared" si="6"/>
        <v>5710.4640958921673</v>
      </c>
      <c r="E74" s="98">
        <f t="shared" si="7"/>
        <v>2274.7575464134011</v>
      </c>
      <c r="F74" s="98">
        <f t="shared" si="4"/>
        <v>7985.2216423055688</v>
      </c>
      <c r="G74" s="98">
        <f t="shared" si="8"/>
        <v>1368236.6254677067</v>
      </c>
    </row>
    <row r="75" spans="1:7" x14ac:dyDescent="0.2">
      <c r="A75">
        <f t="shared" si="3"/>
        <v>5</v>
      </c>
      <c r="B75">
        <v>60</v>
      </c>
      <c r="C75" s="98">
        <f t="shared" si="5"/>
        <v>1368236.6254677067</v>
      </c>
      <c r="D75" s="98">
        <f t="shared" si="6"/>
        <v>5700.9859394487776</v>
      </c>
      <c r="E75" s="98">
        <f t="shared" si="7"/>
        <v>2284.2357028567912</v>
      </c>
      <c r="F75" s="98">
        <f t="shared" si="4"/>
        <v>7985.2216423055688</v>
      </c>
      <c r="G75" s="98">
        <f t="shared" si="8"/>
        <v>1365952.38976485</v>
      </c>
    </row>
    <row r="76" spans="1:7" x14ac:dyDescent="0.2">
      <c r="A76">
        <f t="shared" si="3"/>
        <v>6</v>
      </c>
      <c r="B76">
        <v>61</v>
      </c>
      <c r="C76" s="98">
        <f t="shared" si="5"/>
        <v>1365952.38976485</v>
      </c>
      <c r="D76" s="98">
        <f t="shared" si="6"/>
        <v>5691.4682906868748</v>
      </c>
      <c r="E76" s="98">
        <f t="shared" si="7"/>
        <v>2293.7533516186941</v>
      </c>
      <c r="F76" s="98">
        <f t="shared" si="4"/>
        <v>7985.2216423055688</v>
      </c>
      <c r="G76" s="98">
        <f t="shared" si="8"/>
        <v>1363658.6364132313</v>
      </c>
    </row>
    <row r="77" spans="1:7" x14ac:dyDescent="0.2">
      <c r="A77">
        <f t="shared" si="3"/>
        <v>6</v>
      </c>
      <c r="B77">
        <v>62</v>
      </c>
      <c r="C77" s="98">
        <f t="shared" si="5"/>
        <v>1363658.6364132313</v>
      </c>
      <c r="D77" s="98">
        <f t="shared" si="6"/>
        <v>5681.9109850551304</v>
      </c>
      <c r="E77" s="98">
        <f t="shared" si="7"/>
        <v>2303.3106572504385</v>
      </c>
      <c r="F77" s="98">
        <f t="shared" si="4"/>
        <v>7985.2216423055688</v>
      </c>
      <c r="G77" s="98">
        <f t="shared" si="8"/>
        <v>1361355.3257559808</v>
      </c>
    </row>
    <row r="78" spans="1:7" x14ac:dyDescent="0.2">
      <c r="A78">
        <f t="shared" si="3"/>
        <v>6</v>
      </c>
      <c r="B78">
        <v>63</v>
      </c>
      <c r="C78" s="98">
        <f t="shared" si="5"/>
        <v>1361355.3257559808</v>
      </c>
      <c r="D78" s="98">
        <f t="shared" si="6"/>
        <v>5672.313857316587</v>
      </c>
      <c r="E78" s="98">
        <f t="shared" si="7"/>
        <v>2312.9077849889818</v>
      </c>
      <c r="F78" s="98">
        <f t="shared" si="4"/>
        <v>7985.2216423055688</v>
      </c>
      <c r="G78" s="98">
        <f t="shared" si="8"/>
        <v>1359042.4179709919</v>
      </c>
    </row>
    <row r="79" spans="1:7" x14ac:dyDescent="0.2">
      <c r="A79">
        <f t="shared" si="3"/>
        <v>6</v>
      </c>
      <c r="B79">
        <v>64</v>
      </c>
      <c r="C79" s="98">
        <f t="shared" si="5"/>
        <v>1359042.4179709919</v>
      </c>
      <c r="D79" s="98">
        <f t="shared" si="6"/>
        <v>5662.6767415457998</v>
      </c>
      <c r="E79" s="98">
        <f t="shared" si="7"/>
        <v>2322.5449007597695</v>
      </c>
      <c r="F79" s="98">
        <f t="shared" si="4"/>
        <v>7985.2216423055688</v>
      </c>
      <c r="G79" s="98">
        <f t="shared" si="8"/>
        <v>1356719.8730702321</v>
      </c>
    </row>
    <row r="80" spans="1:7" x14ac:dyDescent="0.2">
      <c r="A80">
        <f t="shared" si="3"/>
        <v>6</v>
      </c>
      <c r="B80">
        <v>65</v>
      </c>
      <c r="C80" s="98">
        <f t="shared" si="5"/>
        <v>1356719.8730702321</v>
      </c>
      <c r="D80" s="98">
        <f t="shared" si="6"/>
        <v>5652.9994711259669</v>
      </c>
      <c r="E80" s="98">
        <f t="shared" si="7"/>
        <v>2332.2221711796014</v>
      </c>
      <c r="F80" s="98">
        <f t="shared" si="4"/>
        <v>7985.2216423055688</v>
      </c>
      <c r="G80" s="98">
        <f t="shared" si="8"/>
        <v>1354387.6508990524</v>
      </c>
    </row>
    <row r="81" spans="1:7" x14ac:dyDescent="0.2">
      <c r="A81">
        <f t="shared" ref="A81:A144" si="9">ROUNDUP(B81/12,0)</f>
        <v>6</v>
      </c>
      <c r="B81">
        <v>66</v>
      </c>
      <c r="C81" s="98">
        <f t="shared" si="5"/>
        <v>1354387.6508990524</v>
      </c>
      <c r="D81" s="98">
        <f t="shared" si="6"/>
        <v>5643.2818787460528</v>
      </c>
      <c r="E81" s="98">
        <f t="shared" si="7"/>
        <v>2341.9397635595169</v>
      </c>
      <c r="F81" s="98">
        <f t="shared" ref="F81:F144" si="10">-PMT($B$9/12,$B$10*12,$B$7,$B$8,0)</f>
        <v>7985.2216423055688</v>
      </c>
      <c r="G81" s="98">
        <f t="shared" si="8"/>
        <v>1352045.7111354929</v>
      </c>
    </row>
    <row r="82" spans="1:7" x14ac:dyDescent="0.2">
      <c r="A82">
        <f t="shared" si="9"/>
        <v>6</v>
      </c>
      <c r="B82">
        <v>67</v>
      </c>
      <c r="C82" s="98">
        <f t="shared" ref="C82:C145" si="11">G81</f>
        <v>1352045.7111354929</v>
      </c>
      <c r="D82" s="98">
        <f t="shared" ref="D82:D145" si="12">-IPMT($B$9/12,$B82,$B$10*12,$B$7,$B$8,0)</f>
        <v>5633.5237963978871</v>
      </c>
      <c r="E82" s="98">
        <f t="shared" ref="E82:E145" si="13">-PPMT($B$9/12,$B82,$B$10*12,$B$7,$B$8,0)</f>
        <v>2351.6978459076818</v>
      </c>
      <c r="F82" s="98">
        <f t="shared" si="10"/>
        <v>7985.2216423055688</v>
      </c>
      <c r="G82" s="98">
        <f t="shared" ref="G82:G145" si="14">C82-E82</f>
        <v>1349694.0132895852</v>
      </c>
    </row>
    <row r="83" spans="1:7" x14ac:dyDescent="0.2">
      <c r="A83">
        <f t="shared" si="9"/>
        <v>6</v>
      </c>
      <c r="B83">
        <v>68</v>
      </c>
      <c r="C83" s="98">
        <f t="shared" si="11"/>
        <v>1349694.0132895852</v>
      </c>
      <c r="D83" s="98">
        <f t="shared" si="12"/>
        <v>5623.725055373272</v>
      </c>
      <c r="E83" s="98">
        <f t="shared" si="13"/>
        <v>2361.4965869322969</v>
      </c>
      <c r="F83" s="98">
        <f t="shared" si="10"/>
        <v>7985.2216423055688</v>
      </c>
      <c r="G83" s="98">
        <f t="shared" si="14"/>
        <v>1347332.5167026529</v>
      </c>
    </row>
    <row r="84" spans="1:7" x14ac:dyDescent="0.2">
      <c r="A84">
        <f t="shared" si="9"/>
        <v>6</v>
      </c>
      <c r="B84">
        <v>69</v>
      </c>
      <c r="C84" s="98">
        <f t="shared" si="11"/>
        <v>1347332.5167026529</v>
      </c>
      <c r="D84" s="98">
        <f t="shared" si="12"/>
        <v>5613.8854862610533</v>
      </c>
      <c r="E84" s="98">
        <f t="shared" si="13"/>
        <v>2371.3361560445151</v>
      </c>
      <c r="F84" s="98">
        <f t="shared" si="10"/>
        <v>7985.2216423055688</v>
      </c>
      <c r="G84" s="98">
        <f t="shared" si="14"/>
        <v>1344961.1805466083</v>
      </c>
    </row>
    <row r="85" spans="1:7" x14ac:dyDescent="0.2">
      <c r="A85">
        <f t="shared" si="9"/>
        <v>6</v>
      </c>
      <c r="B85">
        <v>70</v>
      </c>
      <c r="C85" s="98">
        <f t="shared" si="11"/>
        <v>1344961.1805466083</v>
      </c>
      <c r="D85" s="98">
        <f t="shared" si="12"/>
        <v>5604.0049189442025</v>
      </c>
      <c r="E85" s="98">
        <f t="shared" si="13"/>
        <v>2381.2167233613668</v>
      </c>
      <c r="F85" s="98">
        <f t="shared" si="10"/>
        <v>7985.2216423055688</v>
      </c>
      <c r="G85" s="98">
        <f t="shared" si="14"/>
        <v>1342579.963823247</v>
      </c>
    </row>
    <row r="86" spans="1:7" x14ac:dyDescent="0.2">
      <c r="A86">
        <f t="shared" si="9"/>
        <v>6</v>
      </c>
      <c r="B86">
        <v>71</v>
      </c>
      <c r="C86" s="98">
        <f t="shared" si="11"/>
        <v>1342579.963823247</v>
      </c>
      <c r="D86" s="98">
        <f t="shared" si="12"/>
        <v>5594.0831825968626</v>
      </c>
      <c r="E86" s="98">
        <f t="shared" si="13"/>
        <v>2391.1384597087063</v>
      </c>
      <c r="F86" s="98">
        <f t="shared" si="10"/>
        <v>7985.2216423055688</v>
      </c>
      <c r="G86" s="98">
        <f t="shared" si="14"/>
        <v>1340188.8253635382</v>
      </c>
    </row>
    <row r="87" spans="1:7" x14ac:dyDescent="0.2">
      <c r="A87">
        <f t="shared" si="9"/>
        <v>6</v>
      </c>
      <c r="B87">
        <v>72</v>
      </c>
      <c r="C87" s="98">
        <f t="shared" si="11"/>
        <v>1340188.8253635382</v>
      </c>
      <c r="D87" s="98">
        <f t="shared" si="12"/>
        <v>5584.1201056814098</v>
      </c>
      <c r="E87" s="98">
        <f t="shared" si="13"/>
        <v>2401.1015366241586</v>
      </c>
      <c r="F87" s="98">
        <f t="shared" si="10"/>
        <v>7985.2216423055688</v>
      </c>
      <c r="G87" s="98">
        <f t="shared" si="14"/>
        <v>1337787.7238269141</v>
      </c>
    </row>
    <row r="88" spans="1:7" x14ac:dyDescent="0.2">
      <c r="A88">
        <f t="shared" si="9"/>
        <v>7</v>
      </c>
      <c r="B88">
        <v>73</v>
      </c>
      <c r="C88" s="98">
        <f t="shared" si="11"/>
        <v>1337787.7238269141</v>
      </c>
      <c r="D88" s="98">
        <f t="shared" si="12"/>
        <v>5574.1155159454765</v>
      </c>
      <c r="E88" s="98">
        <f t="shared" si="13"/>
        <v>2411.1061263600932</v>
      </c>
      <c r="F88" s="98">
        <f t="shared" si="10"/>
        <v>7985.2216423055688</v>
      </c>
      <c r="G88" s="98">
        <f t="shared" si="14"/>
        <v>1335376.617700554</v>
      </c>
    </row>
    <row r="89" spans="1:7" x14ac:dyDescent="0.2">
      <c r="A89">
        <f t="shared" si="9"/>
        <v>7</v>
      </c>
      <c r="B89">
        <v>74</v>
      </c>
      <c r="C89" s="98">
        <f t="shared" si="11"/>
        <v>1335376.617700554</v>
      </c>
      <c r="D89" s="98">
        <f t="shared" si="12"/>
        <v>5564.0692404189758</v>
      </c>
      <c r="E89" s="98">
        <f t="shared" si="13"/>
        <v>2421.152401886593</v>
      </c>
      <c r="F89" s="98">
        <f t="shared" si="10"/>
        <v>7985.2216423055688</v>
      </c>
      <c r="G89" s="98">
        <f t="shared" si="14"/>
        <v>1332955.4652986673</v>
      </c>
    </row>
    <row r="90" spans="1:7" x14ac:dyDescent="0.2">
      <c r="A90">
        <f t="shared" si="9"/>
        <v>7</v>
      </c>
      <c r="B90">
        <v>75</v>
      </c>
      <c r="C90" s="98">
        <f t="shared" si="11"/>
        <v>1332955.4652986673</v>
      </c>
      <c r="D90" s="98">
        <f t="shared" si="12"/>
        <v>5553.9811054111151</v>
      </c>
      <c r="E90" s="98">
        <f t="shared" si="13"/>
        <v>2431.2405368944542</v>
      </c>
      <c r="F90" s="98">
        <f t="shared" si="10"/>
        <v>7985.2216423055688</v>
      </c>
      <c r="G90" s="98">
        <f t="shared" si="14"/>
        <v>1330524.2247617729</v>
      </c>
    </row>
    <row r="91" spans="1:7" x14ac:dyDescent="0.2">
      <c r="A91">
        <f t="shared" si="9"/>
        <v>7</v>
      </c>
      <c r="B91">
        <v>76</v>
      </c>
      <c r="C91" s="98">
        <f t="shared" si="11"/>
        <v>1330524.2247617729</v>
      </c>
      <c r="D91" s="98">
        <f t="shared" si="12"/>
        <v>5543.8509365073878</v>
      </c>
      <c r="E91" s="98">
        <f t="shared" si="13"/>
        <v>2441.370705798181</v>
      </c>
      <c r="F91" s="98">
        <f t="shared" si="10"/>
        <v>7985.2216423055688</v>
      </c>
      <c r="G91" s="98">
        <f t="shared" si="14"/>
        <v>1328082.8540559746</v>
      </c>
    </row>
    <row r="92" spans="1:7" x14ac:dyDescent="0.2">
      <c r="A92">
        <f t="shared" si="9"/>
        <v>7</v>
      </c>
      <c r="B92">
        <v>77</v>
      </c>
      <c r="C92" s="98">
        <f t="shared" si="11"/>
        <v>1328082.8540559746</v>
      </c>
      <c r="D92" s="98">
        <f t="shared" si="12"/>
        <v>5533.6785585665621</v>
      </c>
      <c r="E92" s="98">
        <f t="shared" si="13"/>
        <v>2451.5430837390068</v>
      </c>
      <c r="F92" s="98">
        <f t="shared" si="10"/>
        <v>7985.2216423055688</v>
      </c>
      <c r="G92" s="98">
        <f t="shared" si="14"/>
        <v>1325631.3109722356</v>
      </c>
    </row>
    <row r="93" spans="1:7" x14ac:dyDescent="0.2">
      <c r="A93">
        <f t="shared" si="9"/>
        <v>7</v>
      </c>
      <c r="B93">
        <v>78</v>
      </c>
      <c r="C93" s="98">
        <f t="shared" si="11"/>
        <v>1325631.3109722356</v>
      </c>
      <c r="D93" s="98">
        <f t="shared" si="12"/>
        <v>5523.4637957176501</v>
      </c>
      <c r="E93" s="98">
        <f t="shared" si="13"/>
        <v>2461.7578465879192</v>
      </c>
      <c r="F93" s="98">
        <f t="shared" si="10"/>
        <v>7985.2216423055688</v>
      </c>
      <c r="G93" s="98">
        <f t="shared" si="14"/>
        <v>1323169.5531256478</v>
      </c>
    </row>
    <row r="94" spans="1:7" x14ac:dyDescent="0.2">
      <c r="A94">
        <f t="shared" si="9"/>
        <v>7</v>
      </c>
      <c r="B94">
        <v>79</v>
      </c>
      <c r="C94" s="98">
        <f t="shared" si="11"/>
        <v>1323169.5531256478</v>
      </c>
      <c r="D94" s="98">
        <f t="shared" si="12"/>
        <v>5513.206471356867</v>
      </c>
      <c r="E94" s="98">
        <f t="shared" si="13"/>
        <v>2472.0151709487022</v>
      </c>
      <c r="F94" s="98">
        <f t="shared" si="10"/>
        <v>7985.2216423055688</v>
      </c>
      <c r="G94" s="98">
        <f t="shared" si="14"/>
        <v>1320697.537954699</v>
      </c>
    </row>
    <row r="95" spans="1:7" x14ac:dyDescent="0.2">
      <c r="A95">
        <f t="shared" si="9"/>
        <v>7</v>
      </c>
      <c r="B95">
        <v>80</v>
      </c>
      <c r="C95" s="98">
        <f t="shared" si="11"/>
        <v>1320697.537954699</v>
      </c>
      <c r="D95" s="98">
        <f t="shared" si="12"/>
        <v>5502.9064081445804</v>
      </c>
      <c r="E95" s="98">
        <f t="shared" si="13"/>
        <v>2482.3152341609889</v>
      </c>
      <c r="F95" s="98">
        <f t="shared" si="10"/>
        <v>7985.2216423055688</v>
      </c>
      <c r="G95" s="98">
        <f t="shared" si="14"/>
        <v>1318215.222720538</v>
      </c>
    </row>
    <row r="96" spans="1:7" x14ac:dyDescent="0.2">
      <c r="A96">
        <f t="shared" si="9"/>
        <v>7</v>
      </c>
      <c r="B96">
        <v>81</v>
      </c>
      <c r="C96" s="98">
        <f t="shared" si="11"/>
        <v>1318215.222720538</v>
      </c>
      <c r="D96" s="98">
        <f t="shared" si="12"/>
        <v>5492.5634280022423</v>
      </c>
      <c r="E96" s="98">
        <f t="shared" si="13"/>
        <v>2492.6582143033256</v>
      </c>
      <c r="F96" s="98">
        <f t="shared" si="10"/>
        <v>7985.2216423055688</v>
      </c>
      <c r="G96" s="98">
        <f t="shared" si="14"/>
        <v>1315722.5645062346</v>
      </c>
    </row>
    <row r="97" spans="1:7" x14ac:dyDescent="0.2">
      <c r="A97">
        <f t="shared" si="9"/>
        <v>7</v>
      </c>
      <c r="B97">
        <v>82</v>
      </c>
      <c r="C97" s="98">
        <f t="shared" si="11"/>
        <v>1315722.5645062346</v>
      </c>
      <c r="D97" s="98">
        <f t="shared" si="12"/>
        <v>5482.1773521093119</v>
      </c>
      <c r="E97" s="98">
        <f t="shared" si="13"/>
        <v>2503.044290196257</v>
      </c>
      <c r="F97" s="98">
        <f t="shared" si="10"/>
        <v>7985.2216423055688</v>
      </c>
      <c r="G97" s="98">
        <f t="shared" si="14"/>
        <v>1313219.5202160385</v>
      </c>
    </row>
    <row r="98" spans="1:7" x14ac:dyDescent="0.2">
      <c r="A98">
        <f t="shared" si="9"/>
        <v>7</v>
      </c>
      <c r="B98">
        <v>83</v>
      </c>
      <c r="C98" s="98">
        <f t="shared" si="11"/>
        <v>1313219.5202160385</v>
      </c>
      <c r="D98" s="98">
        <f t="shared" si="12"/>
        <v>5471.748000900162</v>
      </c>
      <c r="E98" s="98">
        <f t="shared" si="13"/>
        <v>2513.4736414054073</v>
      </c>
      <c r="F98" s="98">
        <f t="shared" si="10"/>
        <v>7985.2216423055688</v>
      </c>
      <c r="G98" s="98">
        <f t="shared" si="14"/>
        <v>1310706.0465746331</v>
      </c>
    </row>
    <row r="99" spans="1:7" x14ac:dyDescent="0.2">
      <c r="A99">
        <f t="shared" si="9"/>
        <v>7</v>
      </c>
      <c r="B99">
        <v>84</v>
      </c>
      <c r="C99" s="98">
        <f t="shared" si="11"/>
        <v>1310706.0465746331</v>
      </c>
      <c r="D99" s="98">
        <f t="shared" si="12"/>
        <v>5461.2751940609724</v>
      </c>
      <c r="E99" s="98">
        <f t="shared" si="13"/>
        <v>2523.9464482445974</v>
      </c>
      <c r="F99" s="98">
        <f t="shared" si="10"/>
        <v>7985.2216423055688</v>
      </c>
      <c r="G99" s="98">
        <f t="shared" si="14"/>
        <v>1308182.1001263885</v>
      </c>
    </row>
    <row r="100" spans="1:7" x14ac:dyDescent="0.2">
      <c r="A100">
        <f t="shared" si="9"/>
        <v>8</v>
      </c>
      <c r="B100">
        <v>85</v>
      </c>
      <c r="C100" s="98">
        <f t="shared" si="11"/>
        <v>1308182.1001263885</v>
      </c>
      <c r="D100" s="98">
        <f t="shared" si="12"/>
        <v>5450.7587505266192</v>
      </c>
      <c r="E100" s="98">
        <f t="shared" si="13"/>
        <v>2534.4628917789487</v>
      </c>
      <c r="F100" s="98">
        <f t="shared" si="10"/>
        <v>7985.2216423055688</v>
      </c>
      <c r="G100" s="98">
        <f t="shared" si="14"/>
        <v>1305647.6372346096</v>
      </c>
    </row>
    <row r="101" spans="1:7" x14ac:dyDescent="0.2">
      <c r="A101">
        <f t="shared" si="9"/>
        <v>8</v>
      </c>
      <c r="B101">
        <v>86</v>
      </c>
      <c r="C101" s="98">
        <f t="shared" si="11"/>
        <v>1305647.6372346096</v>
      </c>
      <c r="D101" s="98">
        <f t="shared" si="12"/>
        <v>5440.1984884775411</v>
      </c>
      <c r="E101" s="98">
        <f t="shared" si="13"/>
        <v>2545.0231538280282</v>
      </c>
      <c r="F101" s="98">
        <f t="shared" si="10"/>
        <v>7985.2216423055688</v>
      </c>
      <c r="G101" s="98">
        <f t="shared" si="14"/>
        <v>1303102.6140807816</v>
      </c>
    </row>
    <row r="102" spans="1:7" x14ac:dyDescent="0.2">
      <c r="A102">
        <f t="shared" si="9"/>
        <v>8</v>
      </c>
      <c r="B102">
        <v>87</v>
      </c>
      <c r="C102" s="98">
        <f t="shared" si="11"/>
        <v>1303102.6140807816</v>
      </c>
      <c r="D102" s="98">
        <f t="shared" si="12"/>
        <v>5429.5942253365902</v>
      </c>
      <c r="E102" s="98">
        <f t="shared" si="13"/>
        <v>2555.6274169689782</v>
      </c>
      <c r="F102" s="98">
        <f t="shared" si="10"/>
        <v>7985.2216423055688</v>
      </c>
      <c r="G102" s="98">
        <f t="shared" si="14"/>
        <v>1300546.9866638125</v>
      </c>
    </row>
    <row r="103" spans="1:7" x14ac:dyDescent="0.2">
      <c r="A103">
        <f t="shared" si="9"/>
        <v>8</v>
      </c>
      <c r="B103">
        <v>88</v>
      </c>
      <c r="C103" s="98">
        <f t="shared" si="11"/>
        <v>1300546.9866638125</v>
      </c>
      <c r="D103" s="98">
        <f t="shared" si="12"/>
        <v>5418.9457777658872</v>
      </c>
      <c r="E103" s="98">
        <f t="shared" si="13"/>
        <v>2566.2758645396825</v>
      </c>
      <c r="F103" s="98">
        <f t="shared" si="10"/>
        <v>7985.2216423055688</v>
      </c>
      <c r="G103" s="98">
        <f t="shared" si="14"/>
        <v>1297980.7107992729</v>
      </c>
    </row>
    <row r="104" spans="1:7" x14ac:dyDescent="0.2">
      <c r="A104">
        <f t="shared" si="9"/>
        <v>8</v>
      </c>
      <c r="B104">
        <v>89</v>
      </c>
      <c r="C104" s="98">
        <f t="shared" si="11"/>
        <v>1297980.7107992729</v>
      </c>
      <c r="D104" s="98">
        <f t="shared" si="12"/>
        <v>5408.2529616636375</v>
      </c>
      <c r="E104" s="98">
        <f t="shared" si="13"/>
        <v>2576.9686806419304</v>
      </c>
      <c r="F104" s="98">
        <f t="shared" si="10"/>
        <v>7985.2216423055688</v>
      </c>
      <c r="G104" s="98">
        <f t="shared" si="14"/>
        <v>1295403.742118631</v>
      </c>
    </row>
    <row r="105" spans="1:7" x14ac:dyDescent="0.2">
      <c r="A105">
        <f t="shared" si="9"/>
        <v>8</v>
      </c>
      <c r="B105">
        <v>90</v>
      </c>
      <c r="C105" s="98">
        <f t="shared" si="11"/>
        <v>1295403.742118631</v>
      </c>
      <c r="D105" s="98">
        <f t="shared" si="12"/>
        <v>5397.5155921609639</v>
      </c>
      <c r="E105" s="98">
        <f t="shared" si="13"/>
        <v>2587.7060501446058</v>
      </c>
      <c r="F105" s="98">
        <f t="shared" si="10"/>
        <v>7985.2216423055688</v>
      </c>
      <c r="G105" s="98">
        <f t="shared" si="14"/>
        <v>1292816.0360684865</v>
      </c>
    </row>
    <row r="106" spans="1:7" x14ac:dyDescent="0.2">
      <c r="A106">
        <f t="shared" si="9"/>
        <v>8</v>
      </c>
      <c r="B106">
        <v>91</v>
      </c>
      <c r="C106" s="98">
        <f t="shared" si="11"/>
        <v>1292816.0360684865</v>
      </c>
      <c r="D106" s="98">
        <f t="shared" si="12"/>
        <v>5386.7334836186947</v>
      </c>
      <c r="E106" s="98">
        <f t="shared" si="13"/>
        <v>2598.4881586868742</v>
      </c>
      <c r="F106" s="98">
        <f t="shared" si="10"/>
        <v>7985.2216423055688</v>
      </c>
      <c r="G106" s="98">
        <f t="shared" si="14"/>
        <v>1290217.5479097997</v>
      </c>
    </row>
    <row r="107" spans="1:7" x14ac:dyDescent="0.2">
      <c r="A107">
        <f t="shared" si="9"/>
        <v>8</v>
      </c>
      <c r="B107">
        <v>92</v>
      </c>
      <c r="C107" s="98">
        <f t="shared" si="11"/>
        <v>1290217.5479097997</v>
      </c>
      <c r="D107" s="98">
        <f t="shared" si="12"/>
        <v>5375.9064496241654</v>
      </c>
      <c r="E107" s="98">
        <f t="shared" si="13"/>
        <v>2609.3151926814039</v>
      </c>
      <c r="F107" s="98">
        <f t="shared" si="10"/>
        <v>7985.2216423055688</v>
      </c>
      <c r="G107" s="98">
        <f t="shared" si="14"/>
        <v>1287608.2327171182</v>
      </c>
    </row>
    <row r="108" spans="1:7" x14ac:dyDescent="0.2">
      <c r="A108">
        <f t="shared" si="9"/>
        <v>8</v>
      </c>
      <c r="B108">
        <v>93</v>
      </c>
      <c r="C108" s="98">
        <f t="shared" si="11"/>
        <v>1287608.2327171182</v>
      </c>
      <c r="D108" s="98">
        <f t="shared" si="12"/>
        <v>5365.0343029879932</v>
      </c>
      <c r="E108" s="98">
        <f t="shared" si="13"/>
        <v>2620.1873393175765</v>
      </c>
      <c r="F108" s="98">
        <f t="shared" si="10"/>
        <v>7985.2216423055688</v>
      </c>
      <c r="G108" s="98">
        <f t="shared" si="14"/>
        <v>1284988.0453778007</v>
      </c>
    </row>
    <row r="109" spans="1:7" x14ac:dyDescent="0.2">
      <c r="A109">
        <f t="shared" si="9"/>
        <v>8</v>
      </c>
      <c r="B109">
        <v>94</v>
      </c>
      <c r="C109" s="98">
        <f t="shared" si="11"/>
        <v>1284988.0453778007</v>
      </c>
      <c r="D109" s="98">
        <f t="shared" si="12"/>
        <v>5354.1168557408355</v>
      </c>
      <c r="E109" s="98">
        <f t="shared" si="13"/>
        <v>2631.1047865647329</v>
      </c>
      <c r="F109" s="98">
        <f t="shared" si="10"/>
        <v>7985.2216423055688</v>
      </c>
      <c r="G109" s="98">
        <f t="shared" si="14"/>
        <v>1282356.9405912359</v>
      </c>
    </row>
    <row r="110" spans="1:7" x14ac:dyDescent="0.2">
      <c r="A110">
        <f t="shared" si="9"/>
        <v>8</v>
      </c>
      <c r="B110">
        <v>95</v>
      </c>
      <c r="C110" s="98">
        <f t="shared" si="11"/>
        <v>1282356.9405912359</v>
      </c>
      <c r="D110" s="98">
        <f t="shared" si="12"/>
        <v>5343.153919130149</v>
      </c>
      <c r="E110" s="98">
        <f t="shared" si="13"/>
        <v>2642.0677231754194</v>
      </c>
      <c r="F110" s="98">
        <f t="shared" si="10"/>
        <v>7985.2216423055688</v>
      </c>
      <c r="G110" s="98">
        <f t="shared" si="14"/>
        <v>1279714.8728680604</v>
      </c>
    </row>
    <row r="111" spans="1:7" x14ac:dyDescent="0.2">
      <c r="A111">
        <f t="shared" si="9"/>
        <v>8</v>
      </c>
      <c r="B111">
        <v>96</v>
      </c>
      <c r="C111" s="98">
        <f t="shared" si="11"/>
        <v>1279714.8728680604</v>
      </c>
      <c r="D111" s="98">
        <f t="shared" si="12"/>
        <v>5332.1453036169187</v>
      </c>
      <c r="E111" s="98">
        <f t="shared" si="13"/>
        <v>2653.0763386886497</v>
      </c>
      <c r="F111" s="98">
        <f t="shared" si="10"/>
        <v>7985.2216423055688</v>
      </c>
      <c r="G111" s="98">
        <f t="shared" si="14"/>
        <v>1277061.7965293718</v>
      </c>
    </row>
    <row r="112" spans="1:7" x14ac:dyDescent="0.2">
      <c r="A112">
        <f t="shared" si="9"/>
        <v>9</v>
      </c>
      <c r="B112">
        <v>97</v>
      </c>
      <c r="C112" s="98">
        <f t="shared" si="11"/>
        <v>1277061.7965293718</v>
      </c>
      <c r="D112" s="98">
        <f t="shared" si="12"/>
        <v>5321.0908188723834</v>
      </c>
      <c r="E112" s="98">
        <f t="shared" si="13"/>
        <v>2664.1308234331864</v>
      </c>
      <c r="F112" s="98">
        <f t="shared" si="10"/>
        <v>7985.2216423055688</v>
      </c>
      <c r="G112" s="98">
        <f t="shared" si="14"/>
        <v>1274397.6657059386</v>
      </c>
    </row>
    <row r="113" spans="1:7" x14ac:dyDescent="0.2">
      <c r="A113">
        <f t="shared" si="9"/>
        <v>9</v>
      </c>
      <c r="B113">
        <v>98</v>
      </c>
      <c r="C113" s="98">
        <f t="shared" si="11"/>
        <v>1274397.6657059386</v>
      </c>
      <c r="D113" s="98">
        <f t="shared" si="12"/>
        <v>5309.9902737747452</v>
      </c>
      <c r="E113" s="98">
        <f t="shared" si="13"/>
        <v>2675.2313685308241</v>
      </c>
      <c r="F113" s="98">
        <f t="shared" si="10"/>
        <v>7985.2216423055688</v>
      </c>
      <c r="G113" s="98">
        <f t="shared" si="14"/>
        <v>1271722.4343374078</v>
      </c>
    </row>
    <row r="114" spans="1:7" x14ac:dyDescent="0.2">
      <c r="A114">
        <f t="shared" si="9"/>
        <v>9</v>
      </c>
      <c r="B114">
        <v>99</v>
      </c>
      <c r="C114" s="98">
        <f t="shared" si="11"/>
        <v>1271722.4343374078</v>
      </c>
      <c r="D114" s="98">
        <f t="shared" si="12"/>
        <v>5298.8434764058666</v>
      </c>
      <c r="E114" s="98">
        <f t="shared" si="13"/>
        <v>2686.3781658997027</v>
      </c>
      <c r="F114" s="98">
        <f t="shared" si="10"/>
        <v>7985.2216423055688</v>
      </c>
      <c r="G114" s="98">
        <f t="shared" si="14"/>
        <v>1269036.056171508</v>
      </c>
    </row>
    <row r="115" spans="1:7" x14ac:dyDescent="0.2">
      <c r="A115">
        <f t="shared" si="9"/>
        <v>9</v>
      </c>
      <c r="B115">
        <v>100</v>
      </c>
      <c r="C115" s="98">
        <f t="shared" si="11"/>
        <v>1269036.056171508</v>
      </c>
      <c r="D115" s="98">
        <f t="shared" si="12"/>
        <v>5287.650234047951</v>
      </c>
      <c r="E115" s="98">
        <f t="shared" si="13"/>
        <v>2697.5714082576178</v>
      </c>
      <c r="F115" s="98">
        <f t="shared" si="10"/>
        <v>7985.2216423055688</v>
      </c>
      <c r="G115" s="98">
        <f t="shared" si="14"/>
        <v>1266338.4847632505</v>
      </c>
    </row>
    <row r="116" spans="1:7" x14ac:dyDescent="0.2">
      <c r="A116">
        <f t="shared" si="9"/>
        <v>9</v>
      </c>
      <c r="B116">
        <v>101</v>
      </c>
      <c r="C116" s="98">
        <f t="shared" si="11"/>
        <v>1266338.4847632505</v>
      </c>
      <c r="D116" s="98">
        <f t="shared" si="12"/>
        <v>5276.4103531802111</v>
      </c>
      <c r="E116" s="98">
        <f t="shared" si="13"/>
        <v>2708.8112891253581</v>
      </c>
      <c r="F116" s="98">
        <f t="shared" si="10"/>
        <v>7985.2216423055688</v>
      </c>
      <c r="G116" s="98">
        <f t="shared" si="14"/>
        <v>1263629.6734741251</v>
      </c>
    </row>
    <row r="117" spans="1:7" x14ac:dyDescent="0.2">
      <c r="A117">
        <f t="shared" si="9"/>
        <v>9</v>
      </c>
      <c r="B117">
        <v>102</v>
      </c>
      <c r="C117" s="98">
        <f t="shared" si="11"/>
        <v>1263629.6734741251</v>
      </c>
      <c r="D117" s="98">
        <f t="shared" si="12"/>
        <v>5265.1236394755224</v>
      </c>
      <c r="E117" s="98">
        <f t="shared" si="13"/>
        <v>2720.0980028300473</v>
      </c>
      <c r="F117" s="98">
        <f t="shared" si="10"/>
        <v>7985.2216423055688</v>
      </c>
      <c r="G117" s="98">
        <f t="shared" si="14"/>
        <v>1260909.575471295</v>
      </c>
    </row>
    <row r="118" spans="1:7" x14ac:dyDescent="0.2">
      <c r="A118">
        <f t="shared" si="9"/>
        <v>9</v>
      </c>
      <c r="B118">
        <v>103</v>
      </c>
      <c r="C118" s="98">
        <f t="shared" si="11"/>
        <v>1260909.575471295</v>
      </c>
      <c r="D118" s="98">
        <f t="shared" si="12"/>
        <v>5253.7898977970635</v>
      </c>
      <c r="E118" s="98">
        <f t="shared" si="13"/>
        <v>2731.4317445085057</v>
      </c>
      <c r="F118" s="98">
        <f t="shared" si="10"/>
        <v>7985.2216423055688</v>
      </c>
      <c r="G118" s="98">
        <f t="shared" si="14"/>
        <v>1258178.1437267866</v>
      </c>
    </row>
    <row r="119" spans="1:7" x14ac:dyDescent="0.2">
      <c r="A119">
        <f t="shared" si="9"/>
        <v>9</v>
      </c>
      <c r="B119">
        <v>104</v>
      </c>
      <c r="C119" s="98">
        <f t="shared" si="11"/>
        <v>1258178.1437267866</v>
      </c>
      <c r="D119" s="98">
        <f t="shared" si="12"/>
        <v>5242.408932194945</v>
      </c>
      <c r="E119" s="98">
        <f t="shared" si="13"/>
        <v>2742.8127101106243</v>
      </c>
      <c r="F119" s="98">
        <f t="shared" si="10"/>
        <v>7985.2216423055688</v>
      </c>
      <c r="G119" s="98">
        <f t="shared" si="14"/>
        <v>1255435.331016676</v>
      </c>
    </row>
    <row r="120" spans="1:7" x14ac:dyDescent="0.2">
      <c r="A120">
        <f t="shared" si="9"/>
        <v>9</v>
      </c>
      <c r="B120">
        <v>105</v>
      </c>
      <c r="C120" s="98">
        <f t="shared" si="11"/>
        <v>1255435.331016676</v>
      </c>
      <c r="D120" s="98">
        <f t="shared" si="12"/>
        <v>5230.9805459028175</v>
      </c>
      <c r="E120" s="98">
        <f t="shared" si="13"/>
        <v>2754.2410964027517</v>
      </c>
      <c r="F120" s="98">
        <f t="shared" si="10"/>
        <v>7985.2216423055688</v>
      </c>
      <c r="G120" s="98">
        <f t="shared" si="14"/>
        <v>1252681.0899202733</v>
      </c>
    </row>
    <row r="121" spans="1:7" x14ac:dyDescent="0.2">
      <c r="A121">
        <f t="shared" si="9"/>
        <v>9</v>
      </c>
      <c r="B121">
        <v>106</v>
      </c>
      <c r="C121" s="98">
        <f t="shared" si="11"/>
        <v>1252681.0899202733</v>
      </c>
      <c r="D121" s="98">
        <f t="shared" si="12"/>
        <v>5219.5045413344724</v>
      </c>
      <c r="E121" s="98">
        <f t="shared" si="13"/>
        <v>2765.7171009710969</v>
      </c>
      <c r="F121" s="98">
        <f t="shared" si="10"/>
        <v>7985.2216423055688</v>
      </c>
      <c r="G121" s="98">
        <f t="shared" si="14"/>
        <v>1249915.3728193021</v>
      </c>
    </row>
    <row r="122" spans="1:7" x14ac:dyDescent="0.2">
      <c r="A122">
        <f t="shared" si="9"/>
        <v>9</v>
      </c>
      <c r="B122">
        <v>107</v>
      </c>
      <c r="C122" s="98">
        <f t="shared" si="11"/>
        <v>1249915.3728193021</v>
      </c>
      <c r="D122" s="98">
        <f t="shared" si="12"/>
        <v>5207.9807200804253</v>
      </c>
      <c r="E122" s="98">
        <f t="shared" si="13"/>
        <v>2777.2409222251431</v>
      </c>
      <c r="F122" s="98">
        <f t="shared" si="10"/>
        <v>7985.2216423055688</v>
      </c>
      <c r="G122" s="98">
        <f t="shared" si="14"/>
        <v>1247138.131897077</v>
      </c>
    </row>
    <row r="123" spans="1:7" x14ac:dyDescent="0.2">
      <c r="A123">
        <f t="shared" si="9"/>
        <v>9</v>
      </c>
      <c r="B123">
        <v>108</v>
      </c>
      <c r="C123" s="98">
        <f t="shared" si="11"/>
        <v>1247138.131897077</v>
      </c>
      <c r="D123" s="98">
        <f t="shared" si="12"/>
        <v>5196.4088829044877</v>
      </c>
      <c r="E123" s="98">
        <f t="shared" si="13"/>
        <v>2788.8127594010816</v>
      </c>
      <c r="F123" s="98">
        <f t="shared" si="10"/>
        <v>7985.2216423055688</v>
      </c>
      <c r="G123" s="98">
        <f t="shared" si="14"/>
        <v>1244349.3191376759</v>
      </c>
    </row>
    <row r="124" spans="1:7" x14ac:dyDescent="0.2">
      <c r="A124">
        <f t="shared" si="9"/>
        <v>10</v>
      </c>
      <c r="B124">
        <v>109</v>
      </c>
      <c r="C124" s="98">
        <f t="shared" si="11"/>
        <v>1244349.3191376759</v>
      </c>
      <c r="D124" s="98">
        <f t="shared" si="12"/>
        <v>5184.7888297403169</v>
      </c>
      <c r="E124" s="98">
        <f t="shared" si="13"/>
        <v>2800.4328125652523</v>
      </c>
      <c r="F124" s="98">
        <f t="shared" si="10"/>
        <v>7985.2216423055688</v>
      </c>
      <c r="G124" s="98">
        <f t="shared" si="14"/>
        <v>1241548.8863251107</v>
      </c>
    </row>
    <row r="125" spans="1:7" x14ac:dyDescent="0.2">
      <c r="A125">
        <f t="shared" si="9"/>
        <v>10</v>
      </c>
      <c r="B125">
        <v>110</v>
      </c>
      <c r="C125" s="98">
        <f t="shared" si="11"/>
        <v>1241548.8863251107</v>
      </c>
      <c r="D125" s="98">
        <f t="shared" si="12"/>
        <v>5173.1203596879614</v>
      </c>
      <c r="E125" s="98">
        <f t="shared" si="13"/>
        <v>2812.1012826176079</v>
      </c>
      <c r="F125" s="98">
        <f t="shared" si="10"/>
        <v>7985.2216423055688</v>
      </c>
      <c r="G125" s="98">
        <f t="shared" si="14"/>
        <v>1238736.7850424931</v>
      </c>
    </row>
    <row r="126" spans="1:7" x14ac:dyDescent="0.2">
      <c r="A126">
        <f t="shared" si="9"/>
        <v>10</v>
      </c>
      <c r="B126">
        <v>111</v>
      </c>
      <c r="C126" s="98">
        <f t="shared" si="11"/>
        <v>1238736.7850424931</v>
      </c>
      <c r="D126" s="98">
        <f t="shared" si="12"/>
        <v>5161.4032710103884</v>
      </c>
      <c r="E126" s="98">
        <f t="shared" si="13"/>
        <v>2823.8183712951809</v>
      </c>
      <c r="F126" s="98">
        <f t="shared" si="10"/>
        <v>7985.2216423055688</v>
      </c>
      <c r="G126" s="98">
        <f t="shared" si="14"/>
        <v>1235912.9666711979</v>
      </c>
    </row>
    <row r="127" spans="1:7" x14ac:dyDescent="0.2">
      <c r="A127">
        <f t="shared" si="9"/>
        <v>10</v>
      </c>
      <c r="B127">
        <v>112</v>
      </c>
      <c r="C127" s="98">
        <f t="shared" si="11"/>
        <v>1235912.9666711979</v>
      </c>
      <c r="D127" s="98">
        <f t="shared" si="12"/>
        <v>5149.6373611299914</v>
      </c>
      <c r="E127" s="98">
        <f t="shared" si="13"/>
        <v>2835.5842811755779</v>
      </c>
      <c r="F127" s="98">
        <f t="shared" si="10"/>
        <v>7985.2216423055688</v>
      </c>
      <c r="G127" s="98">
        <f t="shared" si="14"/>
        <v>1233077.3823900223</v>
      </c>
    </row>
    <row r="128" spans="1:7" x14ac:dyDescent="0.2">
      <c r="A128">
        <f t="shared" si="9"/>
        <v>10</v>
      </c>
      <c r="B128">
        <v>113</v>
      </c>
      <c r="C128" s="98">
        <f t="shared" si="11"/>
        <v>1233077.3823900223</v>
      </c>
      <c r="D128" s="98">
        <f t="shared" si="12"/>
        <v>5137.8224266250936</v>
      </c>
      <c r="E128" s="98">
        <f t="shared" si="13"/>
        <v>2847.3992156804757</v>
      </c>
      <c r="F128" s="98">
        <f t="shared" si="10"/>
        <v>7985.2216423055688</v>
      </c>
      <c r="G128" s="98">
        <f t="shared" si="14"/>
        <v>1230229.9831743417</v>
      </c>
    </row>
    <row r="129" spans="1:7" x14ac:dyDescent="0.2">
      <c r="A129">
        <f t="shared" si="9"/>
        <v>10</v>
      </c>
      <c r="B129">
        <v>114</v>
      </c>
      <c r="C129" s="98">
        <f t="shared" si="11"/>
        <v>1230229.9831743417</v>
      </c>
      <c r="D129" s="98">
        <f t="shared" si="12"/>
        <v>5125.9582632264246</v>
      </c>
      <c r="E129" s="98">
        <f t="shared" si="13"/>
        <v>2859.2633790791447</v>
      </c>
      <c r="F129" s="98">
        <f t="shared" si="10"/>
        <v>7985.2216423055688</v>
      </c>
      <c r="G129" s="98">
        <f t="shared" si="14"/>
        <v>1227370.7197952627</v>
      </c>
    </row>
    <row r="130" spans="1:7" x14ac:dyDescent="0.2">
      <c r="A130">
        <f t="shared" si="9"/>
        <v>10</v>
      </c>
      <c r="B130">
        <v>115</v>
      </c>
      <c r="C130" s="98">
        <f t="shared" si="11"/>
        <v>1227370.7197952627</v>
      </c>
      <c r="D130" s="98">
        <f t="shared" si="12"/>
        <v>5114.0446658135952</v>
      </c>
      <c r="E130" s="98">
        <f t="shared" si="13"/>
        <v>2871.1769764919741</v>
      </c>
      <c r="F130" s="98">
        <f t="shared" si="10"/>
        <v>7985.2216423055688</v>
      </c>
      <c r="G130" s="98">
        <f t="shared" si="14"/>
        <v>1224499.5428187707</v>
      </c>
    </row>
    <row r="131" spans="1:7" x14ac:dyDescent="0.2">
      <c r="A131">
        <f t="shared" si="9"/>
        <v>10</v>
      </c>
      <c r="B131">
        <v>116</v>
      </c>
      <c r="C131" s="98">
        <f t="shared" si="11"/>
        <v>1224499.5428187707</v>
      </c>
      <c r="D131" s="98">
        <f t="shared" si="12"/>
        <v>5102.0814284115449</v>
      </c>
      <c r="E131" s="98">
        <f t="shared" si="13"/>
        <v>2883.1402138940243</v>
      </c>
      <c r="F131" s="98">
        <f t="shared" si="10"/>
        <v>7985.2216423055688</v>
      </c>
      <c r="G131" s="98">
        <f t="shared" si="14"/>
        <v>1221616.4026048768</v>
      </c>
    </row>
    <row r="132" spans="1:7" x14ac:dyDescent="0.2">
      <c r="A132">
        <f t="shared" si="9"/>
        <v>10</v>
      </c>
      <c r="B132">
        <v>117</v>
      </c>
      <c r="C132" s="98">
        <f t="shared" si="11"/>
        <v>1221616.4026048768</v>
      </c>
      <c r="D132" s="98">
        <f t="shared" si="12"/>
        <v>5090.0683441869869</v>
      </c>
      <c r="E132" s="98">
        <f t="shared" si="13"/>
        <v>2895.1532981185819</v>
      </c>
      <c r="F132" s="98">
        <f t="shared" si="10"/>
        <v>7985.2216423055688</v>
      </c>
      <c r="G132" s="98">
        <f t="shared" si="14"/>
        <v>1218721.2493067582</v>
      </c>
    </row>
    <row r="133" spans="1:7" x14ac:dyDescent="0.2">
      <c r="A133">
        <f t="shared" si="9"/>
        <v>10</v>
      </c>
      <c r="B133">
        <v>118</v>
      </c>
      <c r="C133" s="98">
        <f t="shared" si="11"/>
        <v>1218721.2493067582</v>
      </c>
      <c r="D133" s="98">
        <f t="shared" si="12"/>
        <v>5078.0052054448261</v>
      </c>
      <c r="E133" s="98">
        <f t="shared" si="13"/>
        <v>2907.2164368607432</v>
      </c>
      <c r="F133" s="98">
        <f t="shared" si="10"/>
        <v>7985.2216423055688</v>
      </c>
      <c r="G133" s="98">
        <f t="shared" si="14"/>
        <v>1215814.0328698973</v>
      </c>
    </row>
    <row r="134" spans="1:7" x14ac:dyDescent="0.2">
      <c r="A134">
        <f t="shared" si="9"/>
        <v>10</v>
      </c>
      <c r="B134">
        <v>119</v>
      </c>
      <c r="C134" s="98">
        <f t="shared" si="11"/>
        <v>1215814.0328698973</v>
      </c>
      <c r="D134" s="98">
        <f t="shared" si="12"/>
        <v>5065.8918036245723</v>
      </c>
      <c r="E134" s="98">
        <f t="shared" si="13"/>
        <v>2919.329838680997</v>
      </c>
      <c r="F134" s="98">
        <f t="shared" si="10"/>
        <v>7985.2216423055688</v>
      </c>
      <c r="G134" s="98">
        <f t="shared" si="14"/>
        <v>1212894.7030312163</v>
      </c>
    </row>
    <row r="135" spans="1:7" x14ac:dyDescent="0.2">
      <c r="A135">
        <f t="shared" si="9"/>
        <v>10</v>
      </c>
      <c r="B135">
        <v>120</v>
      </c>
      <c r="C135" s="98">
        <f t="shared" si="11"/>
        <v>1212894.7030312163</v>
      </c>
      <c r="D135" s="98">
        <f t="shared" si="12"/>
        <v>5053.7279292967351</v>
      </c>
      <c r="E135" s="98">
        <f t="shared" si="13"/>
        <v>2931.4937130088342</v>
      </c>
      <c r="F135" s="98">
        <f t="shared" si="10"/>
        <v>7985.2216423055688</v>
      </c>
      <c r="G135" s="98">
        <f t="shared" si="14"/>
        <v>1209963.2093182073</v>
      </c>
    </row>
    <row r="136" spans="1:7" x14ac:dyDescent="0.2">
      <c r="A136">
        <f t="shared" si="9"/>
        <v>11</v>
      </c>
      <c r="B136">
        <v>121</v>
      </c>
      <c r="C136" s="98">
        <f t="shared" si="11"/>
        <v>1209963.2093182073</v>
      </c>
      <c r="D136" s="98">
        <f t="shared" si="12"/>
        <v>5041.5133721591983</v>
      </c>
      <c r="E136" s="98">
        <f t="shared" si="13"/>
        <v>2943.708270146371</v>
      </c>
      <c r="F136" s="98">
        <f t="shared" si="10"/>
        <v>7985.2216423055688</v>
      </c>
      <c r="G136" s="98">
        <f t="shared" si="14"/>
        <v>1207019.5010480611</v>
      </c>
    </row>
    <row r="137" spans="1:7" x14ac:dyDescent="0.2">
      <c r="A137">
        <f t="shared" si="9"/>
        <v>11</v>
      </c>
      <c r="B137">
        <v>122</v>
      </c>
      <c r="C137" s="98">
        <f t="shared" si="11"/>
        <v>1207019.5010480611</v>
      </c>
      <c r="D137" s="98">
        <f t="shared" si="12"/>
        <v>5029.2479210335896</v>
      </c>
      <c r="E137" s="98">
        <f t="shared" si="13"/>
        <v>2955.9737212719806</v>
      </c>
      <c r="F137" s="98">
        <f t="shared" si="10"/>
        <v>7985.2216423055688</v>
      </c>
      <c r="G137" s="98">
        <f t="shared" si="14"/>
        <v>1204063.527326789</v>
      </c>
    </row>
    <row r="138" spans="1:7" x14ac:dyDescent="0.2">
      <c r="A138">
        <f t="shared" si="9"/>
        <v>11</v>
      </c>
      <c r="B138">
        <v>123</v>
      </c>
      <c r="C138" s="98">
        <f t="shared" si="11"/>
        <v>1204063.527326789</v>
      </c>
      <c r="D138" s="98">
        <f t="shared" si="12"/>
        <v>5016.9313638616213</v>
      </c>
      <c r="E138" s="98">
        <f t="shared" si="13"/>
        <v>2968.2902784439475</v>
      </c>
      <c r="F138" s="98">
        <f t="shared" si="10"/>
        <v>7985.2216423055688</v>
      </c>
      <c r="G138" s="98">
        <f t="shared" si="14"/>
        <v>1201095.2370483452</v>
      </c>
    </row>
    <row r="139" spans="1:7" x14ac:dyDescent="0.2">
      <c r="A139">
        <f t="shared" si="9"/>
        <v>11</v>
      </c>
      <c r="B139">
        <v>124</v>
      </c>
      <c r="C139" s="98">
        <f t="shared" si="11"/>
        <v>1201095.2370483452</v>
      </c>
      <c r="D139" s="98">
        <f t="shared" si="12"/>
        <v>5004.563487701439</v>
      </c>
      <c r="E139" s="98">
        <f t="shared" si="13"/>
        <v>2980.6581546041302</v>
      </c>
      <c r="F139" s="98">
        <f t="shared" si="10"/>
        <v>7985.2216423055688</v>
      </c>
      <c r="G139" s="98">
        <f t="shared" si="14"/>
        <v>1198114.5788937411</v>
      </c>
    </row>
    <row r="140" spans="1:7" x14ac:dyDescent="0.2">
      <c r="A140">
        <f t="shared" si="9"/>
        <v>11</v>
      </c>
      <c r="B140">
        <v>125</v>
      </c>
      <c r="C140" s="98">
        <f t="shared" si="11"/>
        <v>1198114.5788937411</v>
      </c>
      <c r="D140" s="98">
        <f t="shared" si="12"/>
        <v>4992.1440787239217</v>
      </c>
      <c r="E140" s="98">
        <f t="shared" si="13"/>
        <v>2993.0775635816476</v>
      </c>
      <c r="F140" s="98">
        <f t="shared" si="10"/>
        <v>7985.2216423055688</v>
      </c>
      <c r="G140" s="98">
        <f t="shared" si="14"/>
        <v>1195121.5013301594</v>
      </c>
    </row>
    <row r="141" spans="1:7" x14ac:dyDescent="0.2">
      <c r="A141">
        <f t="shared" si="9"/>
        <v>11</v>
      </c>
      <c r="B141">
        <v>126</v>
      </c>
      <c r="C141" s="98">
        <f t="shared" si="11"/>
        <v>1195121.5013301594</v>
      </c>
      <c r="D141" s="98">
        <f t="shared" si="12"/>
        <v>4979.6729222089989</v>
      </c>
      <c r="E141" s="98">
        <f t="shared" si="13"/>
        <v>3005.5487200965713</v>
      </c>
      <c r="F141" s="98">
        <f t="shared" si="10"/>
        <v>7985.2216423055688</v>
      </c>
      <c r="G141" s="98">
        <f t="shared" si="14"/>
        <v>1192115.9526100629</v>
      </c>
    </row>
    <row r="142" spans="1:7" x14ac:dyDescent="0.2">
      <c r="A142">
        <f t="shared" si="9"/>
        <v>11</v>
      </c>
      <c r="B142">
        <v>127</v>
      </c>
      <c r="C142" s="98">
        <f t="shared" si="11"/>
        <v>1192115.9526100629</v>
      </c>
      <c r="D142" s="98">
        <f t="shared" si="12"/>
        <v>4967.1498025419287</v>
      </c>
      <c r="E142" s="98">
        <f t="shared" si="13"/>
        <v>3018.0718397636401</v>
      </c>
      <c r="F142" s="98">
        <f t="shared" si="10"/>
        <v>7985.2216423055688</v>
      </c>
      <c r="G142" s="98">
        <f t="shared" si="14"/>
        <v>1189097.8807702994</v>
      </c>
    </row>
    <row r="143" spans="1:7" x14ac:dyDescent="0.2">
      <c r="A143">
        <f t="shared" si="9"/>
        <v>11</v>
      </c>
      <c r="B143">
        <v>128</v>
      </c>
      <c r="C143" s="98">
        <f t="shared" si="11"/>
        <v>1189097.8807702994</v>
      </c>
      <c r="D143" s="98">
        <f t="shared" si="12"/>
        <v>4954.5745032095801</v>
      </c>
      <c r="E143" s="98">
        <f t="shared" si="13"/>
        <v>3030.6471390959887</v>
      </c>
      <c r="F143" s="98">
        <f t="shared" si="10"/>
        <v>7985.2216423055688</v>
      </c>
      <c r="G143" s="98">
        <f t="shared" si="14"/>
        <v>1186067.2336312034</v>
      </c>
    </row>
    <row r="144" spans="1:7" x14ac:dyDescent="0.2">
      <c r="A144">
        <f t="shared" si="9"/>
        <v>11</v>
      </c>
      <c r="B144">
        <v>129</v>
      </c>
      <c r="C144" s="98">
        <f t="shared" si="11"/>
        <v>1186067.2336312034</v>
      </c>
      <c r="D144" s="98">
        <f t="shared" si="12"/>
        <v>4941.9468067966809</v>
      </c>
      <c r="E144" s="98">
        <f t="shared" si="13"/>
        <v>3043.2748355088888</v>
      </c>
      <c r="F144" s="98">
        <f t="shared" si="10"/>
        <v>7985.2216423055688</v>
      </c>
      <c r="G144" s="98">
        <f t="shared" si="14"/>
        <v>1183023.9587956946</v>
      </c>
    </row>
    <row r="145" spans="1:7" x14ac:dyDescent="0.2">
      <c r="A145">
        <f t="shared" ref="A145:A208" si="15">ROUNDUP(B145/12,0)</f>
        <v>11</v>
      </c>
      <c r="B145">
        <v>130</v>
      </c>
      <c r="C145" s="98">
        <f t="shared" si="11"/>
        <v>1183023.9587956946</v>
      </c>
      <c r="D145" s="98">
        <f t="shared" si="12"/>
        <v>4929.266494982061</v>
      </c>
      <c r="E145" s="98">
        <f t="shared" si="13"/>
        <v>3055.9551473235088</v>
      </c>
      <c r="F145" s="98">
        <f t="shared" ref="F145:F208" si="16">-PMT($B$9/12,$B$10*12,$B$7,$B$8,0)</f>
        <v>7985.2216423055688</v>
      </c>
      <c r="G145" s="98">
        <f t="shared" si="14"/>
        <v>1179968.0036483712</v>
      </c>
    </row>
    <row r="146" spans="1:7" x14ac:dyDescent="0.2">
      <c r="A146">
        <f t="shared" si="15"/>
        <v>11</v>
      </c>
      <c r="B146">
        <v>131</v>
      </c>
      <c r="C146" s="98">
        <f t="shared" ref="C146:C209" si="17">G145</f>
        <v>1179968.0036483712</v>
      </c>
      <c r="D146" s="98">
        <f t="shared" ref="D146:D209" si="18">-IPMT($B$9/12,$B146,$B$10*12,$B$7,$B$8,0)</f>
        <v>4916.5333485348792</v>
      </c>
      <c r="E146" s="98">
        <f t="shared" ref="E146:E209" si="19">-PPMT($B$9/12,$B146,$B$10*12,$B$7,$B$8,0)</f>
        <v>3068.6882937706901</v>
      </c>
      <c r="F146" s="98">
        <f t="shared" si="16"/>
        <v>7985.2216423055688</v>
      </c>
      <c r="G146" s="98">
        <f t="shared" ref="G146:G209" si="20">C146-E146</f>
        <v>1176899.3153546005</v>
      </c>
    </row>
    <row r="147" spans="1:7" x14ac:dyDescent="0.2">
      <c r="A147">
        <f t="shared" si="15"/>
        <v>11</v>
      </c>
      <c r="B147">
        <v>132</v>
      </c>
      <c r="C147" s="98">
        <f t="shared" si="17"/>
        <v>1176899.3153546005</v>
      </c>
      <c r="D147" s="98">
        <f t="shared" si="18"/>
        <v>4903.7471473108335</v>
      </c>
      <c r="E147" s="98">
        <f t="shared" si="19"/>
        <v>3081.4744949947349</v>
      </c>
      <c r="F147" s="98">
        <f t="shared" si="16"/>
        <v>7985.2216423055688</v>
      </c>
      <c r="G147" s="98">
        <f t="shared" si="20"/>
        <v>1173817.8408596057</v>
      </c>
    </row>
    <row r="148" spans="1:7" x14ac:dyDescent="0.2">
      <c r="A148">
        <f t="shared" si="15"/>
        <v>12</v>
      </c>
      <c r="B148">
        <v>133</v>
      </c>
      <c r="C148" s="98">
        <f t="shared" si="17"/>
        <v>1173817.8408596057</v>
      </c>
      <c r="D148" s="98">
        <f t="shared" si="18"/>
        <v>4890.9076702483562</v>
      </c>
      <c r="E148" s="98">
        <f t="shared" si="19"/>
        <v>3094.3139720572126</v>
      </c>
      <c r="F148" s="98">
        <f t="shared" si="16"/>
        <v>7985.2216423055688</v>
      </c>
      <c r="G148" s="98">
        <f t="shared" si="20"/>
        <v>1170723.5268875484</v>
      </c>
    </row>
    <row r="149" spans="1:7" x14ac:dyDescent="0.2">
      <c r="A149">
        <f t="shared" si="15"/>
        <v>12</v>
      </c>
      <c r="B149">
        <v>134</v>
      </c>
      <c r="C149" s="98">
        <f t="shared" si="17"/>
        <v>1170723.5268875484</v>
      </c>
      <c r="D149" s="98">
        <f t="shared" si="18"/>
        <v>4878.0146953647845</v>
      </c>
      <c r="E149" s="98">
        <f t="shared" si="19"/>
        <v>3107.2069469407847</v>
      </c>
      <c r="F149" s="98">
        <f t="shared" si="16"/>
        <v>7985.2216423055688</v>
      </c>
      <c r="G149" s="98">
        <f t="shared" si="20"/>
        <v>1167616.3199406075</v>
      </c>
    </row>
    <row r="150" spans="1:7" x14ac:dyDescent="0.2">
      <c r="A150">
        <f t="shared" si="15"/>
        <v>12</v>
      </c>
      <c r="B150">
        <v>135</v>
      </c>
      <c r="C150" s="98">
        <f t="shared" si="17"/>
        <v>1167616.3199406075</v>
      </c>
      <c r="D150" s="98">
        <f t="shared" si="18"/>
        <v>4865.0679997525303</v>
      </c>
      <c r="E150" s="98">
        <f t="shared" si="19"/>
        <v>3120.1536425530371</v>
      </c>
      <c r="F150" s="98">
        <f t="shared" si="16"/>
        <v>7985.2216423055688</v>
      </c>
      <c r="G150" s="98">
        <f t="shared" si="20"/>
        <v>1164496.1662980544</v>
      </c>
    </row>
    <row r="151" spans="1:7" x14ac:dyDescent="0.2">
      <c r="A151">
        <f t="shared" si="15"/>
        <v>12</v>
      </c>
      <c r="B151">
        <v>136</v>
      </c>
      <c r="C151" s="98">
        <f t="shared" si="17"/>
        <v>1164496.1662980544</v>
      </c>
      <c r="D151" s="98">
        <f t="shared" si="18"/>
        <v>4852.0673595752278</v>
      </c>
      <c r="E151" s="98">
        <f t="shared" si="19"/>
        <v>3133.1542827303419</v>
      </c>
      <c r="F151" s="98">
        <f t="shared" si="16"/>
        <v>7985.2216423055688</v>
      </c>
      <c r="G151" s="98">
        <f t="shared" si="20"/>
        <v>1161363.0120153241</v>
      </c>
    </row>
    <row r="152" spans="1:7" x14ac:dyDescent="0.2">
      <c r="A152">
        <f t="shared" si="15"/>
        <v>12</v>
      </c>
      <c r="B152">
        <v>137</v>
      </c>
      <c r="C152" s="98">
        <f t="shared" si="17"/>
        <v>1161363.0120153241</v>
      </c>
      <c r="D152" s="98">
        <f t="shared" si="18"/>
        <v>4839.0125500638514</v>
      </c>
      <c r="E152" s="98">
        <f t="shared" si="19"/>
        <v>3146.2090922417183</v>
      </c>
      <c r="F152" s="98">
        <f t="shared" si="16"/>
        <v>7985.2216423055688</v>
      </c>
      <c r="G152" s="98">
        <f t="shared" si="20"/>
        <v>1158216.8029230824</v>
      </c>
    </row>
    <row r="153" spans="1:7" x14ac:dyDescent="0.2">
      <c r="A153">
        <f t="shared" si="15"/>
        <v>12</v>
      </c>
      <c r="B153">
        <v>138</v>
      </c>
      <c r="C153" s="98">
        <f t="shared" si="17"/>
        <v>1158216.8029230824</v>
      </c>
      <c r="D153" s="98">
        <f t="shared" si="18"/>
        <v>4825.9033455128429</v>
      </c>
      <c r="E153" s="98">
        <f t="shared" si="19"/>
        <v>3159.318296792726</v>
      </c>
      <c r="F153" s="98">
        <f t="shared" si="16"/>
        <v>7985.2216423055688</v>
      </c>
      <c r="G153" s="98">
        <f t="shared" si="20"/>
        <v>1155057.4846262897</v>
      </c>
    </row>
    <row r="154" spans="1:7" x14ac:dyDescent="0.2">
      <c r="A154">
        <f t="shared" si="15"/>
        <v>12</v>
      </c>
      <c r="B154">
        <v>139</v>
      </c>
      <c r="C154" s="98">
        <f t="shared" si="17"/>
        <v>1155057.4846262897</v>
      </c>
      <c r="D154" s="98">
        <f t="shared" si="18"/>
        <v>4812.7395192762069</v>
      </c>
      <c r="E154" s="98">
        <f t="shared" si="19"/>
        <v>3172.4821230293619</v>
      </c>
      <c r="F154" s="98">
        <f t="shared" si="16"/>
        <v>7985.2216423055688</v>
      </c>
      <c r="G154" s="98">
        <f t="shared" si="20"/>
        <v>1151885.0025032603</v>
      </c>
    </row>
    <row r="155" spans="1:7" x14ac:dyDescent="0.2">
      <c r="A155">
        <f t="shared" si="15"/>
        <v>12</v>
      </c>
      <c r="B155">
        <v>140</v>
      </c>
      <c r="C155" s="98">
        <f t="shared" si="17"/>
        <v>1151885.0025032603</v>
      </c>
      <c r="D155" s="98">
        <f t="shared" si="18"/>
        <v>4799.5208437635847</v>
      </c>
      <c r="E155" s="98">
        <f t="shared" si="19"/>
        <v>3185.7007985419846</v>
      </c>
      <c r="F155" s="98">
        <f t="shared" si="16"/>
        <v>7985.2216423055688</v>
      </c>
      <c r="G155" s="98">
        <f t="shared" si="20"/>
        <v>1148699.3017047183</v>
      </c>
    </row>
    <row r="156" spans="1:7" x14ac:dyDescent="0.2">
      <c r="A156">
        <f t="shared" si="15"/>
        <v>12</v>
      </c>
      <c r="B156">
        <v>141</v>
      </c>
      <c r="C156" s="98">
        <f t="shared" si="17"/>
        <v>1148699.3017047183</v>
      </c>
      <c r="D156" s="98">
        <f t="shared" si="18"/>
        <v>4786.2470904363263</v>
      </c>
      <c r="E156" s="98">
        <f t="shared" si="19"/>
        <v>3198.9745518692425</v>
      </c>
      <c r="F156" s="98">
        <f t="shared" si="16"/>
        <v>7985.2216423055688</v>
      </c>
      <c r="G156" s="98">
        <f t="shared" si="20"/>
        <v>1145500.3271528489</v>
      </c>
    </row>
    <row r="157" spans="1:7" x14ac:dyDescent="0.2">
      <c r="A157">
        <f t="shared" si="15"/>
        <v>12</v>
      </c>
      <c r="B157">
        <v>142</v>
      </c>
      <c r="C157" s="98">
        <f t="shared" si="17"/>
        <v>1145500.3271528489</v>
      </c>
      <c r="D157" s="98">
        <f t="shared" si="18"/>
        <v>4772.918029803538</v>
      </c>
      <c r="E157" s="98">
        <f t="shared" si="19"/>
        <v>3212.3036125020308</v>
      </c>
      <c r="F157" s="98">
        <f t="shared" si="16"/>
        <v>7985.2216423055688</v>
      </c>
      <c r="G157" s="98">
        <f t="shared" si="20"/>
        <v>1142288.0235403469</v>
      </c>
    </row>
    <row r="158" spans="1:7" x14ac:dyDescent="0.2">
      <c r="A158">
        <f t="shared" si="15"/>
        <v>12</v>
      </c>
      <c r="B158">
        <v>143</v>
      </c>
      <c r="C158" s="98">
        <f t="shared" si="17"/>
        <v>1142288.0235403469</v>
      </c>
      <c r="D158" s="98">
        <f t="shared" si="18"/>
        <v>4759.5334314181127</v>
      </c>
      <c r="E158" s="98">
        <f t="shared" si="19"/>
        <v>3225.6882108874561</v>
      </c>
      <c r="F158" s="98">
        <f t="shared" si="16"/>
        <v>7985.2216423055688</v>
      </c>
      <c r="G158" s="98">
        <f t="shared" si="20"/>
        <v>1139062.3353294595</v>
      </c>
    </row>
    <row r="159" spans="1:7" x14ac:dyDescent="0.2">
      <c r="A159">
        <f t="shared" si="15"/>
        <v>12</v>
      </c>
      <c r="B159">
        <v>144</v>
      </c>
      <c r="C159" s="98">
        <f t="shared" si="17"/>
        <v>1139062.3353294595</v>
      </c>
      <c r="D159" s="98">
        <f t="shared" si="18"/>
        <v>4746.0930638727486</v>
      </c>
      <c r="E159" s="98">
        <f t="shared" si="19"/>
        <v>3239.1285784328206</v>
      </c>
      <c r="F159" s="98">
        <f t="shared" si="16"/>
        <v>7985.2216423055688</v>
      </c>
      <c r="G159" s="98">
        <f t="shared" si="20"/>
        <v>1135823.2067510267</v>
      </c>
    </row>
    <row r="160" spans="1:7" x14ac:dyDescent="0.2">
      <c r="A160">
        <f t="shared" si="15"/>
        <v>13</v>
      </c>
      <c r="B160">
        <v>145</v>
      </c>
      <c r="C160" s="98">
        <f t="shared" si="17"/>
        <v>1135823.2067510267</v>
      </c>
      <c r="D160" s="98">
        <f t="shared" si="18"/>
        <v>4732.5966947959441</v>
      </c>
      <c r="E160" s="98">
        <f t="shared" si="19"/>
        <v>3252.6249475096238</v>
      </c>
      <c r="F160" s="98">
        <f t="shared" si="16"/>
        <v>7985.2216423055688</v>
      </c>
      <c r="G160" s="98">
        <f t="shared" si="20"/>
        <v>1132570.581803517</v>
      </c>
    </row>
    <row r="161" spans="1:7" x14ac:dyDescent="0.2">
      <c r="A161">
        <f t="shared" si="15"/>
        <v>13</v>
      </c>
      <c r="B161">
        <v>146</v>
      </c>
      <c r="C161" s="98">
        <f t="shared" si="17"/>
        <v>1132570.581803517</v>
      </c>
      <c r="D161" s="98">
        <f t="shared" si="18"/>
        <v>4719.0440908479895</v>
      </c>
      <c r="E161" s="98">
        <f t="shared" si="19"/>
        <v>3266.1775514575806</v>
      </c>
      <c r="F161" s="98">
        <f t="shared" si="16"/>
        <v>7985.2216423055688</v>
      </c>
      <c r="G161" s="98">
        <f t="shared" si="20"/>
        <v>1129304.4042520593</v>
      </c>
    </row>
    <row r="162" spans="1:7" x14ac:dyDescent="0.2">
      <c r="A162">
        <f t="shared" si="15"/>
        <v>13</v>
      </c>
      <c r="B162">
        <v>147</v>
      </c>
      <c r="C162" s="98">
        <f t="shared" si="17"/>
        <v>1129304.4042520593</v>
      </c>
      <c r="D162" s="98">
        <f t="shared" si="18"/>
        <v>4705.4350177169154</v>
      </c>
      <c r="E162" s="98">
        <f t="shared" si="19"/>
        <v>3279.7866245886539</v>
      </c>
      <c r="F162" s="98">
        <f t="shared" si="16"/>
        <v>7985.2216423055688</v>
      </c>
      <c r="G162" s="98">
        <f t="shared" si="20"/>
        <v>1126024.6176274708</v>
      </c>
    </row>
    <row r="163" spans="1:7" x14ac:dyDescent="0.2">
      <c r="A163">
        <f t="shared" si="15"/>
        <v>13</v>
      </c>
      <c r="B163">
        <v>148</v>
      </c>
      <c r="C163" s="98">
        <f t="shared" si="17"/>
        <v>1126024.6176274708</v>
      </c>
      <c r="D163" s="98">
        <f t="shared" si="18"/>
        <v>4691.7692401144623</v>
      </c>
      <c r="E163" s="98">
        <f t="shared" si="19"/>
        <v>3293.4524021911066</v>
      </c>
      <c r="F163" s="98">
        <f t="shared" si="16"/>
        <v>7985.2216423055688</v>
      </c>
      <c r="G163" s="98">
        <f t="shared" si="20"/>
        <v>1122731.1652252798</v>
      </c>
    </row>
    <row r="164" spans="1:7" x14ac:dyDescent="0.2">
      <c r="A164">
        <f t="shared" si="15"/>
        <v>13</v>
      </c>
      <c r="B164">
        <v>149</v>
      </c>
      <c r="C164" s="98">
        <f t="shared" si="17"/>
        <v>1122731.1652252798</v>
      </c>
      <c r="D164" s="98">
        <f t="shared" si="18"/>
        <v>4678.0465217720002</v>
      </c>
      <c r="E164" s="98">
        <f t="shared" si="19"/>
        <v>3307.1751205335695</v>
      </c>
      <c r="F164" s="98">
        <f t="shared" si="16"/>
        <v>7985.2216423055688</v>
      </c>
      <c r="G164" s="98">
        <f t="shared" si="20"/>
        <v>1119423.9901047461</v>
      </c>
    </row>
    <row r="165" spans="1:7" x14ac:dyDescent="0.2">
      <c r="A165">
        <f t="shared" si="15"/>
        <v>13</v>
      </c>
      <c r="B165">
        <v>150</v>
      </c>
      <c r="C165" s="98">
        <f t="shared" si="17"/>
        <v>1119423.9901047461</v>
      </c>
      <c r="D165" s="98">
        <f t="shared" si="18"/>
        <v>4664.2666254364431</v>
      </c>
      <c r="E165" s="98">
        <f t="shared" si="19"/>
        <v>3320.9550168691267</v>
      </c>
      <c r="F165" s="98">
        <f t="shared" si="16"/>
        <v>7985.2216423055688</v>
      </c>
      <c r="G165" s="98">
        <f t="shared" si="20"/>
        <v>1116103.035087877</v>
      </c>
    </row>
    <row r="166" spans="1:7" x14ac:dyDescent="0.2">
      <c r="A166">
        <f t="shared" si="15"/>
        <v>13</v>
      </c>
      <c r="B166">
        <v>151</v>
      </c>
      <c r="C166" s="98">
        <f t="shared" si="17"/>
        <v>1116103.035087877</v>
      </c>
      <c r="D166" s="98">
        <f t="shared" si="18"/>
        <v>4650.4293128661539</v>
      </c>
      <c r="E166" s="98">
        <f t="shared" si="19"/>
        <v>3334.7923294394145</v>
      </c>
      <c r="F166" s="98">
        <f t="shared" si="16"/>
        <v>7985.2216423055688</v>
      </c>
      <c r="G166" s="98">
        <f t="shared" si="20"/>
        <v>1112768.2427584375</v>
      </c>
    </row>
    <row r="167" spans="1:7" x14ac:dyDescent="0.2">
      <c r="A167">
        <f t="shared" si="15"/>
        <v>13</v>
      </c>
      <c r="B167">
        <v>152</v>
      </c>
      <c r="C167" s="98">
        <f t="shared" si="17"/>
        <v>1112768.2427584375</v>
      </c>
      <c r="D167" s="98">
        <f t="shared" si="18"/>
        <v>4636.5343448268241</v>
      </c>
      <c r="E167" s="98">
        <f t="shared" si="19"/>
        <v>3348.6872974787452</v>
      </c>
      <c r="F167" s="98">
        <f t="shared" si="16"/>
        <v>7985.2216423055688</v>
      </c>
      <c r="G167" s="98">
        <f t="shared" si="20"/>
        <v>1109419.5554609587</v>
      </c>
    </row>
    <row r="168" spans="1:7" x14ac:dyDescent="0.2">
      <c r="A168">
        <f t="shared" si="15"/>
        <v>13</v>
      </c>
      <c r="B168">
        <v>153</v>
      </c>
      <c r="C168" s="98">
        <f t="shared" si="17"/>
        <v>1109419.5554609587</v>
      </c>
      <c r="D168" s="98">
        <f t="shared" si="18"/>
        <v>4622.5814810873298</v>
      </c>
      <c r="E168" s="98">
        <f t="shared" si="19"/>
        <v>3362.6401612182399</v>
      </c>
      <c r="F168" s="98">
        <f t="shared" si="16"/>
        <v>7985.2216423055688</v>
      </c>
      <c r="G168" s="98">
        <f t="shared" si="20"/>
        <v>1106056.9152997404</v>
      </c>
    </row>
    <row r="169" spans="1:7" x14ac:dyDescent="0.2">
      <c r="A169">
        <f t="shared" si="15"/>
        <v>13</v>
      </c>
      <c r="B169">
        <v>154</v>
      </c>
      <c r="C169" s="98">
        <f t="shared" si="17"/>
        <v>1106056.9152997404</v>
      </c>
      <c r="D169" s="98">
        <f t="shared" si="18"/>
        <v>4608.5704804155857</v>
      </c>
      <c r="E169" s="98">
        <f t="shared" si="19"/>
        <v>3376.6511618899826</v>
      </c>
      <c r="F169" s="98">
        <f t="shared" si="16"/>
        <v>7985.2216423055688</v>
      </c>
      <c r="G169" s="98">
        <f t="shared" si="20"/>
        <v>1102680.2641378504</v>
      </c>
    </row>
    <row r="170" spans="1:7" x14ac:dyDescent="0.2">
      <c r="A170">
        <f t="shared" si="15"/>
        <v>13</v>
      </c>
      <c r="B170">
        <v>155</v>
      </c>
      <c r="C170" s="98">
        <f t="shared" si="17"/>
        <v>1102680.2641378504</v>
      </c>
      <c r="D170" s="98">
        <f t="shared" si="18"/>
        <v>4594.5011005743772</v>
      </c>
      <c r="E170" s="98">
        <f t="shared" si="19"/>
        <v>3390.7205417311911</v>
      </c>
      <c r="F170" s="98">
        <f t="shared" si="16"/>
        <v>7985.2216423055688</v>
      </c>
      <c r="G170" s="98">
        <f t="shared" si="20"/>
        <v>1099289.5435961192</v>
      </c>
    </row>
    <row r="171" spans="1:7" x14ac:dyDescent="0.2">
      <c r="A171">
        <f t="shared" si="15"/>
        <v>13</v>
      </c>
      <c r="B171">
        <v>156</v>
      </c>
      <c r="C171" s="98">
        <f t="shared" si="17"/>
        <v>1099289.5435961192</v>
      </c>
      <c r="D171" s="98">
        <f t="shared" si="18"/>
        <v>4580.3730983171654</v>
      </c>
      <c r="E171" s="98">
        <f t="shared" si="19"/>
        <v>3404.8485439884039</v>
      </c>
      <c r="F171" s="98">
        <f t="shared" si="16"/>
        <v>7985.2216423055688</v>
      </c>
      <c r="G171" s="98">
        <f t="shared" si="20"/>
        <v>1095884.6950521308</v>
      </c>
    </row>
    <row r="172" spans="1:7" x14ac:dyDescent="0.2">
      <c r="A172">
        <f t="shared" si="15"/>
        <v>14</v>
      </c>
      <c r="B172">
        <v>157</v>
      </c>
      <c r="C172" s="98">
        <f t="shared" si="17"/>
        <v>1095884.6950521308</v>
      </c>
      <c r="D172" s="98">
        <f t="shared" si="18"/>
        <v>4566.1862293838794</v>
      </c>
      <c r="E172" s="98">
        <f t="shared" si="19"/>
        <v>3419.0354129216889</v>
      </c>
      <c r="F172" s="98">
        <f t="shared" si="16"/>
        <v>7985.2216423055688</v>
      </c>
      <c r="G172" s="98">
        <f t="shared" si="20"/>
        <v>1092465.659639209</v>
      </c>
    </row>
    <row r="173" spans="1:7" x14ac:dyDescent="0.2">
      <c r="A173">
        <f t="shared" si="15"/>
        <v>14</v>
      </c>
      <c r="B173">
        <v>158</v>
      </c>
      <c r="C173" s="98">
        <f t="shared" si="17"/>
        <v>1092465.659639209</v>
      </c>
      <c r="D173" s="98">
        <f t="shared" si="18"/>
        <v>4551.9402484967059</v>
      </c>
      <c r="E173" s="98">
        <f t="shared" si="19"/>
        <v>3433.2813938088625</v>
      </c>
      <c r="F173" s="98">
        <f t="shared" si="16"/>
        <v>7985.2216423055688</v>
      </c>
      <c r="G173" s="98">
        <f t="shared" si="20"/>
        <v>1089032.3782454003</v>
      </c>
    </row>
    <row r="174" spans="1:7" x14ac:dyDescent="0.2">
      <c r="A174">
        <f t="shared" si="15"/>
        <v>14</v>
      </c>
      <c r="B174">
        <v>159</v>
      </c>
      <c r="C174" s="98">
        <f t="shared" si="17"/>
        <v>1089032.3782454003</v>
      </c>
      <c r="D174" s="98">
        <f t="shared" si="18"/>
        <v>4537.6349093558356</v>
      </c>
      <c r="E174" s="98">
        <f t="shared" si="19"/>
        <v>3447.5867329497332</v>
      </c>
      <c r="F174" s="98">
        <f t="shared" si="16"/>
        <v>7985.2216423055688</v>
      </c>
      <c r="G174" s="98">
        <f t="shared" si="20"/>
        <v>1085584.7915124504</v>
      </c>
    </row>
    <row r="175" spans="1:7" x14ac:dyDescent="0.2">
      <c r="A175">
        <f t="shared" si="15"/>
        <v>14</v>
      </c>
      <c r="B175">
        <v>160</v>
      </c>
      <c r="C175" s="98">
        <f t="shared" si="17"/>
        <v>1085584.7915124504</v>
      </c>
      <c r="D175" s="98">
        <f t="shared" si="18"/>
        <v>4523.2699646352121</v>
      </c>
      <c r="E175" s="98">
        <f t="shared" si="19"/>
        <v>3461.9516776703567</v>
      </c>
      <c r="F175" s="98">
        <f t="shared" si="16"/>
        <v>7985.2216423055688</v>
      </c>
      <c r="G175" s="98">
        <f t="shared" si="20"/>
        <v>1082122.83983478</v>
      </c>
    </row>
    <row r="176" spans="1:7" x14ac:dyDescent="0.2">
      <c r="A176">
        <f t="shared" si="15"/>
        <v>14</v>
      </c>
      <c r="B176">
        <v>161</v>
      </c>
      <c r="C176" s="98">
        <f t="shared" si="17"/>
        <v>1082122.83983478</v>
      </c>
      <c r="D176" s="98">
        <f t="shared" si="18"/>
        <v>4508.8451659782531</v>
      </c>
      <c r="E176" s="98">
        <f t="shared" si="19"/>
        <v>3476.3764763273166</v>
      </c>
      <c r="F176" s="98">
        <f t="shared" si="16"/>
        <v>7985.2216423055688</v>
      </c>
      <c r="G176" s="98">
        <f t="shared" si="20"/>
        <v>1078646.4633584525</v>
      </c>
    </row>
    <row r="177" spans="1:7" x14ac:dyDescent="0.2">
      <c r="A177">
        <f t="shared" si="15"/>
        <v>14</v>
      </c>
      <c r="B177">
        <v>162</v>
      </c>
      <c r="C177" s="98">
        <f t="shared" si="17"/>
        <v>1078646.4633584525</v>
      </c>
      <c r="D177" s="98">
        <f t="shared" si="18"/>
        <v>4494.3602639935552</v>
      </c>
      <c r="E177" s="98">
        <f t="shared" si="19"/>
        <v>3490.861378312014</v>
      </c>
      <c r="F177" s="98">
        <f t="shared" si="16"/>
        <v>7985.2216423055688</v>
      </c>
      <c r="G177" s="98">
        <f t="shared" si="20"/>
        <v>1075155.6019801404</v>
      </c>
    </row>
    <row r="178" spans="1:7" x14ac:dyDescent="0.2">
      <c r="A178">
        <f t="shared" si="15"/>
        <v>14</v>
      </c>
      <c r="B178">
        <v>163</v>
      </c>
      <c r="C178" s="98">
        <f t="shared" si="17"/>
        <v>1075155.6019801404</v>
      </c>
      <c r="D178" s="98">
        <f t="shared" si="18"/>
        <v>4479.8150082505881</v>
      </c>
      <c r="E178" s="98">
        <f t="shared" si="19"/>
        <v>3505.4066340549812</v>
      </c>
      <c r="F178" s="98">
        <f t="shared" si="16"/>
        <v>7985.2216423055688</v>
      </c>
      <c r="G178" s="98">
        <f t="shared" si="20"/>
        <v>1071650.1953460854</v>
      </c>
    </row>
    <row r="179" spans="1:7" x14ac:dyDescent="0.2">
      <c r="A179">
        <f t="shared" si="15"/>
        <v>14</v>
      </c>
      <c r="B179">
        <v>164</v>
      </c>
      <c r="C179" s="98">
        <f t="shared" si="17"/>
        <v>1071650.1953460854</v>
      </c>
      <c r="D179" s="98">
        <f t="shared" si="18"/>
        <v>4465.2091472753591</v>
      </c>
      <c r="E179" s="98">
        <f t="shared" si="19"/>
        <v>3520.0124950302102</v>
      </c>
      <c r="F179" s="98">
        <f t="shared" si="16"/>
        <v>7985.2216423055688</v>
      </c>
      <c r="G179" s="98">
        <f t="shared" si="20"/>
        <v>1068130.1828510552</v>
      </c>
    </row>
    <row r="180" spans="1:7" x14ac:dyDescent="0.2">
      <c r="A180">
        <f t="shared" si="15"/>
        <v>14</v>
      </c>
      <c r="B180">
        <v>165</v>
      </c>
      <c r="C180" s="98">
        <f t="shared" si="17"/>
        <v>1068130.1828510552</v>
      </c>
      <c r="D180" s="98">
        <f t="shared" si="18"/>
        <v>4450.5424285460658</v>
      </c>
      <c r="E180" s="98">
        <f t="shared" si="19"/>
        <v>3534.6792137595025</v>
      </c>
      <c r="F180" s="98">
        <f t="shared" si="16"/>
        <v>7985.2216423055688</v>
      </c>
      <c r="G180" s="98">
        <f t="shared" si="20"/>
        <v>1064595.5036372957</v>
      </c>
    </row>
    <row r="181" spans="1:7" x14ac:dyDescent="0.2">
      <c r="A181">
        <f t="shared" si="15"/>
        <v>14</v>
      </c>
      <c r="B181">
        <v>166</v>
      </c>
      <c r="C181" s="98">
        <f t="shared" si="17"/>
        <v>1064595.5036372957</v>
      </c>
      <c r="D181" s="98">
        <f t="shared" si="18"/>
        <v>4435.8145984887351</v>
      </c>
      <c r="E181" s="98">
        <f t="shared" si="19"/>
        <v>3549.4070438168337</v>
      </c>
      <c r="F181" s="98">
        <f t="shared" si="16"/>
        <v>7985.2216423055688</v>
      </c>
      <c r="G181" s="98">
        <f t="shared" si="20"/>
        <v>1061046.0965934789</v>
      </c>
    </row>
    <row r="182" spans="1:7" x14ac:dyDescent="0.2">
      <c r="A182">
        <f t="shared" si="15"/>
        <v>14</v>
      </c>
      <c r="B182">
        <v>167</v>
      </c>
      <c r="C182" s="98">
        <f t="shared" si="17"/>
        <v>1061046.0965934789</v>
      </c>
      <c r="D182" s="98">
        <f t="shared" si="18"/>
        <v>4421.025402472832</v>
      </c>
      <c r="E182" s="98">
        <f t="shared" si="19"/>
        <v>3564.1962398327369</v>
      </c>
      <c r="F182" s="98">
        <f t="shared" si="16"/>
        <v>7985.2216423055688</v>
      </c>
      <c r="G182" s="98">
        <f t="shared" si="20"/>
        <v>1057481.9003536461</v>
      </c>
    </row>
    <row r="183" spans="1:7" x14ac:dyDescent="0.2">
      <c r="A183">
        <f t="shared" si="15"/>
        <v>14</v>
      </c>
      <c r="B183">
        <v>168</v>
      </c>
      <c r="C183" s="98">
        <f t="shared" si="17"/>
        <v>1057481.9003536461</v>
      </c>
      <c r="D183" s="98">
        <f t="shared" si="18"/>
        <v>4406.1745848068631</v>
      </c>
      <c r="E183" s="98">
        <f t="shared" si="19"/>
        <v>3579.0470574987066</v>
      </c>
      <c r="F183" s="98">
        <f t="shared" si="16"/>
        <v>7985.2216423055688</v>
      </c>
      <c r="G183" s="98">
        <f t="shared" si="20"/>
        <v>1053902.8532961474</v>
      </c>
    </row>
    <row r="184" spans="1:7" x14ac:dyDescent="0.2">
      <c r="A184">
        <f t="shared" si="15"/>
        <v>15</v>
      </c>
      <c r="B184">
        <v>169</v>
      </c>
      <c r="C184" s="98">
        <f t="shared" si="17"/>
        <v>1053902.8532961474</v>
      </c>
      <c r="D184" s="98">
        <f t="shared" si="18"/>
        <v>4391.2618887339504</v>
      </c>
      <c r="E184" s="98">
        <f t="shared" si="19"/>
        <v>3593.959753571618</v>
      </c>
      <c r="F184" s="98">
        <f t="shared" si="16"/>
        <v>7985.2216423055688</v>
      </c>
      <c r="G184" s="98">
        <f t="shared" si="20"/>
        <v>1050308.8935425759</v>
      </c>
    </row>
    <row r="185" spans="1:7" x14ac:dyDescent="0.2">
      <c r="A185">
        <f t="shared" si="15"/>
        <v>15</v>
      </c>
      <c r="B185">
        <v>170</v>
      </c>
      <c r="C185" s="98">
        <f t="shared" si="17"/>
        <v>1050308.8935425759</v>
      </c>
      <c r="D185" s="98">
        <f t="shared" si="18"/>
        <v>4376.2870564274026</v>
      </c>
      <c r="E185" s="98">
        <f t="shared" si="19"/>
        <v>3608.9345858781667</v>
      </c>
      <c r="F185" s="98">
        <f t="shared" si="16"/>
        <v>7985.2216423055688</v>
      </c>
      <c r="G185" s="98">
        <f t="shared" si="20"/>
        <v>1046699.9589566977</v>
      </c>
    </row>
    <row r="186" spans="1:7" x14ac:dyDescent="0.2">
      <c r="A186">
        <f t="shared" si="15"/>
        <v>15</v>
      </c>
      <c r="B186">
        <v>171</v>
      </c>
      <c r="C186" s="98">
        <f t="shared" si="17"/>
        <v>1046699.9589566977</v>
      </c>
      <c r="D186" s="98">
        <f t="shared" si="18"/>
        <v>4361.2498289862433</v>
      </c>
      <c r="E186" s="98">
        <f t="shared" si="19"/>
        <v>3623.9718133193255</v>
      </c>
      <c r="F186" s="98">
        <f t="shared" si="16"/>
        <v>7985.2216423055688</v>
      </c>
      <c r="G186" s="98">
        <f t="shared" si="20"/>
        <v>1043075.9871433784</v>
      </c>
    </row>
    <row r="187" spans="1:7" x14ac:dyDescent="0.2">
      <c r="A187">
        <f t="shared" si="15"/>
        <v>15</v>
      </c>
      <c r="B187">
        <v>172</v>
      </c>
      <c r="C187" s="98">
        <f t="shared" si="17"/>
        <v>1043075.9871433784</v>
      </c>
      <c r="D187" s="98">
        <f t="shared" si="18"/>
        <v>4346.1499464307462</v>
      </c>
      <c r="E187" s="98">
        <f t="shared" si="19"/>
        <v>3639.0716958748226</v>
      </c>
      <c r="F187" s="98">
        <f t="shared" si="16"/>
        <v>7985.2216423055688</v>
      </c>
      <c r="G187" s="98">
        <f t="shared" si="20"/>
        <v>1039436.9154475036</v>
      </c>
    </row>
    <row r="188" spans="1:7" x14ac:dyDescent="0.2">
      <c r="A188">
        <f t="shared" si="15"/>
        <v>15</v>
      </c>
      <c r="B188">
        <v>173</v>
      </c>
      <c r="C188" s="98">
        <f t="shared" si="17"/>
        <v>1039436.9154475036</v>
      </c>
      <c r="D188" s="98">
        <f t="shared" si="18"/>
        <v>4330.9871476979342</v>
      </c>
      <c r="E188" s="98">
        <f t="shared" si="19"/>
        <v>3654.2344946076346</v>
      </c>
      <c r="F188" s="98">
        <f t="shared" si="16"/>
        <v>7985.2216423055688</v>
      </c>
      <c r="G188" s="98">
        <f t="shared" si="20"/>
        <v>1035782.6809528959</v>
      </c>
    </row>
    <row r="189" spans="1:7" x14ac:dyDescent="0.2">
      <c r="A189">
        <f t="shared" si="15"/>
        <v>15</v>
      </c>
      <c r="B189">
        <v>174</v>
      </c>
      <c r="C189" s="98">
        <f t="shared" si="17"/>
        <v>1035782.6809528959</v>
      </c>
      <c r="D189" s="98">
        <f t="shared" si="18"/>
        <v>4315.7611706370699</v>
      </c>
      <c r="E189" s="98">
        <f t="shared" si="19"/>
        <v>3669.4604716684994</v>
      </c>
      <c r="F189" s="98">
        <f t="shared" si="16"/>
        <v>7985.2216423055688</v>
      </c>
      <c r="G189" s="98">
        <f t="shared" si="20"/>
        <v>1032113.2204812274</v>
      </c>
    </row>
    <row r="190" spans="1:7" x14ac:dyDescent="0.2">
      <c r="A190">
        <f t="shared" si="15"/>
        <v>15</v>
      </c>
      <c r="B190">
        <v>175</v>
      </c>
      <c r="C190" s="98">
        <f t="shared" si="17"/>
        <v>1032113.2204812274</v>
      </c>
      <c r="D190" s="98">
        <f t="shared" si="18"/>
        <v>4300.4717520051172</v>
      </c>
      <c r="E190" s="98">
        <f t="shared" si="19"/>
        <v>3684.7498903004516</v>
      </c>
      <c r="F190" s="98">
        <f t="shared" si="16"/>
        <v>7985.2216423055688</v>
      </c>
      <c r="G190" s="98">
        <f t="shared" si="20"/>
        <v>1028428.4705909269</v>
      </c>
    </row>
    <row r="191" spans="1:7" x14ac:dyDescent="0.2">
      <c r="A191">
        <f t="shared" si="15"/>
        <v>15</v>
      </c>
      <c r="B191">
        <v>176</v>
      </c>
      <c r="C191" s="98">
        <f t="shared" si="17"/>
        <v>1028428.4705909269</v>
      </c>
      <c r="D191" s="98">
        <f t="shared" si="18"/>
        <v>4285.1186274621987</v>
      </c>
      <c r="E191" s="98">
        <f t="shared" si="19"/>
        <v>3700.1030148433706</v>
      </c>
      <c r="F191" s="98">
        <f t="shared" si="16"/>
        <v>7985.2216423055688</v>
      </c>
      <c r="G191" s="98">
        <f t="shared" si="20"/>
        <v>1024728.3675760835</v>
      </c>
    </row>
    <row r="192" spans="1:7" x14ac:dyDescent="0.2">
      <c r="A192">
        <f t="shared" si="15"/>
        <v>15</v>
      </c>
      <c r="B192">
        <v>177</v>
      </c>
      <c r="C192" s="98">
        <f t="shared" si="17"/>
        <v>1024728.3675760835</v>
      </c>
      <c r="D192" s="98">
        <f t="shared" si="18"/>
        <v>4269.7015315670187</v>
      </c>
      <c r="E192" s="98">
        <f t="shared" si="19"/>
        <v>3715.520110738551</v>
      </c>
      <c r="F192" s="98">
        <f t="shared" si="16"/>
        <v>7985.2216423055688</v>
      </c>
      <c r="G192" s="98">
        <f t="shared" si="20"/>
        <v>1021012.8474653449</v>
      </c>
    </row>
    <row r="193" spans="1:7" x14ac:dyDescent="0.2">
      <c r="A193">
        <f t="shared" si="15"/>
        <v>15</v>
      </c>
      <c r="B193">
        <v>178</v>
      </c>
      <c r="C193" s="98">
        <f t="shared" si="17"/>
        <v>1021012.8474653449</v>
      </c>
      <c r="D193" s="98">
        <f t="shared" si="18"/>
        <v>4254.2201977722743</v>
      </c>
      <c r="E193" s="98">
        <f t="shared" si="19"/>
        <v>3731.0014445332949</v>
      </c>
      <c r="F193" s="98">
        <f t="shared" si="16"/>
        <v>7985.2216423055688</v>
      </c>
      <c r="G193" s="98">
        <f t="shared" si="20"/>
        <v>1017281.8460208116</v>
      </c>
    </row>
    <row r="194" spans="1:7" x14ac:dyDescent="0.2">
      <c r="A194">
        <f t="shared" si="15"/>
        <v>15</v>
      </c>
      <c r="B194">
        <v>179</v>
      </c>
      <c r="C194" s="98">
        <f t="shared" si="17"/>
        <v>1017281.8460208116</v>
      </c>
      <c r="D194" s="98">
        <f t="shared" si="18"/>
        <v>4238.6743584200512</v>
      </c>
      <c r="E194" s="98">
        <f t="shared" si="19"/>
        <v>3746.5472838855171</v>
      </c>
      <c r="F194" s="98">
        <f t="shared" si="16"/>
        <v>7985.2216423055688</v>
      </c>
      <c r="G194" s="98">
        <f t="shared" si="20"/>
        <v>1013535.2987369261</v>
      </c>
    </row>
    <row r="195" spans="1:7" x14ac:dyDescent="0.2">
      <c r="A195">
        <f t="shared" si="15"/>
        <v>15</v>
      </c>
      <c r="B195">
        <v>180</v>
      </c>
      <c r="C195" s="98">
        <f t="shared" si="17"/>
        <v>1013535.2987369261</v>
      </c>
      <c r="D195" s="98">
        <f t="shared" si="18"/>
        <v>4223.0637447371955</v>
      </c>
      <c r="E195" s="98">
        <f t="shared" si="19"/>
        <v>3762.1578975683733</v>
      </c>
      <c r="F195" s="98">
        <f t="shared" si="16"/>
        <v>7985.2216423055688</v>
      </c>
      <c r="G195" s="98">
        <f t="shared" si="20"/>
        <v>1009773.1408393576</v>
      </c>
    </row>
    <row r="196" spans="1:7" x14ac:dyDescent="0.2">
      <c r="A196">
        <f t="shared" si="15"/>
        <v>16</v>
      </c>
      <c r="B196">
        <v>181</v>
      </c>
      <c r="C196" s="98">
        <f t="shared" si="17"/>
        <v>1009773.1408393576</v>
      </c>
      <c r="D196" s="98">
        <f t="shared" si="18"/>
        <v>4207.3880868306615</v>
      </c>
      <c r="E196" s="98">
        <f t="shared" si="19"/>
        <v>3777.8335554749078</v>
      </c>
      <c r="F196" s="98">
        <f t="shared" si="16"/>
        <v>7985.2216423055688</v>
      </c>
      <c r="G196" s="98">
        <f t="shared" si="20"/>
        <v>1005995.3072838828</v>
      </c>
    </row>
    <row r="197" spans="1:7" x14ac:dyDescent="0.2">
      <c r="A197">
        <f t="shared" si="15"/>
        <v>16</v>
      </c>
      <c r="B197">
        <v>182</v>
      </c>
      <c r="C197" s="98">
        <f t="shared" si="17"/>
        <v>1005995.3072838828</v>
      </c>
      <c r="D197" s="98">
        <f t="shared" si="18"/>
        <v>4191.6471136828486</v>
      </c>
      <c r="E197" s="98">
        <f t="shared" si="19"/>
        <v>3793.5745286227202</v>
      </c>
      <c r="F197" s="98">
        <f t="shared" si="16"/>
        <v>7985.2216423055688</v>
      </c>
      <c r="G197" s="98">
        <f t="shared" si="20"/>
        <v>1002201.7327552601</v>
      </c>
    </row>
    <row r="198" spans="1:7" x14ac:dyDescent="0.2">
      <c r="A198">
        <f t="shared" si="15"/>
        <v>16</v>
      </c>
      <c r="B198">
        <v>183</v>
      </c>
      <c r="C198" s="98">
        <f t="shared" si="17"/>
        <v>1002201.7327552601</v>
      </c>
      <c r="D198" s="98">
        <f t="shared" si="18"/>
        <v>4175.8405531469207</v>
      </c>
      <c r="E198" s="98">
        <f t="shared" si="19"/>
        <v>3809.3810891586481</v>
      </c>
      <c r="F198" s="98">
        <f t="shared" si="16"/>
        <v>7985.2216423055688</v>
      </c>
      <c r="G198" s="98">
        <f t="shared" si="20"/>
        <v>998392.35166610137</v>
      </c>
    </row>
    <row r="199" spans="1:7" x14ac:dyDescent="0.2">
      <c r="A199">
        <f t="shared" si="15"/>
        <v>16</v>
      </c>
      <c r="B199">
        <v>184</v>
      </c>
      <c r="C199" s="98">
        <f t="shared" si="17"/>
        <v>998392.35166610137</v>
      </c>
      <c r="D199" s="98">
        <f t="shared" si="18"/>
        <v>4159.9681319420943</v>
      </c>
      <c r="E199" s="98">
        <f t="shared" si="19"/>
        <v>3825.2535103634755</v>
      </c>
      <c r="F199" s="98">
        <f t="shared" si="16"/>
        <v>7985.2216423055688</v>
      </c>
      <c r="G199" s="98">
        <f t="shared" si="20"/>
        <v>994567.09815573785</v>
      </c>
    </row>
    <row r="200" spans="1:7" x14ac:dyDescent="0.2">
      <c r="A200">
        <f t="shared" si="15"/>
        <v>16</v>
      </c>
      <c r="B200">
        <v>185</v>
      </c>
      <c r="C200" s="98">
        <f t="shared" si="17"/>
        <v>994567.09815573785</v>
      </c>
      <c r="D200" s="98">
        <f t="shared" si="18"/>
        <v>4144.0295756489122</v>
      </c>
      <c r="E200" s="98">
        <f t="shared" si="19"/>
        <v>3841.1920666566571</v>
      </c>
      <c r="F200" s="98">
        <f t="shared" si="16"/>
        <v>7985.2216423055688</v>
      </c>
      <c r="G200" s="98">
        <f t="shared" si="20"/>
        <v>990725.9060890812</v>
      </c>
    </row>
    <row r="201" spans="1:7" x14ac:dyDescent="0.2">
      <c r="A201">
        <f t="shared" si="15"/>
        <v>16</v>
      </c>
      <c r="B201">
        <v>186</v>
      </c>
      <c r="C201" s="98">
        <f t="shared" si="17"/>
        <v>990725.9060890812</v>
      </c>
      <c r="D201" s="98">
        <f t="shared" si="18"/>
        <v>4128.0246087045089</v>
      </c>
      <c r="E201" s="98">
        <f t="shared" si="19"/>
        <v>3857.1970336010595</v>
      </c>
      <c r="F201" s="98">
        <f t="shared" si="16"/>
        <v>7985.2216423055688</v>
      </c>
      <c r="G201" s="98">
        <f t="shared" si="20"/>
        <v>986868.70905548008</v>
      </c>
    </row>
    <row r="202" spans="1:7" x14ac:dyDescent="0.2">
      <c r="A202">
        <f t="shared" si="15"/>
        <v>16</v>
      </c>
      <c r="B202">
        <v>187</v>
      </c>
      <c r="C202" s="98">
        <f t="shared" si="17"/>
        <v>986868.70905548008</v>
      </c>
      <c r="D202" s="98">
        <f t="shared" si="18"/>
        <v>4111.9529543978379</v>
      </c>
      <c r="E202" s="98">
        <f t="shared" si="19"/>
        <v>3873.268687907731</v>
      </c>
      <c r="F202" s="98">
        <f t="shared" si="16"/>
        <v>7985.2216423055688</v>
      </c>
      <c r="G202" s="98">
        <f t="shared" si="20"/>
        <v>982995.44036757236</v>
      </c>
    </row>
    <row r="203" spans="1:7" x14ac:dyDescent="0.2">
      <c r="A203">
        <f t="shared" si="15"/>
        <v>16</v>
      </c>
      <c r="B203">
        <v>188</v>
      </c>
      <c r="C203" s="98">
        <f t="shared" si="17"/>
        <v>982995.44036757236</v>
      </c>
      <c r="D203" s="98">
        <f t="shared" si="18"/>
        <v>4095.81433486489</v>
      </c>
      <c r="E203" s="98">
        <f t="shared" si="19"/>
        <v>3889.4073074406792</v>
      </c>
      <c r="F203" s="98">
        <f t="shared" si="16"/>
        <v>7985.2216423055688</v>
      </c>
      <c r="G203" s="98">
        <f t="shared" si="20"/>
        <v>979106.03306013171</v>
      </c>
    </row>
    <row r="204" spans="1:7" x14ac:dyDescent="0.2">
      <c r="A204">
        <f t="shared" si="15"/>
        <v>16</v>
      </c>
      <c r="B204">
        <v>189</v>
      </c>
      <c r="C204" s="98">
        <f t="shared" si="17"/>
        <v>979106.03306013171</v>
      </c>
      <c r="D204" s="98">
        <f t="shared" si="18"/>
        <v>4079.6084710838868</v>
      </c>
      <c r="E204" s="98">
        <f t="shared" si="19"/>
        <v>3905.6131712216825</v>
      </c>
      <c r="F204" s="98">
        <f t="shared" si="16"/>
        <v>7985.2216423055688</v>
      </c>
      <c r="G204" s="98">
        <f t="shared" si="20"/>
        <v>975200.41988891002</v>
      </c>
    </row>
    <row r="205" spans="1:7" x14ac:dyDescent="0.2">
      <c r="A205">
        <f t="shared" si="15"/>
        <v>16</v>
      </c>
      <c r="B205">
        <v>190</v>
      </c>
      <c r="C205" s="98">
        <f t="shared" si="17"/>
        <v>975200.41988891002</v>
      </c>
      <c r="D205" s="98">
        <f t="shared" si="18"/>
        <v>4063.3350828704633</v>
      </c>
      <c r="E205" s="98">
        <f t="shared" si="19"/>
        <v>3921.8865594351064</v>
      </c>
      <c r="F205" s="98">
        <f t="shared" si="16"/>
        <v>7985.2216423055688</v>
      </c>
      <c r="G205" s="98">
        <f t="shared" si="20"/>
        <v>971278.53332947497</v>
      </c>
    </row>
    <row r="206" spans="1:7" x14ac:dyDescent="0.2">
      <c r="A206">
        <f t="shared" si="15"/>
        <v>16</v>
      </c>
      <c r="B206">
        <v>191</v>
      </c>
      <c r="C206" s="98">
        <f t="shared" si="17"/>
        <v>971278.53332947497</v>
      </c>
      <c r="D206" s="98">
        <f t="shared" si="18"/>
        <v>4046.9938888728161</v>
      </c>
      <c r="E206" s="98">
        <f t="shared" si="19"/>
        <v>3938.2277534327523</v>
      </c>
      <c r="F206" s="98">
        <f t="shared" si="16"/>
        <v>7985.2216423055688</v>
      </c>
      <c r="G206" s="98">
        <f t="shared" si="20"/>
        <v>967340.30557604227</v>
      </c>
    </row>
    <row r="207" spans="1:7" x14ac:dyDescent="0.2">
      <c r="A207">
        <f t="shared" si="15"/>
        <v>16</v>
      </c>
      <c r="B207">
        <v>192</v>
      </c>
      <c r="C207" s="98">
        <f t="shared" si="17"/>
        <v>967340.30557604227</v>
      </c>
      <c r="D207" s="98">
        <f t="shared" si="18"/>
        <v>4030.5846065668461</v>
      </c>
      <c r="E207" s="98">
        <f t="shared" si="19"/>
        <v>3954.6370357387223</v>
      </c>
      <c r="F207" s="98">
        <f t="shared" si="16"/>
        <v>7985.2216423055688</v>
      </c>
      <c r="G207" s="98">
        <f t="shared" si="20"/>
        <v>963385.6685403036</v>
      </c>
    </row>
    <row r="208" spans="1:7" x14ac:dyDescent="0.2">
      <c r="A208">
        <f t="shared" si="15"/>
        <v>17</v>
      </c>
      <c r="B208">
        <v>193</v>
      </c>
      <c r="C208" s="98">
        <f t="shared" si="17"/>
        <v>963385.6685403036</v>
      </c>
      <c r="D208" s="98">
        <f t="shared" si="18"/>
        <v>4014.1069522512685</v>
      </c>
      <c r="E208" s="98">
        <f t="shared" si="19"/>
        <v>3971.1146900543004</v>
      </c>
      <c r="F208" s="98">
        <f t="shared" si="16"/>
        <v>7985.2216423055688</v>
      </c>
      <c r="G208" s="98">
        <f t="shared" si="20"/>
        <v>959414.55385024927</v>
      </c>
    </row>
    <row r="209" spans="1:7" x14ac:dyDescent="0.2">
      <c r="A209">
        <f t="shared" ref="A209:A272" si="21">ROUNDUP(B209/12,0)</f>
        <v>17</v>
      </c>
      <c r="B209">
        <v>194</v>
      </c>
      <c r="C209" s="98">
        <f t="shared" si="17"/>
        <v>959414.55385024927</v>
      </c>
      <c r="D209" s="98">
        <f t="shared" si="18"/>
        <v>3997.5606410427094</v>
      </c>
      <c r="E209" s="98">
        <f t="shared" si="19"/>
        <v>3987.6610012628598</v>
      </c>
      <c r="F209" s="98">
        <f t="shared" ref="F209:F272" si="22">-PMT($B$9/12,$B$10*12,$B$7,$B$8,0)</f>
        <v>7985.2216423055688</v>
      </c>
      <c r="G209" s="98">
        <f t="shared" si="20"/>
        <v>955426.89284898643</v>
      </c>
    </row>
    <row r="210" spans="1:7" x14ac:dyDescent="0.2">
      <c r="A210">
        <f t="shared" si="21"/>
        <v>17</v>
      </c>
      <c r="B210">
        <v>195</v>
      </c>
      <c r="C210" s="98">
        <f t="shared" ref="C210:C273" si="23">G209</f>
        <v>955426.89284898643</v>
      </c>
      <c r="D210" s="98">
        <f t="shared" ref="D210:D273" si="24">-IPMT($B$9/12,$B210,$B$10*12,$B$7,$B$8,0)</f>
        <v>3980.9453868707806</v>
      </c>
      <c r="E210" s="98">
        <f t="shared" ref="E210:E273" si="25">-PPMT($B$9/12,$B210,$B$10*12,$B$7,$B$8,0)</f>
        <v>4004.2762554347883</v>
      </c>
      <c r="F210" s="98">
        <f t="shared" si="22"/>
        <v>7985.2216423055688</v>
      </c>
      <c r="G210" s="98">
        <f t="shared" ref="G210:G273" si="26">C210-E210</f>
        <v>951422.61659355159</v>
      </c>
    </row>
    <row r="211" spans="1:7" x14ac:dyDescent="0.2">
      <c r="A211">
        <f t="shared" si="21"/>
        <v>17</v>
      </c>
      <c r="B211">
        <v>196</v>
      </c>
      <c r="C211" s="98">
        <f t="shared" si="23"/>
        <v>951422.61659355159</v>
      </c>
      <c r="D211" s="98">
        <f t="shared" si="24"/>
        <v>3964.260902473135</v>
      </c>
      <c r="E211" s="98">
        <f t="shared" si="25"/>
        <v>4020.9607398324329</v>
      </c>
      <c r="F211" s="98">
        <f t="shared" si="22"/>
        <v>7985.2216423055688</v>
      </c>
      <c r="G211" s="98">
        <f t="shared" si="26"/>
        <v>947401.6558537191</v>
      </c>
    </row>
    <row r="212" spans="1:7" x14ac:dyDescent="0.2">
      <c r="A212">
        <f t="shared" si="21"/>
        <v>17</v>
      </c>
      <c r="B212">
        <v>197</v>
      </c>
      <c r="C212" s="98">
        <f t="shared" si="23"/>
        <v>947401.6558537191</v>
      </c>
      <c r="D212" s="98">
        <f t="shared" si="24"/>
        <v>3947.5068993905006</v>
      </c>
      <c r="E212" s="98">
        <f t="shared" si="25"/>
        <v>4037.7147429150687</v>
      </c>
      <c r="F212" s="98">
        <f t="shared" si="22"/>
        <v>7985.2216423055688</v>
      </c>
      <c r="G212" s="98">
        <f t="shared" si="26"/>
        <v>943363.94111080398</v>
      </c>
    </row>
    <row r="213" spans="1:7" x14ac:dyDescent="0.2">
      <c r="A213">
        <f t="shared" si="21"/>
        <v>17</v>
      </c>
      <c r="B213">
        <v>198</v>
      </c>
      <c r="C213" s="98">
        <f t="shared" si="23"/>
        <v>943363.94111080398</v>
      </c>
      <c r="D213" s="98">
        <f t="shared" si="24"/>
        <v>3930.6830879616887</v>
      </c>
      <c r="E213" s="98">
        <f t="shared" si="25"/>
        <v>4054.5385543438815</v>
      </c>
      <c r="F213" s="98">
        <f t="shared" si="22"/>
        <v>7985.2216423055688</v>
      </c>
      <c r="G213" s="98">
        <f t="shared" si="26"/>
        <v>939309.40255646012</v>
      </c>
    </row>
    <row r="214" spans="1:7" x14ac:dyDescent="0.2">
      <c r="A214">
        <f t="shared" si="21"/>
        <v>17</v>
      </c>
      <c r="B214">
        <v>199</v>
      </c>
      <c r="C214" s="98">
        <f t="shared" si="23"/>
        <v>939309.40255646012</v>
      </c>
      <c r="D214" s="98">
        <f t="shared" si="24"/>
        <v>3913.7891773185888</v>
      </c>
      <c r="E214" s="98">
        <f t="shared" si="25"/>
        <v>4071.4324649869814</v>
      </c>
      <c r="F214" s="98">
        <f t="shared" si="22"/>
        <v>7985.2216423055688</v>
      </c>
      <c r="G214" s="98">
        <f t="shared" si="26"/>
        <v>935237.97009147308</v>
      </c>
    </row>
    <row r="215" spans="1:7" x14ac:dyDescent="0.2">
      <c r="A215">
        <f t="shared" si="21"/>
        <v>17</v>
      </c>
      <c r="B215">
        <v>200</v>
      </c>
      <c r="C215" s="98">
        <f t="shared" si="23"/>
        <v>935237.97009147308</v>
      </c>
      <c r="D215" s="98">
        <f t="shared" si="24"/>
        <v>3896.8248753811426</v>
      </c>
      <c r="E215" s="98">
        <f t="shared" si="25"/>
        <v>4088.3967669244257</v>
      </c>
      <c r="F215" s="98">
        <f t="shared" si="22"/>
        <v>7985.2216423055688</v>
      </c>
      <c r="G215" s="98">
        <f t="shared" si="26"/>
        <v>931149.57332454866</v>
      </c>
    </row>
    <row r="216" spans="1:7" x14ac:dyDescent="0.2">
      <c r="A216">
        <f t="shared" si="21"/>
        <v>17</v>
      </c>
      <c r="B216">
        <v>201</v>
      </c>
      <c r="C216" s="98">
        <f t="shared" si="23"/>
        <v>931149.57332454866</v>
      </c>
      <c r="D216" s="98">
        <f t="shared" si="24"/>
        <v>3879.7898888522905</v>
      </c>
      <c r="E216" s="98">
        <f t="shared" si="25"/>
        <v>4105.4317534532793</v>
      </c>
      <c r="F216" s="98">
        <f t="shared" si="22"/>
        <v>7985.2216423055688</v>
      </c>
      <c r="G216" s="98">
        <f t="shared" si="26"/>
        <v>927044.14157109533</v>
      </c>
    </row>
    <row r="217" spans="1:7" x14ac:dyDescent="0.2">
      <c r="A217">
        <f t="shared" si="21"/>
        <v>17</v>
      </c>
      <c r="B217">
        <v>202</v>
      </c>
      <c r="C217" s="98">
        <f t="shared" si="23"/>
        <v>927044.14157109533</v>
      </c>
      <c r="D217" s="98">
        <f t="shared" si="24"/>
        <v>3862.6839232129018</v>
      </c>
      <c r="E217" s="98">
        <f t="shared" si="25"/>
        <v>4122.5377190926665</v>
      </c>
      <c r="F217" s="98">
        <f t="shared" si="22"/>
        <v>7985.2216423055688</v>
      </c>
      <c r="G217" s="98">
        <f t="shared" si="26"/>
        <v>922921.60385200265</v>
      </c>
    </row>
    <row r="218" spans="1:7" x14ac:dyDescent="0.2">
      <c r="A218">
        <f t="shared" si="21"/>
        <v>17</v>
      </c>
      <c r="B218">
        <v>203</v>
      </c>
      <c r="C218" s="98">
        <f t="shared" si="23"/>
        <v>922921.60385200265</v>
      </c>
      <c r="D218" s="98">
        <f t="shared" si="24"/>
        <v>3845.5066827166816</v>
      </c>
      <c r="E218" s="98">
        <f t="shared" si="25"/>
        <v>4139.7149595888868</v>
      </c>
      <c r="F218" s="98">
        <f t="shared" si="22"/>
        <v>7985.2216423055688</v>
      </c>
      <c r="G218" s="98">
        <f t="shared" si="26"/>
        <v>918781.88889241382</v>
      </c>
    </row>
    <row r="219" spans="1:7" x14ac:dyDescent="0.2">
      <c r="A219">
        <f t="shared" si="21"/>
        <v>17</v>
      </c>
      <c r="B219">
        <v>204</v>
      </c>
      <c r="C219" s="98">
        <f t="shared" si="23"/>
        <v>918781.88889241382</v>
      </c>
      <c r="D219" s="98">
        <f t="shared" si="24"/>
        <v>3828.2578703850613</v>
      </c>
      <c r="E219" s="98">
        <f t="shared" si="25"/>
        <v>4156.9637719205075</v>
      </c>
      <c r="F219" s="98">
        <f t="shared" si="22"/>
        <v>7985.2216423055688</v>
      </c>
      <c r="G219" s="98">
        <f t="shared" si="26"/>
        <v>914624.92512049328</v>
      </c>
    </row>
    <row r="220" spans="1:7" x14ac:dyDescent="0.2">
      <c r="A220">
        <f t="shared" si="21"/>
        <v>18</v>
      </c>
      <c r="B220">
        <v>205</v>
      </c>
      <c r="C220" s="98">
        <f t="shared" si="23"/>
        <v>914624.92512049328</v>
      </c>
      <c r="D220" s="98">
        <f t="shared" si="24"/>
        <v>3810.9371880020608</v>
      </c>
      <c r="E220" s="98">
        <f t="shared" si="25"/>
        <v>4174.2844543035089</v>
      </c>
      <c r="F220" s="98">
        <f t="shared" si="22"/>
        <v>7985.2216423055688</v>
      </c>
      <c r="G220" s="98">
        <f t="shared" si="26"/>
        <v>910450.64066618972</v>
      </c>
    </row>
    <row r="221" spans="1:7" x14ac:dyDescent="0.2">
      <c r="A221">
        <f t="shared" si="21"/>
        <v>18</v>
      </c>
      <c r="B221">
        <v>206</v>
      </c>
      <c r="C221" s="98">
        <f t="shared" si="23"/>
        <v>910450.64066618972</v>
      </c>
      <c r="D221" s="98">
        <f t="shared" si="24"/>
        <v>3793.5443361091288</v>
      </c>
      <c r="E221" s="98">
        <f t="shared" si="25"/>
        <v>4191.6773061964404</v>
      </c>
      <c r="F221" s="98">
        <f t="shared" si="22"/>
        <v>7985.2216423055688</v>
      </c>
      <c r="G221" s="98">
        <f t="shared" si="26"/>
        <v>906258.9633599933</v>
      </c>
    </row>
    <row r="222" spans="1:7" x14ac:dyDescent="0.2">
      <c r="A222">
        <f t="shared" si="21"/>
        <v>18</v>
      </c>
      <c r="B222">
        <v>207</v>
      </c>
      <c r="C222" s="98">
        <f t="shared" si="23"/>
        <v>906258.9633599933</v>
      </c>
      <c r="D222" s="98">
        <f t="shared" si="24"/>
        <v>3776.0790139999767</v>
      </c>
      <c r="E222" s="98">
        <f t="shared" si="25"/>
        <v>4209.1426283055916</v>
      </c>
      <c r="F222" s="98">
        <f t="shared" si="22"/>
        <v>7985.2216423055688</v>
      </c>
      <c r="G222" s="98">
        <f t="shared" si="26"/>
        <v>902049.82073168771</v>
      </c>
    </row>
    <row r="223" spans="1:7" x14ac:dyDescent="0.2">
      <c r="A223">
        <f t="shared" si="21"/>
        <v>18</v>
      </c>
      <c r="B223">
        <v>208</v>
      </c>
      <c r="C223" s="98">
        <f t="shared" si="23"/>
        <v>902049.82073168771</v>
      </c>
      <c r="D223" s="98">
        <f t="shared" si="24"/>
        <v>3758.5409197153708</v>
      </c>
      <c r="E223" s="98">
        <f t="shared" si="25"/>
        <v>4226.6807225901985</v>
      </c>
      <c r="F223" s="98">
        <f t="shared" si="22"/>
        <v>7985.2216423055688</v>
      </c>
      <c r="G223" s="98">
        <f t="shared" si="26"/>
        <v>897823.14000909752</v>
      </c>
    </row>
    <row r="224" spans="1:7" x14ac:dyDescent="0.2">
      <c r="A224">
        <f t="shared" si="21"/>
        <v>18</v>
      </c>
      <c r="B224">
        <v>209</v>
      </c>
      <c r="C224" s="98">
        <f t="shared" si="23"/>
        <v>897823.14000909752</v>
      </c>
      <c r="D224" s="98">
        <f t="shared" si="24"/>
        <v>3740.9297500379112</v>
      </c>
      <c r="E224" s="98">
        <f t="shared" si="25"/>
        <v>4244.2918922676581</v>
      </c>
      <c r="F224" s="98">
        <f t="shared" si="22"/>
        <v>7985.2216423055688</v>
      </c>
      <c r="G224" s="98">
        <f t="shared" si="26"/>
        <v>893578.84811682987</v>
      </c>
    </row>
    <row r="225" spans="1:7" x14ac:dyDescent="0.2">
      <c r="A225">
        <f t="shared" si="21"/>
        <v>18</v>
      </c>
      <c r="B225">
        <v>210</v>
      </c>
      <c r="C225" s="98">
        <f t="shared" si="23"/>
        <v>893578.84811682987</v>
      </c>
      <c r="D225" s="98">
        <f t="shared" si="24"/>
        <v>3723.2452004867955</v>
      </c>
      <c r="E225" s="98">
        <f t="shared" si="25"/>
        <v>4261.9764418187724</v>
      </c>
      <c r="F225" s="98">
        <f t="shared" si="22"/>
        <v>7985.2216423055688</v>
      </c>
      <c r="G225" s="98">
        <f t="shared" si="26"/>
        <v>889316.87167501112</v>
      </c>
    </row>
    <row r="226" spans="1:7" x14ac:dyDescent="0.2">
      <c r="A226">
        <f t="shared" si="21"/>
        <v>18</v>
      </c>
      <c r="B226">
        <v>211</v>
      </c>
      <c r="C226" s="98">
        <f t="shared" si="23"/>
        <v>889316.87167501112</v>
      </c>
      <c r="D226" s="98">
        <f t="shared" si="24"/>
        <v>3705.4869653125506</v>
      </c>
      <c r="E226" s="98">
        <f t="shared" si="25"/>
        <v>4279.7346769930173</v>
      </c>
      <c r="F226" s="98">
        <f t="shared" si="22"/>
        <v>7985.2216423055688</v>
      </c>
      <c r="G226" s="98">
        <f t="shared" si="26"/>
        <v>885037.13699801813</v>
      </c>
    </row>
    <row r="227" spans="1:7" x14ac:dyDescent="0.2">
      <c r="A227">
        <f t="shared" si="21"/>
        <v>18</v>
      </c>
      <c r="B227">
        <v>212</v>
      </c>
      <c r="C227" s="98">
        <f t="shared" si="23"/>
        <v>885037.13699801813</v>
      </c>
      <c r="D227" s="98">
        <f t="shared" si="24"/>
        <v>3687.6547374917463</v>
      </c>
      <c r="E227" s="98">
        <f t="shared" si="25"/>
        <v>4297.5669048138225</v>
      </c>
      <c r="F227" s="98">
        <f t="shared" si="22"/>
        <v>7985.2216423055688</v>
      </c>
      <c r="G227" s="98">
        <f t="shared" si="26"/>
        <v>880739.57009320427</v>
      </c>
    </row>
    <row r="228" spans="1:7" x14ac:dyDescent="0.2">
      <c r="A228">
        <f t="shared" si="21"/>
        <v>18</v>
      </c>
      <c r="B228">
        <v>213</v>
      </c>
      <c r="C228" s="98">
        <f t="shared" si="23"/>
        <v>880739.57009320427</v>
      </c>
      <c r="D228" s="98">
        <f t="shared" si="24"/>
        <v>3669.7482087216886</v>
      </c>
      <c r="E228" s="98">
        <f t="shared" si="25"/>
        <v>4315.4734335838793</v>
      </c>
      <c r="F228" s="98">
        <f t="shared" si="22"/>
        <v>7985.2216423055688</v>
      </c>
      <c r="G228" s="98">
        <f t="shared" si="26"/>
        <v>876424.09665962041</v>
      </c>
    </row>
    <row r="229" spans="1:7" x14ac:dyDescent="0.2">
      <c r="A229">
        <f t="shared" si="21"/>
        <v>18</v>
      </c>
      <c r="B229">
        <v>214</v>
      </c>
      <c r="C229" s="98">
        <f t="shared" si="23"/>
        <v>876424.09665962041</v>
      </c>
      <c r="D229" s="98">
        <f t="shared" si="24"/>
        <v>3651.7670694150897</v>
      </c>
      <c r="E229" s="98">
        <f t="shared" si="25"/>
        <v>4333.4545728904804</v>
      </c>
      <c r="F229" s="98">
        <f t="shared" si="22"/>
        <v>7985.2216423055688</v>
      </c>
      <c r="G229" s="98">
        <f t="shared" si="26"/>
        <v>872090.64208672987</v>
      </c>
    </row>
    <row r="230" spans="1:7" x14ac:dyDescent="0.2">
      <c r="A230">
        <f t="shared" si="21"/>
        <v>18</v>
      </c>
      <c r="B230">
        <v>215</v>
      </c>
      <c r="C230" s="98">
        <f t="shared" si="23"/>
        <v>872090.64208672987</v>
      </c>
      <c r="D230" s="98">
        <f t="shared" si="24"/>
        <v>3633.7110086947132</v>
      </c>
      <c r="E230" s="98">
        <f t="shared" si="25"/>
        <v>4351.5106336108565</v>
      </c>
      <c r="F230" s="98">
        <f t="shared" si="22"/>
        <v>7985.2216423055688</v>
      </c>
      <c r="G230" s="98">
        <f t="shared" si="26"/>
        <v>867739.13145311899</v>
      </c>
    </row>
    <row r="231" spans="1:7" x14ac:dyDescent="0.2">
      <c r="A231">
        <f t="shared" si="21"/>
        <v>18</v>
      </c>
      <c r="B231">
        <v>216</v>
      </c>
      <c r="C231" s="98">
        <f t="shared" si="23"/>
        <v>867739.13145311899</v>
      </c>
      <c r="D231" s="98">
        <f t="shared" si="24"/>
        <v>3615.5797143880004</v>
      </c>
      <c r="E231" s="98">
        <f t="shared" si="25"/>
        <v>4369.641927917567</v>
      </c>
      <c r="F231" s="98">
        <f t="shared" si="22"/>
        <v>7985.2216423055688</v>
      </c>
      <c r="G231" s="98">
        <f t="shared" si="26"/>
        <v>863369.48952520138</v>
      </c>
    </row>
    <row r="232" spans="1:7" x14ac:dyDescent="0.2">
      <c r="A232">
        <f t="shared" si="21"/>
        <v>19</v>
      </c>
      <c r="B232">
        <v>217</v>
      </c>
      <c r="C232" s="98">
        <f t="shared" si="23"/>
        <v>863369.48952520138</v>
      </c>
      <c r="D232" s="98">
        <f t="shared" si="24"/>
        <v>3597.3728730216776</v>
      </c>
      <c r="E232" s="98">
        <f t="shared" si="25"/>
        <v>4387.8487692838917</v>
      </c>
      <c r="F232" s="98">
        <f t="shared" si="22"/>
        <v>7985.2216423055688</v>
      </c>
      <c r="G232" s="98">
        <f t="shared" si="26"/>
        <v>858981.64075591753</v>
      </c>
    </row>
    <row r="233" spans="1:7" x14ac:dyDescent="0.2">
      <c r="A233">
        <f t="shared" si="21"/>
        <v>19</v>
      </c>
      <c r="B233">
        <v>218</v>
      </c>
      <c r="C233" s="98">
        <f t="shared" si="23"/>
        <v>858981.64075591753</v>
      </c>
      <c r="D233" s="98">
        <f t="shared" si="24"/>
        <v>3579.0901698163289</v>
      </c>
      <c r="E233" s="98">
        <f t="shared" si="25"/>
        <v>4406.1314724892418</v>
      </c>
      <c r="F233" s="98">
        <f t="shared" si="22"/>
        <v>7985.2216423055688</v>
      </c>
      <c r="G233" s="98">
        <f t="shared" si="26"/>
        <v>854575.50928342831</v>
      </c>
    </row>
    <row r="234" spans="1:7" x14ac:dyDescent="0.2">
      <c r="A234">
        <f t="shared" si="21"/>
        <v>19</v>
      </c>
      <c r="B234">
        <v>219</v>
      </c>
      <c r="C234" s="98">
        <f t="shared" si="23"/>
        <v>854575.50928342831</v>
      </c>
      <c r="D234" s="98">
        <f t="shared" si="24"/>
        <v>3560.7312886809555</v>
      </c>
      <c r="E234" s="98">
        <f t="shared" si="25"/>
        <v>4424.4903536246129</v>
      </c>
      <c r="F234" s="98">
        <f t="shared" si="22"/>
        <v>7985.2216423055688</v>
      </c>
      <c r="G234" s="98">
        <f t="shared" si="26"/>
        <v>850151.01892980374</v>
      </c>
    </row>
    <row r="235" spans="1:7" x14ac:dyDescent="0.2">
      <c r="A235">
        <f t="shared" si="21"/>
        <v>19</v>
      </c>
      <c r="B235">
        <v>220</v>
      </c>
      <c r="C235" s="98">
        <f t="shared" si="23"/>
        <v>850151.01892980374</v>
      </c>
      <c r="D235" s="98">
        <f t="shared" si="24"/>
        <v>3542.2959122075199</v>
      </c>
      <c r="E235" s="98">
        <f t="shared" si="25"/>
        <v>4442.9257300980489</v>
      </c>
      <c r="F235" s="98">
        <f t="shared" si="22"/>
        <v>7985.2216423055688</v>
      </c>
      <c r="G235" s="98">
        <f t="shared" si="26"/>
        <v>845708.09319970571</v>
      </c>
    </row>
    <row r="236" spans="1:7" x14ac:dyDescent="0.2">
      <c r="A236">
        <f t="shared" si="21"/>
        <v>19</v>
      </c>
      <c r="B236">
        <v>221</v>
      </c>
      <c r="C236" s="98">
        <f t="shared" si="23"/>
        <v>845708.09319970571</v>
      </c>
      <c r="D236" s="98">
        <f t="shared" si="24"/>
        <v>3523.7837216654448</v>
      </c>
      <c r="E236" s="98">
        <f t="shared" si="25"/>
        <v>4461.4379206401236</v>
      </c>
      <c r="F236" s="98">
        <f t="shared" si="22"/>
        <v>7985.2216423055688</v>
      </c>
      <c r="G236" s="98">
        <f t="shared" si="26"/>
        <v>841246.6552790656</v>
      </c>
    </row>
    <row r="237" spans="1:7" x14ac:dyDescent="0.2">
      <c r="A237">
        <f t="shared" si="21"/>
        <v>19</v>
      </c>
      <c r="B237">
        <v>222</v>
      </c>
      <c r="C237" s="98">
        <f t="shared" si="23"/>
        <v>841246.6552790656</v>
      </c>
      <c r="D237" s="98">
        <f t="shared" si="24"/>
        <v>3505.1943969961108</v>
      </c>
      <c r="E237" s="98">
        <f t="shared" si="25"/>
        <v>4480.0272453094567</v>
      </c>
      <c r="F237" s="98">
        <f t="shared" si="22"/>
        <v>7985.2216423055688</v>
      </c>
      <c r="G237" s="98">
        <f t="shared" si="26"/>
        <v>836766.62803375616</v>
      </c>
    </row>
    <row r="238" spans="1:7" x14ac:dyDescent="0.2">
      <c r="A238">
        <f t="shared" si="21"/>
        <v>19</v>
      </c>
      <c r="B238">
        <v>223</v>
      </c>
      <c r="C238" s="98">
        <f t="shared" si="23"/>
        <v>836766.62803375616</v>
      </c>
      <c r="D238" s="98">
        <f t="shared" si="24"/>
        <v>3486.5276168073219</v>
      </c>
      <c r="E238" s="98">
        <f t="shared" si="25"/>
        <v>4498.6940254982474</v>
      </c>
      <c r="F238" s="98">
        <f t="shared" si="22"/>
        <v>7985.2216423055688</v>
      </c>
      <c r="G238" s="98">
        <f t="shared" si="26"/>
        <v>832267.93400825793</v>
      </c>
    </row>
    <row r="239" spans="1:7" x14ac:dyDescent="0.2">
      <c r="A239">
        <f t="shared" si="21"/>
        <v>19</v>
      </c>
      <c r="B239">
        <v>224</v>
      </c>
      <c r="C239" s="98">
        <f t="shared" si="23"/>
        <v>832267.93400825793</v>
      </c>
      <c r="D239" s="98">
        <f t="shared" si="24"/>
        <v>3467.7830583677455</v>
      </c>
      <c r="E239" s="98">
        <f t="shared" si="25"/>
        <v>4517.4385839378228</v>
      </c>
      <c r="F239" s="98">
        <f t="shared" si="22"/>
        <v>7985.2216423055688</v>
      </c>
      <c r="G239" s="98">
        <f t="shared" si="26"/>
        <v>827750.49542432011</v>
      </c>
    </row>
    <row r="240" spans="1:7" x14ac:dyDescent="0.2">
      <c r="A240">
        <f t="shared" si="21"/>
        <v>19</v>
      </c>
      <c r="B240">
        <v>225</v>
      </c>
      <c r="C240" s="98">
        <f t="shared" si="23"/>
        <v>827750.49542432011</v>
      </c>
      <c r="D240" s="98">
        <f t="shared" si="24"/>
        <v>3448.9603976013391</v>
      </c>
      <c r="E240" s="98">
        <f t="shared" si="25"/>
        <v>4536.2612447042311</v>
      </c>
      <c r="F240" s="98">
        <f t="shared" si="22"/>
        <v>7985.2216423055688</v>
      </c>
      <c r="G240" s="98">
        <f t="shared" si="26"/>
        <v>823214.23417961586</v>
      </c>
    </row>
    <row r="241" spans="1:7" x14ac:dyDescent="0.2">
      <c r="A241">
        <f t="shared" si="21"/>
        <v>19</v>
      </c>
      <c r="B241">
        <v>226</v>
      </c>
      <c r="C241" s="98">
        <f t="shared" si="23"/>
        <v>823214.23417961586</v>
      </c>
      <c r="D241" s="98">
        <f t="shared" si="24"/>
        <v>3430.0593090817374</v>
      </c>
      <c r="E241" s="98">
        <f t="shared" si="25"/>
        <v>4555.1623332238323</v>
      </c>
      <c r="F241" s="98">
        <f t="shared" si="22"/>
        <v>7985.2216423055688</v>
      </c>
      <c r="G241" s="98">
        <f t="shared" si="26"/>
        <v>818659.07184639201</v>
      </c>
    </row>
    <row r="242" spans="1:7" x14ac:dyDescent="0.2">
      <c r="A242">
        <f t="shared" si="21"/>
        <v>19</v>
      </c>
      <c r="B242">
        <v>227</v>
      </c>
      <c r="C242" s="98">
        <f t="shared" si="23"/>
        <v>818659.07184639201</v>
      </c>
      <c r="D242" s="98">
        <f t="shared" si="24"/>
        <v>3411.079466026637</v>
      </c>
      <c r="E242" s="98">
        <f t="shared" si="25"/>
        <v>4574.1421762789305</v>
      </c>
      <c r="F242" s="98">
        <f t="shared" si="22"/>
        <v>7985.2216423055688</v>
      </c>
      <c r="G242" s="98">
        <f t="shared" si="26"/>
        <v>814084.92967011302</v>
      </c>
    </row>
    <row r="243" spans="1:7" x14ac:dyDescent="0.2">
      <c r="A243">
        <f t="shared" si="21"/>
        <v>19</v>
      </c>
      <c r="B243">
        <v>228</v>
      </c>
      <c r="C243" s="98">
        <f t="shared" si="23"/>
        <v>814084.92967011302</v>
      </c>
      <c r="D243" s="98">
        <f t="shared" si="24"/>
        <v>3392.020540292142</v>
      </c>
      <c r="E243" s="98">
        <f t="shared" si="25"/>
        <v>4593.2011020134269</v>
      </c>
      <c r="F243" s="98">
        <f t="shared" si="22"/>
        <v>7985.2216423055688</v>
      </c>
      <c r="G243" s="98">
        <f t="shared" si="26"/>
        <v>809491.72856809956</v>
      </c>
    </row>
    <row r="244" spans="1:7" x14ac:dyDescent="0.2">
      <c r="A244">
        <f t="shared" si="21"/>
        <v>20</v>
      </c>
      <c r="B244">
        <v>229</v>
      </c>
      <c r="C244" s="98">
        <f t="shared" si="23"/>
        <v>809491.72856809956</v>
      </c>
      <c r="D244" s="98">
        <f t="shared" si="24"/>
        <v>3372.8822023670864</v>
      </c>
      <c r="E244" s="98">
        <f t="shared" si="25"/>
        <v>4612.3394399384824</v>
      </c>
      <c r="F244" s="98">
        <f t="shared" si="22"/>
        <v>7985.2216423055688</v>
      </c>
      <c r="G244" s="98">
        <f t="shared" si="26"/>
        <v>804879.38912816113</v>
      </c>
    </row>
    <row r="245" spans="1:7" x14ac:dyDescent="0.2">
      <c r="A245">
        <f t="shared" si="21"/>
        <v>20</v>
      </c>
      <c r="B245">
        <v>230</v>
      </c>
      <c r="C245" s="98">
        <f t="shared" si="23"/>
        <v>804879.38912816113</v>
      </c>
      <c r="D245" s="98">
        <f t="shared" si="24"/>
        <v>3353.6641213673429</v>
      </c>
      <c r="E245" s="98">
        <f t="shared" si="25"/>
        <v>4631.5575209382259</v>
      </c>
      <c r="F245" s="98">
        <f t="shared" si="22"/>
        <v>7985.2216423055688</v>
      </c>
      <c r="G245" s="98">
        <f t="shared" si="26"/>
        <v>800247.83160722291</v>
      </c>
    </row>
    <row r="246" spans="1:7" x14ac:dyDescent="0.2">
      <c r="A246">
        <f t="shared" si="21"/>
        <v>20</v>
      </c>
      <c r="B246">
        <v>231</v>
      </c>
      <c r="C246" s="98">
        <f t="shared" si="23"/>
        <v>800247.83160722291</v>
      </c>
      <c r="D246" s="98">
        <f t="shared" si="24"/>
        <v>3334.3659650300997</v>
      </c>
      <c r="E246" s="98">
        <f t="shared" si="25"/>
        <v>4650.8556772754691</v>
      </c>
      <c r="F246" s="98">
        <f t="shared" si="22"/>
        <v>7985.2216423055688</v>
      </c>
      <c r="G246" s="98">
        <f t="shared" si="26"/>
        <v>795596.97592994745</v>
      </c>
    </row>
    <row r="247" spans="1:7" x14ac:dyDescent="0.2">
      <c r="A247">
        <f t="shared" si="21"/>
        <v>20</v>
      </c>
      <c r="B247">
        <v>232</v>
      </c>
      <c r="C247" s="98">
        <f t="shared" si="23"/>
        <v>795596.97592994745</v>
      </c>
      <c r="D247" s="98">
        <f t="shared" si="24"/>
        <v>3314.987399708119</v>
      </c>
      <c r="E247" s="98">
        <f t="shared" si="25"/>
        <v>4670.2342425974502</v>
      </c>
      <c r="F247" s="98">
        <f t="shared" si="22"/>
        <v>7985.2216423055688</v>
      </c>
      <c r="G247" s="98">
        <f t="shared" si="26"/>
        <v>790926.74168734998</v>
      </c>
    </row>
    <row r="248" spans="1:7" x14ac:dyDescent="0.2">
      <c r="A248">
        <f t="shared" si="21"/>
        <v>20</v>
      </c>
      <c r="B248">
        <v>233</v>
      </c>
      <c r="C248" s="98">
        <f t="shared" si="23"/>
        <v>790926.74168734998</v>
      </c>
      <c r="D248" s="98">
        <f t="shared" si="24"/>
        <v>3295.5280903639637</v>
      </c>
      <c r="E248" s="98">
        <f t="shared" si="25"/>
        <v>4689.6935519416056</v>
      </c>
      <c r="F248" s="98">
        <f t="shared" si="22"/>
        <v>7985.2216423055688</v>
      </c>
      <c r="G248" s="98">
        <f t="shared" si="26"/>
        <v>786237.04813540832</v>
      </c>
    </row>
    <row r="249" spans="1:7" x14ac:dyDescent="0.2">
      <c r="A249">
        <f t="shared" si="21"/>
        <v>20</v>
      </c>
      <c r="B249">
        <v>234</v>
      </c>
      <c r="C249" s="98">
        <f t="shared" si="23"/>
        <v>786237.04813540832</v>
      </c>
      <c r="D249" s="98">
        <f t="shared" si="24"/>
        <v>3275.9877005642065</v>
      </c>
      <c r="E249" s="98">
        <f t="shared" si="25"/>
        <v>4709.2339417413623</v>
      </c>
      <c r="F249" s="98">
        <f t="shared" si="22"/>
        <v>7985.2216423055688</v>
      </c>
      <c r="G249" s="98">
        <f t="shared" si="26"/>
        <v>781527.81419366691</v>
      </c>
    </row>
    <row r="250" spans="1:7" x14ac:dyDescent="0.2">
      <c r="A250">
        <f t="shared" si="21"/>
        <v>20</v>
      </c>
      <c r="B250">
        <v>235</v>
      </c>
      <c r="C250" s="98">
        <f t="shared" si="23"/>
        <v>781527.81419366691</v>
      </c>
      <c r="D250" s="98">
        <f t="shared" si="24"/>
        <v>3256.3658924736174</v>
      </c>
      <c r="E250" s="98">
        <f t="shared" si="25"/>
        <v>4728.8557498319515</v>
      </c>
      <c r="F250" s="98">
        <f t="shared" si="22"/>
        <v>7985.2216423055688</v>
      </c>
      <c r="G250" s="98">
        <f t="shared" si="26"/>
        <v>776798.95844383491</v>
      </c>
    </row>
    <row r="251" spans="1:7" x14ac:dyDescent="0.2">
      <c r="A251">
        <f t="shared" si="21"/>
        <v>20</v>
      </c>
      <c r="B251">
        <v>236</v>
      </c>
      <c r="C251" s="98">
        <f t="shared" si="23"/>
        <v>776798.95844383491</v>
      </c>
      <c r="D251" s="98">
        <f t="shared" si="24"/>
        <v>3236.6623268493181</v>
      </c>
      <c r="E251" s="98">
        <f t="shared" si="25"/>
        <v>4748.5593154562512</v>
      </c>
      <c r="F251" s="98">
        <f t="shared" si="22"/>
        <v>7985.2216423055688</v>
      </c>
      <c r="G251" s="98">
        <f t="shared" si="26"/>
        <v>772050.39912837872</v>
      </c>
    </row>
    <row r="252" spans="1:7" x14ac:dyDescent="0.2">
      <c r="A252">
        <f t="shared" si="21"/>
        <v>20</v>
      </c>
      <c r="B252">
        <v>237</v>
      </c>
      <c r="C252" s="98">
        <f t="shared" si="23"/>
        <v>772050.39912837872</v>
      </c>
      <c r="D252" s="98">
        <f t="shared" si="24"/>
        <v>3216.8766630349173</v>
      </c>
      <c r="E252" s="98">
        <f t="shared" si="25"/>
        <v>4768.3449792706524</v>
      </c>
      <c r="F252" s="98">
        <f t="shared" si="22"/>
        <v>7985.2216423055688</v>
      </c>
      <c r="G252" s="98">
        <f t="shared" si="26"/>
        <v>767282.05414910801</v>
      </c>
    </row>
    <row r="253" spans="1:7" x14ac:dyDescent="0.2">
      <c r="A253">
        <f t="shared" si="21"/>
        <v>20</v>
      </c>
      <c r="B253">
        <v>238</v>
      </c>
      <c r="C253" s="98">
        <f t="shared" si="23"/>
        <v>767282.05414910801</v>
      </c>
      <c r="D253" s="98">
        <f t="shared" si="24"/>
        <v>3197.008558954622</v>
      </c>
      <c r="E253" s="98">
        <f t="shared" si="25"/>
        <v>4788.2130833509464</v>
      </c>
      <c r="F253" s="98">
        <f t="shared" si="22"/>
        <v>7985.2216423055688</v>
      </c>
      <c r="G253" s="98">
        <f t="shared" si="26"/>
        <v>762493.84106575709</v>
      </c>
    </row>
    <row r="254" spans="1:7" x14ac:dyDescent="0.2">
      <c r="A254">
        <f t="shared" si="21"/>
        <v>20</v>
      </c>
      <c r="B254">
        <v>239</v>
      </c>
      <c r="C254" s="98">
        <f t="shared" si="23"/>
        <v>762493.84106575709</v>
      </c>
      <c r="D254" s="98">
        <f t="shared" si="24"/>
        <v>3177.0576711073263</v>
      </c>
      <c r="E254" s="98">
        <f t="shared" si="25"/>
        <v>4808.1639711982425</v>
      </c>
      <c r="F254" s="98">
        <f t="shared" si="22"/>
        <v>7985.2216423055688</v>
      </c>
      <c r="G254" s="98">
        <f t="shared" si="26"/>
        <v>757685.67709455884</v>
      </c>
    </row>
    <row r="255" spans="1:7" x14ac:dyDescent="0.2">
      <c r="A255">
        <f t="shared" si="21"/>
        <v>20</v>
      </c>
      <c r="B255">
        <v>240</v>
      </c>
      <c r="C255" s="98">
        <f t="shared" si="23"/>
        <v>757685.67709455884</v>
      </c>
      <c r="D255" s="98">
        <f t="shared" si="24"/>
        <v>3157.0236545606672</v>
      </c>
      <c r="E255" s="98">
        <f t="shared" si="25"/>
        <v>4828.1979877449021</v>
      </c>
      <c r="F255" s="98">
        <f t="shared" si="22"/>
        <v>7985.2216423055688</v>
      </c>
      <c r="G255" s="98">
        <f t="shared" si="26"/>
        <v>752857.4791068139</v>
      </c>
    </row>
    <row r="256" spans="1:7" x14ac:dyDescent="0.2">
      <c r="A256">
        <f t="shared" si="21"/>
        <v>21</v>
      </c>
      <c r="B256">
        <v>241</v>
      </c>
      <c r="C256" s="98">
        <f t="shared" si="23"/>
        <v>752857.4791068139</v>
      </c>
      <c r="D256" s="98">
        <f t="shared" si="24"/>
        <v>3136.9061629450644</v>
      </c>
      <c r="E256" s="98">
        <f t="shared" si="25"/>
        <v>4848.3154793605054</v>
      </c>
      <c r="F256" s="98">
        <f t="shared" si="22"/>
        <v>7985.2216423055688</v>
      </c>
      <c r="G256" s="98">
        <f t="shared" si="26"/>
        <v>748009.16362745338</v>
      </c>
    </row>
    <row r="257" spans="1:7" x14ac:dyDescent="0.2">
      <c r="A257">
        <f t="shared" si="21"/>
        <v>21</v>
      </c>
      <c r="B257">
        <v>242</v>
      </c>
      <c r="C257" s="98">
        <f t="shared" si="23"/>
        <v>748009.16362745338</v>
      </c>
      <c r="D257" s="98">
        <f t="shared" si="24"/>
        <v>3116.7048484477282</v>
      </c>
      <c r="E257" s="98">
        <f t="shared" si="25"/>
        <v>4868.5167938578406</v>
      </c>
      <c r="F257" s="98">
        <f t="shared" si="22"/>
        <v>7985.2216423055688</v>
      </c>
      <c r="G257" s="98">
        <f t="shared" si="26"/>
        <v>743140.64683359559</v>
      </c>
    </row>
    <row r="258" spans="1:7" x14ac:dyDescent="0.2">
      <c r="A258">
        <f t="shared" si="21"/>
        <v>21</v>
      </c>
      <c r="B258">
        <v>243</v>
      </c>
      <c r="C258" s="98">
        <f t="shared" si="23"/>
        <v>743140.64683359559</v>
      </c>
      <c r="D258" s="98">
        <f t="shared" si="24"/>
        <v>3096.4193618066529</v>
      </c>
      <c r="E258" s="98">
        <f t="shared" si="25"/>
        <v>4888.802280498915</v>
      </c>
      <c r="F258" s="98">
        <f t="shared" si="22"/>
        <v>7985.2216423055688</v>
      </c>
      <c r="G258" s="98">
        <f t="shared" si="26"/>
        <v>738251.84455309669</v>
      </c>
    </row>
    <row r="259" spans="1:7" x14ac:dyDescent="0.2">
      <c r="A259">
        <f t="shared" si="21"/>
        <v>21</v>
      </c>
      <c r="B259">
        <v>244</v>
      </c>
      <c r="C259" s="98">
        <f t="shared" si="23"/>
        <v>738251.84455309669</v>
      </c>
      <c r="D259" s="98">
        <f t="shared" si="24"/>
        <v>3076.0493523045748</v>
      </c>
      <c r="E259" s="98">
        <f t="shared" si="25"/>
        <v>4909.1722900009936</v>
      </c>
      <c r="F259" s="98">
        <f t="shared" si="22"/>
        <v>7985.2216423055688</v>
      </c>
      <c r="G259" s="98">
        <f t="shared" si="26"/>
        <v>733342.67226309574</v>
      </c>
    </row>
    <row r="260" spans="1:7" x14ac:dyDescent="0.2">
      <c r="A260">
        <f t="shared" si="21"/>
        <v>21</v>
      </c>
      <c r="B260">
        <v>245</v>
      </c>
      <c r="C260" s="98">
        <f t="shared" si="23"/>
        <v>733342.67226309574</v>
      </c>
      <c r="D260" s="98">
        <f t="shared" si="24"/>
        <v>3055.5944677629041</v>
      </c>
      <c r="E260" s="98">
        <f t="shared" si="25"/>
        <v>4929.6271745426648</v>
      </c>
      <c r="F260" s="98">
        <f t="shared" si="22"/>
        <v>7985.2216423055688</v>
      </c>
      <c r="G260" s="98">
        <f t="shared" si="26"/>
        <v>728413.0450885531</v>
      </c>
    </row>
    <row r="261" spans="1:7" x14ac:dyDescent="0.2">
      <c r="A261">
        <f t="shared" si="21"/>
        <v>21</v>
      </c>
      <c r="B261">
        <v>246</v>
      </c>
      <c r="C261" s="98">
        <f t="shared" si="23"/>
        <v>728413.0450885531</v>
      </c>
      <c r="D261" s="98">
        <f t="shared" si="24"/>
        <v>3035.0543545356431</v>
      </c>
      <c r="E261" s="98">
        <f t="shared" si="25"/>
        <v>4950.1672877699266</v>
      </c>
      <c r="F261" s="98">
        <f t="shared" si="22"/>
        <v>7985.2216423055688</v>
      </c>
      <c r="G261" s="98">
        <f t="shared" si="26"/>
        <v>723462.87780078314</v>
      </c>
    </row>
    <row r="262" spans="1:7" x14ac:dyDescent="0.2">
      <c r="A262">
        <f t="shared" si="21"/>
        <v>21</v>
      </c>
      <c r="B262">
        <v>247</v>
      </c>
      <c r="C262" s="98">
        <f t="shared" si="23"/>
        <v>723462.87780078314</v>
      </c>
      <c r="D262" s="98">
        <f t="shared" si="24"/>
        <v>3014.4286575032684</v>
      </c>
      <c r="E262" s="98">
        <f t="shared" si="25"/>
        <v>4970.7929848023005</v>
      </c>
      <c r="F262" s="98">
        <f t="shared" si="22"/>
        <v>7985.2216423055688</v>
      </c>
      <c r="G262" s="98">
        <f t="shared" si="26"/>
        <v>718492.08481598087</v>
      </c>
    </row>
    <row r="263" spans="1:7" x14ac:dyDescent="0.2">
      <c r="A263">
        <f t="shared" si="21"/>
        <v>21</v>
      </c>
      <c r="B263">
        <v>248</v>
      </c>
      <c r="C263" s="98">
        <f t="shared" si="23"/>
        <v>718492.08481598087</v>
      </c>
      <c r="D263" s="98">
        <f t="shared" si="24"/>
        <v>2993.7170200665923</v>
      </c>
      <c r="E263" s="98">
        <f t="shared" si="25"/>
        <v>4991.5046222389774</v>
      </c>
      <c r="F263" s="98">
        <f t="shared" si="22"/>
        <v>7985.2216423055688</v>
      </c>
      <c r="G263" s="98">
        <f t="shared" si="26"/>
        <v>713500.58019374195</v>
      </c>
    </row>
    <row r="264" spans="1:7" x14ac:dyDescent="0.2">
      <c r="A264">
        <f t="shared" si="21"/>
        <v>21</v>
      </c>
      <c r="B264">
        <v>249</v>
      </c>
      <c r="C264" s="98">
        <f t="shared" si="23"/>
        <v>713500.58019374195</v>
      </c>
      <c r="D264" s="98">
        <f t="shared" si="24"/>
        <v>2972.9190841405962</v>
      </c>
      <c r="E264" s="98">
        <f t="shared" si="25"/>
        <v>5012.3025581649717</v>
      </c>
      <c r="F264" s="98">
        <f t="shared" si="22"/>
        <v>7985.2216423055688</v>
      </c>
      <c r="G264" s="98">
        <f t="shared" si="26"/>
        <v>708488.27763557702</v>
      </c>
    </row>
    <row r="265" spans="1:7" x14ac:dyDescent="0.2">
      <c r="A265">
        <f t="shared" si="21"/>
        <v>21</v>
      </c>
      <c r="B265">
        <v>250</v>
      </c>
      <c r="C265" s="98">
        <f t="shared" si="23"/>
        <v>708488.27763557702</v>
      </c>
      <c r="D265" s="98">
        <f t="shared" si="24"/>
        <v>2952.0344901482422</v>
      </c>
      <c r="E265" s="98">
        <f t="shared" si="25"/>
        <v>5033.1871521573266</v>
      </c>
      <c r="F265" s="98">
        <f t="shared" si="22"/>
        <v>7985.2216423055688</v>
      </c>
      <c r="G265" s="98">
        <f t="shared" si="26"/>
        <v>703455.09048341971</v>
      </c>
    </row>
    <row r="266" spans="1:7" x14ac:dyDescent="0.2">
      <c r="A266">
        <f t="shared" si="21"/>
        <v>21</v>
      </c>
      <c r="B266">
        <v>251</v>
      </c>
      <c r="C266" s="98">
        <f t="shared" si="23"/>
        <v>703455.09048341971</v>
      </c>
      <c r="D266" s="98">
        <f t="shared" si="24"/>
        <v>2931.0628770142534</v>
      </c>
      <c r="E266" s="98">
        <f t="shared" si="25"/>
        <v>5054.1587652913158</v>
      </c>
      <c r="F266" s="98">
        <f t="shared" si="22"/>
        <v>7985.2216423055688</v>
      </c>
      <c r="G266" s="98">
        <f t="shared" si="26"/>
        <v>698400.93171812838</v>
      </c>
    </row>
    <row r="267" spans="1:7" x14ac:dyDescent="0.2">
      <c r="A267">
        <f t="shared" si="21"/>
        <v>21</v>
      </c>
      <c r="B267">
        <v>252</v>
      </c>
      <c r="C267" s="98">
        <f t="shared" si="23"/>
        <v>698400.93171812838</v>
      </c>
      <c r="D267" s="98">
        <f t="shared" si="24"/>
        <v>2910.0038821588732</v>
      </c>
      <c r="E267" s="98">
        <f t="shared" si="25"/>
        <v>5075.2177601466965</v>
      </c>
      <c r="F267" s="98">
        <f t="shared" si="22"/>
        <v>7985.2216423055688</v>
      </c>
      <c r="G267" s="98">
        <f t="shared" si="26"/>
        <v>693325.71395798167</v>
      </c>
    </row>
    <row r="268" spans="1:7" x14ac:dyDescent="0.2">
      <c r="A268">
        <f t="shared" si="21"/>
        <v>22</v>
      </c>
      <c r="B268">
        <v>253</v>
      </c>
      <c r="C268" s="98">
        <f t="shared" si="23"/>
        <v>693325.71395798167</v>
      </c>
      <c r="D268" s="98">
        <f t="shared" si="24"/>
        <v>2888.8571414915946</v>
      </c>
      <c r="E268" s="98">
        <f t="shared" si="25"/>
        <v>5096.3645008139738</v>
      </c>
      <c r="F268" s="98">
        <f t="shared" si="22"/>
        <v>7985.2216423055688</v>
      </c>
      <c r="G268" s="98">
        <f t="shared" si="26"/>
        <v>688229.34945716767</v>
      </c>
    </row>
    <row r="269" spans="1:7" x14ac:dyDescent="0.2">
      <c r="A269">
        <f t="shared" si="21"/>
        <v>22</v>
      </c>
      <c r="B269">
        <v>254</v>
      </c>
      <c r="C269" s="98">
        <f t="shared" si="23"/>
        <v>688229.34945716767</v>
      </c>
      <c r="D269" s="98">
        <f t="shared" si="24"/>
        <v>2867.6222894048706</v>
      </c>
      <c r="E269" s="98">
        <f t="shared" si="25"/>
        <v>5117.5993529006982</v>
      </c>
      <c r="F269" s="98">
        <f t="shared" si="22"/>
        <v>7985.2216423055688</v>
      </c>
      <c r="G269" s="98">
        <f t="shared" si="26"/>
        <v>683111.75010426692</v>
      </c>
    </row>
    <row r="270" spans="1:7" x14ac:dyDescent="0.2">
      <c r="A270">
        <f t="shared" si="21"/>
        <v>22</v>
      </c>
      <c r="B270">
        <v>255</v>
      </c>
      <c r="C270" s="98">
        <f t="shared" si="23"/>
        <v>683111.75010426692</v>
      </c>
      <c r="D270" s="98">
        <f t="shared" si="24"/>
        <v>2846.2989587677839</v>
      </c>
      <c r="E270" s="98">
        <f t="shared" si="25"/>
        <v>5138.9226835377849</v>
      </c>
      <c r="F270" s="98">
        <f t="shared" si="22"/>
        <v>7985.2216423055688</v>
      </c>
      <c r="G270" s="98">
        <f t="shared" si="26"/>
        <v>677972.8274207291</v>
      </c>
    </row>
    <row r="271" spans="1:7" x14ac:dyDescent="0.2">
      <c r="A271">
        <f t="shared" si="21"/>
        <v>22</v>
      </c>
      <c r="B271">
        <v>256</v>
      </c>
      <c r="C271" s="98">
        <f t="shared" si="23"/>
        <v>677972.8274207291</v>
      </c>
      <c r="D271" s="98">
        <f t="shared" si="24"/>
        <v>2824.88678091971</v>
      </c>
      <c r="E271" s="98">
        <f t="shared" si="25"/>
        <v>5160.3348613858589</v>
      </c>
      <c r="F271" s="98">
        <f t="shared" si="22"/>
        <v>7985.2216423055688</v>
      </c>
      <c r="G271" s="98">
        <f t="shared" si="26"/>
        <v>672812.49255934323</v>
      </c>
    </row>
    <row r="272" spans="1:7" x14ac:dyDescent="0.2">
      <c r="A272">
        <f t="shared" si="21"/>
        <v>22</v>
      </c>
      <c r="B272">
        <v>257</v>
      </c>
      <c r="C272" s="98">
        <f t="shared" si="23"/>
        <v>672812.49255934323</v>
      </c>
      <c r="D272" s="98">
        <f t="shared" si="24"/>
        <v>2803.3853856639353</v>
      </c>
      <c r="E272" s="98">
        <f t="shared" si="25"/>
        <v>5181.8362566416336</v>
      </c>
      <c r="F272" s="98">
        <f t="shared" si="22"/>
        <v>7985.2216423055688</v>
      </c>
      <c r="G272" s="98">
        <f t="shared" si="26"/>
        <v>667630.65630270157</v>
      </c>
    </row>
    <row r="273" spans="1:7" x14ac:dyDescent="0.2">
      <c r="A273">
        <f t="shared" ref="A273:A315" si="27">ROUNDUP(B273/12,0)</f>
        <v>22</v>
      </c>
      <c r="B273">
        <v>258</v>
      </c>
      <c r="C273" s="98">
        <f t="shared" si="23"/>
        <v>667630.65630270157</v>
      </c>
      <c r="D273" s="98">
        <f t="shared" si="24"/>
        <v>2781.7944012612625</v>
      </c>
      <c r="E273" s="98">
        <f t="shared" si="25"/>
        <v>5203.4272410443073</v>
      </c>
      <c r="F273" s="98">
        <f t="shared" ref="F273:F315" si="28">-PMT($B$9/12,$B$10*12,$B$7,$B$8,0)</f>
        <v>7985.2216423055688</v>
      </c>
      <c r="G273" s="98">
        <f t="shared" si="26"/>
        <v>662427.22906165721</v>
      </c>
    </row>
    <row r="274" spans="1:7" x14ac:dyDescent="0.2">
      <c r="A274">
        <f t="shared" si="27"/>
        <v>22</v>
      </c>
      <c r="B274">
        <v>259</v>
      </c>
      <c r="C274" s="98">
        <f t="shared" ref="C274:C315" si="29">G273</f>
        <v>662427.22906165721</v>
      </c>
      <c r="D274" s="98">
        <f t="shared" ref="D274:D315" si="30">-IPMT($B$9/12,$B274,$B$10*12,$B$7,$B$8,0)</f>
        <v>2760.1134544235774</v>
      </c>
      <c r="E274" s="98">
        <f t="shared" ref="E274:E315" si="31">-PPMT($B$9/12,$B274,$B$10*12,$B$7,$B$8,0)</f>
        <v>5225.1081878819923</v>
      </c>
      <c r="F274" s="98">
        <f t="shared" si="28"/>
        <v>7985.2216423055688</v>
      </c>
      <c r="G274" s="98">
        <f t="shared" ref="G274:G315" si="32">C274-E274</f>
        <v>657202.12087377522</v>
      </c>
    </row>
    <row r="275" spans="1:7" x14ac:dyDescent="0.2">
      <c r="A275">
        <f t="shared" si="27"/>
        <v>22</v>
      </c>
      <c r="B275">
        <v>260</v>
      </c>
      <c r="C275" s="98">
        <f t="shared" si="29"/>
        <v>657202.12087377522</v>
      </c>
      <c r="D275" s="98">
        <f t="shared" si="30"/>
        <v>2738.3421703074018</v>
      </c>
      <c r="E275" s="98">
        <f t="shared" si="31"/>
        <v>5246.8794719981661</v>
      </c>
      <c r="F275" s="98">
        <f t="shared" si="28"/>
        <v>7985.2216423055688</v>
      </c>
      <c r="G275" s="98">
        <f t="shared" si="32"/>
        <v>651955.24140177702</v>
      </c>
    </row>
    <row r="276" spans="1:7" x14ac:dyDescent="0.2">
      <c r="A276">
        <f t="shared" si="27"/>
        <v>22</v>
      </c>
      <c r="B276">
        <v>261</v>
      </c>
      <c r="C276" s="98">
        <f t="shared" si="29"/>
        <v>651955.24140177702</v>
      </c>
      <c r="D276" s="98">
        <f t="shared" si="30"/>
        <v>2716.4801725074099</v>
      </c>
      <c r="E276" s="98">
        <f t="shared" si="31"/>
        <v>5268.7414697981594</v>
      </c>
      <c r="F276" s="98">
        <f t="shared" si="28"/>
        <v>7985.2216423055688</v>
      </c>
      <c r="G276" s="98">
        <f t="shared" si="32"/>
        <v>646686.49993197888</v>
      </c>
    </row>
    <row r="277" spans="1:7" x14ac:dyDescent="0.2">
      <c r="A277">
        <f t="shared" si="27"/>
        <v>22</v>
      </c>
      <c r="B277">
        <v>262</v>
      </c>
      <c r="C277" s="98">
        <f t="shared" si="29"/>
        <v>646686.49993197888</v>
      </c>
      <c r="D277" s="98">
        <f t="shared" si="30"/>
        <v>2694.5270830499171</v>
      </c>
      <c r="E277" s="98">
        <f t="shared" si="31"/>
        <v>5290.6945592556503</v>
      </c>
      <c r="F277" s="98">
        <f t="shared" si="28"/>
        <v>7985.2216423055688</v>
      </c>
      <c r="G277" s="98">
        <f t="shared" si="32"/>
        <v>641395.80537272326</v>
      </c>
    </row>
    <row r="278" spans="1:7" x14ac:dyDescent="0.2">
      <c r="A278">
        <f t="shared" si="27"/>
        <v>22</v>
      </c>
      <c r="B278">
        <v>263</v>
      </c>
      <c r="C278" s="98">
        <f t="shared" si="29"/>
        <v>641395.80537272326</v>
      </c>
      <c r="D278" s="98">
        <f t="shared" si="30"/>
        <v>2672.4825223863522</v>
      </c>
      <c r="E278" s="98">
        <f t="shared" si="31"/>
        <v>5312.739119919217</v>
      </c>
      <c r="F278" s="98">
        <f t="shared" si="28"/>
        <v>7985.2216423055688</v>
      </c>
      <c r="G278" s="98">
        <f t="shared" si="32"/>
        <v>636083.06625280401</v>
      </c>
    </row>
    <row r="279" spans="1:7" x14ac:dyDescent="0.2">
      <c r="A279">
        <f t="shared" si="27"/>
        <v>22</v>
      </c>
      <c r="B279">
        <v>264</v>
      </c>
      <c r="C279" s="98">
        <f t="shared" si="29"/>
        <v>636083.06625280401</v>
      </c>
      <c r="D279" s="98">
        <f t="shared" si="30"/>
        <v>2650.346109386689</v>
      </c>
      <c r="E279" s="98">
        <f t="shared" si="31"/>
        <v>5334.8755329188807</v>
      </c>
      <c r="F279" s="98">
        <f t="shared" si="28"/>
        <v>7985.2216423055688</v>
      </c>
      <c r="G279" s="98">
        <f t="shared" si="32"/>
        <v>630748.19071988517</v>
      </c>
    </row>
    <row r="280" spans="1:7" x14ac:dyDescent="0.2">
      <c r="A280">
        <f t="shared" si="27"/>
        <v>23</v>
      </c>
      <c r="B280">
        <v>265</v>
      </c>
      <c r="C280" s="98">
        <f t="shared" si="29"/>
        <v>630748.19071988517</v>
      </c>
      <c r="D280" s="98">
        <f t="shared" si="30"/>
        <v>2628.1174613328608</v>
      </c>
      <c r="E280" s="98">
        <f t="shared" si="31"/>
        <v>5357.1041809727085</v>
      </c>
      <c r="F280" s="98">
        <f t="shared" si="28"/>
        <v>7985.2216423055688</v>
      </c>
      <c r="G280" s="98">
        <f t="shared" si="32"/>
        <v>625391.0865389125</v>
      </c>
    </row>
    <row r="281" spans="1:7" x14ac:dyDescent="0.2">
      <c r="A281">
        <f t="shared" si="27"/>
        <v>23</v>
      </c>
      <c r="B281">
        <v>266</v>
      </c>
      <c r="C281" s="98">
        <f t="shared" si="29"/>
        <v>625391.0865389125</v>
      </c>
      <c r="D281" s="98">
        <f t="shared" si="30"/>
        <v>2605.796193912141</v>
      </c>
      <c r="E281" s="98">
        <f t="shared" si="31"/>
        <v>5379.4254483934292</v>
      </c>
      <c r="F281" s="98">
        <f t="shared" si="28"/>
        <v>7985.2216423055688</v>
      </c>
      <c r="G281" s="98">
        <f t="shared" si="32"/>
        <v>620011.66109051905</v>
      </c>
    </row>
    <row r="282" spans="1:7" x14ac:dyDescent="0.2">
      <c r="A282">
        <f t="shared" si="27"/>
        <v>23</v>
      </c>
      <c r="B282">
        <v>267</v>
      </c>
      <c r="C282" s="98">
        <f t="shared" si="29"/>
        <v>620011.66109051905</v>
      </c>
      <c r="D282" s="98">
        <f t="shared" si="30"/>
        <v>2583.3819212105018</v>
      </c>
      <c r="E282" s="98">
        <f t="shared" si="31"/>
        <v>5401.839721095067</v>
      </c>
      <c r="F282" s="98">
        <f t="shared" si="28"/>
        <v>7985.2216423055688</v>
      </c>
      <c r="G282" s="98">
        <f t="shared" si="32"/>
        <v>614609.821369424</v>
      </c>
    </row>
    <row r="283" spans="1:7" x14ac:dyDescent="0.2">
      <c r="A283">
        <f t="shared" si="27"/>
        <v>23</v>
      </c>
      <c r="B283">
        <v>268</v>
      </c>
      <c r="C283" s="98">
        <f t="shared" si="29"/>
        <v>614609.821369424</v>
      </c>
      <c r="D283" s="98">
        <f t="shared" si="30"/>
        <v>2560.874255705939</v>
      </c>
      <c r="E283" s="98">
        <f t="shared" si="31"/>
        <v>5424.3473865996302</v>
      </c>
      <c r="F283" s="98">
        <f t="shared" si="28"/>
        <v>7985.2216423055688</v>
      </c>
      <c r="G283" s="98">
        <f t="shared" si="32"/>
        <v>609185.47398282436</v>
      </c>
    </row>
    <row r="284" spans="1:7" x14ac:dyDescent="0.2">
      <c r="A284">
        <f t="shared" si="27"/>
        <v>23</v>
      </c>
      <c r="B284">
        <v>269</v>
      </c>
      <c r="C284" s="98">
        <f t="shared" si="29"/>
        <v>609185.47398282436</v>
      </c>
      <c r="D284" s="98">
        <f t="shared" si="30"/>
        <v>2538.2728082617737</v>
      </c>
      <c r="E284" s="98">
        <f t="shared" si="31"/>
        <v>5446.9488340437956</v>
      </c>
      <c r="F284" s="98">
        <f t="shared" si="28"/>
        <v>7985.2216423055688</v>
      </c>
      <c r="G284" s="98">
        <f t="shared" si="32"/>
        <v>603738.52514878055</v>
      </c>
    </row>
    <row r="285" spans="1:7" x14ac:dyDescent="0.2">
      <c r="A285">
        <f t="shared" si="27"/>
        <v>23</v>
      </c>
      <c r="B285">
        <v>270</v>
      </c>
      <c r="C285" s="98">
        <f t="shared" si="29"/>
        <v>603738.52514878055</v>
      </c>
      <c r="D285" s="98">
        <f t="shared" si="30"/>
        <v>2515.5771881199248</v>
      </c>
      <c r="E285" s="98">
        <f t="shared" si="31"/>
        <v>5469.6444541856454</v>
      </c>
      <c r="F285" s="98">
        <f t="shared" si="28"/>
        <v>7985.2216423055688</v>
      </c>
      <c r="G285" s="98">
        <f t="shared" si="32"/>
        <v>598268.88069459493</v>
      </c>
    </row>
    <row r="286" spans="1:7" x14ac:dyDescent="0.2">
      <c r="A286">
        <f t="shared" si="27"/>
        <v>23</v>
      </c>
      <c r="B286">
        <v>271</v>
      </c>
      <c r="C286" s="98">
        <f t="shared" si="29"/>
        <v>598268.88069459493</v>
      </c>
      <c r="D286" s="98">
        <f t="shared" si="30"/>
        <v>2492.7870028941506</v>
      </c>
      <c r="E286" s="98">
        <f t="shared" si="31"/>
        <v>5492.4346394114173</v>
      </c>
      <c r="F286" s="98">
        <f t="shared" si="28"/>
        <v>7985.2216423055688</v>
      </c>
      <c r="G286" s="98">
        <f t="shared" si="32"/>
        <v>592776.44605518354</v>
      </c>
    </row>
    <row r="287" spans="1:7" x14ac:dyDescent="0.2">
      <c r="A287">
        <f t="shared" si="27"/>
        <v>23</v>
      </c>
      <c r="B287">
        <v>272</v>
      </c>
      <c r="C287" s="98">
        <f t="shared" si="29"/>
        <v>592776.44605518354</v>
      </c>
      <c r="D287" s="98">
        <f t="shared" si="30"/>
        <v>2469.9018585632703</v>
      </c>
      <c r="E287" s="98">
        <f t="shared" si="31"/>
        <v>5515.3197837422986</v>
      </c>
      <c r="F287" s="98">
        <f t="shared" si="28"/>
        <v>7985.2216423055688</v>
      </c>
      <c r="G287" s="98">
        <f t="shared" si="32"/>
        <v>587261.12627144123</v>
      </c>
    </row>
    <row r="288" spans="1:7" x14ac:dyDescent="0.2">
      <c r="A288">
        <f t="shared" si="27"/>
        <v>23</v>
      </c>
      <c r="B288">
        <v>273</v>
      </c>
      <c r="C288" s="98">
        <f t="shared" si="29"/>
        <v>587261.12627144123</v>
      </c>
      <c r="D288" s="98">
        <f t="shared" si="30"/>
        <v>2446.9213594643438</v>
      </c>
      <c r="E288" s="98">
        <f t="shared" si="31"/>
        <v>5538.3002828412255</v>
      </c>
      <c r="F288" s="98">
        <f t="shared" si="28"/>
        <v>7985.2216423055688</v>
      </c>
      <c r="G288" s="98">
        <f t="shared" si="32"/>
        <v>581722.82598860003</v>
      </c>
    </row>
    <row r="289" spans="1:7" x14ac:dyDescent="0.2">
      <c r="A289">
        <f t="shared" si="27"/>
        <v>23</v>
      </c>
      <c r="B289">
        <v>274</v>
      </c>
      <c r="C289" s="98">
        <f t="shared" si="29"/>
        <v>581722.82598860003</v>
      </c>
      <c r="D289" s="98">
        <f t="shared" si="30"/>
        <v>2423.8451082858387</v>
      </c>
      <c r="E289" s="98">
        <f t="shared" si="31"/>
        <v>5561.3765340197297</v>
      </c>
      <c r="F289" s="98">
        <f t="shared" si="28"/>
        <v>7985.2216423055688</v>
      </c>
      <c r="G289" s="98">
        <f t="shared" si="32"/>
        <v>576161.44945458032</v>
      </c>
    </row>
    <row r="290" spans="1:7" x14ac:dyDescent="0.2">
      <c r="A290">
        <f t="shared" si="27"/>
        <v>23</v>
      </c>
      <c r="B290">
        <v>275</v>
      </c>
      <c r="C290" s="98">
        <f t="shared" si="29"/>
        <v>576161.44945458032</v>
      </c>
      <c r="D290" s="98">
        <f t="shared" si="30"/>
        <v>2400.6727060607564</v>
      </c>
      <c r="E290" s="98">
        <f t="shared" si="31"/>
        <v>5584.5489362448125</v>
      </c>
      <c r="F290" s="98">
        <f t="shared" si="28"/>
        <v>7985.2216423055688</v>
      </c>
      <c r="G290" s="98">
        <f t="shared" si="32"/>
        <v>570576.90051833552</v>
      </c>
    </row>
    <row r="291" spans="1:7" x14ac:dyDescent="0.2">
      <c r="A291">
        <f t="shared" si="27"/>
        <v>23</v>
      </c>
      <c r="B291">
        <v>276</v>
      </c>
      <c r="C291" s="98">
        <f t="shared" si="29"/>
        <v>570576.90051833552</v>
      </c>
      <c r="D291" s="98">
        <f t="shared" si="30"/>
        <v>2377.4037521597365</v>
      </c>
      <c r="E291" s="98">
        <f t="shared" si="31"/>
        <v>5607.8178901458323</v>
      </c>
      <c r="F291" s="98">
        <f t="shared" si="28"/>
        <v>7985.2216423055688</v>
      </c>
      <c r="G291" s="98">
        <f t="shared" si="32"/>
        <v>564969.0826281897</v>
      </c>
    </row>
    <row r="292" spans="1:7" x14ac:dyDescent="0.2">
      <c r="A292">
        <f t="shared" si="27"/>
        <v>24</v>
      </c>
      <c r="B292">
        <v>277</v>
      </c>
      <c r="C292" s="98">
        <f t="shared" si="29"/>
        <v>564969.0826281897</v>
      </c>
      <c r="D292" s="98">
        <f t="shared" si="30"/>
        <v>2354.0378442841293</v>
      </c>
      <c r="E292" s="98">
        <f t="shared" si="31"/>
        <v>5631.1837980214395</v>
      </c>
      <c r="F292" s="98">
        <f t="shared" si="28"/>
        <v>7985.2216423055688</v>
      </c>
      <c r="G292" s="98">
        <f t="shared" si="32"/>
        <v>559337.8988301683</v>
      </c>
    </row>
    <row r="293" spans="1:7" x14ac:dyDescent="0.2">
      <c r="A293">
        <f t="shared" si="27"/>
        <v>24</v>
      </c>
      <c r="B293">
        <v>278</v>
      </c>
      <c r="C293" s="98">
        <f t="shared" si="29"/>
        <v>559337.8988301683</v>
      </c>
      <c r="D293" s="98">
        <f t="shared" si="30"/>
        <v>2330.5745784590399</v>
      </c>
      <c r="E293" s="98">
        <f t="shared" si="31"/>
        <v>5654.6470638465298</v>
      </c>
      <c r="F293" s="98">
        <f t="shared" si="28"/>
        <v>7985.2216423055688</v>
      </c>
      <c r="G293" s="98">
        <f t="shared" si="32"/>
        <v>553683.25176632171</v>
      </c>
    </row>
    <row r="294" spans="1:7" x14ac:dyDescent="0.2">
      <c r="A294">
        <f t="shared" si="27"/>
        <v>24</v>
      </c>
      <c r="B294">
        <v>279</v>
      </c>
      <c r="C294" s="98">
        <f t="shared" si="29"/>
        <v>553683.25176632171</v>
      </c>
      <c r="D294" s="98">
        <f t="shared" si="30"/>
        <v>2307.0135490263456</v>
      </c>
      <c r="E294" s="98">
        <f t="shared" si="31"/>
        <v>5678.2080932792223</v>
      </c>
      <c r="F294" s="98">
        <f t="shared" si="28"/>
        <v>7985.2216423055688</v>
      </c>
      <c r="G294" s="98">
        <f t="shared" si="32"/>
        <v>548005.04367304244</v>
      </c>
    </row>
    <row r="295" spans="1:7" x14ac:dyDescent="0.2">
      <c r="A295">
        <f t="shared" si="27"/>
        <v>24</v>
      </c>
      <c r="B295">
        <v>280</v>
      </c>
      <c r="C295" s="98">
        <f t="shared" si="29"/>
        <v>548005.04367304244</v>
      </c>
      <c r="D295" s="98">
        <f t="shared" si="30"/>
        <v>2283.3543486376821</v>
      </c>
      <c r="E295" s="98">
        <f t="shared" si="31"/>
        <v>5701.8672936678868</v>
      </c>
      <c r="F295" s="98">
        <f t="shared" si="28"/>
        <v>7985.2216423055688</v>
      </c>
      <c r="G295" s="98">
        <f t="shared" si="32"/>
        <v>542303.17637937458</v>
      </c>
    </row>
    <row r="296" spans="1:7" x14ac:dyDescent="0.2">
      <c r="A296">
        <f t="shared" si="27"/>
        <v>24</v>
      </c>
      <c r="B296">
        <v>281</v>
      </c>
      <c r="C296" s="98">
        <f t="shared" si="29"/>
        <v>542303.17637937458</v>
      </c>
      <c r="D296" s="98">
        <f t="shared" si="30"/>
        <v>2259.5965682473993</v>
      </c>
      <c r="E296" s="98">
        <f t="shared" si="31"/>
        <v>5725.62507405817</v>
      </c>
      <c r="F296" s="98">
        <f t="shared" si="28"/>
        <v>7985.2216423055688</v>
      </c>
      <c r="G296" s="98">
        <f t="shared" si="32"/>
        <v>536577.55130531639</v>
      </c>
    </row>
    <row r="297" spans="1:7" x14ac:dyDescent="0.2">
      <c r="A297">
        <f t="shared" si="27"/>
        <v>24</v>
      </c>
      <c r="B297">
        <v>282</v>
      </c>
      <c r="C297" s="98">
        <f t="shared" si="29"/>
        <v>536577.55130531639</v>
      </c>
      <c r="D297" s="98">
        <f t="shared" si="30"/>
        <v>2235.7397971054902</v>
      </c>
      <c r="E297" s="98">
        <f t="shared" si="31"/>
        <v>5749.4818452000782</v>
      </c>
      <c r="F297" s="98">
        <f t="shared" si="28"/>
        <v>7985.2216423055688</v>
      </c>
      <c r="G297" s="98">
        <f t="shared" si="32"/>
        <v>530828.06946011633</v>
      </c>
    </row>
    <row r="298" spans="1:7" x14ac:dyDescent="0.2">
      <c r="A298">
        <f t="shared" si="27"/>
        <v>24</v>
      </c>
      <c r="B298">
        <v>283</v>
      </c>
      <c r="C298" s="98">
        <f t="shared" si="29"/>
        <v>530828.06946011633</v>
      </c>
      <c r="D298" s="98">
        <f t="shared" si="30"/>
        <v>2211.7836227504899</v>
      </c>
      <c r="E298" s="98">
        <f t="shared" si="31"/>
        <v>5773.4380195550784</v>
      </c>
      <c r="F298" s="98">
        <f t="shared" si="28"/>
        <v>7985.2216423055688</v>
      </c>
      <c r="G298" s="98">
        <f t="shared" si="32"/>
        <v>525054.63144056126</v>
      </c>
    </row>
    <row r="299" spans="1:7" x14ac:dyDescent="0.2">
      <c r="A299">
        <f t="shared" si="27"/>
        <v>24</v>
      </c>
      <c r="B299">
        <v>284</v>
      </c>
      <c r="C299" s="98">
        <f t="shared" si="29"/>
        <v>525054.63144056126</v>
      </c>
      <c r="D299" s="98">
        <f t="shared" si="30"/>
        <v>2187.7276310023444</v>
      </c>
      <c r="E299" s="98">
        <f t="shared" si="31"/>
        <v>5797.4940113032244</v>
      </c>
      <c r="F299" s="98">
        <f t="shared" si="28"/>
        <v>7985.2216423055688</v>
      </c>
      <c r="G299" s="98">
        <f t="shared" si="32"/>
        <v>519257.13742925803</v>
      </c>
    </row>
    <row r="300" spans="1:7" x14ac:dyDescent="0.2">
      <c r="A300">
        <f t="shared" si="27"/>
        <v>24</v>
      </c>
      <c r="B300">
        <v>285</v>
      </c>
      <c r="C300" s="98">
        <f t="shared" si="29"/>
        <v>519257.13742925803</v>
      </c>
      <c r="D300" s="98">
        <f t="shared" si="30"/>
        <v>2163.5714059552474</v>
      </c>
      <c r="E300" s="98">
        <f t="shared" si="31"/>
        <v>5821.6502363503223</v>
      </c>
      <c r="F300" s="98">
        <f t="shared" si="28"/>
        <v>7985.2216423055688</v>
      </c>
      <c r="G300" s="98">
        <f t="shared" si="32"/>
        <v>513435.48719290772</v>
      </c>
    </row>
    <row r="301" spans="1:7" x14ac:dyDescent="0.2">
      <c r="A301">
        <f t="shared" si="27"/>
        <v>24</v>
      </c>
      <c r="B301">
        <v>286</v>
      </c>
      <c r="C301" s="98">
        <f t="shared" si="29"/>
        <v>513435.48719290772</v>
      </c>
      <c r="D301" s="98">
        <f t="shared" si="30"/>
        <v>2139.3145299704543</v>
      </c>
      <c r="E301" s="98">
        <f t="shared" si="31"/>
        <v>5845.907112335115</v>
      </c>
      <c r="F301" s="98">
        <f t="shared" si="28"/>
        <v>7985.2216423055688</v>
      </c>
      <c r="G301" s="98">
        <f t="shared" si="32"/>
        <v>507589.58008057263</v>
      </c>
    </row>
    <row r="302" spans="1:7" x14ac:dyDescent="0.2">
      <c r="A302">
        <f t="shared" si="27"/>
        <v>24</v>
      </c>
      <c r="B302">
        <v>287</v>
      </c>
      <c r="C302" s="98">
        <f t="shared" si="29"/>
        <v>507589.58008057263</v>
      </c>
      <c r="D302" s="98">
        <f t="shared" si="30"/>
        <v>2114.9565836690581</v>
      </c>
      <c r="E302" s="98">
        <f t="shared" si="31"/>
        <v>5870.2650586365107</v>
      </c>
      <c r="F302" s="98">
        <f t="shared" si="28"/>
        <v>7985.2216423055688</v>
      </c>
      <c r="G302" s="98">
        <f t="shared" si="32"/>
        <v>501719.31502193614</v>
      </c>
    </row>
    <row r="303" spans="1:7" x14ac:dyDescent="0.2">
      <c r="A303">
        <f t="shared" si="27"/>
        <v>24</v>
      </c>
      <c r="B303">
        <v>288</v>
      </c>
      <c r="C303" s="98">
        <f t="shared" si="29"/>
        <v>501719.31502193614</v>
      </c>
      <c r="D303" s="98">
        <f t="shared" si="30"/>
        <v>2090.497145924739</v>
      </c>
      <c r="E303" s="98">
        <f t="shared" si="31"/>
        <v>5894.7244963808307</v>
      </c>
      <c r="F303" s="98">
        <f t="shared" si="28"/>
        <v>7985.2216423055688</v>
      </c>
      <c r="G303" s="98">
        <f t="shared" si="32"/>
        <v>495824.59052555531</v>
      </c>
    </row>
    <row r="304" spans="1:7" x14ac:dyDescent="0.2">
      <c r="A304">
        <f t="shared" si="27"/>
        <v>25</v>
      </c>
      <c r="B304">
        <v>289</v>
      </c>
      <c r="C304" s="98">
        <f t="shared" si="29"/>
        <v>495824.59052555531</v>
      </c>
      <c r="D304" s="98">
        <f t="shared" si="30"/>
        <v>2065.9357938564854</v>
      </c>
      <c r="E304" s="98">
        <f t="shared" si="31"/>
        <v>5919.2858484490844</v>
      </c>
      <c r="F304" s="98">
        <f t="shared" si="28"/>
        <v>7985.2216423055688</v>
      </c>
      <c r="G304" s="98">
        <f t="shared" si="32"/>
        <v>489905.30467710621</v>
      </c>
    </row>
    <row r="305" spans="1:7" x14ac:dyDescent="0.2">
      <c r="A305">
        <f t="shared" si="27"/>
        <v>25</v>
      </c>
      <c r="B305">
        <v>290</v>
      </c>
      <c r="C305" s="98">
        <f t="shared" si="29"/>
        <v>489905.30467710621</v>
      </c>
      <c r="D305" s="98">
        <f t="shared" si="30"/>
        <v>2041.2721028212811</v>
      </c>
      <c r="E305" s="98">
        <f t="shared" si="31"/>
        <v>5943.9495394842879</v>
      </c>
      <c r="F305" s="98">
        <f t="shared" si="28"/>
        <v>7985.2216423055688</v>
      </c>
      <c r="G305" s="98">
        <f t="shared" si="32"/>
        <v>483961.35513762193</v>
      </c>
    </row>
    <row r="306" spans="1:7" x14ac:dyDescent="0.2">
      <c r="A306">
        <f t="shared" si="27"/>
        <v>25</v>
      </c>
      <c r="B306">
        <v>291</v>
      </c>
      <c r="C306" s="98">
        <f t="shared" si="29"/>
        <v>483961.35513762193</v>
      </c>
      <c r="D306" s="98">
        <f t="shared" si="30"/>
        <v>2016.5056464067636</v>
      </c>
      <c r="E306" s="98">
        <f t="shared" si="31"/>
        <v>5968.7159958988059</v>
      </c>
      <c r="F306" s="98">
        <f t="shared" si="28"/>
        <v>7985.2216423055688</v>
      </c>
      <c r="G306" s="98">
        <f t="shared" si="32"/>
        <v>477992.63914172311</v>
      </c>
    </row>
    <row r="307" spans="1:7" x14ac:dyDescent="0.2">
      <c r="A307">
        <f t="shared" si="27"/>
        <v>25</v>
      </c>
      <c r="B307">
        <v>292</v>
      </c>
      <c r="C307" s="98">
        <f t="shared" si="29"/>
        <v>477992.63914172311</v>
      </c>
      <c r="D307" s="98">
        <f t="shared" si="30"/>
        <v>1991.6359964238516</v>
      </c>
      <c r="E307" s="98">
        <f t="shared" si="31"/>
        <v>5993.585645881717</v>
      </c>
      <c r="F307" s="98">
        <f t="shared" si="28"/>
        <v>7985.2216423055688</v>
      </c>
      <c r="G307" s="98">
        <f t="shared" si="32"/>
        <v>471999.05349584139</v>
      </c>
    </row>
    <row r="308" spans="1:7" x14ac:dyDescent="0.2">
      <c r="A308">
        <f t="shared" si="27"/>
        <v>25</v>
      </c>
      <c r="B308">
        <v>293</v>
      </c>
      <c r="C308" s="98">
        <f t="shared" si="29"/>
        <v>471999.05349584139</v>
      </c>
      <c r="D308" s="98">
        <f t="shared" si="30"/>
        <v>1966.6627228993441</v>
      </c>
      <c r="E308" s="98">
        <f t="shared" si="31"/>
        <v>6018.558919406224</v>
      </c>
      <c r="F308" s="98">
        <f t="shared" si="28"/>
        <v>7985.2216423055688</v>
      </c>
      <c r="G308" s="98">
        <f t="shared" si="32"/>
        <v>465980.49457643519</v>
      </c>
    </row>
    <row r="309" spans="1:7" x14ac:dyDescent="0.2">
      <c r="A309">
        <f t="shared" si="27"/>
        <v>25</v>
      </c>
      <c r="B309">
        <v>294</v>
      </c>
      <c r="C309" s="98">
        <f t="shared" si="29"/>
        <v>465980.49457643519</v>
      </c>
      <c r="D309" s="98">
        <f t="shared" si="30"/>
        <v>1941.5853940684847</v>
      </c>
      <c r="E309" s="98">
        <f t="shared" si="31"/>
        <v>6043.6362482370841</v>
      </c>
      <c r="F309" s="98">
        <f t="shared" si="28"/>
        <v>7985.2216423055688</v>
      </c>
      <c r="G309" s="98">
        <f t="shared" si="32"/>
        <v>459936.85832819808</v>
      </c>
    </row>
    <row r="310" spans="1:7" x14ac:dyDescent="0.2">
      <c r="A310">
        <f t="shared" si="27"/>
        <v>25</v>
      </c>
      <c r="B310">
        <v>295</v>
      </c>
      <c r="C310" s="98">
        <f t="shared" si="29"/>
        <v>459936.85832819808</v>
      </c>
      <c r="D310" s="98">
        <f t="shared" si="30"/>
        <v>1916.4035763674967</v>
      </c>
      <c r="E310" s="98">
        <f t="shared" si="31"/>
        <v>6068.8180659380723</v>
      </c>
      <c r="F310" s="98">
        <f t="shared" si="28"/>
        <v>7985.2216423055688</v>
      </c>
      <c r="G310" s="98">
        <f t="shared" si="32"/>
        <v>453868.04026226001</v>
      </c>
    </row>
    <row r="311" spans="1:7" x14ac:dyDescent="0.2">
      <c r="A311">
        <f t="shared" si="27"/>
        <v>25</v>
      </c>
      <c r="B311">
        <v>296</v>
      </c>
      <c r="C311" s="98">
        <f t="shared" si="29"/>
        <v>453868.04026226001</v>
      </c>
      <c r="D311" s="98">
        <f t="shared" si="30"/>
        <v>1891.1168344260884</v>
      </c>
      <c r="E311" s="98">
        <f t="shared" si="31"/>
        <v>6094.1048078794811</v>
      </c>
      <c r="F311" s="98">
        <f t="shared" si="28"/>
        <v>7985.2216423055688</v>
      </c>
      <c r="G311" s="98">
        <f t="shared" si="32"/>
        <v>447773.93545438052</v>
      </c>
    </row>
    <row r="312" spans="1:7" x14ac:dyDescent="0.2">
      <c r="A312">
        <f t="shared" si="27"/>
        <v>25</v>
      </c>
      <c r="B312">
        <v>297</v>
      </c>
      <c r="C312" s="98">
        <f t="shared" si="29"/>
        <v>447773.93545438052</v>
      </c>
      <c r="D312" s="98">
        <f t="shared" si="30"/>
        <v>1865.7247310599241</v>
      </c>
      <c r="E312" s="98">
        <f t="shared" si="31"/>
        <v>6119.4969112456447</v>
      </c>
      <c r="F312" s="98">
        <f t="shared" si="28"/>
        <v>7985.2216423055688</v>
      </c>
      <c r="G312" s="98">
        <f t="shared" si="32"/>
        <v>441654.43854313489</v>
      </c>
    </row>
    <row r="313" spans="1:7" x14ac:dyDescent="0.2">
      <c r="A313">
        <f t="shared" si="27"/>
        <v>25</v>
      </c>
      <c r="B313">
        <v>298</v>
      </c>
      <c r="C313" s="98">
        <f t="shared" si="29"/>
        <v>441654.43854313489</v>
      </c>
      <c r="D313" s="98">
        <f t="shared" si="30"/>
        <v>1840.2268272630677</v>
      </c>
      <c r="E313" s="98">
        <f t="shared" si="31"/>
        <v>6144.9948150425016</v>
      </c>
      <c r="F313" s="98">
        <f t="shared" si="28"/>
        <v>7985.2216423055688</v>
      </c>
      <c r="G313" s="98">
        <f t="shared" si="32"/>
        <v>435509.44372809242</v>
      </c>
    </row>
    <row r="314" spans="1:7" x14ac:dyDescent="0.2">
      <c r="A314">
        <f t="shared" si="27"/>
        <v>25</v>
      </c>
      <c r="B314">
        <v>299</v>
      </c>
      <c r="C314" s="98">
        <f t="shared" si="29"/>
        <v>435509.44372809242</v>
      </c>
      <c r="D314" s="98">
        <f t="shared" si="30"/>
        <v>1814.6226822003903</v>
      </c>
      <c r="E314" s="98">
        <f t="shared" si="31"/>
        <v>6170.5989601051788</v>
      </c>
      <c r="F314" s="98">
        <f t="shared" si="28"/>
        <v>7985.2216423055688</v>
      </c>
      <c r="G314" s="98">
        <f t="shared" si="32"/>
        <v>429338.84476798726</v>
      </c>
    </row>
    <row r="315" spans="1:7" x14ac:dyDescent="0.2">
      <c r="A315">
        <f t="shared" si="27"/>
        <v>25</v>
      </c>
      <c r="B315">
        <v>300</v>
      </c>
      <c r="C315" s="98">
        <f t="shared" si="29"/>
        <v>429338.84476798726</v>
      </c>
      <c r="D315" s="98">
        <f t="shared" si="30"/>
        <v>1788.911853199952</v>
      </c>
      <c r="E315" s="98">
        <f t="shared" si="31"/>
        <v>6196.3097891056159</v>
      </c>
      <c r="F315" s="98">
        <f t="shared" si="28"/>
        <v>7985.2216423055688</v>
      </c>
      <c r="G315" s="98">
        <f t="shared" si="32"/>
        <v>423142.53497888165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F5B5-648B-7C40-A2F9-0E7D7063E061}">
  <dimension ref="A1:F29"/>
  <sheetViews>
    <sheetView workbookViewId="0">
      <selection activeCell="F15" sqref="F15"/>
    </sheetView>
  </sheetViews>
  <sheetFormatPr baseColWidth="10" defaultRowHeight="16" x14ac:dyDescent="0.2"/>
  <cols>
    <col min="1" max="1" width="24.33203125" customWidth="1"/>
    <col min="2" max="2" width="37.1640625" customWidth="1"/>
    <col min="5" max="5" width="16.83203125" customWidth="1"/>
    <col min="6" max="6" width="24.5" customWidth="1"/>
  </cols>
  <sheetData>
    <row r="1" spans="1:6" ht="22" thickBot="1" x14ac:dyDescent="0.3">
      <c r="A1" s="164" t="s">
        <v>170</v>
      </c>
      <c r="B1" s="165"/>
      <c r="C1" s="165"/>
      <c r="D1" s="165"/>
      <c r="E1" s="165"/>
      <c r="F1" s="166"/>
    </row>
    <row r="2" spans="1:6" x14ac:dyDescent="0.2">
      <c r="A2" s="9" t="str">
        <f>ASSUMPTIONS!A99</f>
        <v>Land and Exisiting Building</v>
      </c>
      <c r="F2" s="5"/>
    </row>
    <row r="3" spans="1:6" x14ac:dyDescent="0.2">
      <c r="B3" t="str">
        <f>ASSUMPTIONS!B100</f>
        <v>Acquistion Cost</v>
      </c>
      <c r="C3" s="15">
        <f>ASSUMPTIONS!C100</f>
        <v>1105.9479553903345</v>
      </c>
      <c r="D3" t="s">
        <v>135</v>
      </c>
      <c r="F3" s="109">
        <f>ASSUMPTIONS!F100</f>
        <v>5950000</v>
      </c>
    </row>
    <row r="4" spans="1:6" x14ac:dyDescent="0.2">
      <c r="F4" s="5"/>
    </row>
    <row r="5" spans="1:6" x14ac:dyDescent="0.2">
      <c r="A5" s="9" t="str">
        <f>ASSUMPTIONS!A101</f>
        <v>Soft Costs</v>
      </c>
      <c r="F5" s="5"/>
    </row>
    <row r="6" spans="1:6" x14ac:dyDescent="0.2">
      <c r="B6" t="str" cm="1">
        <f t="array" ref="B6:B15">ASSUMPTIONS!B102:B111</f>
        <v>Architectural Fees</v>
      </c>
      <c r="C6" s="110" cm="1">
        <f t="array" ref="C6:C8">ASSUMPTIONS!C102:C104</f>
        <v>5.0000000000000001E-4</v>
      </c>
      <c r="E6" s="15" cm="1">
        <f t="array" ref="E6:E14">ASSUMPTIONS!E102:E110</f>
        <v>2975</v>
      </c>
      <c r="F6" s="5"/>
    </row>
    <row r="7" spans="1:6" x14ac:dyDescent="0.2">
      <c r="B7" t="str">
        <v>Engineering Fees</v>
      </c>
      <c r="C7" s="110">
        <v>5.0000000000000001E-4</v>
      </c>
      <c r="E7" s="111">
        <v>2975</v>
      </c>
      <c r="F7" s="5"/>
    </row>
    <row r="8" spans="1:6" x14ac:dyDescent="0.2">
      <c r="B8" t="str">
        <v>Acquistion Fees</v>
      </c>
      <c r="C8" s="112">
        <v>0.03</v>
      </c>
      <c r="E8" s="111">
        <v>178500</v>
      </c>
      <c r="F8" s="5"/>
    </row>
    <row r="9" spans="1:6" x14ac:dyDescent="0.2">
      <c r="B9" t="str">
        <v>Consultants</v>
      </c>
      <c r="C9" s="113"/>
      <c r="E9">
        <v>5000</v>
      </c>
      <c r="F9" s="5"/>
    </row>
    <row r="10" spans="1:6" x14ac:dyDescent="0.2">
      <c r="B10" t="str">
        <v>Apprasial Fees</v>
      </c>
      <c r="E10">
        <v>2000</v>
      </c>
      <c r="F10" s="5"/>
    </row>
    <row r="11" spans="1:6" x14ac:dyDescent="0.2">
      <c r="B11" t="str">
        <v>Legal and Accounting Fees</v>
      </c>
      <c r="E11">
        <v>10000</v>
      </c>
      <c r="F11" s="5"/>
    </row>
    <row r="12" spans="1:6" x14ac:dyDescent="0.2">
      <c r="B12" t="str">
        <v>Real Estate Taxes</v>
      </c>
      <c r="E12">
        <v>58927</v>
      </c>
      <c r="F12" s="5"/>
    </row>
    <row r="13" spans="1:6" x14ac:dyDescent="0.2">
      <c r="B13" t="str">
        <v>Insurance Costs</v>
      </c>
      <c r="E13">
        <v>10000</v>
      </c>
      <c r="F13" s="5"/>
    </row>
    <row r="14" spans="1:6" x14ac:dyDescent="0.2">
      <c r="B14" t="str">
        <v>Building Permit Fees</v>
      </c>
      <c r="E14">
        <v>2500</v>
      </c>
      <c r="F14" s="5"/>
    </row>
    <row r="15" spans="1:6" x14ac:dyDescent="0.2">
      <c r="A15" s="4"/>
      <c r="B15" s="4" t="str">
        <v>Contingency</v>
      </c>
      <c r="C15" s="107">
        <f>ASSUMPTIONS!C111</f>
        <v>0.05</v>
      </c>
      <c r="D15" s="4"/>
      <c r="E15" s="51">
        <f>ASSUMPTIONS!E111</f>
        <v>13643.85</v>
      </c>
      <c r="F15" s="6"/>
    </row>
    <row r="16" spans="1:6" x14ac:dyDescent="0.2">
      <c r="F16" s="109">
        <f>ASSUMPTIONS!F112</f>
        <v>286520.84999999998</v>
      </c>
    </row>
    <row r="17" spans="1:6" x14ac:dyDescent="0.2">
      <c r="A17" s="9" t="str">
        <f>ASSUMPTIONS!A113</f>
        <v>Direct Costs</v>
      </c>
      <c r="F17" s="5"/>
    </row>
    <row r="18" spans="1:6" x14ac:dyDescent="0.2">
      <c r="B18" t="str" cm="1">
        <f t="array" ref="B18:B19">ASSUMPTIONS!B114:B115</f>
        <v>Construction Costs</v>
      </c>
      <c r="C18" cm="1">
        <f t="array" ref="C18:C19">ASSUMPTIONS!C114:C115</f>
        <v>5</v>
      </c>
      <c r="D18" t="s">
        <v>135</v>
      </c>
      <c r="E18" cm="1">
        <f t="array" ref="E18:E19">ASSUMPTIONS!E114:E115</f>
        <v>26900</v>
      </c>
      <c r="F18" s="5"/>
    </row>
    <row r="19" spans="1:6" x14ac:dyDescent="0.2">
      <c r="A19" s="4"/>
      <c r="B19" s="4" t="str">
        <v>Contigency</v>
      </c>
      <c r="C19" s="96">
        <v>0.1</v>
      </c>
      <c r="D19" s="4"/>
      <c r="E19" s="4">
        <v>2690</v>
      </c>
      <c r="F19" s="6"/>
    </row>
    <row r="20" spans="1:6" x14ac:dyDescent="0.2">
      <c r="F20" s="114">
        <f>ASSUMPTIONS!F116</f>
        <v>29590</v>
      </c>
    </row>
    <row r="21" spans="1:6" x14ac:dyDescent="0.2">
      <c r="A21" t="str">
        <f>ASSUMPTIONS!A117</f>
        <v>Financing Costs</v>
      </c>
      <c r="F21" s="5"/>
    </row>
    <row r="22" spans="1:6" x14ac:dyDescent="0.2">
      <c r="B22" t="str" cm="1">
        <f t="array" ref="B22:B23">ASSUMPTIONS!B118:B119</f>
        <v>Broker Fee</v>
      </c>
      <c r="C22" s="95" cm="1">
        <f t="array" ref="C22:C23">ASSUMPTIONS!C118:C119</f>
        <v>0.01</v>
      </c>
      <c r="E22" s="115" cm="1">
        <f t="array" ref="E22:E23">ASSUMPTIONS!E118:E119</f>
        <v>14875</v>
      </c>
      <c r="F22" s="5"/>
    </row>
    <row r="23" spans="1:6" x14ac:dyDescent="0.2">
      <c r="A23" s="4"/>
      <c r="B23" s="4" t="str">
        <v>Closing Costs</v>
      </c>
      <c r="C23" s="96">
        <v>0.03</v>
      </c>
      <c r="D23" s="4"/>
      <c r="E23" s="108">
        <v>44625</v>
      </c>
      <c r="F23" s="6"/>
    </row>
    <row r="24" spans="1:6" x14ac:dyDescent="0.2">
      <c r="F24" s="114">
        <f>ASSUMPTIONS!F120</f>
        <v>59500</v>
      </c>
    </row>
    <row r="25" spans="1:6" x14ac:dyDescent="0.2">
      <c r="A25" t="str">
        <f>ASSUMPTIONS!A121</f>
        <v>Marketing</v>
      </c>
      <c r="F25" s="5"/>
    </row>
    <row r="26" spans="1:6" x14ac:dyDescent="0.2">
      <c r="B26" t="str" cm="1">
        <f t="array" ref="B26:B27">ASSUMPTIONS!B122:B123</f>
        <v>Advertising</v>
      </c>
      <c r="E26" s="2" cm="1">
        <f t="array" ref="E26:E27">ASSUMPTIONS!E122:E123</f>
        <v>10000</v>
      </c>
      <c r="F26" s="5"/>
    </row>
    <row r="27" spans="1:6" x14ac:dyDescent="0.2">
      <c r="A27" s="4"/>
      <c r="B27" s="4" t="str">
        <v>Residential Commisions</v>
      </c>
      <c r="C27" s="107">
        <f>ASSUMPTIONS!C123</f>
        <v>0.1</v>
      </c>
      <c r="D27" s="4"/>
      <c r="E27" s="4">
        <v>29880</v>
      </c>
      <c r="F27" s="6"/>
    </row>
    <row r="28" spans="1:6" x14ac:dyDescent="0.2">
      <c r="A28" s="106"/>
      <c r="B28" s="106"/>
      <c r="C28" s="106"/>
      <c r="D28" s="106"/>
      <c r="E28" s="106"/>
      <c r="F28" s="116">
        <f>ASSUMPTIONS!F124</f>
        <v>39880</v>
      </c>
    </row>
    <row r="29" spans="1:6" x14ac:dyDescent="0.2">
      <c r="A29" s="9" t="str">
        <f>ASSUMPTIONS!A125</f>
        <v>Total Project Cost</v>
      </c>
      <c r="F29" s="114">
        <f>ASSUMPTIONS!F125</f>
        <v>6365490.8499999996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AC28-20BA-9146-91A8-A54D44F4E347}">
  <dimension ref="A1:B10"/>
  <sheetViews>
    <sheetView zoomScale="103" workbookViewId="0">
      <selection activeCell="A20" sqref="A20"/>
    </sheetView>
  </sheetViews>
  <sheetFormatPr baseColWidth="10" defaultRowHeight="16" x14ac:dyDescent="0.2"/>
  <cols>
    <col min="1" max="1" width="23.33203125" customWidth="1"/>
    <col min="2" max="2" width="14" bestFit="1" customWidth="1"/>
  </cols>
  <sheetData>
    <row r="1" spans="1:2" x14ac:dyDescent="0.2">
      <c r="A1" s="167" t="s">
        <v>201</v>
      </c>
      <c r="B1" s="168"/>
    </row>
    <row r="2" spans="1:2" x14ac:dyDescent="0.2">
      <c r="B2" s="5"/>
    </row>
    <row r="3" spans="1:2" ht="17" thickBot="1" x14ac:dyDescent="0.25">
      <c r="A3" s="12" t="s">
        <v>202</v>
      </c>
      <c r="B3" s="137">
        <f>'OPERATING STATEMENT'!M25/ASSUMPTIONS!B137</f>
        <v>5456768.1830371469</v>
      </c>
    </row>
    <row r="4" spans="1:2" x14ac:dyDescent="0.2">
      <c r="B4" s="5"/>
    </row>
    <row r="5" spans="1:2" x14ac:dyDescent="0.2">
      <c r="A5" t="s">
        <v>203</v>
      </c>
      <c r="B5" s="138">
        <f>B3</f>
        <v>5456768.1830371469</v>
      </c>
    </row>
    <row r="6" spans="1:2" x14ac:dyDescent="0.2">
      <c r="A6" s="42" t="s">
        <v>204</v>
      </c>
      <c r="B6" s="138">
        <f>B5*ASSUMPTIONS!B138</f>
        <v>272838.40915185737</v>
      </c>
    </row>
    <row r="7" spans="1:2" x14ac:dyDescent="0.2">
      <c r="A7" s="36" t="s">
        <v>205</v>
      </c>
      <c r="B7" s="139">
        <f>B5*ASSUMPTIONS!B139</f>
        <v>163703.0454911144</v>
      </c>
    </row>
    <row r="8" spans="1:2" x14ac:dyDescent="0.2">
      <c r="A8" s="9" t="s">
        <v>206</v>
      </c>
      <c r="B8" s="126">
        <f>B5-B6-B7</f>
        <v>5020226.7283941749</v>
      </c>
    </row>
    <row r="9" spans="1:2" x14ac:dyDescent="0.2">
      <c r="A9" s="36" t="s">
        <v>207</v>
      </c>
      <c r="B9" s="140">
        <f>'Debt Financing'!G135</f>
        <v>1209963.2093182073</v>
      </c>
    </row>
    <row r="10" spans="1:2" x14ac:dyDescent="0.2">
      <c r="A10" s="141" t="s">
        <v>208</v>
      </c>
      <c r="B10" s="116">
        <f>B8-B9</f>
        <v>3810263.5190759674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366B-33F9-7A4E-B6FB-1E4B02BEFD72}">
  <dimension ref="A2:K61"/>
  <sheetViews>
    <sheetView zoomScaleNormal="100" workbookViewId="0">
      <selection activeCell="D12" sqref="D12"/>
    </sheetView>
  </sheetViews>
  <sheetFormatPr baseColWidth="10" defaultRowHeight="16" x14ac:dyDescent="0.2"/>
  <cols>
    <col min="1" max="1" width="27.83203125" customWidth="1"/>
    <col min="2" max="2" width="26.1640625" customWidth="1"/>
    <col min="3" max="3" width="31.1640625" customWidth="1"/>
    <col min="4" max="10" width="12.5" bestFit="1" customWidth="1"/>
    <col min="11" max="11" width="14" bestFit="1" customWidth="1"/>
  </cols>
  <sheetData>
    <row r="2" spans="1:11" ht="17" thickBot="1" x14ac:dyDescent="0.25">
      <c r="A2" s="132" t="s">
        <v>187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7" thickTop="1" x14ac:dyDescent="0.2">
      <c r="A3" s="133" t="s">
        <v>162</v>
      </c>
      <c r="B3" s="133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</row>
    <row r="4" spans="1:11" x14ac:dyDescent="0.2">
      <c r="A4" s="10" t="s">
        <v>188</v>
      </c>
      <c r="B4" s="99"/>
    </row>
    <row r="5" spans="1:11" x14ac:dyDescent="0.2">
      <c r="A5" s="42" t="s">
        <v>144</v>
      </c>
      <c r="B5" s="99">
        <f>ASSUMPTIONS!F125</f>
        <v>6365490.8499999996</v>
      </c>
    </row>
    <row r="6" spans="1:11" x14ac:dyDescent="0.2">
      <c r="A6" s="10" t="s">
        <v>191</v>
      </c>
    </row>
    <row r="7" spans="1:11" x14ac:dyDescent="0.2">
      <c r="A7" s="42" t="s">
        <v>189</v>
      </c>
      <c r="B7" s="99">
        <f>'OPERATING STATEMENT'!C25</f>
        <v>162413.91999999998</v>
      </c>
      <c r="C7" s="99">
        <f>'OPERATING STATEMENT'!D25</f>
        <v>167286.33760000003</v>
      </c>
      <c r="D7" s="99">
        <f>'OPERATING STATEMENT'!E25</f>
        <v>172304.92772800001</v>
      </c>
      <c r="E7" s="99">
        <f>'OPERATING STATEMENT'!F25</f>
        <v>177474.07555984001</v>
      </c>
      <c r="F7" s="99">
        <f>'OPERATING STATEMENT'!G25</f>
        <v>182798.29782663519</v>
      </c>
      <c r="G7" s="99">
        <f>'OPERATING STATEMENT'!H25</f>
        <v>188282.24676143422</v>
      </c>
      <c r="H7" s="99">
        <f>'OPERATING STATEMENT'!I25</f>
        <v>193930.71416427728</v>
      </c>
      <c r="I7" s="99">
        <f>'OPERATING STATEMENT'!J25</f>
        <v>199748.63558920557</v>
      </c>
      <c r="J7" s="99">
        <f>'OPERATING STATEMENT'!K25</f>
        <v>205741.09465688176</v>
      </c>
      <c r="K7" s="99">
        <f>'OPERATING STATEMENT'!L25</f>
        <v>211913.32749658829</v>
      </c>
    </row>
    <row r="8" spans="1:11" x14ac:dyDescent="0.2">
      <c r="A8" s="36" t="s">
        <v>190</v>
      </c>
      <c r="B8" s="4"/>
      <c r="C8" s="4"/>
      <c r="D8" s="4"/>
      <c r="E8" s="4"/>
      <c r="F8" s="4"/>
      <c r="G8" s="4"/>
      <c r="H8" s="4"/>
      <c r="I8" s="4"/>
      <c r="J8" s="4"/>
      <c r="K8" s="108">
        <f>'Sale of Property'!B8</f>
        <v>5020226.7283941749</v>
      </c>
    </row>
    <row r="9" spans="1:11" x14ac:dyDescent="0.2">
      <c r="A9" s="134" t="s">
        <v>192</v>
      </c>
      <c r="B9" s="100">
        <f>SUM(B7:B8)</f>
        <v>162413.91999999998</v>
      </c>
      <c r="C9" s="100">
        <f t="shared" ref="C9:K9" si="0">SUM(C7:C8)</f>
        <v>167286.33760000003</v>
      </c>
      <c r="D9" s="100">
        <f t="shared" si="0"/>
        <v>172304.92772800001</v>
      </c>
      <c r="E9" s="100">
        <f t="shared" si="0"/>
        <v>177474.07555984001</v>
      </c>
      <c r="F9" s="100">
        <f t="shared" si="0"/>
        <v>182798.29782663519</v>
      </c>
      <c r="G9" s="100">
        <f t="shared" si="0"/>
        <v>188282.24676143422</v>
      </c>
      <c r="H9" s="100">
        <f t="shared" si="0"/>
        <v>193930.71416427728</v>
      </c>
      <c r="I9" s="100">
        <f t="shared" si="0"/>
        <v>199748.63558920557</v>
      </c>
      <c r="J9" s="100">
        <f t="shared" si="0"/>
        <v>205741.09465688176</v>
      </c>
      <c r="K9" s="100">
        <f t="shared" si="0"/>
        <v>5232140.0558907632</v>
      </c>
    </row>
    <row r="12" spans="1:11" x14ac:dyDescent="0.2">
      <c r="A12" s="94" t="s">
        <v>193</v>
      </c>
    </row>
    <row r="13" spans="1:11" x14ac:dyDescent="0.2">
      <c r="A13" t="s">
        <v>194</v>
      </c>
      <c r="B13" t="s">
        <v>195</v>
      </c>
      <c r="C13" t="s">
        <v>196</v>
      </c>
    </row>
    <row r="14" spans="1:11" x14ac:dyDescent="0.2">
      <c r="A14" s="91">
        <v>0.04</v>
      </c>
      <c r="B14" s="98">
        <f>NPV($A14,B$9:K$9)</f>
        <v>4887289.04889045</v>
      </c>
      <c r="C14" s="102">
        <f>$B$9/$B14</f>
        <v>3.323190389913043E-2</v>
      </c>
    </row>
    <row r="15" spans="1:11" x14ac:dyDescent="0.2">
      <c r="A15" s="91">
        <v>0.05</v>
      </c>
      <c r="B15" s="98">
        <f t="shared" ref="B15:B30" si="1">NPV($A15,B$9:K$9)</f>
        <v>4502715.106208683</v>
      </c>
      <c r="C15" s="102">
        <f t="shared" ref="C15:C30" si="2">$B$9/$B15</f>
        <v>3.6070219005428839E-2</v>
      </c>
    </row>
    <row r="16" spans="1:11" x14ac:dyDescent="0.2">
      <c r="A16" s="91">
        <v>0.06</v>
      </c>
      <c r="B16" s="98">
        <f t="shared" si="1"/>
        <v>4154357.9144055876</v>
      </c>
      <c r="C16" s="102">
        <f t="shared" si="2"/>
        <v>3.9094830861061823E-2</v>
      </c>
    </row>
    <row r="17" spans="1:3" x14ac:dyDescent="0.2">
      <c r="A17" s="91">
        <v>7.0000000000000007E-2</v>
      </c>
      <c r="B17" s="98">
        <f t="shared" si="1"/>
        <v>3838432.4605447836</v>
      </c>
      <c r="C17" s="102">
        <f t="shared" si="2"/>
        <v>4.2312564222361959E-2</v>
      </c>
    </row>
    <row r="18" spans="1:3" x14ac:dyDescent="0.2">
      <c r="A18" s="91">
        <v>0.08</v>
      </c>
      <c r="B18" s="98">
        <f t="shared" si="1"/>
        <v>3551583.1386044584</v>
      </c>
      <c r="C18" s="102">
        <f t="shared" si="2"/>
        <v>4.5730006496150367E-2</v>
      </c>
    </row>
    <row r="19" spans="1:3" x14ac:dyDescent="0.2">
      <c r="A19" s="91">
        <v>0.09</v>
      </c>
      <c r="B19" s="98">
        <f t="shared" si="1"/>
        <v>3290831.4556473242</v>
      </c>
      <c r="C19" s="102">
        <f t="shared" si="2"/>
        <v>4.9353460421464303E-2</v>
      </c>
    </row>
    <row r="20" spans="1:3" x14ac:dyDescent="0.2">
      <c r="A20" s="91">
        <v>0.1</v>
      </c>
      <c r="B20" s="98">
        <f t="shared" si="1"/>
        <v>3053530.5237228298</v>
      </c>
      <c r="C20" s="102">
        <f t="shared" si="2"/>
        <v>5.3188896832112482E-2</v>
      </c>
    </row>
    <row r="21" spans="1:3" x14ac:dyDescent="0.2">
      <c r="A21" s="91">
        <v>0.11</v>
      </c>
      <c r="B21" s="98">
        <f t="shared" si="1"/>
        <v>2837325.4045011331</v>
      </c>
      <c r="C21" s="102">
        <f t="shared" si="2"/>
        <v>5.7241908080880158E-2</v>
      </c>
    </row>
    <row r="22" spans="1:3" x14ac:dyDescent="0.2">
      <c r="A22" s="91">
        <v>0.12</v>
      </c>
      <c r="B22" s="98">
        <f t="shared" si="1"/>
        <v>2640118.508952369</v>
      </c>
      <c r="C22" s="102">
        <f t="shared" si="2"/>
        <v>6.1517662729635492E-2</v>
      </c>
    </row>
    <row r="23" spans="1:3" x14ac:dyDescent="0.2">
      <c r="A23" s="91">
        <v>0.13</v>
      </c>
      <c r="B23" s="98">
        <f t="shared" si="1"/>
        <v>2460039.3690770199</v>
      </c>
      <c r="C23" s="102">
        <f t="shared" si="2"/>
        <v>6.6020862121786261E-2</v>
      </c>
    </row>
    <row r="24" spans="1:3" x14ac:dyDescent="0.2">
      <c r="A24" s="91">
        <v>0.14000000000000001</v>
      </c>
      <c r="B24" s="98">
        <f t="shared" si="1"/>
        <v>2295418.1960551096</v>
      </c>
      <c r="C24" s="102">
        <f t="shared" si="2"/>
        <v>7.0755699453425719E-2</v>
      </c>
    </row>
    <row r="25" spans="1:3" x14ac:dyDescent="0.2">
      <c r="A25" s="91">
        <v>0.15</v>
      </c>
      <c r="B25" s="98">
        <f t="shared" si="1"/>
        <v>2144762.7219568561</v>
      </c>
      <c r="C25" s="102">
        <f t="shared" si="2"/>
        <v>7.5725821946315552E-2</v>
      </c>
    </row>
    <row r="26" spans="1:3" x14ac:dyDescent="0.2">
      <c r="A26" s="91">
        <v>0.16</v>
      </c>
      <c r="B26" s="98">
        <f t="shared" si="1"/>
        <v>2006737.8926339753</v>
      </c>
      <c r="C26" s="102">
        <f t="shared" si="2"/>
        <v>8.0934296699217187E-2</v>
      </c>
    </row>
    <row r="27" spans="1:3" x14ac:dyDescent="0.2">
      <c r="A27" s="91">
        <v>0.17</v>
      </c>
      <c r="B27" s="98">
        <f t="shared" si="1"/>
        <v>1880148.0395044831</v>
      </c>
      <c r="C27" s="102">
        <f t="shared" si="2"/>
        <v>8.6383580753994507E-2</v>
      </c>
    </row>
    <row r="28" spans="1:3" x14ac:dyDescent="0.2">
      <c r="A28" s="91">
        <v>0.18</v>
      </c>
      <c r="B28" s="98">
        <f t="shared" si="1"/>
        <v>1763921.2092559042</v>
      </c>
      <c r="C28" s="102">
        <f t="shared" si="2"/>
        <v>9.2075495859881964E-2</v>
      </c>
    </row>
    <row r="29" spans="1:3" x14ac:dyDescent="0.2">
      <c r="A29" s="91">
        <v>0.19</v>
      </c>
      <c r="B29" s="98">
        <f t="shared" si="1"/>
        <v>1657095.3743682376</v>
      </c>
      <c r="C29" s="102">
        <f t="shared" si="2"/>
        <v>9.8011208354208207E-2</v>
      </c>
    </row>
    <row r="30" spans="1:3" x14ac:dyDescent="0.2">
      <c r="A30" s="91">
        <v>0.2</v>
      </c>
      <c r="B30" s="98">
        <f t="shared" si="1"/>
        <v>1558806.2849270308</v>
      </c>
      <c r="C30" s="102">
        <f t="shared" si="2"/>
        <v>0.10419121450206542</v>
      </c>
    </row>
    <row r="33" spans="1:11" ht="17" thickBot="1" x14ac:dyDescent="0.25">
      <c r="A33" s="132" t="s">
        <v>197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7" thickTop="1" x14ac:dyDescent="0.2">
      <c r="A34" s="133" t="s">
        <v>162</v>
      </c>
      <c r="B34" s="133">
        <v>1</v>
      </c>
      <c r="C34" s="133">
        <v>2</v>
      </c>
      <c r="D34" s="133">
        <v>3</v>
      </c>
      <c r="E34" s="133">
        <v>4</v>
      </c>
      <c r="F34" s="133">
        <v>5</v>
      </c>
      <c r="G34" s="133">
        <v>6</v>
      </c>
      <c r="H34" s="133">
        <v>7</v>
      </c>
      <c r="I34" s="133">
        <v>8</v>
      </c>
      <c r="J34" s="133">
        <v>9</v>
      </c>
      <c r="K34" s="133">
        <v>10</v>
      </c>
    </row>
    <row r="35" spans="1:11" x14ac:dyDescent="0.2">
      <c r="A35" s="10" t="s">
        <v>188</v>
      </c>
      <c r="B35" s="99">
        <f>ASSUMPTIONS!F125</f>
        <v>6365490.8499999996</v>
      </c>
    </row>
    <row r="36" spans="1:11" x14ac:dyDescent="0.2">
      <c r="A36" s="42" t="s">
        <v>144</v>
      </c>
    </row>
    <row r="37" spans="1:11" x14ac:dyDescent="0.2">
      <c r="A37" s="42" t="s">
        <v>161</v>
      </c>
      <c r="B37" s="99">
        <f>'Debt Financing'!B4</f>
        <v>95822.659707666811</v>
      </c>
      <c r="C37" s="99">
        <f>'Debt Financing'!C4</f>
        <v>95822.659707666826</v>
      </c>
      <c r="D37" s="99">
        <f>'Debt Financing'!D4</f>
        <v>95822.659707666826</v>
      </c>
      <c r="E37" s="99">
        <f>'Debt Financing'!E4</f>
        <v>95822.659707666826</v>
      </c>
      <c r="F37" s="99">
        <f>'Debt Financing'!F4</f>
        <v>95822.65970766684</v>
      </c>
      <c r="G37" s="99">
        <f>'Debt Financing'!G4</f>
        <v>95822.65970766684</v>
      </c>
      <c r="H37" s="99">
        <f>'Debt Financing'!H4</f>
        <v>95822.659707666826</v>
      </c>
      <c r="I37" s="99">
        <f>'Debt Financing'!I4</f>
        <v>95822.65970766684</v>
      </c>
      <c r="J37" s="99">
        <f>'Debt Financing'!J4</f>
        <v>95822.659707666826</v>
      </c>
      <c r="K37" s="99">
        <f>'Debt Financing'!K4</f>
        <v>95822.65970766684</v>
      </c>
    </row>
    <row r="38" spans="1:11" x14ac:dyDescent="0.2">
      <c r="A38" s="10" t="s">
        <v>198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</row>
    <row r="39" spans="1:11" x14ac:dyDescent="0.2">
      <c r="A39" s="42" t="s">
        <v>189</v>
      </c>
      <c r="B39" s="99">
        <f>'OPERATING STATEMENT'!C25</f>
        <v>162413.91999999998</v>
      </c>
      <c r="C39" s="99">
        <f>'OPERATING STATEMENT'!D25</f>
        <v>167286.33760000003</v>
      </c>
      <c r="D39" s="99">
        <f>'OPERATING STATEMENT'!E25</f>
        <v>172304.92772800001</v>
      </c>
      <c r="E39" s="99">
        <f>'OPERATING STATEMENT'!F25</f>
        <v>177474.07555984001</v>
      </c>
      <c r="F39" s="99">
        <f>'OPERATING STATEMENT'!G25</f>
        <v>182798.29782663519</v>
      </c>
      <c r="G39" s="99">
        <f>'OPERATING STATEMENT'!H25</f>
        <v>188282.24676143422</v>
      </c>
      <c r="H39" s="99">
        <f>'OPERATING STATEMENT'!I25</f>
        <v>193930.71416427728</v>
      </c>
      <c r="I39" s="99">
        <f>'OPERATING STATEMENT'!J25</f>
        <v>199748.63558920557</v>
      </c>
      <c r="J39" s="99">
        <f>'OPERATING STATEMENT'!K25</f>
        <v>205741.09465688176</v>
      </c>
      <c r="K39" s="99">
        <f>'OPERATING STATEMENT'!L25</f>
        <v>211913.32749658829</v>
      </c>
    </row>
    <row r="40" spans="1:11" x14ac:dyDescent="0.2">
      <c r="A40" s="36" t="s">
        <v>190</v>
      </c>
      <c r="B40" s="4"/>
      <c r="C40" s="4"/>
      <c r="D40" s="4"/>
      <c r="E40" s="4"/>
      <c r="F40" s="4"/>
      <c r="G40" s="4"/>
      <c r="H40" s="4"/>
      <c r="I40" s="4"/>
      <c r="J40" s="4"/>
      <c r="K40" s="105">
        <f>'Sale of Property'!B10</f>
        <v>3810263.5190759674</v>
      </c>
    </row>
    <row r="41" spans="1:11" x14ac:dyDescent="0.2">
      <c r="A41" s="134" t="s">
        <v>192</v>
      </c>
      <c r="B41" s="100">
        <f>(B$39+B$40)-B$37</f>
        <v>66591.260292333172</v>
      </c>
      <c r="C41" s="100">
        <f t="shared" ref="C41:K41" si="3">(C$39+C$40)-C$37</f>
        <v>71463.677892333202</v>
      </c>
      <c r="D41" s="100">
        <f t="shared" si="3"/>
        <v>76482.268020333184</v>
      </c>
      <c r="E41" s="100">
        <f t="shared" si="3"/>
        <v>81651.415852173188</v>
      </c>
      <c r="F41" s="100">
        <f t="shared" si="3"/>
        <v>86975.638118968345</v>
      </c>
      <c r="G41" s="100">
        <f t="shared" si="3"/>
        <v>92459.587053767376</v>
      </c>
      <c r="H41" s="100">
        <f t="shared" si="3"/>
        <v>98108.054456610451</v>
      </c>
      <c r="I41" s="100">
        <f t="shared" si="3"/>
        <v>103925.97588153873</v>
      </c>
      <c r="J41" s="100">
        <f t="shared" si="3"/>
        <v>109918.43494921493</v>
      </c>
      <c r="K41" s="100">
        <f t="shared" si="3"/>
        <v>3926354.1868648888</v>
      </c>
    </row>
    <row r="44" spans="1:11" x14ac:dyDescent="0.2">
      <c r="A44" s="94" t="s">
        <v>193</v>
      </c>
    </row>
    <row r="45" spans="1:11" x14ac:dyDescent="0.2">
      <c r="A45" t="s">
        <v>194</v>
      </c>
      <c r="B45" t="s">
        <v>195</v>
      </c>
      <c r="C45" t="s">
        <v>199</v>
      </c>
    </row>
    <row r="46" spans="1:11" x14ac:dyDescent="0.2">
      <c r="A46" s="91">
        <v>0.1</v>
      </c>
      <c r="B46" s="98">
        <f>NPV(A46,B$41:K$41)</f>
        <v>1998248.5650927124</v>
      </c>
      <c r="C46" s="98">
        <f>$B46+'Debt Financing'!B7</f>
        <v>3485748.5650927126</v>
      </c>
    </row>
    <row r="47" spans="1:11" x14ac:dyDescent="0.2">
      <c r="A47" s="91">
        <v>0.11</v>
      </c>
      <c r="B47" s="98">
        <f t="shared" ref="B47:B61" si="4">NPV(A47,B$41:K$41)</f>
        <v>1846873.2673480364</v>
      </c>
      <c r="C47" s="98">
        <f>$B47+'Debt Financing'!B8</f>
        <v>1846873.2673480364</v>
      </c>
    </row>
    <row r="48" spans="1:11" x14ac:dyDescent="0.2">
      <c r="A48" s="91">
        <v>0.12</v>
      </c>
      <c r="B48" s="98">
        <f t="shared" si="4"/>
        <v>1709123.3397686831</v>
      </c>
      <c r="C48" s="98">
        <f>$B48+'Debt Financing'!B9</f>
        <v>1709123.3897686831</v>
      </c>
    </row>
    <row r="49" spans="1:3" x14ac:dyDescent="0.2">
      <c r="A49" s="91">
        <v>0.13</v>
      </c>
      <c r="B49" s="98">
        <f t="shared" si="4"/>
        <v>1583641.2238634028</v>
      </c>
      <c r="C49" s="98">
        <f>$B49+'Debt Financing'!B10</f>
        <v>1583671.2238634028</v>
      </c>
    </row>
    <row r="50" spans="1:3" x14ac:dyDescent="0.2">
      <c r="A50" s="91">
        <v>0.14000000000000001</v>
      </c>
      <c r="B50" s="98">
        <f t="shared" si="4"/>
        <v>1469216.0360252783</v>
      </c>
      <c r="C50" s="98">
        <f>$B50+'Debt Financing'!B11</f>
        <v>1477201.2576675839</v>
      </c>
    </row>
    <row r="51" spans="1:3" x14ac:dyDescent="0.2">
      <c r="A51" s="91">
        <v>0.15</v>
      </c>
      <c r="B51" s="98">
        <f t="shared" si="4"/>
        <v>1364766.5634565204</v>
      </c>
      <c r="C51" s="98">
        <f>$B51+'Debt Financing'!B12</f>
        <v>1460589.2231641873</v>
      </c>
    </row>
    <row r="52" spans="1:3" x14ac:dyDescent="0.2">
      <c r="A52" s="91">
        <v>0.16</v>
      </c>
      <c r="B52" s="98">
        <f t="shared" si="4"/>
        <v>1269326.3603496884</v>
      </c>
      <c r="C52" s="98">
        <f>$B52+'Debt Financing'!B13</f>
        <v>1269326.3603496884</v>
      </c>
    </row>
    <row r="53" spans="1:3" x14ac:dyDescent="0.2">
      <c r="A53" s="91">
        <v>0.17</v>
      </c>
      <c r="B53" s="98">
        <f t="shared" si="4"/>
        <v>1182030.669433224</v>
      </c>
      <c r="C53" s="98">
        <f>$B53+'Debt Financing'!B14</f>
        <v>1182030.669433224</v>
      </c>
    </row>
    <row r="54" spans="1:3" x14ac:dyDescent="0.2">
      <c r="A54" s="91">
        <v>0.18</v>
      </c>
      <c r="B54" s="98">
        <f t="shared" si="4"/>
        <v>1102104.9319470138</v>
      </c>
      <c r="C54" s="98">
        <f>B54+'Debt Financing'!B7</f>
        <v>2589604.9319470138</v>
      </c>
    </row>
    <row r="55" spans="1:3" x14ac:dyDescent="0.2">
      <c r="A55" s="91">
        <v>0.19</v>
      </c>
      <c r="B55" s="98">
        <f t="shared" si="4"/>
        <v>1028854.6815629625</v>
      </c>
      <c r="C55" s="98">
        <f>$B55+'Debt Financing'!B16</f>
        <v>1028855.6815629625</v>
      </c>
    </row>
    <row r="56" spans="1:3" x14ac:dyDescent="0.2">
      <c r="A56" s="91">
        <v>0.2</v>
      </c>
      <c r="B56" s="98">
        <f t="shared" si="4"/>
        <v>961656.64554320148</v>
      </c>
      <c r="C56" s="98">
        <f>$B56+'Debt Financing'!B17</f>
        <v>961658.64554320148</v>
      </c>
    </row>
    <row r="57" spans="1:3" x14ac:dyDescent="0.2">
      <c r="A57" s="91">
        <v>0.21</v>
      </c>
      <c r="B57" s="98">
        <f t="shared" si="4"/>
        <v>899950.90023958997</v>
      </c>
      <c r="C57" s="98">
        <f>$B57+'Debt Financing'!B18</f>
        <v>899953.90023958997</v>
      </c>
    </row>
    <row r="58" spans="1:3" x14ac:dyDescent="0.2">
      <c r="A58" s="91">
        <v>0.22</v>
      </c>
      <c r="B58" s="98">
        <f t="shared" si="4"/>
        <v>843233.94847592385</v>
      </c>
      <c r="C58" s="98">
        <f>$B58+'Debt Financing'!B19</f>
        <v>843237.94847592385</v>
      </c>
    </row>
    <row r="59" spans="1:3" x14ac:dyDescent="0.2">
      <c r="A59" s="91">
        <v>0.23</v>
      </c>
      <c r="B59" s="98">
        <f t="shared" si="4"/>
        <v>791052.6039196013</v>
      </c>
      <c r="C59" s="98">
        <f>$B59+'Debt Financing'!B20</f>
        <v>791057.6039196013</v>
      </c>
    </row>
    <row r="60" spans="1:3" x14ac:dyDescent="0.2">
      <c r="A60" s="91">
        <v>0.24</v>
      </c>
      <c r="B60" s="98">
        <f t="shared" si="4"/>
        <v>742998.5826654823</v>
      </c>
      <c r="C60" s="98">
        <f>$B60+'Debt Financing'!B21</f>
        <v>743004.5826654823</v>
      </c>
    </row>
    <row r="61" spans="1:3" x14ac:dyDescent="0.2">
      <c r="A61" s="91">
        <v>0.25</v>
      </c>
      <c r="B61" s="98">
        <f t="shared" si="4"/>
        <v>698703.71527923306</v>
      </c>
      <c r="C61" s="98">
        <f>$B61+'Debt Financing'!B22</f>
        <v>698710.71527923306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4EF0-9430-CA42-9E5F-027159F23EA3}">
  <dimension ref="A1:L27"/>
  <sheetViews>
    <sheetView workbookViewId="0">
      <selection activeCell="B27" sqref="B27"/>
    </sheetView>
  </sheetViews>
  <sheetFormatPr baseColWidth="10" defaultRowHeight="16" x14ac:dyDescent="0.2"/>
  <cols>
    <col min="1" max="1" width="41.33203125" customWidth="1"/>
    <col min="2" max="2" width="19.1640625" bestFit="1" customWidth="1"/>
    <col min="3" max="11" width="12.5" bestFit="1" customWidth="1"/>
    <col min="12" max="12" width="14" bestFit="1" customWidth="1"/>
  </cols>
  <sheetData>
    <row r="1" spans="1:12" ht="17" thickBot="1" x14ac:dyDescent="0.25">
      <c r="A1" s="132" t="s">
        <v>187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7" thickTop="1" x14ac:dyDescent="0.2">
      <c r="A2" s="133" t="s">
        <v>162</v>
      </c>
      <c r="B2" s="133">
        <v>0</v>
      </c>
      <c r="C2" s="133">
        <v>1</v>
      </c>
      <c r="D2" s="133">
        <v>2</v>
      </c>
      <c r="E2" s="133">
        <v>3</v>
      </c>
      <c r="F2" s="133">
        <v>4</v>
      </c>
      <c r="G2" s="133">
        <v>5</v>
      </c>
      <c r="H2" s="133">
        <v>6</v>
      </c>
      <c r="I2" s="133">
        <v>7</v>
      </c>
      <c r="J2" s="133">
        <v>8</v>
      </c>
      <c r="K2" s="133">
        <v>9</v>
      </c>
      <c r="L2" s="133">
        <v>10</v>
      </c>
    </row>
    <row r="3" spans="1:12" x14ac:dyDescent="0.2">
      <c r="A3" s="142" t="s">
        <v>188</v>
      </c>
    </row>
    <row r="4" spans="1:12" x14ac:dyDescent="0.2">
      <c r="A4" s="42" t="s">
        <v>144</v>
      </c>
      <c r="B4" s="99">
        <f>-(ASSUMPTIONS!F125-ASSUMPTIONS!F120)</f>
        <v>-6305990.8499999996</v>
      </c>
    </row>
    <row r="5" spans="1:12" x14ac:dyDescent="0.2">
      <c r="A5" s="10" t="s">
        <v>198</v>
      </c>
    </row>
    <row r="6" spans="1:12" x14ac:dyDescent="0.2">
      <c r="A6" s="42" t="s">
        <v>189</v>
      </c>
      <c r="C6" s="99">
        <f>'OPERATING STATEMENT'!C25</f>
        <v>162413.91999999998</v>
      </c>
      <c r="D6" s="99">
        <f>'OPERATING STATEMENT'!D25</f>
        <v>167286.33760000003</v>
      </c>
      <c r="E6" s="99">
        <f>'OPERATING STATEMENT'!E25</f>
        <v>172304.92772800001</v>
      </c>
      <c r="F6" s="99">
        <f>'OPERATING STATEMENT'!F25</f>
        <v>177474.07555984001</v>
      </c>
      <c r="G6" s="99">
        <f>'OPERATING STATEMENT'!G25</f>
        <v>182798.29782663519</v>
      </c>
      <c r="H6" s="99">
        <f>'OPERATING STATEMENT'!H25</f>
        <v>188282.24676143422</v>
      </c>
      <c r="I6" s="99">
        <f>'OPERATING STATEMENT'!I25</f>
        <v>193930.71416427728</v>
      </c>
      <c r="J6" s="99">
        <f>'OPERATING STATEMENT'!J25</f>
        <v>199748.63558920557</v>
      </c>
      <c r="K6" s="99">
        <f>'OPERATING STATEMENT'!K25</f>
        <v>205741.09465688176</v>
      </c>
      <c r="L6" s="99">
        <f>'OPERATING STATEMENT'!L25</f>
        <v>211913.32749658829</v>
      </c>
    </row>
    <row r="7" spans="1:12" x14ac:dyDescent="0.2">
      <c r="A7" s="36" t="s">
        <v>200</v>
      </c>
      <c r="B7" s="4"/>
      <c r="C7" s="4"/>
      <c r="D7" s="4"/>
      <c r="E7" s="4"/>
      <c r="F7" s="4"/>
      <c r="G7" s="4"/>
      <c r="H7" s="4"/>
      <c r="I7" s="4"/>
      <c r="J7" s="4"/>
      <c r="K7" s="4"/>
      <c r="L7" s="108">
        <f>'Sale of Property'!B8</f>
        <v>5020226.7283941749</v>
      </c>
    </row>
    <row r="8" spans="1:12" x14ac:dyDescent="0.2">
      <c r="A8" s="134" t="s">
        <v>192</v>
      </c>
      <c r="B8" s="100">
        <f>SUM(B4:B7)</f>
        <v>-6305990.8499999996</v>
      </c>
      <c r="C8" s="100">
        <f>SUM(C6:C7)</f>
        <v>162413.91999999998</v>
      </c>
      <c r="D8" s="100">
        <f t="shared" ref="D8:L8" si="0">SUM(D6:D7)</f>
        <v>167286.33760000003</v>
      </c>
      <c r="E8" s="100">
        <f t="shared" si="0"/>
        <v>172304.92772800001</v>
      </c>
      <c r="F8" s="100">
        <f t="shared" si="0"/>
        <v>177474.07555984001</v>
      </c>
      <c r="G8" s="100">
        <f t="shared" si="0"/>
        <v>182798.29782663519</v>
      </c>
      <c r="H8" s="100">
        <f t="shared" si="0"/>
        <v>188282.24676143422</v>
      </c>
      <c r="I8" s="100">
        <f t="shared" si="0"/>
        <v>193930.71416427728</v>
      </c>
      <c r="J8" s="100">
        <f t="shared" si="0"/>
        <v>199748.63558920557</v>
      </c>
      <c r="K8" s="100">
        <f t="shared" si="0"/>
        <v>205741.09465688176</v>
      </c>
      <c r="L8" s="100">
        <f t="shared" si="0"/>
        <v>5232140.0558907632</v>
      </c>
    </row>
    <row r="10" spans="1:12" x14ac:dyDescent="0.2">
      <c r="A10" s="92" t="s">
        <v>194</v>
      </c>
      <c r="B10" s="95">
        <f>ASSUMPTIONS!B142</f>
        <v>0.1</v>
      </c>
    </row>
    <row r="11" spans="1:12" x14ac:dyDescent="0.2">
      <c r="A11" s="92" t="s">
        <v>209</v>
      </c>
      <c r="B11" s="100">
        <f>NPV(B10,C8:L8)+B8</f>
        <v>-3252460.3262771699</v>
      </c>
    </row>
    <row r="12" spans="1:12" x14ac:dyDescent="0.2">
      <c r="A12" s="42" t="s">
        <v>210</v>
      </c>
      <c r="B12" s="95">
        <f>IRR(B8:L8)</f>
        <v>9.9624749211832953E-3</v>
      </c>
    </row>
    <row r="15" spans="1:12" ht="17" thickBot="1" x14ac:dyDescent="0.25">
      <c r="A15" s="132" t="s">
        <v>197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ht="17" thickTop="1" x14ac:dyDescent="0.2">
      <c r="A16" s="133" t="s">
        <v>162</v>
      </c>
      <c r="B16" s="133">
        <v>0</v>
      </c>
      <c r="C16" s="133">
        <v>1</v>
      </c>
      <c r="D16" s="133">
        <v>2</v>
      </c>
      <c r="E16" s="133">
        <v>3</v>
      </c>
      <c r="F16" s="133">
        <v>4</v>
      </c>
      <c r="G16" s="133">
        <v>5</v>
      </c>
      <c r="H16" s="133">
        <v>6</v>
      </c>
      <c r="I16" s="133">
        <v>7</v>
      </c>
      <c r="J16" s="133">
        <v>8</v>
      </c>
      <c r="K16" s="133">
        <v>9</v>
      </c>
      <c r="L16" s="133">
        <v>10</v>
      </c>
    </row>
    <row r="17" spans="1:12" x14ac:dyDescent="0.2">
      <c r="A17" s="10" t="s">
        <v>188</v>
      </c>
    </row>
    <row r="18" spans="1:12" x14ac:dyDescent="0.2">
      <c r="A18" s="42" t="s">
        <v>105</v>
      </c>
      <c r="B18" s="143">
        <f>-(ASSUMPTIONS!F125-'Debt Financing'!B7)</f>
        <v>-4877990.8499999996</v>
      </c>
    </row>
    <row r="19" spans="1:12" x14ac:dyDescent="0.2">
      <c r="A19" t="s">
        <v>161</v>
      </c>
      <c r="C19" s="99">
        <f>-'Debt Financing'!B4</f>
        <v>-95822.659707666811</v>
      </c>
      <c r="D19" s="99">
        <f>-'Debt Financing'!C4</f>
        <v>-95822.659707666826</v>
      </c>
      <c r="E19" s="99">
        <f>-'Debt Financing'!D4</f>
        <v>-95822.659707666826</v>
      </c>
      <c r="F19" s="99">
        <f>-'Debt Financing'!E4</f>
        <v>-95822.659707666826</v>
      </c>
      <c r="G19" s="99">
        <f>-'Debt Financing'!F4</f>
        <v>-95822.65970766684</v>
      </c>
      <c r="H19" s="99">
        <f>-'Debt Financing'!G4</f>
        <v>-95822.65970766684</v>
      </c>
      <c r="I19" s="99">
        <f>-'Debt Financing'!H4</f>
        <v>-95822.659707666826</v>
      </c>
      <c r="J19" s="99">
        <f>-'Debt Financing'!I4</f>
        <v>-95822.65970766684</v>
      </c>
      <c r="K19" s="99">
        <f>-'Debt Financing'!J4</f>
        <v>-95822.659707666826</v>
      </c>
      <c r="L19" s="99">
        <f>-'Debt Financing'!K4</f>
        <v>-95822.65970766684</v>
      </c>
    </row>
    <row r="20" spans="1:12" x14ac:dyDescent="0.2">
      <c r="A20" s="10" t="s">
        <v>198</v>
      </c>
    </row>
    <row r="21" spans="1:12" x14ac:dyDescent="0.2">
      <c r="A21" s="42" t="s">
        <v>189</v>
      </c>
      <c r="C21" s="99">
        <f>'OPERATING STATEMENT'!C25</f>
        <v>162413.91999999998</v>
      </c>
      <c r="D21" s="99">
        <f>'OPERATING STATEMENT'!D25</f>
        <v>167286.33760000003</v>
      </c>
      <c r="E21" s="99">
        <f>'OPERATING STATEMENT'!E25</f>
        <v>172304.92772800001</v>
      </c>
      <c r="F21" s="99">
        <f>'OPERATING STATEMENT'!F25</f>
        <v>177474.07555984001</v>
      </c>
      <c r="G21" s="99">
        <f>'OPERATING STATEMENT'!G25</f>
        <v>182798.29782663519</v>
      </c>
      <c r="H21" s="99">
        <f>'OPERATING STATEMENT'!H25</f>
        <v>188282.24676143422</v>
      </c>
      <c r="I21" s="99">
        <f>'OPERATING STATEMENT'!I25</f>
        <v>193930.71416427728</v>
      </c>
      <c r="J21" s="99">
        <f>'OPERATING STATEMENT'!J25</f>
        <v>199748.63558920557</v>
      </c>
      <c r="K21" s="99">
        <f>'OPERATING STATEMENT'!K25</f>
        <v>205741.09465688176</v>
      </c>
      <c r="L21" s="99">
        <f>'OPERATING STATEMENT'!L25</f>
        <v>211913.32749658829</v>
      </c>
    </row>
    <row r="22" spans="1:12" x14ac:dyDescent="0.2">
      <c r="A22" s="36" t="s">
        <v>208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108">
        <f>'Sale of Property'!B10</f>
        <v>3810263.5190759674</v>
      </c>
    </row>
    <row r="23" spans="1:12" x14ac:dyDescent="0.2">
      <c r="A23" s="134" t="s">
        <v>192</v>
      </c>
      <c r="B23" s="143">
        <f>SUM(B18:B22)</f>
        <v>-4877990.8499999996</v>
      </c>
      <c r="C23" s="100">
        <f>SUM(C19:C22)</f>
        <v>66591.260292333172</v>
      </c>
      <c r="D23" s="100">
        <f t="shared" ref="D23:L23" si="1">SUM(D19:D22)</f>
        <v>71463.677892333202</v>
      </c>
      <c r="E23" s="100">
        <f t="shared" si="1"/>
        <v>76482.268020333184</v>
      </c>
      <c r="F23" s="100">
        <f t="shared" si="1"/>
        <v>81651.415852173188</v>
      </c>
      <c r="G23" s="100">
        <f t="shared" si="1"/>
        <v>86975.638118968345</v>
      </c>
      <c r="H23" s="100">
        <f t="shared" si="1"/>
        <v>92459.587053767376</v>
      </c>
      <c r="I23" s="100">
        <f t="shared" si="1"/>
        <v>98108.054456610451</v>
      </c>
      <c r="J23" s="100">
        <f t="shared" si="1"/>
        <v>103925.97588153873</v>
      </c>
      <c r="K23" s="100">
        <f t="shared" si="1"/>
        <v>109918.43494921493</v>
      </c>
      <c r="L23" s="100">
        <f t="shared" si="1"/>
        <v>3926354.1868648888</v>
      </c>
    </row>
    <row r="25" spans="1:12" x14ac:dyDescent="0.2">
      <c r="A25" t="s">
        <v>194</v>
      </c>
      <c r="B25" s="95">
        <f>ASSUMPTIONS!B143</f>
        <v>0.14000000000000001</v>
      </c>
    </row>
    <row r="26" spans="1:12" x14ac:dyDescent="0.2">
      <c r="A26" t="s">
        <v>209</v>
      </c>
      <c r="B26" s="99">
        <f>NPV(B25,C23:L23)+B23</f>
        <v>-3408774.8139747214</v>
      </c>
    </row>
    <row r="27" spans="1:12" x14ac:dyDescent="0.2">
      <c r="A27" t="s">
        <v>210</v>
      </c>
      <c r="B27" s="144">
        <f>IRR(B23:L23)</f>
        <v>-3.6953185410678602E-3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RENT ROLL</vt:lpstr>
      <vt:lpstr>Projected Rent Roll</vt:lpstr>
      <vt:lpstr>OPERATING STATEMENT</vt:lpstr>
      <vt:lpstr>Sources and Uses</vt:lpstr>
      <vt:lpstr>Debt Financing</vt:lpstr>
      <vt:lpstr>Project Costs</vt:lpstr>
      <vt:lpstr>Sale of Property</vt:lpstr>
      <vt:lpstr>Est Property Value</vt:lpstr>
      <vt:lpstr>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