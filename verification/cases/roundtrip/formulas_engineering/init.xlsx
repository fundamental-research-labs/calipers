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DC001E2C-6726-4A0C-983E-393EF1D9655E}" xr6:coauthVersionLast="47" xr6:coauthVersionMax="47" xr10:uidLastSave="{00000000-0000-0000-0000-000000000000}"/>
  <bookViews>
    <workbookView xWindow="-108" yWindow="-108" windowWidth="23256" windowHeight="13896" xr2:uid="{EBAE8DC8-7645-0242-B87E-374227F9D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6" i="1" l="1"/>
  <c r="D106" i="1"/>
  <c r="E106" i="1"/>
  <c r="F106" i="1"/>
  <c r="G106" i="1"/>
  <c r="H106" i="1"/>
  <c r="I106" i="1"/>
  <c r="J106" i="1"/>
  <c r="K106" i="1"/>
  <c r="L106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33" i="1"/>
  <c r="D33" i="1"/>
  <c r="E33" i="1"/>
  <c r="F33" i="1"/>
  <c r="G33" i="1"/>
  <c r="C34" i="1"/>
  <c r="D34" i="1"/>
  <c r="E34" i="1"/>
  <c r="F34" i="1"/>
  <c r="G34" i="1"/>
  <c r="C35" i="1"/>
  <c r="D35" i="1"/>
  <c r="E35" i="1"/>
  <c r="F35" i="1"/>
  <c r="G35" i="1"/>
  <c r="C36" i="1"/>
  <c r="D36" i="1"/>
  <c r="E36" i="1"/>
  <c r="F36" i="1"/>
  <c r="G36" i="1"/>
  <c r="C37" i="1"/>
  <c r="D37" i="1"/>
  <c r="E37" i="1"/>
  <c r="F37" i="1"/>
  <c r="G37" i="1"/>
  <c r="C38" i="1"/>
  <c r="D38" i="1"/>
  <c r="E38" i="1"/>
  <c r="F38" i="1"/>
  <c r="G38" i="1"/>
  <c r="C39" i="1"/>
  <c r="D39" i="1"/>
  <c r="E39" i="1"/>
  <c r="F39" i="1"/>
  <c r="G39" i="1"/>
  <c r="C40" i="1"/>
  <c r="D40" i="1"/>
  <c r="E40" i="1"/>
  <c r="F40" i="1"/>
  <c r="G40" i="1"/>
  <c r="C41" i="1"/>
  <c r="D41" i="1"/>
  <c r="E41" i="1"/>
  <c r="F41" i="1"/>
  <c r="G41" i="1"/>
  <c r="C19" i="1"/>
  <c r="D19" i="1"/>
  <c r="E19" i="1"/>
  <c r="F19" i="1"/>
  <c r="G19" i="1"/>
  <c r="H19" i="1"/>
  <c r="I19" i="1"/>
  <c r="J19" i="1"/>
  <c r="K19" i="1"/>
  <c r="L19" i="1"/>
  <c r="C20" i="1"/>
  <c r="D20" i="1"/>
  <c r="E20" i="1"/>
  <c r="F20" i="1"/>
  <c r="G20" i="1"/>
  <c r="H20" i="1"/>
  <c r="I20" i="1"/>
  <c r="J20" i="1"/>
  <c r="K20" i="1"/>
  <c r="L20" i="1"/>
  <c r="C21" i="1"/>
  <c r="D21" i="1"/>
  <c r="E21" i="1"/>
  <c r="F21" i="1"/>
  <c r="G21" i="1"/>
  <c r="H21" i="1"/>
  <c r="I21" i="1"/>
  <c r="J21" i="1"/>
  <c r="K21" i="1"/>
  <c r="L21" i="1"/>
  <c r="C22" i="1"/>
  <c r="D22" i="1"/>
  <c r="E22" i="1"/>
  <c r="F22" i="1"/>
  <c r="G22" i="1"/>
  <c r="H22" i="1"/>
  <c r="I22" i="1"/>
  <c r="J22" i="1"/>
  <c r="K22" i="1"/>
  <c r="L22" i="1"/>
  <c r="C23" i="1"/>
  <c r="D23" i="1"/>
  <c r="E23" i="1"/>
  <c r="F23" i="1"/>
  <c r="G23" i="1"/>
  <c r="H23" i="1"/>
  <c r="I23" i="1"/>
  <c r="J23" i="1"/>
  <c r="K23" i="1"/>
  <c r="L23" i="1"/>
  <c r="C24" i="1"/>
  <c r="D24" i="1"/>
  <c r="E24" i="1"/>
  <c r="F24" i="1"/>
  <c r="G24" i="1"/>
  <c r="H24" i="1"/>
  <c r="I24" i="1"/>
  <c r="J24" i="1"/>
  <c r="K24" i="1"/>
  <c r="L24" i="1"/>
  <c r="C25" i="1"/>
  <c r="D25" i="1"/>
  <c r="E25" i="1"/>
  <c r="F25" i="1"/>
  <c r="G25" i="1"/>
  <c r="H25" i="1"/>
  <c r="I25" i="1"/>
  <c r="J25" i="1"/>
  <c r="K25" i="1"/>
  <c r="L25" i="1"/>
  <c r="C26" i="1"/>
  <c r="D26" i="1"/>
  <c r="E26" i="1"/>
  <c r="F26" i="1"/>
  <c r="G26" i="1"/>
  <c r="H26" i="1"/>
  <c r="I26" i="1"/>
  <c r="J26" i="1"/>
  <c r="K26" i="1"/>
  <c r="L26" i="1"/>
  <c r="C27" i="1"/>
  <c r="D27" i="1"/>
  <c r="E27" i="1"/>
  <c r="F27" i="1"/>
  <c r="G27" i="1"/>
  <c r="H27" i="1"/>
  <c r="I27" i="1"/>
  <c r="J27" i="1"/>
  <c r="K27" i="1"/>
  <c r="L27" i="1"/>
  <c r="C28" i="1"/>
  <c r="D28" i="1"/>
  <c r="E28" i="1"/>
  <c r="F28" i="1"/>
  <c r="G28" i="1"/>
  <c r="H28" i="1"/>
  <c r="I28" i="1"/>
  <c r="J28" i="1"/>
  <c r="K28" i="1"/>
  <c r="L28" i="1"/>
  <c r="C29" i="1"/>
  <c r="D29" i="1"/>
  <c r="E29" i="1"/>
  <c r="F29" i="1"/>
  <c r="G29" i="1"/>
  <c r="H29" i="1"/>
  <c r="I29" i="1"/>
  <c r="J29" i="1"/>
  <c r="K29" i="1"/>
  <c r="L29" i="1"/>
  <c r="L117" i="1"/>
  <c r="K117" i="1"/>
  <c r="J117" i="1"/>
  <c r="I117" i="1"/>
  <c r="H117" i="1"/>
  <c r="G117" i="1"/>
  <c r="F117" i="1"/>
  <c r="E117" i="1"/>
  <c r="D117" i="1"/>
  <c r="C117" i="1"/>
  <c r="B117" i="1"/>
  <c r="L116" i="1"/>
  <c r="K116" i="1"/>
  <c r="J116" i="1"/>
  <c r="I116" i="1"/>
  <c r="H116" i="1"/>
  <c r="G116" i="1"/>
  <c r="F116" i="1"/>
  <c r="E116" i="1"/>
  <c r="D116" i="1"/>
  <c r="C116" i="1"/>
  <c r="B116" i="1"/>
  <c r="L115" i="1"/>
  <c r="K115" i="1"/>
  <c r="J115" i="1"/>
  <c r="I115" i="1"/>
  <c r="H115" i="1"/>
  <c r="G115" i="1"/>
  <c r="F115" i="1"/>
  <c r="E115" i="1"/>
  <c r="D115" i="1"/>
  <c r="C115" i="1"/>
  <c r="B115" i="1"/>
  <c r="L114" i="1"/>
  <c r="K114" i="1"/>
  <c r="J114" i="1"/>
  <c r="I114" i="1"/>
  <c r="H114" i="1"/>
  <c r="G114" i="1"/>
  <c r="F114" i="1"/>
  <c r="E114" i="1"/>
  <c r="D114" i="1"/>
  <c r="C114" i="1"/>
  <c r="B114" i="1"/>
  <c r="L113" i="1"/>
  <c r="K113" i="1"/>
  <c r="J113" i="1"/>
  <c r="I113" i="1"/>
  <c r="H113" i="1"/>
  <c r="G113" i="1"/>
  <c r="F113" i="1"/>
  <c r="E113" i="1"/>
  <c r="D113" i="1"/>
  <c r="C113" i="1"/>
  <c r="B113" i="1"/>
  <c r="L112" i="1"/>
  <c r="K112" i="1"/>
  <c r="J112" i="1"/>
  <c r="I112" i="1"/>
  <c r="H112" i="1"/>
  <c r="G112" i="1"/>
  <c r="F112" i="1"/>
  <c r="E112" i="1"/>
  <c r="D112" i="1"/>
  <c r="C112" i="1"/>
  <c r="B112" i="1"/>
  <c r="L111" i="1"/>
  <c r="K111" i="1"/>
  <c r="J111" i="1"/>
  <c r="I111" i="1"/>
  <c r="H111" i="1"/>
  <c r="G111" i="1"/>
  <c r="F111" i="1"/>
  <c r="E111" i="1"/>
  <c r="D111" i="1"/>
  <c r="C111" i="1"/>
  <c r="B111" i="1"/>
  <c r="L110" i="1"/>
  <c r="K110" i="1"/>
  <c r="J110" i="1"/>
  <c r="I110" i="1"/>
  <c r="H110" i="1"/>
  <c r="G110" i="1"/>
  <c r="F110" i="1"/>
  <c r="E110" i="1"/>
  <c r="D110" i="1"/>
  <c r="C110" i="1"/>
  <c r="B110" i="1"/>
  <c r="L109" i="1"/>
  <c r="K109" i="1"/>
  <c r="J109" i="1"/>
  <c r="I109" i="1"/>
  <c r="H109" i="1"/>
  <c r="G109" i="1"/>
  <c r="F109" i="1"/>
  <c r="E109" i="1"/>
  <c r="D109" i="1"/>
  <c r="C109" i="1"/>
  <c r="B109" i="1"/>
  <c r="L108" i="1"/>
  <c r="K108" i="1"/>
  <c r="J108" i="1"/>
  <c r="I108" i="1"/>
  <c r="H108" i="1"/>
  <c r="G108" i="1"/>
  <c r="F108" i="1"/>
  <c r="E108" i="1"/>
  <c r="D108" i="1"/>
  <c r="C108" i="1"/>
  <c r="B108" i="1"/>
  <c r="L107" i="1"/>
  <c r="K107" i="1"/>
  <c r="J107" i="1"/>
  <c r="I107" i="1"/>
  <c r="H107" i="1"/>
  <c r="G107" i="1"/>
  <c r="F107" i="1"/>
  <c r="E107" i="1"/>
  <c r="D107" i="1"/>
  <c r="C107" i="1"/>
  <c r="B107" i="1"/>
  <c r="I103" i="1"/>
  <c r="H103" i="1"/>
  <c r="G103" i="1"/>
  <c r="F103" i="1"/>
  <c r="E103" i="1"/>
  <c r="D103" i="1"/>
  <c r="C103" i="1"/>
  <c r="I102" i="1"/>
  <c r="H102" i="1"/>
  <c r="G102" i="1"/>
  <c r="F102" i="1"/>
  <c r="E102" i="1"/>
  <c r="D102" i="1"/>
  <c r="C102" i="1"/>
  <c r="I101" i="1"/>
  <c r="H101" i="1"/>
  <c r="G101" i="1"/>
  <c r="F101" i="1"/>
  <c r="E101" i="1"/>
  <c r="D101" i="1"/>
  <c r="C101" i="1"/>
  <c r="I100" i="1"/>
  <c r="H100" i="1"/>
  <c r="G100" i="1"/>
  <c r="F100" i="1"/>
  <c r="E100" i="1"/>
  <c r="D100" i="1"/>
  <c r="C100" i="1"/>
  <c r="I99" i="1"/>
  <c r="H99" i="1"/>
  <c r="G99" i="1"/>
  <c r="F99" i="1"/>
  <c r="E99" i="1"/>
  <c r="D99" i="1"/>
  <c r="C99" i="1"/>
  <c r="I98" i="1"/>
  <c r="H98" i="1"/>
  <c r="G98" i="1"/>
  <c r="F98" i="1"/>
  <c r="E98" i="1"/>
  <c r="D98" i="1"/>
  <c r="C98" i="1"/>
  <c r="I97" i="1"/>
  <c r="H97" i="1"/>
  <c r="G97" i="1"/>
  <c r="F97" i="1"/>
  <c r="E97" i="1"/>
  <c r="D97" i="1"/>
  <c r="C97" i="1"/>
  <c r="I93" i="1"/>
  <c r="H93" i="1"/>
  <c r="G93" i="1"/>
  <c r="F93" i="1"/>
  <c r="E93" i="1"/>
  <c r="D93" i="1"/>
  <c r="C93" i="1"/>
  <c r="I92" i="1"/>
  <c r="H92" i="1"/>
  <c r="G92" i="1"/>
  <c r="F92" i="1"/>
  <c r="E92" i="1"/>
  <c r="D92" i="1"/>
  <c r="C92" i="1"/>
  <c r="I91" i="1"/>
  <c r="H91" i="1"/>
  <c r="G91" i="1"/>
  <c r="F91" i="1"/>
  <c r="E91" i="1"/>
  <c r="D91" i="1"/>
  <c r="C91" i="1"/>
  <c r="I90" i="1"/>
  <c r="H90" i="1"/>
  <c r="G90" i="1"/>
  <c r="F90" i="1"/>
  <c r="E90" i="1"/>
  <c r="D90" i="1"/>
  <c r="C90" i="1"/>
  <c r="I89" i="1"/>
  <c r="H89" i="1"/>
  <c r="G89" i="1"/>
  <c r="F89" i="1"/>
  <c r="E89" i="1"/>
  <c r="D89" i="1"/>
  <c r="C89" i="1"/>
  <c r="I88" i="1"/>
  <c r="H88" i="1"/>
  <c r="G88" i="1"/>
  <c r="F88" i="1"/>
  <c r="E88" i="1"/>
  <c r="D88" i="1"/>
  <c r="C88" i="1"/>
  <c r="I87" i="1"/>
  <c r="H87" i="1"/>
  <c r="G87" i="1"/>
  <c r="F87" i="1"/>
  <c r="E87" i="1"/>
  <c r="D87" i="1"/>
  <c r="C87" i="1"/>
  <c r="C69" i="1"/>
  <c r="C68" i="1"/>
  <c r="C67" i="1"/>
  <c r="C66" i="1"/>
  <c r="C65" i="1"/>
  <c r="C64" i="1"/>
  <c r="C63" i="1"/>
  <c r="C62" i="1"/>
  <c r="C61" i="1"/>
  <c r="C60" i="1"/>
  <c r="C59" i="1"/>
  <c r="C83" i="1"/>
  <c r="C82" i="1"/>
  <c r="C81" i="1"/>
  <c r="C80" i="1"/>
  <c r="C79" i="1"/>
  <c r="C78" i="1"/>
  <c r="C77" i="1"/>
  <c r="C76" i="1"/>
  <c r="C75" i="1"/>
  <c r="C74" i="1"/>
  <c r="C73" i="1"/>
  <c r="B55" i="1"/>
  <c r="B54" i="1"/>
  <c r="B53" i="1"/>
  <c r="B52" i="1"/>
  <c r="B51" i="1"/>
  <c r="B50" i="1"/>
  <c r="B49" i="1"/>
  <c r="B48" i="1"/>
  <c r="B47" i="1"/>
  <c r="B46" i="1"/>
  <c r="B45" i="1"/>
  <c r="B41" i="1"/>
  <c r="B40" i="1"/>
  <c r="B39" i="1"/>
  <c r="B38" i="1"/>
  <c r="B37" i="1"/>
  <c r="B36" i="1"/>
  <c r="B35" i="1"/>
  <c r="B34" i="1"/>
  <c r="B33" i="1"/>
  <c r="B29" i="1"/>
  <c r="B28" i="1"/>
  <c r="B27" i="1"/>
  <c r="B26" i="1"/>
  <c r="B25" i="1"/>
  <c r="B24" i="1"/>
  <c r="B23" i="1"/>
  <c r="B22" i="1"/>
  <c r="B21" i="1"/>
  <c r="B20" i="1"/>
  <c r="B19" i="1"/>
</calcChain>
</file>

<file path=xl/sharedStrings.xml><?xml version="1.0" encoding="utf-8"?>
<sst xmlns="http://schemas.openxmlformats.org/spreadsheetml/2006/main" count="85" uniqueCount="79">
  <si>
    <t>Test Input Values</t>
  </si>
  <si>
    <t>Zero</t>
  </si>
  <si>
    <t>One</t>
  </si>
  <si>
    <t>Neg One</t>
  </si>
  <si>
    <t>A \ B</t>
  </si>
  <si>
    <t>ENGINEERING FORMULA TEST SUITE</t>
  </si>
  <si>
    <t>Small Int (+)</t>
  </si>
  <si>
    <t>Small Int (-)</t>
  </si>
  <si>
    <t>Max DEC2BIN (511)</t>
  </si>
  <si>
    <t>Min DEC2BIN (-512)</t>
  </si>
  <si>
    <t>Large Int (+)</t>
  </si>
  <si>
    <t>Large Int (-)</t>
  </si>
  <si>
    <t>Decimal (+)</t>
  </si>
  <si>
    <t>Decimal (-)</t>
  </si>
  <si>
    <t>CONVERT(number, from_unit, to_unit)</t>
  </si>
  <si>
    <t>Value \ Conversion</t>
  </si>
  <si>
    <t>lbm → kg</t>
  </si>
  <si>
    <t>mi → km</t>
  </si>
  <si>
    <t>ft → m</t>
  </si>
  <si>
    <t>gal → l</t>
  </si>
  <si>
    <t>F → C</t>
  </si>
  <si>
    <t>C → K</t>
  </si>
  <si>
    <t>hr → mn</t>
  </si>
  <si>
    <t>in → cm</t>
  </si>
  <si>
    <t>yd → m</t>
  </si>
  <si>
    <t>oz → g</t>
  </si>
  <si>
    <t>DEC2BIN(number, [places])</t>
  </si>
  <si>
    <t>Value \ Places</t>
  </si>
  <si>
    <t>(default)</t>
  </si>
  <si>
    <t>DEC2HEX(number, [places])</t>
  </si>
  <si>
    <t>BIN2DEC(number)</t>
  </si>
  <si>
    <t>Binary Input</t>
  </si>
  <si>
    <t>Result</t>
  </si>
  <si>
    <t>0 (zero)</t>
  </si>
  <si>
    <t>1 (one)</t>
  </si>
  <si>
    <t>10 (two)</t>
  </si>
  <si>
    <t>11 (three)</t>
  </si>
  <si>
    <t>1010 (ten)</t>
  </si>
  <si>
    <t>11111111 (255)</t>
  </si>
  <si>
    <t>111111111 (511)</t>
  </si>
  <si>
    <t>1000000000 (-512)</t>
  </si>
  <si>
    <t>1111111111 (-1)</t>
  </si>
  <si>
    <t>0000000001 (padded 1)</t>
  </si>
  <si>
    <t>0000001010 (padded 10)</t>
  </si>
  <si>
    <t>HEX2DEC(number)</t>
  </si>
  <si>
    <t>Hex Input</t>
  </si>
  <si>
    <t>A</t>
  </si>
  <si>
    <t>A (ten)</t>
  </si>
  <si>
    <t>F</t>
  </si>
  <si>
    <t>F (fifteen)</t>
  </si>
  <si>
    <t>FF</t>
  </si>
  <si>
    <t>FF (255)</t>
  </si>
  <si>
    <t>1FF</t>
  </si>
  <si>
    <t>1FF (511)</t>
  </si>
  <si>
    <t>FFFFFFFFFF</t>
  </si>
  <si>
    <t>FFFFFFFFFF (-1)</t>
  </si>
  <si>
    <t>FFFFFFFE00</t>
  </si>
  <si>
    <t>FFFFFFFE00 (-512)</t>
  </si>
  <si>
    <t>2A</t>
  </si>
  <si>
    <t>2A (42)</t>
  </si>
  <si>
    <t>FFFFFFFFD6</t>
  </si>
  <si>
    <t>FFFFFFFFD6 (-42)</t>
  </si>
  <si>
    <t>7FFFFFFFFF</t>
  </si>
  <si>
    <t>7FFFFFFFFF (max positive)</t>
  </si>
  <si>
    <t>0</t>
  </si>
  <si>
    <t>1</t>
  </si>
  <si>
    <t>10</t>
  </si>
  <si>
    <t>11</t>
  </si>
  <si>
    <t>1010</t>
  </si>
  <si>
    <t>11111111</t>
  </si>
  <si>
    <t>111111111</t>
  </si>
  <si>
    <t>1000000000</t>
  </si>
  <si>
    <t>1111111111</t>
  </si>
  <si>
    <t>0000000001</t>
  </si>
  <si>
    <t>0000001010</t>
  </si>
  <si>
    <t>COMPLEX(real, imaginary, [suffix])</t>
  </si>
  <si>
    <t>Real \ Imag</t>
  </si>
  <si>
    <t>COMPLEX with suffix "j"</t>
  </si>
  <si>
    <t>DELTA(number1, number2)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</si>
</sst>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11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2"/>
      <color theme="1"/>
      <name val="Aptos Narrow"/>
      <scheme val="minor"/>
    </font>
    <font>
      <b/>
      <i/>
      <sz val="11"/>
      <color rgb="FF0000FF"/>
      <name val="Aptos Narrow"/>
      <scheme val="minor"/>
    </font>
    <font>
      <b/>
      <sz val="12"/>
      <color rgb="FF000000"/>
      <name val="Aptos Narrow"/>
      <scheme val="minor"/>
    </font>
    <font>
      <i/>
      <sz val="11"/>
      <color rgb="FF80808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4472C4"/>
      </bottom>
      <diagonal/>
    </border>
    <border>
      <left/>
      <right/>
      <top style="medium">
        <color rgb="FF4472C4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2" fillId="2" borderId="0" xfId="0" applyFont="1" applyFill="1"/>
    <xf numFmtId="11" fontId="4" fillId="0" borderId="0" xfId="0" applyNumberFormat="1" applyFont="1"/>
    <xf numFmtId="0" fontId="6" fillId="2" borderId="0" xfId="0" applyFont="1" applyFill="1"/>
    <xf numFmtId="11" fontId="2" fillId="0" borderId="0" xfId="0" applyNumberFormat="1" applyFont="1" applyAlignment="1">
      <alignment horizontal="center"/>
    </xf>
    <xf numFmtId="0" fontId="7" fillId="0" borderId="0" xfId="0" applyFont="1"/>
    <xf numFmtId="11" fontId="6" fillId="3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3" fillId="0" borderId="0" xfId="0" applyFont="1"/>
    <xf numFmtId="0" fontId="2" fillId="2" borderId="2" xfId="0" applyFont="1" applyFill="1" applyBorder="1"/>
    <xf numFmtId="11" fontId="4" fillId="0" borderId="2" xfId="0" applyNumberFormat="1" applyFont="1" applyBorder="1"/>
    <xf numFmtId="0" fontId="2" fillId="0" borderId="2" xfId="0" applyFont="1" applyBorder="1"/>
    <xf numFmtId="0" fontId="0" fillId="0" borderId="2" xfId="0" applyBorder="1"/>
    <xf numFmtId="0" fontId="3" fillId="4" borderId="0" xfId="0" applyFont="1" applyFill="1"/>
    <xf numFmtId="0" fontId="5" fillId="3" borderId="2" xfId="0" applyFont="1" applyFill="1" applyBorder="1"/>
    <xf numFmtId="0" fontId="6" fillId="3" borderId="2" xfId="0" applyFont="1" applyFill="1" applyBorder="1" applyAlignment="1">
      <alignment horizontal="center"/>
    </xf>
    <xf numFmtId="0" fontId="6" fillId="2" borderId="3" xfId="0" applyFont="1" applyFill="1" applyBorder="1"/>
    <xf numFmtId="11" fontId="3" fillId="4" borderId="0" xfId="0" applyNumberFormat="1" applyFont="1" applyFill="1" applyAlignment="1">
      <alignment horizontal="center"/>
    </xf>
    <xf numFmtId="49" fontId="4" fillId="2" borderId="3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11" fontId="2" fillId="0" borderId="3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4" borderId="0" xfId="0" applyFont="1" applyFill="1"/>
    <xf numFmtId="0" fontId="6" fillId="3" borderId="0" xfId="0" applyFont="1" applyFill="1" applyAlignment="1">
      <alignment horizontal="center"/>
    </xf>
    <xf numFmtId="3" fontId="6" fillId="3" borderId="0" xfId="0" applyNumberFormat="1" applyFont="1" applyFill="1" applyAlignment="1">
      <alignment horizontal="center"/>
    </xf>
    <xf numFmtId="164" fontId="6" fillId="3" borderId="0" xfId="0" applyNumberFormat="1" applyFont="1" applyFill="1" applyAlignment="1">
      <alignment horizontal="center"/>
    </xf>
    <xf numFmtId="0" fontId="7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F189CE-186C-7A40-B026-A4D398E47C6F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64CE-503F-1742-ACB5-3ABAB7BB8E79}">
  <dimension ref="B2:M117"/>
  <sheetViews>
    <sheetView tabSelected="1" workbookViewId="0">
      <selection activeCell="P38" sqref="P38"/>
    </sheetView>
  </sheetViews>
  <sheetFormatPr defaultColWidth="11.19921875" defaultRowHeight="15.6" x14ac:dyDescent="0.3"/>
  <cols>
    <col min="2" max="2" width="36.69921875" bestFit="1" customWidth="1"/>
    <col min="3" max="3" width="11.19921875" bestFit="1" customWidth="1"/>
    <col min="4" max="4" width="21.296875" bestFit="1" customWidth="1"/>
    <col min="5" max="8" width="11.19921875" bestFit="1" customWidth="1"/>
    <col min="9" max="11" width="9.19921875" bestFit="1" customWidth="1"/>
    <col min="12" max="12" width="8.69921875" bestFit="1" customWidth="1"/>
    <col min="13" max="13" width="9.19921875" bestFit="1" customWidth="1"/>
  </cols>
  <sheetData>
    <row r="2" spans="2:13" ht="18" x14ac:dyDescent="0.35">
      <c r="B2" s="1" t="s">
        <v>5</v>
      </c>
    </row>
    <row r="4" spans="2:13" ht="16.2" thickBot="1" x14ac:dyDescent="0.35"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</row>
    <row r="5" spans="2:13" x14ac:dyDescent="0.3">
      <c r="B5" s="13" t="s">
        <v>1</v>
      </c>
      <c r="C5" s="14">
        <v>0</v>
      </c>
      <c r="D5" s="15"/>
      <c r="E5" s="15"/>
      <c r="F5" s="15"/>
      <c r="G5" s="15"/>
      <c r="H5" s="15"/>
      <c r="I5" s="15"/>
      <c r="J5" s="15"/>
      <c r="K5" s="15"/>
      <c r="L5" s="16"/>
      <c r="M5" s="16"/>
    </row>
    <row r="6" spans="2:13" x14ac:dyDescent="0.3">
      <c r="B6" s="4" t="s">
        <v>2</v>
      </c>
      <c r="C6" s="5">
        <v>1</v>
      </c>
      <c r="D6" s="2"/>
      <c r="E6" s="2"/>
      <c r="F6" s="2"/>
      <c r="G6" s="2"/>
      <c r="H6" s="2"/>
      <c r="I6" s="2"/>
      <c r="J6" s="2"/>
      <c r="K6" s="2"/>
    </row>
    <row r="7" spans="2:13" x14ac:dyDescent="0.3">
      <c r="B7" s="4" t="s">
        <v>3</v>
      </c>
      <c r="C7" s="5">
        <v>-1</v>
      </c>
      <c r="D7" s="2"/>
      <c r="E7" s="2"/>
      <c r="F7" s="2"/>
      <c r="G7" s="2"/>
      <c r="H7" s="2"/>
      <c r="I7" s="2"/>
      <c r="J7" s="2"/>
      <c r="K7" s="2"/>
    </row>
    <row r="8" spans="2:13" x14ac:dyDescent="0.3">
      <c r="B8" s="4" t="s">
        <v>6</v>
      </c>
      <c r="C8" s="5">
        <v>10</v>
      </c>
      <c r="D8" s="2"/>
      <c r="E8" s="2"/>
      <c r="F8" s="2"/>
      <c r="G8" s="2"/>
      <c r="H8" s="2"/>
      <c r="I8" s="2"/>
      <c r="J8" s="2"/>
      <c r="K8" s="2"/>
    </row>
    <row r="9" spans="2:13" x14ac:dyDescent="0.3">
      <c r="B9" s="4" t="s">
        <v>7</v>
      </c>
      <c r="C9" s="5">
        <v>-10</v>
      </c>
      <c r="D9" s="2"/>
      <c r="E9" s="2"/>
      <c r="F9" s="2"/>
      <c r="G9" s="2"/>
      <c r="H9" s="2"/>
      <c r="I9" s="2"/>
      <c r="J9" s="2"/>
      <c r="K9" s="2"/>
    </row>
    <row r="10" spans="2:13" x14ac:dyDescent="0.3">
      <c r="B10" s="4" t="s">
        <v>8</v>
      </c>
      <c r="C10" s="5">
        <v>511</v>
      </c>
      <c r="D10" s="2"/>
      <c r="E10" s="2"/>
      <c r="F10" s="2"/>
      <c r="G10" s="2"/>
      <c r="H10" s="2"/>
      <c r="I10" s="2"/>
      <c r="J10" s="2"/>
      <c r="K10" s="2"/>
    </row>
    <row r="11" spans="2:13" x14ac:dyDescent="0.3">
      <c r="B11" s="4" t="s">
        <v>9</v>
      </c>
      <c r="C11" s="5">
        <v>-512</v>
      </c>
      <c r="D11" s="2"/>
      <c r="E11" s="2"/>
      <c r="F11" s="2"/>
      <c r="G11" s="2"/>
      <c r="H11" s="2"/>
      <c r="I11" s="2"/>
      <c r="J11" s="2"/>
      <c r="K11" s="2"/>
    </row>
    <row r="12" spans="2:13" x14ac:dyDescent="0.3">
      <c r="B12" s="4" t="s">
        <v>10</v>
      </c>
      <c r="C12" s="5">
        <v>255</v>
      </c>
      <c r="D12" s="2"/>
      <c r="E12" s="2"/>
      <c r="F12" s="2"/>
      <c r="G12" s="2"/>
      <c r="H12" s="2"/>
      <c r="I12" s="2"/>
      <c r="J12" s="2"/>
      <c r="K12" s="2"/>
    </row>
    <row r="13" spans="2:13" x14ac:dyDescent="0.3">
      <c r="B13" s="4" t="s">
        <v>11</v>
      </c>
      <c r="C13" s="5">
        <v>-255</v>
      </c>
      <c r="D13" s="2"/>
      <c r="E13" s="2"/>
      <c r="F13" s="2"/>
      <c r="G13" s="2"/>
      <c r="H13" s="2"/>
      <c r="I13" s="2"/>
      <c r="J13" s="2"/>
      <c r="K13" s="2"/>
    </row>
    <row r="14" spans="2:13" x14ac:dyDescent="0.3">
      <c r="B14" s="4" t="s">
        <v>12</v>
      </c>
      <c r="C14" s="5">
        <v>42.5</v>
      </c>
      <c r="D14" s="2"/>
      <c r="E14" s="2"/>
      <c r="F14" s="2"/>
      <c r="G14" s="2"/>
      <c r="H14" s="2"/>
      <c r="I14" s="2"/>
      <c r="J14" s="2"/>
      <c r="K14" s="2"/>
    </row>
    <row r="15" spans="2:13" x14ac:dyDescent="0.3">
      <c r="B15" s="4" t="s">
        <v>13</v>
      </c>
      <c r="C15" s="5">
        <v>-42.5</v>
      </c>
      <c r="D15" s="2"/>
      <c r="E15" s="2"/>
      <c r="F15" s="2"/>
      <c r="G15" s="2"/>
      <c r="H15" s="2"/>
      <c r="I15" s="2"/>
      <c r="J15" s="2"/>
      <c r="K15" s="2"/>
    </row>
    <row r="17" spans="2:13" ht="16.2" thickBot="1" x14ac:dyDescent="0.35">
      <c r="B17" s="17" t="s">
        <v>14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12"/>
    </row>
    <row r="18" spans="2:13" x14ac:dyDescent="0.3">
      <c r="B18" s="18" t="s">
        <v>15</v>
      </c>
      <c r="C18" s="28" t="s">
        <v>16</v>
      </c>
      <c r="D18" s="28" t="s">
        <v>17</v>
      </c>
      <c r="E18" s="28" t="s">
        <v>18</v>
      </c>
      <c r="F18" s="28" t="s">
        <v>19</v>
      </c>
      <c r="G18" s="28" t="s">
        <v>20</v>
      </c>
      <c r="H18" s="28" t="s">
        <v>21</v>
      </c>
      <c r="I18" s="28" t="s">
        <v>22</v>
      </c>
      <c r="J18" s="28" t="s">
        <v>23</v>
      </c>
      <c r="K18" s="28" t="s">
        <v>24</v>
      </c>
      <c r="L18" s="28" t="s">
        <v>25</v>
      </c>
      <c r="M18" s="31"/>
    </row>
    <row r="19" spans="2:13" x14ac:dyDescent="0.3">
      <c r="B19" s="20">
        <f>$C$5</f>
        <v>0</v>
      </c>
      <c r="C19" s="25">
        <f>IFERROR(CONVERT($C$5,"lbm","kg"),"N/A")</f>
        <v>0</v>
      </c>
      <c r="D19" s="25">
        <f>IFERROR(CONVERT($C$5,"mi","km"),"N/A")</f>
        <v>0</v>
      </c>
      <c r="E19" s="25">
        <f>IFERROR(CONVERT($C$5,"ft","m"),"N/A")</f>
        <v>0</v>
      </c>
      <c r="F19" s="25">
        <f>IFERROR(CONVERT($C$5,"gal","l"),"N/A")</f>
        <v>0</v>
      </c>
      <c r="G19" s="25">
        <f>IFERROR(CONVERT($C$5,"F","C"),"N/A")</f>
        <v>-17.777777777777779</v>
      </c>
      <c r="H19" s="25">
        <f>IFERROR(CONVERT($C$5,"C","K"),"N/A")</f>
        <v>273.14999999999998</v>
      </c>
      <c r="I19" s="25">
        <f>IFERROR(CONVERT($C$5,"hr","mn"),"N/A")</f>
        <v>0</v>
      </c>
      <c r="J19" s="25">
        <f>IFERROR(CONVERT($C$5,"in","cm"),"N/A")</f>
        <v>0</v>
      </c>
      <c r="K19" s="25">
        <f>IFERROR(CONVERT($C$5,"yd","m"),"N/A")</f>
        <v>0</v>
      </c>
      <c r="L19" s="25" t="str">
        <f>IFERROR(CONVERT($C$5,"oz","g"),"N/A")</f>
        <v>N/A</v>
      </c>
      <c r="M19" s="8"/>
    </row>
    <row r="20" spans="2:13" x14ac:dyDescent="0.3">
      <c r="B20" s="6">
        <f>$C$6</f>
        <v>1</v>
      </c>
      <c r="C20" s="7">
        <f>IFERROR(CONVERT($C$6,"lbm","kg"),"N/A")</f>
        <v>0.45359237000000002</v>
      </c>
      <c r="D20" s="7">
        <f>IFERROR(CONVERT($C$6,"mi","km"),"N/A")</f>
        <v>1.6093440000000001</v>
      </c>
      <c r="E20" s="7">
        <f>IFERROR(CONVERT($C$6,"ft","m"),"N/A")</f>
        <v>0.30480000000000002</v>
      </c>
      <c r="F20" s="7">
        <f>IFERROR(CONVERT($C$6,"gal","l"),"N/A")</f>
        <v>3.7854117839999999</v>
      </c>
      <c r="G20" s="7">
        <f>IFERROR(CONVERT($C$6,"F","C"),"N/A")</f>
        <v>-17.222222222222221</v>
      </c>
      <c r="H20" s="7">
        <f>IFERROR(CONVERT($C$6,"C","K"),"N/A")</f>
        <v>274.14999999999998</v>
      </c>
      <c r="I20" s="7">
        <f>IFERROR(CONVERT($C$6,"hr","mn"),"N/A")</f>
        <v>60</v>
      </c>
      <c r="J20" s="7">
        <f>IFERROR(CONVERT($C$6,"in","cm"),"N/A")</f>
        <v>2.54</v>
      </c>
      <c r="K20" s="7">
        <f>IFERROR(CONVERT($C$6,"yd","m"),"N/A")</f>
        <v>0.91439999999999999</v>
      </c>
      <c r="L20" s="7" t="str">
        <f>IFERROR(CONVERT($C$6,"oz","g"),"N/A")</f>
        <v>N/A</v>
      </c>
      <c r="M20" s="8"/>
    </row>
    <row r="21" spans="2:13" x14ac:dyDescent="0.3">
      <c r="B21" s="6">
        <f>$C$7</f>
        <v>-1</v>
      </c>
      <c r="C21" s="7">
        <f>IFERROR(CONVERT($C$7,"lbm","kg"),"N/A")</f>
        <v>-0.45359237000000002</v>
      </c>
      <c r="D21" s="7">
        <f>IFERROR(CONVERT($C$7,"mi","km"),"N/A")</f>
        <v>-1.6093440000000001</v>
      </c>
      <c r="E21" s="7">
        <f>IFERROR(CONVERT($C$7,"ft","m"),"N/A")</f>
        <v>-0.30480000000000002</v>
      </c>
      <c r="F21" s="7">
        <f>IFERROR(CONVERT($C$7,"gal","l"),"N/A")</f>
        <v>-3.7854117839999999</v>
      </c>
      <c r="G21" s="7">
        <f>IFERROR(CONVERT($C$7,"F","C"),"N/A")</f>
        <v>-18.333333333333332</v>
      </c>
      <c r="H21" s="7">
        <f>IFERROR(CONVERT($C$7,"C","K"),"N/A")</f>
        <v>272.14999999999998</v>
      </c>
      <c r="I21" s="7">
        <f>IFERROR(CONVERT($C$7,"hr","mn"),"N/A")</f>
        <v>-60</v>
      </c>
      <c r="J21" s="7">
        <f>IFERROR(CONVERT($C$7,"in","cm"),"N/A")</f>
        <v>-2.54</v>
      </c>
      <c r="K21" s="7">
        <f>IFERROR(CONVERT($C$7,"yd","m"),"N/A")</f>
        <v>-0.91439999999999999</v>
      </c>
      <c r="L21" s="7" t="str">
        <f>IFERROR(CONVERT($C$7,"oz","g"),"N/A")</f>
        <v>N/A</v>
      </c>
      <c r="M21" s="8"/>
    </row>
    <row r="22" spans="2:13" x14ac:dyDescent="0.3">
      <c r="B22" s="6">
        <f>$C$8</f>
        <v>10</v>
      </c>
      <c r="C22" s="7">
        <f>IFERROR(CONVERT($C$8,"lbm","kg"),"N/A")</f>
        <v>4.5359237000000006</v>
      </c>
      <c r="D22" s="7">
        <f>IFERROR(CONVERT($C$8,"mi","km"),"N/A")</f>
        <v>16.093440000000001</v>
      </c>
      <c r="E22" s="7">
        <f>IFERROR(CONVERT($C$8,"ft","m"),"N/A")</f>
        <v>3.048</v>
      </c>
      <c r="F22" s="7">
        <f>IFERROR(CONVERT($C$8,"gal","l"),"N/A")</f>
        <v>37.854117840000001</v>
      </c>
      <c r="G22" s="7">
        <f>IFERROR(CONVERT($C$8,"F","C"),"N/A")</f>
        <v>-12.222222222222221</v>
      </c>
      <c r="H22" s="7">
        <f>IFERROR(CONVERT($C$8,"C","K"),"N/A")</f>
        <v>283.14999999999998</v>
      </c>
      <c r="I22" s="7">
        <f>IFERROR(CONVERT($C$8,"hr","mn"),"N/A")</f>
        <v>600</v>
      </c>
      <c r="J22" s="7">
        <f>IFERROR(CONVERT($C$8,"in","cm"),"N/A")</f>
        <v>25.4</v>
      </c>
      <c r="K22" s="7">
        <f>IFERROR(CONVERT($C$8,"yd","m"),"N/A")</f>
        <v>9.1440000000000001</v>
      </c>
      <c r="L22" s="7" t="str">
        <f>IFERROR(CONVERT($C$8,"oz","g"),"N/A")</f>
        <v>N/A</v>
      </c>
      <c r="M22" s="8"/>
    </row>
    <row r="23" spans="2:13" x14ac:dyDescent="0.3">
      <c r="B23" s="6">
        <f>$C$9</f>
        <v>-10</v>
      </c>
      <c r="C23" s="7">
        <f>IFERROR(CONVERT($C$9,"lbm","kg"),"N/A")</f>
        <v>-4.5359237000000006</v>
      </c>
      <c r="D23" s="7">
        <f>IFERROR(CONVERT($C$9,"mi","km"),"N/A")</f>
        <v>-16.093440000000001</v>
      </c>
      <c r="E23" s="7">
        <f>IFERROR(CONVERT($C$9,"ft","m"),"N/A")</f>
        <v>-3.048</v>
      </c>
      <c r="F23" s="7">
        <f>IFERROR(CONVERT($C$9,"gal","l"),"N/A")</f>
        <v>-37.854117840000001</v>
      </c>
      <c r="G23" s="7">
        <f>IFERROR(CONVERT($C$9,"F","C"),"N/A")</f>
        <v>-23.333333333333332</v>
      </c>
      <c r="H23" s="7">
        <f>IFERROR(CONVERT($C$9,"C","K"),"N/A")</f>
        <v>263.14999999999998</v>
      </c>
      <c r="I23" s="7">
        <f>IFERROR(CONVERT($C$9,"hr","mn"),"N/A")</f>
        <v>-600</v>
      </c>
      <c r="J23" s="7">
        <f>IFERROR(CONVERT($C$9,"in","cm"),"N/A")</f>
        <v>-25.4</v>
      </c>
      <c r="K23" s="7">
        <f>IFERROR(CONVERT($C$9,"yd","m"),"N/A")</f>
        <v>-9.1440000000000001</v>
      </c>
      <c r="L23" s="7" t="str">
        <f>IFERROR(CONVERT($C$9,"oz","g"),"N/A")</f>
        <v>N/A</v>
      </c>
      <c r="M23" s="8"/>
    </row>
    <row r="24" spans="2:13" x14ac:dyDescent="0.3">
      <c r="B24" s="6">
        <f>$C$10</f>
        <v>511</v>
      </c>
      <c r="C24" s="7">
        <f>IFERROR(CONVERT($C$10,"lbm","kg"),"N/A")</f>
        <v>231.78570107000002</v>
      </c>
      <c r="D24" s="7">
        <f>IFERROR(CONVERT($C$10,"mi","km"),"N/A")</f>
        <v>822.37478399999998</v>
      </c>
      <c r="E24" s="7">
        <f>IFERROR(CONVERT($C$10,"ft","m"),"N/A")</f>
        <v>155.75280000000001</v>
      </c>
      <c r="F24" s="7">
        <f>IFERROR(CONVERT($C$10,"gal","l"),"N/A")</f>
        <v>1934.345421624</v>
      </c>
      <c r="G24" s="7">
        <f>IFERROR(CONVERT($C$10,"F","C"),"N/A")</f>
        <v>266.11111111111109</v>
      </c>
      <c r="H24" s="7">
        <f>IFERROR(CONVERT($C$10,"C","K"),"N/A")</f>
        <v>784.15</v>
      </c>
      <c r="I24" s="7">
        <f>IFERROR(CONVERT($C$10,"hr","mn"),"N/A")</f>
        <v>30660</v>
      </c>
      <c r="J24" s="7">
        <f>IFERROR(CONVERT($C$10,"in","cm"),"N/A")</f>
        <v>1297.94</v>
      </c>
      <c r="K24" s="7">
        <f>IFERROR(CONVERT($C$10,"yd","m"),"N/A")</f>
        <v>467.25839999999999</v>
      </c>
      <c r="L24" s="7" t="str">
        <f>IFERROR(CONVERT($C$10,"oz","g"),"N/A")</f>
        <v>N/A</v>
      </c>
      <c r="M24" s="8"/>
    </row>
    <row r="25" spans="2:13" x14ac:dyDescent="0.3">
      <c r="B25" s="6">
        <f>$C$11</f>
        <v>-512</v>
      </c>
      <c r="C25" s="7">
        <f>IFERROR(CONVERT($C$11,"lbm","kg"),"N/A")</f>
        <v>-232.23929344000001</v>
      </c>
      <c r="D25" s="7">
        <f>IFERROR(CONVERT($C$11,"mi","km"),"N/A")</f>
        <v>-823.98412800000006</v>
      </c>
      <c r="E25" s="7">
        <f>IFERROR(CONVERT($C$11,"ft","m"),"N/A")</f>
        <v>-156.05760000000001</v>
      </c>
      <c r="F25" s="7">
        <f>IFERROR(CONVERT($C$11,"gal","l"),"N/A")</f>
        <v>-1938.1308334079999</v>
      </c>
      <c r="G25" s="7">
        <f>IFERROR(CONVERT($C$11,"F","C"),"N/A")</f>
        <v>-302.22222222222223</v>
      </c>
      <c r="H25" s="7">
        <f>IFERROR(CONVERT($C$11,"C","K"),"N/A")</f>
        <v>-238.85000000000002</v>
      </c>
      <c r="I25" s="7">
        <f>IFERROR(CONVERT($C$11,"hr","mn"),"N/A")</f>
        <v>-30720</v>
      </c>
      <c r="J25" s="7">
        <f>IFERROR(CONVERT($C$11,"in","cm"),"N/A")</f>
        <v>-1300.48</v>
      </c>
      <c r="K25" s="7">
        <f>IFERROR(CONVERT($C$11,"yd","m"),"N/A")</f>
        <v>-468.1728</v>
      </c>
      <c r="L25" s="7" t="str">
        <f>IFERROR(CONVERT($C$11,"oz","g"),"N/A")</f>
        <v>N/A</v>
      </c>
      <c r="M25" s="8"/>
    </row>
    <row r="26" spans="2:13" x14ac:dyDescent="0.3">
      <c r="B26" s="6">
        <f>$C$12</f>
        <v>255</v>
      </c>
      <c r="C26" s="7">
        <f>IFERROR(CONVERT($C$12,"lbm","kg"),"N/A")</f>
        <v>115.66605435000001</v>
      </c>
      <c r="D26" s="7">
        <f>IFERROR(CONVERT($C$12,"mi","km"),"N/A")</f>
        <v>410.38272000000001</v>
      </c>
      <c r="E26" s="7">
        <f>IFERROR(CONVERT($C$12,"ft","m"),"N/A")</f>
        <v>77.724000000000004</v>
      </c>
      <c r="F26" s="7">
        <f>IFERROR(CONVERT($C$12,"gal","l"),"N/A")</f>
        <v>965.28000492000001</v>
      </c>
      <c r="G26" s="7">
        <f>IFERROR(CONVERT($C$12,"F","C"),"N/A")</f>
        <v>123.88888888888889</v>
      </c>
      <c r="H26" s="7">
        <f>IFERROR(CONVERT($C$12,"C","K"),"N/A")</f>
        <v>528.15</v>
      </c>
      <c r="I26" s="7">
        <f>IFERROR(CONVERT($C$12,"hr","mn"),"N/A")</f>
        <v>15300</v>
      </c>
      <c r="J26" s="7">
        <f>IFERROR(CONVERT($C$12,"in","cm"),"N/A")</f>
        <v>647.70000000000005</v>
      </c>
      <c r="K26" s="7">
        <f>IFERROR(CONVERT($C$12,"yd","m"),"N/A")</f>
        <v>233.172</v>
      </c>
      <c r="L26" s="7" t="str">
        <f>IFERROR(CONVERT($C$12,"oz","g"),"N/A")</f>
        <v>N/A</v>
      </c>
      <c r="M26" s="8"/>
    </row>
    <row r="27" spans="2:13" x14ac:dyDescent="0.3">
      <c r="B27" s="6">
        <f>$C$13</f>
        <v>-255</v>
      </c>
      <c r="C27" s="7">
        <f>IFERROR(CONVERT($C$13,"lbm","kg"),"N/A")</f>
        <v>-115.66605435000001</v>
      </c>
      <c r="D27" s="7">
        <f>IFERROR(CONVERT($C$13,"mi","km"),"N/A")</f>
        <v>-410.38272000000001</v>
      </c>
      <c r="E27" s="7">
        <f>IFERROR(CONVERT($C$13,"ft","m"),"N/A")</f>
        <v>-77.724000000000004</v>
      </c>
      <c r="F27" s="7">
        <f>IFERROR(CONVERT($C$13,"gal","l"),"N/A")</f>
        <v>-965.28000492000001</v>
      </c>
      <c r="G27" s="7">
        <f>IFERROR(CONVERT($C$13,"F","C"),"N/A")</f>
        <v>-159.44444444444443</v>
      </c>
      <c r="H27" s="7">
        <f>IFERROR(CONVERT($C$13,"C","K"),"N/A")</f>
        <v>18.149999999999977</v>
      </c>
      <c r="I27" s="7">
        <f>IFERROR(CONVERT($C$13,"hr","mn"),"N/A")</f>
        <v>-15300</v>
      </c>
      <c r="J27" s="7">
        <f>IFERROR(CONVERT($C$13,"in","cm"),"N/A")</f>
        <v>-647.70000000000005</v>
      </c>
      <c r="K27" s="7">
        <f>IFERROR(CONVERT($C$13,"yd","m"),"N/A")</f>
        <v>-233.172</v>
      </c>
      <c r="L27" s="7" t="str">
        <f>IFERROR(CONVERT($C$13,"oz","g"),"N/A")</f>
        <v>N/A</v>
      </c>
      <c r="M27" s="8"/>
    </row>
    <row r="28" spans="2:13" x14ac:dyDescent="0.3">
      <c r="B28" s="6">
        <f>$C$14</f>
        <v>42.5</v>
      </c>
      <c r="C28" s="7">
        <f>IFERROR(CONVERT($C$14,"lbm","kg"),"N/A")</f>
        <v>19.277675725000002</v>
      </c>
      <c r="D28" s="7">
        <f>IFERROR(CONVERT($C$14,"mi","km"),"N/A")</f>
        <v>68.397120000000001</v>
      </c>
      <c r="E28" s="7">
        <f>IFERROR(CONVERT($C$14,"ft","m"),"N/A")</f>
        <v>12.954000000000001</v>
      </c>
      <c r="F28" s="7">
        <f>IFERROR(CONVERT($C$14,"gal","l"),"N/A")</f>
        <v>160.88000081999999</v>
      </c>
      <c r="G28" s="7">
        <f>IFERROR(CONVERT($C$14,"F","C"),"N/A")</f>
        <v>5.833333333333333</v>
      </c>
      <c r="H28" s="7">
        <f>IFERROR(CONVERT($C$14,"C","K"),"N/A")</f>
        <v>315.64999999999998</v>
      </c>
      <c r="I28" s="7">
        <f>IFERROR(CONVERT($C$14,"hr","mn"),"N/A")</f>
        <v>2550</v>
      </c>
      <c r="J28" s="7">
        <f>IFERROR(CONVERT($C$14,"in","cm"),"N/A")</f>
        <v>107.94999999999999</v>
      </c>
      <c r="K28" s="7">
        <f>IFERROR(CONVERT($C$14,"yd","m"),"N/A")</f>
        <v>38.862000000000002</v>
      </c>
      <c r="L28" s="7" t="str">
        <f>IFERROR(CONVERT($C$14,"oz","g"),"N/A")</f>
        <v>N/A</v>
      </c>
      <c r="M28" s="8"/>
    </row>
    <row r="29" spans="2:13" x14ac:dyDescent="0.3">
      <c r="B29" s="6">
        <f>$C$15</f>
        <v>-42.5</v>
      </c>
      <c r="C29" s="7">
        <f>IFERROR(CONVERT($C$15,"lbm","kg"),"N/A")</f>
        <v>-19.277675725000002</v>
      </c>
      <c r="D29" s="7">
        <f>IFERROR(CONVERT($C$15,"mi","km"),"N/A")</f>
        <v>-68.397120000000001</v>
      </c>
      <c r="E29" s="7">
        <f>IFERROR(CONVERT($C$15,"ft","m"),"N/A")</f>
        <v>-12.954000000000001</v>
      </c>
      <c r="F29" s="7">
        <f>IFERROR(CONVERT($C$15,"gal","l"),"N/A")</f>
        <v>-160.88000081999999</v>
      </c>
      <c r="G29" s="7">
        <f>IFERROR(CONVERT($C$15,"F","C"),"N/A")</f>
        <v>-41.388888888888886</v>
      </c>
      <c r="H29" s="7">
        <f>IFERROR(CONVERT($C$15,"C","K"),"N/A")</f>
        <v>230.64999999999998</v>
      </c>
      <c r="I29" s="7">
        <f>IFERROR(CONVERT($C$15,"hr","mn"),"N/A")</f>
        <v>-2550</v>
      </c>
      <c r="J29" s="7">
        <f>IFERROR(CONVERT($C$15,"in","cm"),"N/A")</f>
        <v>-107.94999999999999</v>
      </c>
      <c r="K29" s="7">
        <f>IFERROR(CONVERT($C$15,"yd","m"),"N/A")</f>
        <v>-38.862000000000002</v>
      </c>
      <c r="L29" s="7" t="str">
        <f>IFERROR(CONVERT($C$15,"oz","g"),"N/A")</f>
        <v>N/A</v>
      </c>
      <c r="M29" s="8"/>
    </row>
    <row r="30" spans="2:13" x14ac:dyDescent="0.3"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2:13" ht="16.2" thickBot="1" x14ac:dyDescent="0.35">
      <c r="B31" s="17" t="s">
        <v>26</v>
      </c>
      <c r="C31" s="3"/>
      <c r="D31" s="3"/>
      <c r="E31" s="3"/>
      <c r="F31" s="3"/>
      <c r="G31" s="3"/>
      <c r="H31" s="12"/>
      <c r="I31" s="12"/>
      <c r="J31" s="12"/>
      <c r="K31" s="12"/>
      <c r="L31" s="12"/>
      <c r="M31" s="12"/>
    </row>
    <row r="32" spans="2:13" x14ac:dyDescent="0.3">
      <c r="B32" s="18" t="s">
        <v>27</v>
      </c>
      <c r="C32" s="9" t="s">
        <v>28</v>
      </c>
      <c r="D32" s="29">
        <v>4</v>
      </c>
      <c r="E32" s="29">
        <v>6</v>
      </c>
      <c r="F32" s="29">
        <v>8</v>
      </c>
      <c r="G32" s="29">
        <v>10</v>
      </c>
      <c r="H32" s="31"/>
      <c r="I32" s="31"/>
      <c r="J32" s="31"/>
      <c r="K32" s="31"/>
      <c r="L32" s="31"/>
      <c r="M32" s="31"/>
    </row>
    <row r="33" spans="2:13" x14ac:dyDescent="0.3">
      <c r="B33" s="20">
        <f>$C$5</f>
        <v>0</v>
      </c>
      <c r="C33" s="25" t="str">
        <f>IFERROR(DEC2BIN($C$5),"N/A")</f>
        <v>0</v>
      </c>
      <c r="D33" s="25" t="str">
        <f>IFERROR(DEC2BIN($C$5,4),"N/A")</f>
        <v>0000</v>
      </c>
      <c r="E33" s="25" t="str">
        <f>IFERROR(DEC2BIN($C$5,6),"N/A")</f>
        <v>000000</v>
      </c>
      <c r="F33" s="25" t="str">
        <f>IFERROR(DEC2BIN($C$5,8),"N/A")</f>
        <v>00000000</v>
      </c>
      <c r="G33" s="25" t="str">
        <f>IFERROR(DEC2BIN($C$5,10),"N/A")</f>
        <v>0000000000</v>
      </c>
      <c r="H33" s="31"/>
      <c r="I33" s="31"/>
      <c r="J33" s="31"/>
      <c r="K33" s="31"/>
      <c r="L33" s="31"/>
      <c r="M33" s="8"/>
    </row>
    <row r="34" spans="2:13" x14ac:dyDescent="0.3">
      <c r="B34" s="6">
        <f>$C$6</f>
        <v>1</v>
      </c>
      <c r="C34" s="7" t="str">
        <f>IFERROR(DEC2BIN($C$6),"N/A")</f>
        <v>1</v>
      </c>
      <c r="D34" s="7" t="str">
        <f>IFERROR(DEC2BIN($C$6,4),"N/A")</f>
        <v>0001</v>
      </c>
      <c r="E34" s="7" t="str">
        <f>IFERROR(DEC2BIN($C$6,6),"N/A")</f>
        <v>000001</v>
      </c>
      <c r="F34" s="7" t="str">
        <f>IFERROR(DEC2BIN($C$6,8),"N/A")</f>
        <v>00000001</v>
      </c>
      <c r="G34" s="7" t="str">
        <f>IFERROR(DEC2BIN($C$6,10),"N/A")</f>
        <v>0000000001</v>
      </c>
      <c r="H34" s="8"/>
      <c r="I34" s="8"/>
      <c r="J34" s="8"/>
      <c r="K34" s="8"/>
      <c r="L34" s="8"/>
      <c r="M34" s="8"/>
    </row>
    <row r="35" spans="2:13" x14ac:dyDescent="0.3">
      <c r="B35" s="6">
        <f>$C$7</f>
        <v>-1</v>
      </c>
      <c r="C35" s="7" t="str">
        <f>IFERROR(DEC2BIN($C$7),"N/A")</f>
        <v>1111111111</v>
      </c>
      <c r="D35" s="7" t="str">
        <f>IFERROR(DEC2BIN($C$7,4),"N/A")</f>
        <v>1111111111</v>
      </c>
      <c r="E35" s="7" t="str">
        <f>IFERROR(DEC2BIN($C$7,6),"N/A")</f>
        <v>1111111111</v>
      </c>
      <c r="F35" s="7" t="str">
        <f>IFERROR(DEC2BIN($C$7,8),"N/A")</f>
        <v>1111111111</v>
      </c>
      <c r="G35" s="7" t="str">
        <f>IFERROR(DEC2BIN($C$7,10),"N/A")</f>
        <v>1111111111</v>
      </c>
      <c r="H35" s="8"/>
      <c r="I35" s="8"/>
      <c r="J35" s="8"/>
      <c r="K35" s="8"/>
      <c r="L35" s="8"/>
      <c r="M35" s="8"/>
    </row>
    <row r="36" spans="2:13" x14ac:dyDescent="0.3">
      <c r="B36" s="6">
        <f>$C$8</f>
        <v>10</v>
      </c>
      <c r="C36" s="7" t="str">
        <f>IFERROR(DEC2BIN($C$8),"N/A")</f>
        <v>1010</v>
      </c>
      <c r="D36" s="7" t="str">
        <f>IFERROR(DEC2BIN($C$8,4),"N/A")</f>
        <v>1010</v>
      </c>
      <c r="E36" s="7" t="str">
        <f>IFERROR(DEC2BIN($C$8,6),"N/A")</f>
        <v>001010</v>
      </c>
      <c r="F36" s="7" t="str">
        <f>IFERROR(DEC2BIN($C$8,8),"N/A")</f>
        <v>00001010</v>
      </c>
      <c r="G36" s="7" t="str">
        <f>IFERROR(DEC2BIN($C$8,10),"N/A")</f>
        <v>0000001010</v>
      </c>
      <c r="H36" s="8"/>
      <c r="I36" s="8"/>
      <c r="J36" s="8"/>
      <c r="K36" s="8"/>
      <c r="L36" s="8"/>
      <c r="M36" s="8"/>
    </row>
    <row r="37" spans="2:13" x14ac:dyDescent="0.3">
      <c r="B37" s="6">
        <f>$C$9</f>
        <v>-10</v>
      </c>
      <c r="C37" s="7" t="str">
        <f>IFERROR(DEC2BIN($C$9),"N/A")</f>
        <v>1111110110</v>
      </c>
      <c r="D37" s="7" t="str">
        <f>IFERROR(DEC2BIN($C$9,4),"N/A")</f>
        <v>1111110110</v>
      </c>
      <c r="E37" s="7" t="str">
        <f>IFERROR(DEC2BIN($C$9,6),"N/A")</f>
        <v>1111110110</v>
      </c>
      <c r="F37" s="7" t="str">
        <f>IFERROR(DEC2BIN($C$9,8),"N/A")</f>
        <v>1111110110</v>
      </c>
      <c r="G37" s="7" t="str">
        <f>IFERROR(DEC2BIN($C$9,10),"N/A")</f>
        <v>1111110110</v>
      </c>
      <c r="H37" s="8"/>
      <c r="I37" s="8"/>
      <c r="J37" s="8"/>
      <c r="K37" s="8"/>
      <c r="L37" s="8"/>
      <c r="M37" s="8"/>
    </row>
    <row r="38" spans="2:13" x14ac:dyDescent="0.3">
      <c r="B38" s="6">
        <f>$C$10</f>
        <v>511</v>
      </c>
      <c r="C38" s="7" t="str">
        <f>IFERROR(DEC2BIN($C$10),"N/A")</f>
        <v>111111111</v>
      </c>
      <c r="D38" s="7" t="str">
        <f>IFERROR(DEC2BIN($C$10,4),"N/A")</f>
        <v>N/A</v>
      </c>
      <c r="E38" s="7" t="str">
        <f>IFERROR(DEC2BIN($C$10,6),"N/A")</f>
        <v>N/A</v>
      </c>
      <c r="F38" s="7" t="str">
        <f>IFERROR(DEC2BIN($C$10,8),"N/A")</f>
        <v>N/A</v>
      </c>
      <c r="G38" s="7" t="str">
        <f>IFERROR(DEC2BIN($C$10,10),"N/A")</f>
        <v>0111111111</v>
      </c>
      <c r="H38" s="8"/>
      <c r="I38" s="8"/>
      <c r="J38" s="8"/>
      <c r="K38" s="8"/>
      <c r="L38" s="8"/>
      <c r="M38" s="8"/>
    </row>
    <row r="39" spans="2:13" x14ac:dyDescent="0.3">
      <c r="B39" s="6">
        <f>$C$11</f>
        <v>-512</v>
      </c>
      <c r="C39" s="7" t="str">
        <f>IFERROR(DEC2BIN($C$11),"N/A")</f>
        <v>1000000000</v>
      </c>
      <c r="D39" s="7" t="str">
        <f>IFERROR(DEC2BIN($C$11,4),"N/A")</f>
        <v>1000000000</v>
      </c>
      <c r="E39" s="7" t="str">
        <f>IFERROR(DEC2BIN($C$11,6),"N/A")</f>
        <v>1000000000</v>
      </c>
      <c r="F39" s="7" t="str">
        <f>IFERROR(DEC2BIN($C$11,8),"N/A")</f>
        <v>1000000000</v>
      </c>
      <c r="G39" s="7" t="str">
        <f>IFERROR(DEC2BIN($C$11,10),"N/A")</f>
        <v>1000000000</v>
      </c>
      <c r="H39" s="8"/>
      <c r="I39" s="8"/>
      <c r="J39" s="8"/>
      <c r="K39" s="8"/>
      <c r="L39" s="8"/>
      <c r="M39" s="8"/>
    </row>
    <row r="40" spans="2:13" x14ac:dyDescent="0.3">
      <c r="B40" s="6">
        <f>$C$12</f>
        <v>255</v>
      </c>
      <c r="C40" s="7" t="str">
        <f>IFERROR(DEC2BIN($C$12),"N/A")</f>
        <v>11111111</v>
      </c>
      <c r="D40" s="7" t="str">
        <f>IFERROR(DEC2BIN($C$12,4),"N/A")</f>
        <v>N/A</v>
      </c>
      <c r="E40" s="7" t="str">
        <f>IFERROR(DEC2BIN($C$12,6),"N/A")</f>
        <v>N/A</v>
      </c>
      <c r="F40" s="7" t="str">
        <f>IFERROR(DEC2BIN($C$12,8),"N/A")</f>
        <v>11111111</v>
      </c>
      <c r="G40" s="7" t="str">
        <f>IFERROR(DEC2BIN($C$12,10),"N/A")</f>
        <v>0011111111</v>
      </c>
      <c r="H40" s="8"/>
      <c r="I40" s="8"/>
      <c r="J40" s="8"/>
      <c r="K40" s="8"/>
      <c r="L40" s="8"/>
      <c r="M40" s="8"/>
    </row>
    <row r="41" spans="2:13" x14ac:dyDescent="0.3">
      <c r="B41" s="6">
        <f>$C$13</f>
        <v>-255</v>
      </c>
      <c r="C41" s="7" t="str">
        <f>IFERROR(DEC2BIN($C$13),"N/A")</f>
        <v>1100000001</v>
      </c>
      <c r="D41" s="7" t="str">
        <f>IFERROR(DEC2BIN($C$13,4),"N/A")</f>
        <v>1100000001</v>
      </c>
      <c r="E41" s="7" t="str">
        <f>IFERROR(DEC2BIN($C$13,6),"N/A")</f>
        <v>1100000001</v>
      </c>
      <c r="F41" s="7" t="str">
        <f>IFERROR(DEC2BIN($C$13,8),"N/A")</f>
        <v>1100000001</v>
      </c>
      <c r="G41" s="7" t="str">
        <f>IFERROR(DEC2BIN($C$13,10),"N/A")</f>
        <v>1100000001</v>
      </c>
      <c r="H41" s="8"/>
      <c r="I41" s="8"/>
      <c r="J41" s="8"/>
      <c r="K41" s="8"/>
      <c r="L41" s="8"/>
      <c r="M41" s="8"/>
    </row>
    <row r="42" spans="2:13" x14ac:dyDescent="0.3">
      <c r="C42" s="9"/>
      <c r="D42" s="9"/>
      <c r="E42" s="9"/>
      <c r="F42" s="9"/>
      <c r="G42" s="9"/>
      <c r="H42" s="8"/>
      <c r="I42" s="8"/>
      <c r="J42" s="8"/>
      <c r="K42" s="8"/>
      <c r="L42" s="8"/>
      <c r="M42" s="8"/>
    </row>
    <row r="43" spans="2:13" ht="16.2" thickBot="1" x14ac:dyDescent="0.35">
      <c r="B43" s="17" t="s">
        <v>29</v>
      </c>
      <c r="C43" s="3"/>
      <c r="D43" s="3"/>
      <c r="E43" s="3"/>
      <c r="F43" s="3"/>
      <c r="G43" s="3"/>
      <c r="H43" s="3"/>
      <c r="I43" s="12"/>
      <c r="J43" s="12"/>
      <c r="K43" s="12"/>
      <c r="L43" s="12"/>
      <c r="M43" s="8"/>
    </row>
    <row r="44" spans="2:13" x14ac:dyDescent="0.3">
      <c r="B44" s="18" t="s">
        <v>27</v>
      </c>
      <c r="C44" s="9" t="s">
        <v>28</v>
      </c>
      <c r="D44" s="29">
        <v>2</v>
      </c>
      <c r="E44" s="29">
        <v>4</v>
      </c>
      <c r="F44" s="29">
        <v>6</v>
      </c>
      <c r="G44" s="29">
        <v>8</v>
      </c>
      <c r="H44" s="29">
        <v>10</v>
      </c>
      <c r="I44" s="31"/>
      <c r="J44" s="31"/>
      <c r="K44" s="31"/>
      <c r="L44" s="31"/>
      <c r="M44" s="31"/>
    </row>
    <row r="45" spans="2:13" x14ac:dyDescent="0.3">
      <c r="B45" s="20">
        <f>$C$5</f>
        <v>0</v>
      </c>
      <c r="C45" s="25" t="str">
        <f>IFERROR(DEC2HEX($C$5),"N/A")</f>
        <v>0</v>
      </c>
      <c r="D45" s="25" t="str">
        <f>IFERROR(DEC2HEX($C$5,2),"N/A")</f>
        <v>00</v>
      </c>
      <c r="E45" s="25" t="str">
        <f>IFERROR(DEC2HEX($C$5,4),"N/A")</f>
        <v>0000</v>
      </c>
      <c r="F45" s="25" t="str">
        <f>IFERROR(DEC2HEX($C$5,6),"N/A")</f>
        <v>000000</v>
      </c>
      <c r="G45" s="25" t="str">
        <f>IFERROR(DEC2HEX($C$5,8),"N/A")</f>
        <v>00000000</v>
      </c>
      <c r="H45" s="25" t="str">
        <f>IFERROR(DEC2HEX($C$5,10),"N/A")</f>
        <v>0000000000</v>
      </c>
      <c r="I45" s="31"/>
      <c r="J45" s="31"/>
      <c r="K45" s="31"/>
      <c r="L45" s="31"/>
      <c r="M45" s="8"/>
    </row>
    <row r="46" spans="2:13" x14ac:dyDescent="0.3">
      <c r="B46" s="6">
        <f>$C$6</f>
        <v>1</v>
      </c>
      <c r="C46" s="7" t="str">
        <f>IFERROR(DEC2HEX($C$6),"N/A")</f>
        <v>1</v>
      </c>
      <c r="D46" s="7" t="str">
        <f>IFERROR(DEC2HEX($C$6,2),"N/A")</f>
        <v>01</v>
      </c>
      <c r="E46" s="7" t="str">
        <f>IFERROR(DEC2HEX($C$6,4),"N/A")</f>
        <v>0001</v>
      </c>
      <c r="F46" s="7" t="str">
        <f>IFERROR(DEC2HEX($C$6,6),"N/A")</f>
        <v>000001</v>
      </c>
      <c r="G46" s="7" t="str">
        <f>IFERROR(DEC2HEX($C$6,8),"N/A")</f>
        <v>00000001</v>
      </c>
      <c r="H46" s="7" t="str">
        <f>IFERROR(DEC2HEX($C$6,10),"N/A")</f>
        <v>0000000001</v>
      </c>
      <c r="I46" s="8"/>
      <c r="J46" s="8"/>
      <c r="K46" s="8"/>
      <c r="L46" s="8"/>
      <c r="M46" s="8"/>
    </row>
    <row r="47" spans="2:13" x14ac:dyDescent="0.3">
      <c r="B47" s="6">
        <f>$C$7</f>
        <v>-1</v>
      </c>
      <c r="C47" s="7" t="str">
        <f>IFERROR(DEC2HEX($C$7),"N/A")</f>
        <v>FFFFFFFFFF</v>
      </c>
      <c r="D47" s="7" t="str">
        <f>IFERROR(DEC2HEX($C$7,2),"N/A")</f>
        <v>FFFFFFFFFF</v>
      </c>
      <c r="E47" s="7" t="str">
        <f>IFERROR(DEC2HEX($C$7,4),"N/A")</f>
        <v>FFFFFFFFFF</v>
      </c>
      <c r="F47" s="7" t="str">
        <f>IFERROR(DEC2HEX($C$7,6),"N/A")</f>
        <v>FFFFFFFFFF</v>
      </c>
      <c r="G47" s="7" t="str">
        <f>IFERROR(DEC2HEX($C$7,8),"N/A")</f>
        <v>FFFFFFFFFF</v>
      </c>
      <c r="H47" s="7" t="str">
        <f>IFERROR(DEC2HEX($C$7,10),"N/A")</f>
        <v>FFFFFFFFFF</v>
      </c>
      <c r="I47" s="8"/>
      <c r="J47" s="8"/>
      <c r="K47" s="8"/>
      <c r="L47" s="8"/>
      <c r="M47" s="8"/>
    </row>
    <row r="48" spans="2:13" x14ac:dyDescent="0.3">
      <c r="B48" s="6">
        <f>$C$8</f>
        <v>10</v>
      </c>
      <c r="C48" s="7" t="str">
        <f>IFERROR(DEC2HEX($C$8),"N/A")</f>
        <v>A</v>
      </c>
      <c r="D48" s="7" t="str">
        <f>IFERROR(DEC2HEX($C$8,2),"N/A")</f>
        <v>0A</v>
      </c>
      <c r="E48" s="7" t="str">
        <f>IFERROR(DEC2HEX($C$8,4),"N/A")</f>
        <v>000A</v>
      </c>
      <c r="F48" s="7" t="str">
        <f>IFERROR(DEC2HEX($C$8,6),"N/A")</f>
        <v>00000A</v>
      </c>
      <c r="G48" s="7" t="str">
        <f>IFERROR(DEC2HEX($C$8,8),"N/A")</f>
        <v>0000000A</v>
      </c>
      <c r="H48" s="7" t="str">
        <f>IFERROR(DEC2HEX($C$8,10),"N/A")</f>
        <v>000000000A</v>
      </c>
      <c r="I48" s="8"/>
      <c r="J48" s="8"/>
      <c r="K48" s="8"/>
      <c r="L48" s="8"/>
      <c r="M48" s="8"/>
    </row>
    <row r="49" spans="2:13" x14ac:dyDescent="0.3">
      <c r="B49" s="6">
        <f>$C$9</f>
        <v>-10</v>
      </c>
      <c r="C49" s="7" t="str">
        <f>IFERROR(DEC2HEX($C$9),"N/A")</f>
        <v>FFFFFFFFF6</v>
      </c>
      <c r="D49" s="7" t="str">
        <f>IFERROR(DEC2HEX($C$9,2),"N/A")</f>
        <v>FFFFFFFFF6</v>
      </c>
      <c r="E49" s="7" t="str">
        <f>IFERROR(DEC2HEX($C$9,4),"N/A")</f>
        <v>FFFFFFFFF6</v>
      </c>
      <c r="F49" s="7" t="str">
        <f>IFERROR(DEC2HEX($C$9,6),"N/A")</f>
        <v>FFFFFFFFF6</v>
      </c>
      <c r="G49" s="7" t="str">
        <f>IFERROR(DEC2HEX($C$9,8),"N/A")</f>
        <v>FFFFFFFFF6</v>
      </c>
      <c r="H49" s="7" t="str">
        <f>IFERROR(DEC2HEX($C$9,10),"N/A")</f>
        <v>FFFFFFFFF6</v>
      </c>
      <c r="I49" s="8"/>
      <c r="J49" s="8"/>
      <c r="K49" s="8"/>
      <c r="L49" s="8"/>
      <c r="M49" s="8"/>
    </row>
    <row r="50" spans="2:13" x14ac:dyDescent="0.3">
      <c r="B50" s="6">
        <f>$C$10</f>
        <v>511</v>
      </c>
      <c r="C50" s="7" t="str">
        <f>IFERROR(DEC2HEX($C$10),"N/A")</f>
        <v>1FF</v>
      </c>
      <c r="D50" s="7" t="str">
        <f>IFERROR(DEC2HEX($C$10,2),"N/A")</f>
        <v>N/A</v>
      </c>
      <c r="E50" s="7" t="str">
        <f>IFERROR(DEC2HEX($C$10,4),"N/A")</f>
        <v>01FF</v>
      </c>
      <c r="F50" s="7" t="str">
        <f>IFERROR(DEC2HEX($C$10,6),"N/A")</f>
        <v>0001FF</v>
      </c>
      <c r="G50" s="7" t="str">
        <f>IFERROR(DEC2HEX($C$10,8),"N/A")</f>
        <v>000001FF</v>
      </c>
      <c r="H50" s="7" t="str">
        <f>IFERROR(DEC2HEX($C$10,10),"N/A")</f>
        <v>00000001FF</v>
      </c>
      <c r="I50" s="8"/>
      <c r="J50" s="8"/>
      <c r="K50" s="8"/>
      <c r="L50" s="8"/>
      <c r="M50" s="8"/>
    </row>
    <row r="51" spans="2:13" x14ac:dyDescent="0.3">
      <c r="B51" s="6">
        <f>$C$11</f>
        <v>-512</v>
      </c>
      <c r="C51" s="7" t="str">
        <f>IFERROR(DEC2HEX($C$11),"N/A")</f>
        <v>FFFFFFFE00</v>
      </c>
      <c r="D51" s="7" t="str">
        <f>IFERROR(DEC2HEX($C$11,2),"N/A")</f>
        <v>FFFFFFFE00</v>
      </c>
      <c r="E51" s="7" t="str">
        <f>IFERROR(DEC2HEX($C$11,4),"N/A")</f>
        <v>FFFFFFFE00</v>
      </c>
      <c r="F51" s="7" t="str">
        <f>IFERROR(DEC2HEX($C$11,6),"N/A")</f>
        <v>FFFFFFFE00</v>
      </c>
      <c r="G51" s="7" t="str">
        <f>IFERROR(DEC2HEX($C$11,8),"N/A")</f>
        <v>FFFFFFFE00</v>
      </c>
      <c r="H51" s="7" t="str">
        <f>IFERROR(DEC2HEX($C$11,10),"N/A")</f>
        <v>FFFFFFFE00</v>
      </c>
      <c r="I51" s="8"/>
      <c r="J51" s="8"/>
      <c r="K51" s="8"/>
      <c r="L51" s="8"/>
      <c r="M51" s="8"/>
    </row>
    <row r="52" spans="2:13" x14ac:dyDescent="0.3">
      <c r="B52" s="6">
        <f>$C$12</f>
        <v>255</v>
      </c>
      <c r="C52" s="7" t="str">
        <f>IFERROR(DEC2HEX($C$12),"N/A")</f>
        <v>FF</v>
      </c>
      <c r="D52" s="7" t="str">
        <f>IFERROR(DEC2HEX($C$12,2),"N/A")</f>
        <v>FF</v>
      </c>
      <c r="E52" s="7" t="str">
        <f>IFERROR(DEC2HEX($C$12,4),"N/A")</f>
        <v>00FF</v>
      </c>
      <c r="F52" s="7" t="str">
        <f>IFERROR(DEC2HEX($C$12,6),"N/A")</f>
        <v>0000FF</v>
      </c>
      <c r="G52" s="7" t="str">
        <f>IFERROR(DEC2HEX($C$12,8),"N/A")</f>
        <v>000000FF</v>
      </c>
      <c r="H52" s="7" t="str">
        <f>IFERROR(DEC2HEX($C$12,10),"N/A")</f>
        <v>00000000FF</v>
      </c>
      <c r="I52" s="8"/>
      <c r="J52" s="8"/>
      <c r="K52" s="8"/>
      <c r="L52" s="8"/>
      <c r="M52" s="8"/>
    </row>
    <row r="53" spans="2:13" x14ac:dyDescent="0.3">
      <c r="B53" s="6">
        <f>$C$13</f>
        <v>-255</v>
      </c>
      <c r="C53" s="7" t="str">
        <f>IFERROR(DEC2HEX($C$13),"N/A")</f>
        <v>FFFFFFFF01</v>
      </c>
      <c r="D53" s="7" t="str">
        <f>IFERROR(DEC2HEX($C$13,2),"N/A")</f>
        <v>FFFFFFFF01</v>
      </c>
      <c r="E53" s="7" t="str">
        <f>IFERROR(DEC2HEX($C$13,4),"N/A")</f>
        <v>FFFFFFFF01</v>
      </c>
      <c r="F53" s="7" t="str">
        <f>IFERROR(DEC2HEX($C$13,6),"N/A")</f>
        <v>FFFFFFFF01</v>
      </c>
      <c r="G53" s="7" t="str">
        <f>IFERROR(DEC2HEX($C$13,8),"N/A")</f>
        <v>FFFFFFFF01</v>
      </c>
      <c r="H53" s="7" t="str">
        <f>IFERROR(DEC2HEX($C$13,10),"N/A")</f>
        <v>FFFFFFFF01</v>
      </c>
      <c r="I53" s="8"/>
      <c r="J53" s="8"/>
      <c r="K53" s="8"/>
      <c r="L53" s="8"/>
      <c r="M53" s="8"/>
    </row>
    <row r="54" spans="2:13" x14ac:dyDescent="0.3">
      <c r="B54" s="6">
        <f>$C$14</f>
        <v>42.5</v>
      </c>
      <c r="C54" s="7" t="str">
        <f>IFERROR(DEC2HEX($C$14),"N/A")</f>
        <v>2A</v>
      </c>
      <c r="D54" s="7" t="str">
        <f>IFERROR(DEC2HEX($C$14,2),"N/A")</f>
        <v>2A</v>
      </c>
      <c r="E54" s="7" t="str">
        <f>IFERROR(DEC2HEX($C$14,4),"N/A")</f>
        <v>002A</v>
      </c>
      <c r="F54" s="7" t="str">
        <f>IFERROR(DEC2HEX($C$14,6),"N/A")</f>
        <v>00002A</v>
      </c>
      <c r="G54" s="7" t="str">
        <f>IFERROR(DEC2HEX($C$14,8),"N/A")</f>
        <v>0000002A</v>
      </c>
      <c r="H54" s="7" t="str">
        <f>IFERROR(DEC2HEX($C$14,10),"N/A")</f>
        <v>000000002A</v>
      </c>
      <c r="I54" s="8"/>
      <c r="J54" s="8"/>
      <c r="K54" s="8"/>
      <c r="L54" s="8"/>
      <c r="M54" s="8"/>
    </row>
    <row r="55" spans="2:13" x14ac:dyDescent="0.3">
      <c r="B55" s="6">
        <f>$C$15</f>
        <v>-42.5</v>
      </c>
      <c r="C55" s="7" t="str">
        <f>IFERROR(DEC2HEX($C$15),"N/A")</f>
        <v>FFFFFFFFD6</v>
      </c>
      <c r="D55" s="7" t="str">
        <f>IFERROR(DEC2HEX($C$15,2),"N/A")</f>
        <v>FFFFFFFFD6</v>
      </c>
      <c r="E55" s="7" t="str">
        <f>IFERROR(DEC2HEX($C$15,4),"N/A")</f>
        <v>FFFFFFFFD6</v>
      </c>
      <c r="F55" s="7" t="str">
        <f>IFERROR(DEC2HEX($C$15,6),"N/A")</f>
        <v>FFFFFFFFD6</v>
      </c>
      <c r="G55" s="7" t="str">
        <f>IFERROR(DEC2HEX($C$15,8),"N/A")</f>
        <v>FFFFFFFFD6</v>
      </c>
      <c r="H55" s="7" t="str">
        <f>IFERROR(DEC2HEX($C$15,10),"N/A")</f>
        <v>FFFFFFFFD6</v>
      </c>
      <c r="I55" s="8"/>
      <c r="J55" s="8"/>
      <c r="K55" s="8"/>
      <c r="L55" s="8"/>
      <c r="M55" s="8"/>
    </row>
    <row r="56" spans="2:13" x14ac:dyDescent="0.3">
      <c r="C56" s="9"/>
      <c r="D56" s="9"/>
      <c r="E56" s="9"/>
      <c r="F56" s="9"/>
      <c r="G56" s="9"/>
      <c r="H56" s="9"/>
      <c r="I56" s="8"/>
      <c r="J56" s="8"/>
      <c r="K56" s="8"/>
      <c r="L56" s="8"/>
      <c r="M56" s="8"/>
    </row>
    <row r="57" spans="2:13" ht="16.2" thickBot="1" x14ac:dyDescent="0.35">
      <c r="B57" s="17" t="s">
        <v>30</v>
      </c>
      <c r="C57" s="3"/>
      <c r="D57" s="3"/>
      <c r="E57" s="21"/>
      <c r="F57" s="21"/>
      <c r="G57" s="21"/>
      <c r="H57" s="21"/>
      <c r="I57" s="21"/>
      <c r="J57" s="21"/>
      <c r="K57" s="21"/>
      <c r="L57" s="12"/>
      <c r="M57" s="8"/>
    </row>
    <row r="58" spans="2:13" x14ac:dyDescent="0.3">
      <c r="B58" s="19" t="s">
        <v>31</v>
      </c>
      <c r="C58" s="9" t="s">
        <v>32</v>
      </c>
      <c r="D58" s="9"/>
      <c r="E58" s="31"/>
      <c r="F58" s="31"/>
      <c r="G58" s="31"/>
      <c r="H58" s="31"/>
      <c r="I58" s="31"/>
      <c r="J58" s="31"/>
      <c r="K58" s="31"/>
      <c r="L58" s="31"/>
      <c r="M58" s="31"/>
    </row>
    <row r="59" spans="2:13" x14ac:dyDescent="0.3">
      <c r="B59" s="22" t="s">
        <v>64</v>
      </c>
      <c r="C59" s="25">
        <f t="shared" ref="C59:C69" si="0">IFERROR(BIN2DEC(B59),"N/A")</f>
        <v>0</v>
      </c>
      <c r="D59" s="26" t="s">
        <v>33</v>
      </c>
      <c r="E59" s="31"/>
      <c r="F59" s="31"/>
      <c r="G59" s="31"/>
      <c r="H59" s="31"/>
      <c r="I59" s="31"/>
      <c r="J59" s="31"/>
      <c r="K59" s="31"/>
      <c r="L59" s="31"/>
      <c r="M59" s="8"/>
    </row>
    <row r="60" spans="2:13" x14ac:dyDescent="0.3">
      <c r="B60" s="11" t="s">
        <v>65</v>
      </c>
      <c r="C60" s="7">
        <f t="shared" si="0"/>
        <v>1</v>
      </c>
      <c r="D60" s="26" t="s">
        <v>34</v>
      </c>
      <c r="E60" s="8"/>
      <c r="F60" s="8"/>
      <c r="G60" s="8"/>
      <c r="H60" s="8"/>
      <c r="I60" s="8"/>
      <c r="J60" s="8"/>
      <c r="K60" s="8"/>
      <c r="L60" s="8"/>
      <c r="M60" s="8"/>
    </row>
    <row r="61" spans="2:13" x14ac:dyDescent="0.3">
      <c r="B61" s="11" t="s">
        <v>66</v>
      </c>
      <c r="C61" s="7">
        <f t="shared" si="0"/>
        <v>2</v>
      </c>
      <c r="D61" s="26" t="s">
        <v>35</v>
      </c>
      <c r="E61" s="8"/>
      <c r="F61" s="8"/>
      <c r="G61" s="8"/>
      <c r="H61" s="8"/>
      <c r="I61" s="8"/>
      <c r="J61" s="8"/>
      <c r="K61" s="8"/>
      <c r="L61" s="8"/>
      <c r="M61" s="8"/>
    </row>
    <row r="62" spans="2:13" x14ac:dyDescent="0.3">
      <c r="B62" s="11" t="s">
        <v>67</v>
      </c>
      <c r="C62" s="7">
        <f t="shared" si="0"/>
        <v>3</v>
      </c>
      <c r="D62" s="26" t="s">
        <v>36</v>
      </c>
      <c r="E62" s="8"/>
      <c r="F62" s="8"/>
      <c r="G62" s="8"/>
      <c r="H62" s="8"/>
      <c r="I62" s="8"/>
      <c r="J62" s="8"/>
      <c r="K62" s="8"/>
      <c r="L62" s="8"/>
      <c r="M62" s="8"/>
    </row>
    <row r="63" spans="2:13" x14ac:dyDescent="0.3">
      <c r="B63" s="11" t="s">
        <v>68</v>
      </c>
      <c r="C63" s="7">
        <f t="shared" si="0"/>
        <v>10</v>
      </c>
      <c r="D63" s="26" t="s">
        <v>37</v>
      </c>
      <c r="E63" s="8"/>
      <c r="F63" s="8"/>
      <c r="G63" s="8"/>
      <c r="H63" s="8"/>
      <c r="I63" s="8"/>
      <c r="J63" s="8"/>
      <c r="K63" s="8"/>
      <c r="L63" s="8"/>
      <c r="M63" s="8"/>
    </row>
    <row r="64" spans="2:13" x14ac:dyDescent="0.3">
      <c r="B64" s="11" t="s">
        <v>69</v>
      </c>
      <c r="C64" s="7">
        <f t="shared" si="0"/>
        <v>255</v>
      </c>
      <c r="D64" s="26" t="s">
        <v>38</v>
      </c>
      <c r="E64" s="8"/>
      <c r="F64" s="8"/>
      <c r="G64" s="8"/>
      <c r="H64" s="8"/>
      <c r="I64" s="8"/>
      <c r="J64" s="8"/>
      <c r="K64" s="8"/>
      <c r="L64" s="8"/>
      <c r="M64" s="8"/>
    </row>
    <row r="65" spans="2:13" x14ac:dyDescent="0.3">
      <c r="B65" s="11" t="s">
        <v>70</v>
      </c>
      <c r="C65" s="7">
        <f t="shared" si="0"/>
        <v>511</v>
      </c>
      <c r="D65" s="26" t="s">
        <v>39</v>
      </c>
      <c r="E65" s="8"/>
      <c r="F65" s="8"/>
      <c r="G65" s="8"/>
      <c r="H65" s="8"/>
      <c r="I65" s="8"/>
      <c r="J65" s="8"/>
      <c r="K65" s="8"/>
      <c r="L65" s="8"/>
      <c r="M65" s="8"/>
    </row>
    <row r="66" spans="2:13" x14ac:dyDescent="0.3">
      <c r="B66" s="11" t="s">
        <v>71</v>
      </c>
      <c r="C66" s="7">
        <f t="shared" si="0"/>
        <v>-512</v>
      </c>
      <c r="D66" s="26" t="s">
        <v>40</v>
      </c>
      <c r="E66" s="8"/>
      <c r="F66" s="8"/>
      <c r="G66" s="8"/>
      <c r="H66" s="8"/>
      <c r="I66" s="8"/>
      <c r="J66" s="8"/>
      <c r="K66" s="8"/>
      <c r="L66" s="8"/>
      <c r="M66" s="8"/>
    </row>
    <row r="67" spans="2:13" x14ac:dyDescent="0.3">
      <c r="B67" s="11" t="s">
        <v>72</v>
      </c>
      <c r="C67" s="7">
        <f t="shared" si="0"/>
        <v>-1</v>
      </c>
      <c r="D67" s="26" t="s">
        <v>41</v>
      </c>
      <c r="E67" s="8"/>
      <c r="F67" s="8"/>
      <c r="G67" s="8"/>
      <c r="H67" s="8"/>
      <c r="I67" s="8"/>
      <c r="J67" s="8"/>
      <c r="K67" s="8"/>
      <c r="L67" s="8"/>
      <c r="M67" s="8"/>
    </row>
    <row r="68" spans="2:13" x14ac:dyDescent="0.3">
      <c r="B68" s="11" t="s">
        <v>73</v>
      </c>
      <c r="C68" s="7">
        <f t="shared" si="0"/>
        <v>1</v>
      </c>
      <c r="D68" s="26" t="s">
        <v>42</v>
      </c>
      <c r="E68" s="8"/>
      <c r="F68" s="8"/>
      <c r="G68" s="8"/>
      <c r="H68" s="8"/>
      <c r="I68" s="8"/>
      <c r="J68" s="8"/>
      <c r="K68" s="8"/>
      <c r="L68" s="8"/>
      <c r="M68" s="8"/>
    </row>
    <row r="69" spans="2:13" x14ac:dyDescent="0.3">
      <c r="B69" s="11" t="s">
        <v>74</v>
      </c>
      <c r="C69" s="7">
        <f t="shared" si="0"/>
        <v>10</v>
      </c>
      <c r="D69" s="26" t="s">
        <v>43</v>
      </c>
      <c r="E69" s="8"/>
      <c r="F69" s="8"/>
      <c r="G69" s="8"/>
      <c r="H69" s="8"/>
      <c r="I69" s="8"/>
      <c r="J69" s="8"/>
      <c r="K69" s="8"/>
      <c r="L69" s="8"/>
      <c r="M69" s="8"/>
    </row>
    <row r="70" spans="2:13" x14ac:dyDescent="0.3">
      <c r="C70" s="9"/>
      <c r="D70" s="9"/>
      <c r="E70" s="8"/>
      <c r="F70" s="8"/>
      <c r="G70" s="8"/>
      <c r="H70" s="8"/>
      <c r="I70" s="8"/>
      <c r="J70" s="8"/>
      <c r="K70" s="8"/>
      <c r="L70" s="8"/>
      <c r="M70" s="8"/>
    </row>
    <row r="71" spans="2:13" ht="16.2" thickBot="1" x14ac:dyDescent="0.35">
      <c r="B71" s="17" t="s">
        <v>44</v>
      </c>
      <c r="C71" s="3"/>
      <c r="D71" s="3"/>
      <c r="E71" s="21"/>
      <c r="F71" s="21"/>
      <c r="G71" s="21"/>
      <c r="H71" s="21"/>
      <c r="I71" s="21"/>
      <c r="J71" s="21"/>
      <c r="K71" s="21"/>
      <c r="L71" s="12"/>
      <c r="M71" s="8"/>
    </row>
    <row r="72" spans="2:13" x14ac:dyDescent="0.3">
      <c r="B72" s="19" t="s">
        <v>45</v>
      </c>
      <c r="C72" s="9" t="s">
        <v>32</v>
      </c>
      <c r="D72" s="9"/>
      <c r="E72" s="31"/>
      <c r="F72" s="31"/>
      <c r="G72" s="31"/>
      <c r="H72" s="31"/>
      <c r="I72" s="31"/>
      <c r="J72" s="31"/>
      <c r="K72" s="31"/>
      <c r="L72" s="31"/>
      <c r="M72" s="31"/>
    </row>
    <row r="73" spans="2:13" x14ac:dyDescent="0.3">
      <c r="B73" s="23">
        <v>0</v>
      </c>
      <c r="C73" s="25">
        <f t="shared" ref="C73:C83" si="1">IFERROR(HEX2DEC(B73),"N/A")</f>
        <v>0</v>
      </c>
      <c r="D73" s="26" t="s">
        <v>33</v>
      </c>
      <c r="E73" s="31"/>
      <c r="F73" s="31"/>
      <c r="G73" s="31"/>
      <c r="H73" s="31"/>
      <c r="I73" s="31"/>
      <c r="J73" s="31"/>
      <c r="K73" s="31"/>
      <c r="L73" s="31"/>
      <c r="M73" s="8"/>
    </row>
    <row r="74" spans="2:13" x14ac:dyDescent="0.3">
      <c r="B74" s="10">
        <v>1</v>
      </c>
      <c r="C74" s="7">
        <f t="shared" si="1"/>
        <v>1</v>
      </c>
      <c r="D74" s="26" t="s">
        <v>34</v>
      </c>
      <c r="E74" s="8"/>
      <c r="F74" s="8"/>
      <c r="G74" s="8"/>
      <c r="H74" s="8"/>
      <c r="I74" s="8"/>
      <c r="J74" s="8"/>
      <c r="K74" s="8"/>
      <c r="L74" s="8"/>
      <c r="M74" s="8"/>
    </row>
    <row r="75" spans="2:13" x14ac:dyDescent="0.3">
      <c r="B75" s="10" t="s">
        <v>46</v>
      </c>
      <c r="C75" s="7">
        <f t="shared" si="1"/>
        <v>10</v>
      </c>
      <c r="D75" s="26" t="s">
        <v>47</v>
      </c>
      <c r="E75" s="8"/>
      <c r="F75" s="8"/>
      <c r="G75" s="8"/>
      <c r="H75" s="8"/>
      <c r="I75" s="8"/>
      <c r="J75" s="8"/>
      <c r="K75" s="8"/>
      <c r="L75" s="8"/>
      <c r="M75" s="8"/>
    </row>
    <row r="76" spans="2:13" x14ac:dyDescent="0.3">
      <c r="B76" s="10" t="s">
        <v>48</v>
      </c>
      <c r="C76" s="7">
        <f t="shared" si="1"/>
        <v>15</v>
      </c>
      <c r="D76" s="26" t="s">
        <v>49</v>
      </c>
      <c r="E76" s="8"/>
      <c r="F76" s="8"/>
      <c r="G76" s="8"/>
      <c r="H76" s="8"/>
      <c r="I76" s="8"/>
      <c r="J76" s="8"/>
      <c r="K76" s="8"/>
      <c r="L76" s="8"/>
      <c r="M76" s="8"/>
    </row>
    <row r="77" spans="2:13" x14ac:dyDescent="0.3">
      <c r="B77" s="10" t="s">
        <v>50</v>
      </c>
      <c r="C77" s="7">
        <f t="shared" si="1"/>
        <v>255</v>
      </c>
      <c r="D77" s="26" t="s">
        <v>51</v>
      </c>
      <c r="E77" s="8"/>
      <c r="F77" s="8"/>
      <c r="G77" s="8"/>
      <c r="H77" s="8"/>
      <c r="I77" s="8"/>
      <c r="J77" s="8"/>
      <c r="K77" s="8"/>
      <c r="L77" s="8"/>
      <c r="M77" s="8"/>
    </row>
    <row r="78" spans="2:13" x14ac:dyDescent="0.3">
      <c r="B78" s="10" t="s">
        <v>52</v>
      </c>
      <c r="C78" s="7">
        <f t="shared" si="1"/>
        <v>511</v>
      </c>
      <c r="D78" s="26" t="s">
        <v>53</v>
      </c>
      <c r="E78" s="8"/>
      <c r="F78" s="8"/>
      <c r="G78" s="8"/>
      <c r="H78" s="8"/>
      <c r="I78" s="8"/>
      <c r="J78" s="8"/>
      <c r="K78" s="8"/>
      <c r="L78" s="8"/>
      <c r="M78" s="8"/>
    </row>
    <row r="79" spans="2:13" x14ac:dyDescent="0.3">
      <c r="B79" s="10" t="s">
        <v>54</v>
      </c>
      <c r="C79" s="7">
        <f t="shared" si="1"/>
        <v>-1</v>
      </c>
      <c r="D79" s="26" t="s">
        <v>55</v>
      </c>
      <c r="E79" s="8"/>
      <c r="F79" s="8"/>
      <c r="G79" s="8"/>
      <c r="H79" s="8"/>
      <c r="I79" s="8"/>
      <c r="J79" s="8"/>
      <c r="K79" s="8"/>
      <c r="L79" s="8"/>
      <c r="M79" s="8"/>
    </row>
    <row r="80" spans="2:13" x14ac:dyDescent="0.3">
      <c r="B80" s="10" t="s">
        <v>56</v>
      </c>
      <c r="C80" s="7">
        <f t="shared" si="1"/>
        <v>-512</v>
      </c>
      <c r="D80" s="26" t="s">
        <v>57</v>
      </c>
      <c r="E80" s="8"/>
      <c r="F80" s="8"/>
      <c r="G80" s="8"/>
      <c r="H80" s="8"/>
      <c r="I80" s="8"/>
      <c r="J80" s="8"/>
      <c r="K80" s="8"/>
      <c r="L80" s="8"/>
      <c r="M80" s="8"/>
    </row>
    <row r="81" spans="2:13" x14ac:dyDescent="0.3">
      <c r="B81" s="10" t="s">
        <v>58</v>
      </c>
      <c r="C81" s="7">
        <f t="shared" si="1"/>
        <v>42</v>
      </c>
      <c r="D81" s="26" t="s">
        <v>59</v>
      </c>
      <c r="E81" s="8"/>
      <c r="F81" s="8"/>
      <c r="G81" s="8"/>
      <c r="H81" s="8"/>
      <c r="I81" s="8"/>
      <c r="J81" s="8"/>
      <c r="K81" s="8"/>
      <c r="L81" s="8"/>
      <c r="M81" s="8"/>
    </row>
    <row r="82" spans="2:13" x14ac:dyDescent="0.3">
      <c r="B82" s="10" t="s">
        <v>60</v>
      </c>
      <c r="C82" s="7">
        <f t="shared" si="1"/>
        <v>-42</v>
      </c>
      <c r="D82" s="26" t="s">
        <v>61</v>
      </c>
      <c r="E82" s="8"/>
      <c r="F82" s="8"/>
      <c r="G82" s="8"/>
      <c r="H82" s="8"/>
      <c r="I82" s="8"/>
      <c r="J82" s="8"/>
      <c r="K82" s="8"/>
      <c r="L82" s="8"/>
      <c r="M82" s="8"/>
    </row>
    <row r="83" spans="2:13" x14ac:dyDescent="0.3">
      <c r="B83" s="10" t="s">
        <v>62</v>
      </c>
      <c r="C83" s="7">
        <f t="shared" si="1"/>
        <v>549755813887</v>
      </c>
      <c r="D83" s="26" t="s">
        <v>63</v>
      </c>
      <c r="E83" s="8"/>
      <c r="F83" s="8"/>
      <c r="G83" s="8"/>
      <c r="H83" s="8"/>
      <c r="I83" s="8"/>
      <c r="J83" s="8"/>
      <c r="K83" s="8"/>
      <c r="L83" s="8"/>
      <c r="M83" s="8"/>
    </row>
    <row r="84" spans="2:13" x14ac:dyDescent="0.3">
      <c r="C84" s="9"/>
      <c r="D84" s="9"/>
      <c r="E84" s="8"/>
      <c r="F84" s="8"/>
      <c r="G84" s="8"/>
      <c r="H84" s="8"/>
      <c r="I84" s="8"/>
      <c r="J84" s="8"/>
      <c r="K84" s="8"/>
      <c r="L84" s="8"/>
      <c r="M84" s="8"/>
    </row>
    <row r="85" spans="2:13" ht="16.2" thickBot="1" x14ac:dyDescent="0.35">
      <c r="B85" s="27" t="s">
        <v>75</v>
      </c>
      <c r="C85" s="3"/>
      <c r="D85" s="3"/>
      <c r="E85" s="3"/>
      <c r="F85" s="3"/>
      <c r="G85" s="3"/>
      <c r="H85" s="3"/>
      <c r="I85" s="3"/>
      <c r="J85" s="12"/>
      <c r="K85" s="12"/>
      <c r="L85" s="12"/>
      <c r="M85" s="8"/>
    </row>
    <row r="86" spans="2:13" x14ac:dyDescent="0.3">
      <c r="B86" s="24" t="s">
        <v>76</v>
      </c>
      <c r="C86" s="30">
        <v>0</v>
      </c>
      <c r="D86" s="30">
        <v>1</v>
      </c>
      <c r="E86" s="30">
        <v>-1</v>
      </c>
      <c r="F86" s="30">
        <v>5</v>
      </c>
      <c r="G86" s="30">
        <v>-5</v>
      </c>
      <c r="H86" s="30">
        <v>0.5</v>
      </c>
      <c r="I86" s="30">
        <v>-0.5</v>
      </c>
      <c r="J86" s="31"/>
      <c r="K86" s="31"/>
      <c r="L86" s="31"/>
      <c r="M86" s="31"/>
    </row>
    <row r="87" spans="2:13" x14ac:dyDescent="0.3">
      <c r="B87" s="20">
        <v>0</v>
      </c>
      <c r="C87" s="25" t="str">
        <f t="shared" ref="C87:I93" si="2">IFERROR(COMPLEX($B87,C$86),"N/A")</f>
        <v>0</v>
      </c>
      <c r="D87" s="25" t="str">
        <f t="shared" si="2"/>
        <v>i</v>
      </c>
      <c r="E87" s="25" t="str">
        <f t="shared" si="2"/>
        <v>-i</v>
      </c>
      <c r="F87" s="25" t="str">
        <f t="shared" si="2"/>
        <v>5i</v>
      </c>
      <c r="G87" s="25" t="str">
        <f t="shared" si="2"/>
        <v>-5i</v>
      </c>
      <c r="H87" s="25" t="str">
        <f t="shared" si="2"/>
        <v>0.5i</v>
      </c>
      <c r="I87" s="25" t="str">
        <f t="shared" si="2"/>
        <v>-0.5i</v>
      </c>
      <c r="J87" s="31"/>
      <c r="K87" s="31"/>
      <c r="L87" s="31"/>
      <c r="M87" s="8"/>
    </row>
    <row r="88" spans="2:13" x14ac:dyDescent="0.3">
      <c r="B88" s="6">
        <v>1</v>
      </c>
      <c r="C88" s="7" t="str">
        <f t="shared" si="2"/>
        <v>1</v>
      </c>
      <c r="D88" s="7" t="str">
        <f t="shared" si="2"/>
        <v>1+i</v>
      </c>
      <c r="E88" s="7" t="str">
        <f t="shared" si="2"/>
        <v>1-i</v>
      </c>
      <c r="F88" s="7" t="str">
        <f t="shared" si="2"/>
        <v>1+5i</v>
      </c>
      <c r="G88" s="7" t="str">
        <f t="shared" si="2"/>
        <v>1-5i</v>
      </c>
      <c r="H88" s="7" t="str">
        <f t="shared" si="2"/>
        <v>1+0.5i</v>
      </c>
      <c r="I88" s="7" t="str">
        <f t="shared" si="2"/>
        <v>1-0.5i</v>
      </c>
      <c r="J88" s="8"/>
      <c r="K88" s="8"/>
      <c r="L88" s="8"/>
      <c r="M88" s="8"/>
    </row>
    <row r="89" spans="2:13" x14ac:dyDescent="0.3">
      <c r="B89" s="6">
        <v>-1</v>
      </c>
      <c r="C89" s="7" t="str">
        <f t="shared" si="2"/>
        <v>-1</v>
      </c>
      <c r="D89" s="7" t="str">
        <f t="shared" si="2"/>
        <v>-1+i</v>
      </c>
      <c r="E89" s="7" t="str">
        <f t="shared" si="2"/>
        <v>-1-i</v>
      </c>
      <c r="F89" s="7" t="str">
        <f t="shared" si="2"/>
        <v>-1+5i</v>
      </c>
      <c r="G89" s="7" t="str">
        <f t="shared" si="2"/>
        <v>-1-5i</v>
      </c>
      <c r="H89" s="7" t="str">
        <f t="shared" si="2"/>
        <v>-1+0.5i</v>
      </c>
      <c r="I89" s="7" t="str">
        <f t="shared" si="2"/>
        <v>-1-0.5i</v>
      </c>
      <c r="J89" s="8"/>
      <c r="K89" s="8"/>
      <c r="L89" s="8"/>
      <c r="M89" s="8"/>
    </row>
    <row r="90" spans="2:13" x14ac:dyDescent="0.3">
      <c r="B90" s="6">
        <v>5</v>
      </c>
      <c r="C90" s="7" t="str">
        <f t="shared" si="2"/>
        <v>5</v>
      </c>
      <c r="D90" s="7" t="str">
        <f t="shared" si="2"/>
        <v>5+i</v>
      </c>
      <c r="E90" s="7" t="str">
        <f t="shared" si="2"/>
        <v>5-i</v>
      </c>
      <c r="F90" s="7" t="str">
        <f t="shared" si="2"/>
        <v>5+5i</v>
      </c>
      <c r="G90" s="7" t="str">
        <f t="shared" si="2"/>
        <v>5-5i</v>
      </c>
      <c r="H90" s="7" t="str">
        <f t="shared" si="2"/>
        <v>5+0.5i</v>
      </c>
      <c r="I90" s="7" t="str">
        <f t="shared" si="2"/>
        <v>5-0.5i</v>
      </c>
      <c r="J90" s="8"/>
      <c r="K90" s="8"/>
      <c r="L90" s="8"/>
      <c r="M90" s="8"/>
    </row>
    <row r="91" spans="2:13" x14ac:dyDescent="0.3">
      <c r="B91" s="6">
        <v>-5</v>
      </c>
      <c r="C91" s="7" t="str">
        <f t="shared" si="2"/>
        <v>-5</v>
      </c>
      <c r="D91" s="7" t="str">
        <f t="shared" si="2"/>
        <v>-5+i</v>
      </c>
      <c r="E91" s="7" t="str">
        <f t="shared" si="2"/>
        <v>-5-i</v>
      </c>
      <c r="F91" s="7" t="str">
        <f t="shared" si="2"/>
        <v>-5+5i</v>
      </c>
      <c r="G91" s="7" t="str">
        <f t="shared" si="2"/>
        <v>-5-5i</v>
      </c>
      <c r="H91" s="7" t="str">
        <f t="shared" si="2"/>
        <v>-5+0.5i</v>
      </c>
      <c r="I91" s="7" t="str">
        <f t="shared" si="2"/>
        <v>-5-0.5i</v>
      </c>
      <c r="J91" s="8"/>
      <c r="K91" s="8"/>
      <c r="L91" s="8"/>
      <c r="M91" s="8"/>
    </row>
    <row r="92" spans="2:13" x14ac:dyDescent="0.3">
      <c r="B92" s="6">
        <v>0.5</v>
      </c>
      <c r="C92" s="7" t="str">
        <f t="shared" si="2"/>
        <v>0.5</v>
      </c>
      <c r="D92" s="7" t="str">
        <f t="shared" si="2"/>
        <v>0.5+i</v>
      </c>
      <c r="E92" s="7" t="str">
        <f t="shared" si="2"/>
        <v>0.5-i</v>
      </c>
      <c r="F92" s="7" t="str">
        <f t="shared" si="2"/>
        <v>0.5+5i</v>
      </c>
      <c r="G92" s="7" t="str">
        <f t="shared" si="2"/>
        <v>0.5-5i</v>
      </c>
      <c r="H92" s="7" t="str">
        <f t="shared" si="2"/>
        <v>0.5+0.5i</v>
      </c>
      <c r="I92" s="7" t="str">
        <f t="shared" si="2"/>
        <v>0.5-0.5i</v>
      </c>
      <c r="J92" s="8"/>
      <c r="K92" s="8"/>
      <c r="L92" s="8"/>
      <c r="M92" s="8"/>
    </row>
    <row r="93" spans="2:13" x14ac:dyDescent="0.3">
      <c r="B93" s="6">
        <v>-0.5</v>
      </c>
      <c r="C93" s="7" t="str">
        <f t="shared" si="2"/>
        <v>-0.5</v>
      </c>
      <c r="D93" s="7" t="str">
        <f t="shared" si="2"/>
        <v>-0.5+i</v>
      </c>
      <c r="E93" s="7" t="str">
        <f t="shared" si="2"/>
        <v>-0.5-i</v>
      </c>
      <c r="F93" s="7" t="str">
        <f t="shared" si="2"/>
        <v>-0.5+5i</v>
      </c>
      <c r="G93" s="7" t="str">
        <f t="shared" si="2"/>
        <v>-0.5-5i</v>
      </c>
      <c r="H93" s="7" t="str">
        <f t="shared" si="2"/>
        <v>-0.5+0.5i</v>
      </c>
      <c r="I93" s="7" t="str">
        <f t="shared" si="2"/>
        <v>-0.5-0.5i</v>
      </c>
      <c r="J93" s="8"/>
      <c r="K93" s="8"/>
      <c r="L93" s="8"/>
      <c r="M93" s="8"/>
    </row>
    <row r="94" spans="2:13" x14ac:dyDescent="0.3">
      <c r="C94" s="9"/>
      <c r="D94" s="9"/>
      <c r="E94" s="9"/>
      <c r="F94" s="9"/>
      <c r="G94" s="9"/>
      <c r="H94" s="9"/>
      <c r="I94" s="9"/>
      <c r="J94" s="8"/>
      <c r="K94" s="8"/>
      <c r="L94" s="8"/>
      <c r="M94" s="8"/>
    </row>
    <row r="95" spans="2:13" ht="16.2" thickBot="1" x14ac:dyDescent="0.35">
      <c r="B95" s="17" t="s">
        <v>77</v>
      </c>
      <c r="C95" s="3"/>
      <c r="D95" s="3"/>
      <c r="E95" s="3"/>
      <c r="F95" s="3"/>
      <c r="G95" s="3"/>
      <c r="H95" s="3"/>
      <c r="I95" s="3"/>
      <c r="J95" s="12"/>
      <c r="K95" s="12"/>
      <c r="L95" s="12"/>
      <c r="M95" s="8"/>
    </row>
    <row r="96" spans="2:13" x14ac:dyDescent="0.3">
      <c r="B96" s="18" t="s">
        <v>76</v>
      </c>
      <c r="C96" s="30">
        <v>0</v>
      </c>
      <c r="D96" s="30">
        <v>1</v>
      </c>
      <c r="E96" s="30">
        <v>-1</v>
      </c>
      <c r="F96" s="30">
        <v>5</v>
      </c>
      <c r="G96" s="30">
        <v>-5</v>
      </c>
      <c r="H96" s="30">
        <v>0.5</v>
      </c>
      <c r="I96" s="30">
        <v>-0.5</v>
      </c>
      <c r="J96" s="31"/>
      <c r="K96" s="31"/>
      <c r="L96" s="31"/>
      <c r="M96" s="31"/>
    </row>
    <row r="97" spans="2:13" x14ac:dyDescent="0.3">
      <c r="B97" s="20">
        <v>0</v>
      </c>
      <c r="C97" s="25" t="str">
        <f t="shared" ref="C97:I103" si="3">IFERROR(COMPLEX($B97,C$96,"j"),"N/A")</f>
        <v>0</v>
      </c>
      <c r="D97" s="25" t="str">
        <f t="shared" si="3"/>
        <v>j</v>
      </c>
      <c r="E97" s="25" t="str">
        <f t="shared" si="3"/>
        <v>-j</v>
      </c>
      <c r="F97" s="25" t="str">
        <f t="shared" si="3"/>
        <v>5j</v>
      </c>
      <c r="G97" s="25" t="str">
        <f t="shared" si="3"/>
        <v>-5j</v>
      </c>
      <c r="H97" s="25" t="str">
        <f t="shared" si="3"/>
        <v>0.5j</v>
      </c>
      <c r="I97" s="25" t="str">
        <f t="shared" si="3"/>
        <v>-0.5j</v>
      </c>
      <c r="J97" s="31"/>
      <c r="K97" s="31"/>
      <c r="L97" s="31"/>
      <c r="M97" s="8"/>
    </row>
    <row r="98" spans="2:13" x14ac:dyDescent="0.3">
      <c r="B98" s="6">
        <v>1</v>
      </c>
      <c r="C98" s="7" t="str">
        <f t="shared" si="3"/>
        <v>1</v>
      </c>
      <c r="D98" s="7" t="str">
        <f t="shared" si="3"/>
        <v>1+j</v>
      </c>
      <c r="E98" s="7" t="str">
        <f t="shared" si="3"/>
        <v>1-j</v>
      </c>
      <c r="F98" s="7" t="str">
        <f t="shared" si="3"/>
        <v>1+5j</v>
      </c>
      <c r="G98" s="7" t="str">
        <f t="shared" si="3"/>
        <v>1-5j</v>
      </c>
      <c r="H98" s="7" t="str">
        <f t="shared" si="3"/>
        <v>1+0.5j</v>
      </c>
      <c r="I98" s="7" t="str">
        <f t="shared" si="3"/>
        <v>1-0.5j</v>
      </c>
      <c r="J98" s="8"/>
      <c r="K98" s="8"/>
      <c r="L98" s="8"/>
      <c r="M98" s="8"/>
    </row>
    <row r="99" spans="2:13" x14ac:dyDescent="0.3">
      <c r="B99" s="6">
        <v>-1</v>
      </c>
      <c r="C99" s="7" t="str">
        <f t="shared" si="3"/>
        <v>-1</v>
      </c>
      <c r="D99" s="7" t="str">
        <f t="shared" si="3"/>
        <v>-1+j</v>
      </c>
      <c r="E99" s="7" t="str">
        <f t="shared" si="3"/>
        <v>-1-j</v>
      </c>
      <c r="F99" s="7" t="str">
        <f t="shared" si="3"/>
        <v>-1+5j</v>
      </c>
      <c r="G99" s="7" t="str">
        <f t="shared" si="3"/>
        <v>-1-5j</v>
      </c>
      <c r="H99" s="7" t="str">
        <f t="shared" si="3"/>
        <v>-1+0.5j</v>
      </c>
      <c r="I99" s="7" t="str">
        <f t="shared" si="3"/>
        <v>-1-0.5j</v>
      </c>
      <c r="J99" s="8"/>
      <c r="K99" s="8"/>
      <c r="L99" s="8"/>
      <c r="M99" s="8"/>
    </row>
    <row r="100" spans="2:13" x14ac:dyDescent="0.3">
      <c r="B100" s="6">
        <v>5</v>
      </c>
      <c r="C100" s="7" t="str">
        <f t="shared" si="3"/>
        <v>5</v>
      </c>
      <c r="D100" s="7" t="str">
        <f t="shared" si="3"/>
        <v>5+j</v>
      </c>
      <c r="E100" s="7" t="str">
        <f t="shared" si="3"/>
        <v>5-j</v>
      </c>
      <c r="F100" s="7" t="str">
        <f t="shared" si="3"/>
        <v>5+5j</v>
      </c>
      <c r="G100" s="7" t="str">
        <f t="shared" si="3"/>
        <v>5-5j</v>
      </c>
      <c r="H100" s="7" t="str">
        <f t="shared" si="3"/>
        <v>5+0.5j</v>
      </c>
      <c r="I100" s="7" t="str">
        <f t="shared" si="3"/>
        <v>5-0.5j</v>
      </c>
      <c r="J100" s="8"/>
      <c r="K100" s="8"/>
      <c r="L100" s="8"/>
      <c r="M100" s="8"/>
    </row>
    <row r="101" spans="2:13" x14ac:dyDescent="0.3">
      <c r="B101" s="6">
        <v>-5</v>
      </c>
      <c r="C101" s="7" t="str">
        <f t="shared" si="3"/>
        <v>-5</v>
      </c>
      <c r="D101" s="7" t="str">
        <f t="shared" si="3"/>
        <v>-5+j</v>
      </c>
      <c r="E101" s="7" t="str">
        <f t="shared" si="3"/>
        <v>-5-j</v>
      </c>
      <c r="F101" s="7" t="str">
        <f t="shared" si="3"/>
        <v>-5+5j</v>
      </c>
      <c r="G101" s="7" t="str">
        <f t="shared" si="3"/>
        <v>-5-5j</v>
      </c>
      <c r="H101" s="7" t="str">
        <f t="shared" si="3"/>
        <v>-5+0.5j</v>
      </c>
      <c r="I101" s="7" t="str">
        <f t="shared" si="3"/>
        <v>-5-0.5j</v>
      </c>
      <c r="J101" s="8"/>
      <c r="K101" s="8"/>
      <c r="L101" s="8"/>
      <c r="M101" s="8"/>
    </row>
    <row r="102" spans="2:13" x14ac:dyDescent="0.3">
      <c r="B102" s="6">
        <v>0.5</v>
      </c>
      <c r="C102" s="7" t="str">
        <f t="shared" si="3"/>
        <v>0.5</v>
      </c>
      <c r="D102" s="7" t="str">
        <f t="shared" si="3"/>
        <v>0.5+j</v>
      </c>
      <c r="E102" s="7" t="str">
        <f t="shared" si="3"/>
        <v>0.5-j</v>
      </c>
      <c r="F102" s="7" t="str">
        <f t="shared" si="3"/>
        <v>0.5+5j</v>
      </c>
      <c r="G102" s="7" t="str">
        <f t="shared" si="3"/>
        <v>0.5-5j</v>
      </c>
      <c r="H102" s="7" t="str">
        <f t="shared" si="3"/>
        <v>0.5+0.5j</v>
      </c>
      <c r="I102" s="7" t="str">
        <f t="shared" si="3"/>
        <v>0.5-0.5j</v>
      </c>
      <c r="J102" s="8"/>
      <c r="K102" s="8"/>
      <c r="L102" s="8"/>
      <c r="M102" s="8"/>
    </row>
    <row r="103" spans="2:13" x14ac:dyDescent="0.3">
      <c r="B103" s="6">
        <v>-0.5</v>
      </c>
      <c r="C103" s="7" t="str">
        <f t="shared" si="3"/>
        <v>-0.5</v>
      </c>
      <c r="D103" s="7" t="str">
        <f t="shared" si="3"/>
        <v>-0.5+j</v>
      </c>
      <c r="E103" s="7" t="str">
        <f t="shared" si="3"/>
        <v>-0.5-j</v>
      </c>
      <c r="F103" s="7" t="str">
        <f t="shared" si="3"/>
        <v>-0.5+5j</v>
      </c>
      <c r="G103" s="7" t="str">
        <f t="shared" si="3"/>
        <v>-0.5-5j</v>
      </c>
      <c r="H103" s="7" t="str">
        <f t="shared" si="3"/>
        <v>-0.5+0.5j</v>
      </c>
      <c r="I103" s="7" t="str">
        <f t="shared" si="3"/>
        <v>-0.5-0.5j</v>
      </c>
      <c r="J103" s="8"/>
      <c r="K103" s="8"/>
      <c r="L103" s="8"/>
      <c r="M103" s="8"/>
    </row>
    <row r="104" spans="2:13" x14ac:dyDescent="0.3">
      <c r="C104" s="9"/>
      <c r="D104" s="9"/>
      <c r="E104" s="9"/>
      <c r="F104" s="9"/>
      <c r="G104" s="9"/>
      <c r="H104" s="9"/>
      <c r="I104" s="9"/>
      <c r="J104" s="8"/>
      <c r="K104" s="8"/>
      <c r="L104" s="8"/>
      <c r="M104" s="8"/>
    </row>
    <row r="105" spans="2:13" ht="16.2" thickBot="1" x14ac:dyDescent="0.35">
      <c r="B105" s="17" t="s">
        <v>78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8"/>
    </row>
    <row r="106" spans="2:13" x14ac:dyDescent="0.3">
      <c r="B106" s="18" t="s">
        <v>4</v>
      </c>
      <c r="C106" s="30">
        <f>C5</f>
        <v>0</v>
      </c>
      <c r="D106" s="30">
        <f>C6</f>
        <v>1</v>
      </c>
      <c r="E106" s="30">
        <f>C7</f>
        <v>-1</v>
      </c>
      <c r="F106" s="30">
        <f>C8</f>
        <v>10</v>
      </c>
      <c r="G106" s="30">
        <f>C9</f>
        <v>-10</v>
      </c>
      <c r="H106" s="30">
        <f>C10</f>
        <v>511</v>
      </c>
      <c r="I106" s="30">
        <f>C11</f>
        <v>-512</v>
      </c>
      <c r="J106" s="30">
        <f>C12</f>
        <v>255</v>
      </c>
      <c r="K106" s="30">
        <f>C13</f>
        <v>-255</v>
      </c>
      <c r="L106" s="30">
        <f>C14</f>
        <v>42.5</v>
      </c>
      <c r="M106" s="9">
        <f>$C$15</f>
        <v>-42.5</v>
      </c>
    </row>
    <row r="107" spans="2:13" x14ac:dyDescent="0.3">
      <c r="B107" s="20">
        <f>$C$5</f>
        <v>0</v>
      </c>
      <c r="C107" s="25">
        <f>DELTA($C$5,$C$5)</f>
        <v>1</v>
      </c>
      <c r="D107" s="25">
        <f>DELTA($C$5,$C$6)</f>
        <v>0</v>
      </c>
      <c r="E107" s="25">
        <f>DELTA($C$5,$C$7)</f>
        <v>0</v>
      </c>
      <c r="F107" s="25">
        <f>DELTA($C$5,$C$8)</f>
        <v>0</v>
      </c>
      <c r="G107" s="25">
        <f>DELTA($C$5,$C$9)</f>
        <v>0</v>
      </c>
      <c r="H107" s="25">
        <f>DELTA($C$5,$C$10)</f>
        <v>0</v>
      </c>
      <c r="I107" s="25">
        <f>DELTA($C$5,$C$11)</f>
        <v>0</v>
      </c>
      <c r="J107" s="25">
        <f>DELTA($C$5,$C$12)</f>
        <v>0</v>
      </c>
      <c r="K107" s="25">
        <f>DELTA($C$5,$C$13)</f>
        <v>0</v>
      </c>
      <c r="L107" s="25">
        <f>DELTA($C$5,$C$14)</f>
        <v>0</v>
      </c>
      <c r="M107" s="25">
        <f>DELTA($C$5,$C$15)</f>
        <v>0</v>
      </c>
    </row>
    <row r="108" spans="2:13" x14ac:dyDescent="0.3">
      <c r="B108" s="6">
        <f>$C$6</f>
        <v>1</v>
      </c>
      <c r="C108" s="7">
        <f>DELTA($C$6,$C$5)</f>
        <v>0</v>
      </c>
      <c r="D108" s="7">
        <f>DELTA($C$6,$C$6)</f>
        <v>1</v>
      </c>
      <c r="E108" s="7">
        <f>DELTA($C$6,$C$7)</f>
        <v>0</v>
      </c>
      <c r="F108" s="7">
        <f>DELTA($C$6,$C$8)</f>
        <v>0</v>
      </c>
      <c r="G108" s="7">
        <f>DELTA($C$6,$C$9)</f>
        <v>0</v>
      </c>
      <c r="H108" s="7">
        <f>DELTA($C$6,$C$10)</f>
        <v>0</v>
      </c>
      <c r="I108" s="7">
        <f>DELTA($C$6,$C$11)</f>
        <v>0</v>
      </c>
      <c r="J108" s="7">
        <f>DELTA($C$6,$C$12)</f>
        <v>0</v>
      </c>
      <c r="K108" s="7">
        <f>DELTA($C$6,$C$13)</f>
        <v>0</v>
      </c>
      <c r="L108" s="7">
        <f>DELTA($C$6,$C$14)</f>
        <v>0</v>
      </c>
      <c r="M108" s="7">
        <f>DELTA($C$6,$C$15)</f>
        <v>0</v>
      </c>
    </row>
    <row r="109" spans="2:13" x14ac:dyDescent="0.3">
      <c r="B109" s="6">
        <f>$C$7</f>
        <v>-1</v>
      </c>
      <c r="C109" s="7">
        <f>DELTA($C$7,$C$5)</f>
        <v>0</v>
      </c>
      <c r="D109" s="7">
        <f>DELTA($C$7,$C$6)</f>
        <v>0</v>
      </c>
      <c r="E109" s="7">
        <f>DELTA($C$7,$C$7)</f>
        <v>1</v>
      </c>
      <c r="F109" s="7">
        <f>DELTA($C$7,$C$8)</f>
        <v>0</v>
      </c>
      <c r="G109" s="7">
        <f>DELTA($C$7,$C$9)</f>
        <v>0</v>
      </c>
      <c r="H109" s="7">
        <f>DELTA($C$7,$C$10)</f>
        <v>0</v>
      </c>
      <c r="I109" s="7">
        <f>DELTA($C$7,$C$11)</f>
        <v>0</v>
      </c>
      <c r="J109" s="7">
        <f>DELTA($C$7,$C$12)</f>
        <v>0</v>
      </c>
      <c r="K109" s="7">
        <f>DELTA($C$7,$C$13)</f>
        <v>0</v>
      </c>
      <c r="L109" s="7">
        <f>DELTA($C$7,$C$14)</f>
        <v>0</v>
      </c>
      <c r="M109" s="7">
        <f>DELTA($C$7,$C$15)</f>
        <v>0</v>
      </c>
    </row>
    <row r="110" spans="2:13" x14ac:dyDescent="0.3">
      <c r="B110" s="6">
        <f>$C$8</f>
        <v>10</v>
      </c>
      <c r="C110" s="7">
        <f>DELTA($C$8,$C$5)</f>
        <v>0</v>
      </c>
      <c r="D110" s="7">
        <f>DELTA($C$8,$C$6)</f>
        <v>0</v>
      </c>
      <c r="E110" s="7">
        <f>DELTA($C$8,$C$7)</f>
        <v>0</v>
      </c>
      <c r="F110" s="7">
        <f>DELTA($C$8,$C$8)</f>
        <v>1</v>
      </c>
      <c r="G110" s="7">
        <f>DELTA($C$8,$C$9)</f>
        <v>0</v>
      </c>
      <c r="H110" s="7">
        <f>DELTA($C$8,$C$10)</f>
        <v>0</v>
      </c>
      <c r="I110" s="7">
        <f>DELTA($C$8,$C$11)</f>
        <v>0</v>
      </c>
      <c r="J110" s="7">
        <f>DELTA($C$8,$C$12)</f>
        <v>0</v>
      </c>
      <c r="K110" s="7">
        <f>DELTA($C$8,$C$13)</f>
        <v>0</v>
      </c>
      <c r="L110" s="7">
        <f>DELTA($C$8,$C$14)</f>
        <v>0</v>
      </c>
      <c r="M110" s="7">
        <f>DELTA($C$8,$C$15)</f>
        <v>0</v>
      </c>
    </row>
    <row r="111" spans="2:13" x14ac:dyDescent="0.3">
      <c r="B111" s="6">
        <f>$C$9</f>
        <v>-10</v>
      </c>
      <c r="C111" s="7">
        <f>DELTA($C$9,$C$5)</f>
        <v>0</v>
      </c>
      <c r="D111" s="7">
        <f>DELTA($C$9,$C$6)</f>
        <v>0</v>
      </c>
      <c r="E111" s="7">
        <f>DELTA($C$9,$C$7)</f>
        <v>0</v>
      </c>
      <c r="F111" s="7">
        <f>DELTA($C$9,$C$8)</f>
        <v>0</v>
      </c>
      <c r="G111" s="7">
        <f>DELTA($C$9,$C$9)</f>
        <v>1</v>
      </c>
      <c r="H111" s="7">
        <f>DELTA($C$9,$C$10)</f>
        <v>0</v>
      </c>
      <c r="I111" s="7">
        <f>DELTA($C$9,$C$11)</f>
        <v>0</v>
      </c>
      <c r="J111" s="7">
        <f>DELTA($C$9,$C$12)</f>
        <v>0</v>
      </c>
      <c r="K111" s="7">
        <f>DELTA($C$9,$C$13)</f>
        <v>0</v>
      </c>
      <c r="L111" s="7">
        <f>DELTA($C$9,$C$14)</f>
        <v>0</v>
      </c>
      <c r="M111" s="7">
        <f>DELTA($C$9,$C$15)</f>
        <v>0</v>
      </c>
    </row>
    <row r="112" spans="2:13" x14ac:dyDescent="0.3">
      <c r="B112" s="6">
        <f>$C$10</f>
        <v>511</v>
      </c>
      <c r="C112" s="7">
        <f>DELTA($C$10,$C$5)</f>
        <v>0</v>
      </c>
      <c r="D112" s="7">
        <f>DELTA($C$10,$C$6)</f>
        <v>0</v>
      </c>
      <c r="E112" s="7">
        <f>DELTA($C$10,$C$7)</f>
        <v>0</v>
      </c>
      <c r="F112" s="7">
        <f>DELTA($C$10,$C$8)</f>
        <v>0</v>
      </c>
      <c r="G112" s="7">
        <f>DELTA($C$10,$C$9)</f>
        <v>0</v>
      </c>
      <c r="H112" s="7">
        <f>DELTA($C$10,$C$10)</f>
        <v>1</v>
      </c>
      <c r="I112" s="7">
        <f>DELTA($C$10,$C$11)</f>
        <v>0</v>
      </c>
      <c r="J112" s="7">
        <f>DELTA($C$10,$C$12)</f>
        <v>0</v>
      </c>
      <c r="K112" s="7">
        <f>DELTA($C$10,$C$13)</f>
        <v>0</v>
      </c>
      <c r="L112" s="7">
        <f>DELTA($C$10,$C$14)</f>
        <v>0</v>
      </c>
      <c r="M112" s="7">
        <f>DELTA($C$10,$C$15)</f>
        <v>0</v>
      </c>
    </row>
    <row r="113" spans="2:13" x14ac:dyDescent="0.3">
      <c r="B113" s="6">
        <f>$C$11</f>
        <v>-512</v>
      </c>
      <c r="C113" s="7">
        <f>DELTA($C$11,$C$5)</f>
        <v>0</v>
      </c>
      <c r="D113" s="7">
        <f>DELTA($C$11,$C$6)</f>
        <v>0</v>
      </c>
      <c r="E113" s="7">
        <f>DELTA($C$11,$C$7)</f>
        <v>0</v>
      </c>
      <c r="F113" s="7">
        <f>DELTA($C$11,$C$8)</f>
        <v>0</v>
      </c>
      <c r="G113" s="7">
        <f>DELTA($C$11,$C$9)</f>
        <v>0</v>
      </c>
      <c r="H113" s="7">
        <f>DELTA($C$11,$C$10)</f>
        <v>0</v>
      </c>
      <c r="I113" s="7">
        <f>DELTA($C$11,$C$11)</f>
        <v>1</v>
      </c>
      <c r="J113" s="7">
        <f>DELTA($C$11,$C$12)</f>
        <v>0</v>
      </c>
      <c r="K113" s="7">
        <f>DELTA($C$11,$C$13)</f>
        <v>0</v>
      </c>
      <c r="L113" s="7">
        <f>DELTA($C$11,$C$14)</f>
        <v>0</v>
      </c>
      <c r="M113" s="7">
        <f>DELTA($C$11,$C$15)</f>
        <v>0</v>
      </c>
    </row>
    <row r="114" spans="2:13" x14ac:dyDescent="0.3">
      <c r="B114" s="6">
        <f>$C$12</f>
        <v>255</v>
      </c>
      <c r="C114" s="7">
        <f>DELTA($C$12,$C$5)</f>
        <v>0</v>
      </c>
      <c r="D114" s="7">
        <f>DELTA($C$12,$C$6)</f>
        <v>0</v>
      </c>
      <c r="E114" s="7">
        <f>DELTA($C$12,$C$7)</f>
        <v>0</v>
      </c>
      <c r="F114" s="7">
        <f>DELTA($C$12,$C$8)</f>
        <v>0</v>
      </c>
      <c r="G114" s="7">
        <f>DELTA($C$12,$C$9)</f>
        <v>0</v>
      </c>
      <c r="H114" s="7">
        <f>DELTA($C$12,$C$10)</f>
        <v>0</v>
      </c>
      <c r="I114" s="7">
        <f>DELTA($C$12,$C$11)</f>
        <v>0</v>
      </c>
      <c r="J114" s="7">
        <f>DELTA($C$12,$C$12)</f>
        <v>1</v>
      </c>
      <c r="K114" s="7">
        <f>DELTA($C$12,$C$13)</f>
        <v>0</v>
      </c>
      <c r="L114" s="7">
        <f>DELTA($C$12,$C$14)</f>
        <v>0</v>
      </c>
      <c r="M114" s="7">
        <f>DELTA($C$12,$C$15)</f>
        <v>0</v>
      </c>
    </row>
    <row r="115" spans="2:13" x14ac:dyDescent="0.3">
      <c r="B115" s="6">
        <f>$C$13</f>
        <v>-255</v>
      </c>
      <c r="C115" s="7">
        <f>DELTA($C$13,$C$5)</f>
        <v>0</v>
      </c>
      <c r="D115" s="7">
        <f>DELTA($C$13,$C$6)</f>
        <v>0</v>
      </c>
      <c r="E115" s="7">
        <f>DELTA($C$13,$C$7)</f>
        <v>0</v>
      </c>
      <c r="F115" s="7">
        <f>DELTA($C$13,$C$8)</f>
        <v>0</v>
      </c>
      <c r="G115" s="7">
        <f>DELTA($C$13,$C$9)</f>
        <v>0</v>
      </c>
      <c r="H115" s="7">
        <f>DELTA($C$13,$C$10)</f>
        <v>0</v>
      </c>
      <c r="I115" s="7">
        <f>DELTA($C$13,$C$11)</f>
        <v>0</v>
      </c>
      <c r="J115" s="7">
        <f>DELTA($C$13,$C$12)</f>
        <v>0</v>
      </c>
      <c r="K115" s="7">
        <f>DELTA($C$13,$C$13)</f>
        <v>1</v>
      </c>
      <c r="L115" s="7">
        <f>DELTA($C$13,$C$14)</f>
        <v>0</v>
      </c>
      <c r="M115" s="7">
        <f>DELTA($C$13,$C$15)</f>
        <v>0</v>
      </c>
    </row>
    <row r="116" spans="2:13" x14ac:dyDescent="0.3">
      <c r="B116" s="6">
        <f>$C$14</f>
        <v>42.5</v>
      </c>
      <c r="C116" s="7">
        <f>DELTA($C$14,$C$5)</f>
        <v>0</v>
      </c>
      <c r="D116" s="7">
        <f>DELTA($C$14,$C$6)</f>
        <v>0</v>
      </c>
      <c r="E116" s="7">
        <f>DELTA($C$14,$C$7)</f>
        <v>0</v>
      </c>
      <c r="F116" s="7">
        <f>DELTA($C$14,$C$8)</f>
        <v>0</v>
      </c>
      <c r="G116" s="7">
        <f>DELTA($C$14,$C$9)</f>
        <v>0</v>
      </c>
      <c r="H116" s="7">
        <f>DELTA($C$14,$C$10)</f>
        <v>0</v>
      </c>
      <c r="I116" s="7">
        <f>DELTA($C$14,$C$11)</f>
        <v>0</v>
      </c>
      <c r="J116" s="7">
        <f>DELTA($C$14,$C$12)</f>
        <v>0</v>
      </c>
      <c r="K116" s="7">
        <f>DELTA($C$14,$C$13)</f>
        <v>0</v>
      </c>
      <c r="L116" s="7">
        <f>DELTA($C$14,$C$14)</f>
        <v>1</v>
      </c>
      <c r="M116" s="7">
        <f>DELTA($C$14,$C$15)</f>
        <v>0</v>
      </c>
    </row>
    <row r="117" spans="2:13" x14ac:dyDescent="0.3">
      <c r="B117" s="6">
        <f>$C$15</f>
        <v>-42.5</v>
      </c>
      <c r="C117" s="7">
        <f>DELTA($C$15,$C$5)</f>
        <v>0</v>
      </c>
      <c r="D117" s="7">
        <f>DELTA($C$15,$C$6)</f>
        <v>0</v>
      </c>
      <c r="E117" s="7">
        <f>DELTA($C$15,$C$7)</f>
        <v>0</v>
      </c>
      <c r="F117" s="7">
        <f>DELTA($C$15,$C$8)</f>
        <v>0</v>
      </c>
      <c r="G117" s="7">
        <f>DELTA($C$15,$C$9)</f>
        <v>0</v>
      </c>
      <c r="H117" s="7">
        <f>DELTA($C$15,$C$10)</f>
        <v>0</v>
      </c>
      <c r="I117" s="7">
        <f>DELTA($C$15,$C$11)</f>
        <v>0</v>
      </c>
      <c r="J117" s="7">
        <f>DELTA($C$15,$C$12)</f>
        <v>0</v>
      </c>
      <c r="K117" s="7">
        <f>DELTA($C$15,$C$13)</f>
        <v>0</v>
      </c>
      <c r="L117" s="7">
        <f>DELTA($C$15,$C$14)</f>
        <v>0</v>
      </c>
      <c r="M117" s="7">
        <f>DELTA($C$15,$C$15)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2026-02-10T01:00:41Z</dcterms:created>
  <dcterms:modified xsi:type="dcterms:W3CDTF">2026-09-10T21:18:11Z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f66c0d3f-0c84-4477-9cac-49604c421828</vt:lpwstr>
  </property>
</Properties>
</file>