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263221DF-6848-4A87-B61B-8F4E3088B9E8}" xr6:coauthVersionLast="47" xr6:coauthVersionMax="47" xr10:uidLastSave="{00000000-0000-0000-0000-000000000000}"/>
  <bookViews>
    <workbookView xWindow="-108" yWindow="-108" windowWidth="23256" windowHeight="13896" xr2:uid="{AA7C4E44-7F13-CF4C-99C6-C69A0B992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7" i="1" l="1"/>
  <c r="D167" i="1"/>
  <c r="E167" i="1"/>
  <c r="F167" i="1"/>
  <c r="G167" i="1"/>
  <c r="H167" i="1"/>
  <c r="I167" i="1"/>
  <c r="C168" i="1"/>
  <c r="D168" i="1"/>
  <c r="E168" i="1"/>
  <c r="F168" i="1"/>
  <c r="G168" i="1"/>
  <c r="H168" i="1"/>
  <c r="I168" i="1"/>
  <c r="C169" i="1"/>
  <c r="D169" i="1"/>
  <c r="E169" i="1"/>
  <c r="F169" i="1"/>
  <c r="G169" i="1"/>
  <c r="H169" i="1"/>
  <c r="I169" i="1"/>
  <c r="C170" i="1"/>
  <c r="D170" i="1"/>
  <c r="E170" i="1"/>
  <c r="F170" i="1"/>
  <c r="G170" i="1"/>
  <c r="H170" i="1"/>
  <c r="I170" i="1"/>
  <c r="C171" i="1"/>
  <c r="D171" i="1"/>
  <c r="E171" i="1"/>
  <c r="F171" i="1"/>
  <c r="G171" i="1"/>
  <c r="H171" i="1"/>
  <c r="I171" i="1"/>
  <c r="C172" i="1"/>
  <c r="D172" i="1"/>
  <c r="E172" i="1"/>
  <c r="F172" i="1"/>
  <c r="G172" i="1"/>
  <c r="H172" i="1"/>
  <c r="I172" i="1"/>
  <c r="C173" i="1"/>
  <c r="D173" i="1"/>
  <c r="E173" i="1"/>
  <c r="F173" i="1"/>
  <c r="G173" i="1"/>
  <c r="H173" i="1"/>
  <c r="I173" i="1"/>
  <c r="C174" i="1"/>
  <c r="D174" i="1"/>
  <c r="E174" i="1"/>
  <c r="F174" i="1"/>
  <c r="G174" i="1"/>
  <c r="H174" i="1"/>
  <c r="I174" i="1"/>
  <c r="C175" i="1"/>
  <c r="D175" i="1"/>
  <c r="E175" i="1"/>
  <c r="F175" i="1"/>
  <c r="G175" i="1"/>
  <c r="H175" i="1"/>
  <c r="I175" i="1"/>
  <c r="C176" i="1"/>
  <c r="D176" i="1"/>
  <c r="E176" i="1"/>
  <c r="F176" i="1"/>
  <c r="G176" i="1"/>
  <c r="H176" i="1"/>
  <c r="I176" i="1"/>
  <c r="C177" i="1"/>
  <c r="D177" i="1"/>
  <c r="E177" i="1"/>
  <c r="F177" i="1"/>
  <c r="G177" i="1"/>
  <c r="H177" i="1"/>
  <c r="I177" i="1"/>
  <c r="C178" i="1"/>
  <c r="D178" i="1"/>
  <c r="E178" i="1"/>
  <c r="F178" i="1"/>
  <c r="G178" i="1"/>
  <c r="H178" i="1"/>
  <c r="I178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19" i="1"/>
  <c r="D119" i="1"/>
  <c r="E119" i="1"/>
  <c r="F119" i="1"/>
  <c r="G119" i="1"/>
  <c r="H119" i="1"/>
  <c r="I119" i="1"/>
  <c r="C120" i="1"/>
  <c r="D120" i="1"/>
  <c r="E120" i="1"/>
  <c r="F120" i="1"/>
  <c r="G120" i="1"/>
  <c r="H120" i="1"/>
  <c r="I120" i="1"/>
  <c r="C121" i="1"/>
  <c r="D121" i="1"/>
  <c r="E121" i="1"/>
  <c r="F121" i="1"/>
  <c r="G121" i="1"/>
  <c r="H121" i="1"/>
  <c r="I121" i="1"/>
  <c r="C122" i="1"/>
  <c r="D122" i="1"/>
  <c r="E122" i="1"/>
  <c r="F122" i="1"/>
  <c r="G122" i="1"/>
  <c r="H122" i="1"/>
  <c r="I122" i="1"/>
  <c r="C123" i="1"/>
  <c r="D123" i="1"/>
  <c r="E123" i="1"/>
  <c r="F123" i="1"/>
  <c r="G123" i="1"/>
  <c r="H123" i="1"/>
  <c r="I123" i="1"/>
  <c r="C124" i="1"/>
  <c r="D124" i="1"/>
  <c r="E124" i="1"/>
  <c r="F124" i="1"/>
  <c r="G124" i="1"/>
  <c r="H124" i="1"/>
  <c r="I124" i="1"/>
  <c r="C125" i="1"/>
  <c r="D125" i="1"/>
  <c r="E125" i="1"/>
  <c r="F125" i="1"/>
  <c r="G125" i="1"/>
  <c r="H125" i="1"/>
  <c r="I125" i="1"/>
  <c r="C126" i="1"/>
  <c r="D126" i="1"/>
  <c r="E126" i="1"/>
  <c r="F126" i="1"/>
  <c r="G126" i="1"/>
  <c r="H126" i="1"/>
  <c r="I126" i="1"/>
  <c r="C127" i="1"/>
  <c r="D127" i="1"/>
  <c r="E127" i="1"/>
  <c r="F127" i="1"/>
  <c r="G127" i="1"/>
  <c r="H127" i="1"/>
  <c r="I127" i="1"/>
  <c r="C128" i="1"/>
  <c r="D128" i="1"/>
  <c r="E128" i="1"/>
  <c r="F128" i="1"/>
  <c r="G128" i="1"/>
  <c r="H128" i="1"/>
  <c r="I128" i="1"/>
  <c r="C129" i="1"/>
  <c r="D129" i="1"/>
  <c r="E129" i="1"/>
  <c r="F129" i="1"/>
  <c r="G129" i="1"/>
  <c r="H129" i="1"/>
  <c r="I129" i="1"/>
  <c r="C130" i="1"/>
  <c r="D130" i="1"/>
  <c r="E130" i="1"/>
  <c r="F130" i="1"/>
  <c r="G130" i="1"/>
  <c r="H130" i="1"/>
  <c r="I130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</calcChain>
</file>

<file path=xl/sharedStrings.xml><?xml version="1.0" encoding="utf-8"?>
<sst xmlns="http://schemas.openxmlformats.org/spreadsheetml/2006/main" count="282" uniqueCount="60">
  <si>
    <t>DATABASE FORMULA TEST SUITE</t>
  </si>
  <si>
    <t>Test Database</t>
  </si>
  <si>
    <t>Name</t>
  </si>
  <si>
    <t>Department</t>
  </si>
  <si>
    <t>Age</t>
  </si>
  <si>
    <t>Salary</t>
  </si>
  <si>
    <t>Rating</t>
  </si>
  <si>
    <t>Active</t>
  </si>
  <si>
    <t>Bonus</t>
  </si>
  <si>
    <t>Alice</t>
  </si>
  <si>
    <t>Sales</t>
  </si>
  <si>
    <t>Yes</t>
  </si>
  <si>
    <t>Bob</t>
  </si>
  <si>
    <t>Engineering</t>
  </si>
  <si>
    <t>Carol</t>
  </si>
  <si>
    <t>No</t>
  </si>
  <si>
    <t>Dave</t>
  </si>
  <si>
    <t>HR</t>
  </si>
  <si>
    <t>Eve</t>
  </si>
  <si>
    <t>Frank</t>
  </si>
  <si>
    <t>Grace</t>
  </si>
  <si>
    <t>Hank</t>
  </si>
  <si>
    <t>Iris</t>
  </si>
  <si>
    <t>Jack</t>
  </si>
  <si>
    <t>Criteria Ranges</t>
  </si>
  <si>
    <t>C1: All Records</t>
  </si>
  <si>
    <t>C2: Dept = Sales</t>
  </si>
  <si>
    <t>C3: Age &gt; 30</t>
  </si>
  <si>
    <t>&gt;30</t>
  </si>
  <si>
    <t>C4: Salary &gt;= 60000</t>
  </si>
  <si>
    <t>&gt;=60000</t>
  </si>
  <si>
    <t>C5: Sales AND Age&gt;30</t>
  </si>
  <si>
    <t>C6: Sales OR HR</t>
  </si>
  <si>
    <t>C7: Rating &gt;= 4</t>
  </si>
  <si>
    <t>&gt;=4</t>
  </si>
  <si>
    <t>C8: Active = Yes</t>
  </si>
  <si>
    <t>C9: No AND Salary&gt;55000</t>
  </si>
  <si>
    <t>&gt;55000</t>
  </si>
  <si>
    <t>C10: Name starts with A*</t>
  </si>
  <si>
    <t>A*</t>
  </si>
  <si>
    <t>C11: No Match (Dept=Legal)</t>
  </si>
  <si>
    <t>Legal</t>
  </si>
  <si>
    <t>C12: Single Match (Name=Alice)</t>
  </si>
  <si>
    <t>DSUM (Sum of field for matching records)</t>
  </si>
  <si>
    <t>Criteria \ Field</t>
  </si>
  <si>
    <t>C2: Dept=Sales</t>
  </si>
  <si>
    <t>C3: Age&gt;30</t>
  </si>
  <si>
    <t>C4: Salary&gt;=60000</t>
  </si>
  <si>
    <t>C7: Rating&gt;=4</t>
  </si>
  <si>
    <t>C8: Active=Yes</t>
  </si>
  <si>
    <t>C9: No AND Sal&gt;55k</t>
  </si>
  <si>
    <t>C10: Name=A*</t>
  </si>
  <si>
    <t>C11: No Match</t>
  </si>
  <si>
    <t>C12: Name=Alice</t>
  </si>
  <si>
    <t>DAVERAGE (Average of field for matching records)</t>
  </si>
  <si>
    <t>DCOUNT (Count numeric values in field for matching records)</t>
  </si>
  <si>
    <t>DCOUNTA (Count non-blank values in field for matching records)</t>
  </si>
  <si>
    <t>DMAX (Maximum value of field for matching records)</t>
  </si>
  <si>
    <t>DMIN (Minimum value of field for matching records)</t>
  </si>
  <si>
    <t>DGET (Get single value from field for matching record)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</si>
</sst>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5" fillId="2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3" fontId="2" fillId="2" borderId="0" xfId="0" applyNumberFormat="1" applyFont="1" applyFill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8A414B-7670-7D4E-BC30-DC04F3C732FD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D944-CCE9-5842-A1A8-29A1A0460CB1}">
  <dimension ref="B2:I178"/>
  <sheetViews>
    <sheetView tabSelected="1" topLeftCell="A79" workbookViewId="0">
      <selection activeCell="H102" sqref="H102"/>
    </sheetView>
  </sheetViews>
  <sheetFormatPr defaultColWidth="11.19921875" defaultRowHeight="15.6" x14ac:dyDescent="0.3"/>
  <cols>
    <col min="2" max="2" width="55.19921875" bestFit="1" customWidth="1"/>
    <col min="3" max="6" width="12.19921875" bestFit="1" customWidth="1"/>
    <col min="7" max="9" width="7.69921875" bestFit="1" customWidth="1"/>
  </cols>
  <sheetData>
    <row r="2" spans="2:8" ht="18" x14ac:dyDescent="0.35">
      <c r="B2" s="1" t="s">
        <v>0</v>
      </c>
    </row>
    <row r="4" spans="2:8" x14ac:dyDescent="0.3">
      <c r="B4" s="4" t="s">
        <v>1</v>
      </c>
    </row>
    <row r="5" spans="2:8" x14ac:dyDescent="0.3"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</row>
    <row r="6" spans="2:8" x14ac:dyDescent="0.3">
      <c r="B6" s="3" t="s">
        <v>9</v>
      </c>
      <c r="C6" s="3" t="s">
        <v>10</v>
      </c>
      <c r="D6" s="3">
        <v>28</v>
      </c>
      <c r="E6" s="10">
        <v>55000</v>
      </c>
      <c r="F6" s="3">
        <v>4.2</v>
      </c>
      <c r="G6" s="3" t="s">
        <v>11</v>
      </c>
      <c r="H6" s="10">
        <v>5000</v>
      </c>
    </row>
    <row r="7" spans="2:8" x14ac:dyDescent="0.3">
      <c r="B7" s="2" t="s">
        <v>12</v>
      </c>
      <c r="C7" s="2" t="s">
        <v>13</v>
      </c>
      <c r="D7" s="2">
        <v>35</v>
      </c>
      <c r="E7" s="11">
        <v>85000</v>
      </c>
      <c r="F7" s="2">
        <v>3.8</v>
      </c>
      <c r="G7" s="2" t="s">
        <v>11</v>
      </c>
      <c r="H7" s="11">
        <v>8000</v>
      </c>
    </row>
    <row r="8" spans="2:8" x14ac:dyDescent="0.3">
      <c r="B8" s="3" t="s">
        <v>14</v>
      </c>
      <c r="C8" s="3" t="s">
        <v>10</v>
      </c>
      <c r="D8" s="3">
        <v>42</v>
      </c>
      <c r="E8" s="10">
        <v>62000</v>
      </c>
      <c r="F8" s="3">
        <v>4.5</v>
      </c>
      <c r="G8" s="3" t="s">
        <v>15</v>
      </c>
      <c r="H8" s="10">
        <v>6000</v>
      </c>
    </row>
    <row r="9" spans="2:8" x14ac:dyDescent="0.3">
      <c r="B9" s="2" t="s">
        <v>16</v>
      </c>
      <c r="C9" s="2" t="s">
        <v>17</v>
      </c>
      <c r="D9" s="2">
        <v>31</v>
      </c>
      <c r="E9" s="11">
        <v>48000</v>
      </c>
      <c r="F9" s="2">
        <v>3.2</v>
      </c>
      <c r="G9" s="2" t="s">
        <v>11</v>
      </c>
      <c r="H9" s="11">
        <v>3000</v>
      </c>
    </row>
    <row r="10" spans="2:8" x14ac:dyDescent="0.3">
      <c r="B10" s="3" t="s">
        <v>18</v>
      </c>
      <c r="C10" s="3" t="s">
        <v>13</v>
      </c>
      <c r="D10" s="3">
        <v>26</v>
      </c>
      <c r="E10" s="10">
        <v>72000</v>
      </c>
      <c r="F10" s="3">
        <v>4</v>
      </c>
      <c r="G10" s="3" t="s">
        <v>11</v>
      </c>
      <c r="H10" s="10">
        <v>7000</v>
      </c>
    </row>
    <row r="11" spans="2:8" x14ac:dyDescent="0.3">
      <c r="B11" s="2" t="s">
        <v>19</v>
      </c>
      <c r="C11" s="2" t="s">
        <v>10</v>
      </c>
      <c r="D11" s="2">
        <v>38</v>
      </c>
      <c r="E11" s="11">
        <v>58000</v>
      </c>
      <c r="F11" s="2">
        <v>3.5</v>
      </c>
      <c r="G11" s="2" t="s">
        <v>15</v>
      </c>
      <c r="H11" s="11">
        <v>4500</v>
      </c>
    </row>
    <row r="12" spans="2:8" x14ac:dyDescent="0.3">
      <c r="B12" s="3" t="s">
        <v>20</v>
      </c>
      <c r="C12" s="3" t="s">
        <v>17</v>
      </c>
      <c r="D12" s="3">
        <v>29</v>
      </c>
      <c r="E12" s="10">
        <v>51000</v>
      </c>
      <c r="F12" s="3">
        <v>4.8</v>
      </c>
      <c r="G12" s="3" t="s">
        <v>11</v>
      </c>
      <c r="H12" s="10">
        <v>5500</v>
      </c>
    </row>
    <row r="13" spans="2:8" x14ac:dyDescent="0.3">
      <c r="B13" s="2" t="s">
        <v>21</v>
      </c>
      <c r="C13" s="2" t="s">
        <v>13</v>
      </c>
      <c r="D13" s="2">
        <v>45</v>
      </c>
      <c r="E13" s="11">
        <v>95000</v>
      </c>
      <c r="F13" s="2">
        <v>3.9</v>
      </c>
      <c r="G13" s="2" t="s">
        <v>15</v>
      </c>
      <c r="H13" s="11">
        <v>9500</v>
      </c>
    </row>
    <row r="14" spans="2:8" x14ac:dyDescent="0.3">
      <c r="B14" s="3" t="s">
        <v>22</v>
      </c>
      <c r="C14" s="3" t="s">
        <v>10</v>
      </c>
      <c r="D14" s="3">
        <v>33</v>
      </c>
      <c r="E14" s="10">
        <v>60000</v>
      </c>
      <c r="F14" s="3">
        <v>4.0999999999999996</v>
      </c>
      <c r="G14" s="3" t="s">
        <v>11</v>
      </c>
      <c r="H14" s="10">
        <v>5800</v>
      </c>
    </row>
    <row r="15" spans="2:8" x14ac:dyDescent="0.3">
      <c r="B15" s="2" t="s">
        <v>23</v>
      </c>
      <c r="C15" s="2" t="s">
        <v>17</v>
      </c>
      <c r="D15" s="2">
        <v>27</v>
      </c>
      <c r="E15" s="11">
        <v>46000</v>
      </c>
      <c r="F15" s="2">
        <v>3</v>
      </c>
      <c r="G15" s="2" t="s">
        <v>11</v>
      </c>
      <c r="H15" s="11">
        <v>2500</v>
      </c>
    </row>
    <row r="17" spans="2:8" x14ac:dyDescent="0.3">
      <c r="B17" s="4" t="s">
        <v>24</v>
      </c>
    </row>
    <row r="19" spans="2:8" x14ac:dyDescent="0.3">
      <c r="B19" s="5" t="s">
        <v>25</v>
      </c>
    </row>
    <row r="20" spans="2:8" x14ac:dyDescent="0.3">
      <c r="B20" s="6" t="s">
        <v>2</v>
      </c>
      <c r="C20" s="6" t="s">
        <v>3</v>
      </c>
      <c r="D20" s="6" t="s">
        <v>4</v>
      </c>
      <c r="E20" s="6" t="s">
        <v>5</v>
      </c>
      <c r="F20" s="6" t="s">
        <v>6</v>
      </c>
      <c r="G20" s="6" t="s">
        <v>7</v>
      </c>
      <c r="H20" s="6" t="s">
        <v>8</v>
      </c>
    </row>
    <row r="21" spans="2:8" x14ac:dyDescent="0.3">
      <c r="B21" s="7"/>
      <c r="C21" s="7"/>
      <c r="D21" s="7"/>
      <c r="E21" s="7"/>
      <c r="F21" s="7"/>
      <c r="G21" s="7"/>
      <c r="H21" s="7"/>
    </row>
    <row r="23" spans="2:8" x14ac:dyDescent="0.3">
      <c r="B23" s="5" t="s">
        <v>26</v>
      </c>
    </row>
    <row r="24" spans="2:8" x14ac:dyDescent="0.3">
      <c r="B24" s="6" t="s">
        <v>2</v>
      </c>
      <c r="C24" s="6" t="s">
        <v>3</v>
      </c>
      <c r="D24" s="6" t="s">
        <v>4</v>
      </c>
      <c r="E24" s="6" t="s">
        <v>5</v>
      </c>
      <c r="F24" s="6" t="s">
        <v>6</v>
      </c>
      <c r="G24" s="6" t="s">
        <v>7</v>
      </c>
      <c r="H24" s="6" t="s">
        <v>8</v>
      </c>
    </row>
    <row r="25" spans="2:8" x14ac:dyDescent="0.3">
      <c r="B25" s="7"/>
      <c r="C25" s="7" t="s">
        <v>10</v>
      </c>
      <c r="D25" s="7"/>
      <c r="E25" s="7"/>
      <c r="F25" s="7"/>
      <c r="G25" s="7"/>
      <c r="H25" s="7"/>
    </row>
    <row r="27" spans="2:8" x14ac:dyDescent="0.3">
      <c r="B27" s="5" t="s">
        <v>27</v>
      </c>
    </row>
    <row r="28" spans="2:8" x14ac:dyDescent="0.3">
      <c r="B28" s="6" t="s">
        <v>2</v>
      </c>
      <c r="C28" s="6" t="s">
        <v>3</v>
      </c>
      <c r="D28" s="6" t="s">
        <v>4</v>
      </c>
      <c r="E28" s="6" t="s">
        <v>5</v>
      </c>
      <c r="F28" s="6" t="s">
        <v>6</v>
      </c>
      <c r="G28" s="6" t="s">
        <v>7</v>
      </c>
      <c r="H28" s="6" t="s">
        <v>8</v>
      </c>
    </row>
    <row r="29" spans="2:8" x14ac:dyDescent="0.3">
      <c r="B29" s="7"/>
      <c r="C29" s="7"/>
      <c r="D29" s="7" t="s">
        <v>28</v>
      </c>
      <c r="E29" s="7"/>
      <c r="F29" s="7"/>
      <c r="G29" s="7"/>
      <c r="H29" s="7"/>
    </row>
    <row r="31" spans="2:8" x14ac:dyDescent="0.3">
      <c r="B31" s="5" t="s">
        <v>29</v>
      </c>
    </row>
    <row r="32" spans="2:8" x14ac:dyDescent="0.3">
      <c r="B32" s="6" t="s">
        <v>2</v>
      </c>
      <c r="C32" s="6" t="s">
        <v>3</v>
      </c>
      <c r="D32" s="6" t="s">
        <v>4</v>
      </c>
      <c r="E32" s="6" t="s">
        <v>5</v>
      </c>
      <c r="F32" s="6" t="s">
        <v>6</v>
      </c>
      <c r="G32" s="6" t="s">
        <v>7</v>
      </c>
      <c r="H32" s="6" t="s">
        <v>8</v>
      </c>
    </row>
    <row r="33" spans="2:8" x14ac:dyDescent="0.3">
      <c r="B33" s="7"/>
      <c r="C33" s="7"/>
      <c r="D33" s="7"/>
      <c r="E33" s="7" t="s">
        <v>30</v>
      </c>
      <c r="F33" s="7"/>
      <c r="G33" s="7"/>
      <c r="H33" s="7"/>
    </row>
    <row r="35" spans="2:8" x14ac:dyDescent="0.3">
      <c r="B35" s="5" t="s">
        <v>31</v>
      </c>
    </row>
    <row r="36" spans="2:8" x14ac:dyDescent="0.3">
      <c r="B36" s="6" t="s">
        <v>2</v>
      </c>
      <c r="C36" s="6" t="s">
        <v>3</v>
      </c>
      <c r="D36" s="6" t="s">
        <v>4</v>
      </c>
      <c r="E36" s="6" t="s">
        <v>5</v>
      </c>
      <c r="F36" s="6" t="s">
        <v>6</v>
      </c>
      <c r="G36" s="6" t="s">
        <v>7</v>
      </c>
      <c r="H36" s="6" t="s">
        <v>8</v>
      </c>
    </row>
    <row r="37" spans="2:8" x14ac:dyDescent="0.3">
      <c r="B37" s="7"/>
      <c r="C37" s="7" t="s">
        <v>10</v>
      </c>
      <c r="D37" s="7" t="s">
        <v>28</v>
      </c>
      <c r="E37" s="7"/>
      <c r="F37" s="7"/>
      <c r="G37" s="7"/>
      <c r="H37" s="7"/>
    </row>
    <row r="39" spans="2:8" x14ac:dyDescent="0.3">
      <c r="B39" s="5" t="s">
        <v>32</v>
      </c>
    </row>
    <row r="40" spans="2:8" x14ac:dyDescent="0.3">
      <c r="B40" s="6" t="s">
        <v>2</v>
      </c>
      <c r="C40" s="6" t="s">
        <v>3</v>
      </c>
      <c r="D40" s="6" t="s">
        <v>4</v>
      </c>
      <c r="E40" s="6" t="s">
        <v>5</v>
      </c>
      <c r="F40" s="6" t="s">
        <v>6</v>
      </c>
      <c r="G40" s="6" t="s">
        <v>7</v>
      </c>
      <c r="H40" s="6" t="s">
        <v>8</v>
      </c>
    </row>
    <row r="41" spans="2:8" x14ac:dyDescent="0.3">
      <c r="B41" s="7"/>
      <c r="C41" s="7" t="s">
        <v>10</v>
      </c>
      <c r="D41" s="7"/>
      <c r="E41" s="7"/>
      <c r="F41" s="7"/>
      <c r="G41" s="7"/>
      <c r="H41" s="7"/>
    </row>
    <row r="42" spans="2:8" x14ac:dyDescent="0.3">
      <c r="B42" s="7"/>
      <c r="C42" s="7" t="s">
        <v>17</v>
      </c>
      <c r="D42" s="7"/>
      <c r="E42" s="7"/>
      <c r="F42" s="7"/>
      <c r="G42" s="7"/>
      <c r="H42" s="7"/>
    </row>
    <row r="44" spans="2:8" x14ac:dyDescent="0.3">
      <c r="B44" s="5" t="s">
        <v>33</v>
      </c>
    </row>
    <row r="45" spans="2:8" x14ac:dyDescent="0.3">
      <c r="B45" s="6" t="s">
        <v>2</v>
      </c>
      <c r="C45" s="6" t="s">
        <v>3</v>
      </c>
      <c r="D45" s="6" t="s">
        <v>4</v>
      </c>
      <c r="E45" s="6" t="s">
        <v>5</v>
      </c>
      <c r="F45" s="6" t="s">
        <v>6</v>
      </c>
      <c r="G45" s="6" t="s">
        <v>7</v>
      </c>
      <c r="H45" s="6" t="s">
        <v>8</v>
      </c>
    </row>
    <row r="46" spans="2:8" x14ac:dyDescent="0.3">
      <c r="B46" s="7"/>
      <c r="C46" s="7"/>
      <c r="D46" s="7"/>
      <c r="E46" s="7"/>
      <c r="F46" s="7" t="s">
        <v>34</v>
      </c>
      <c r="G46" s="7"/>
      <c r="H46" s="7"/>
    </row>
    <row r="48" spans="2:8" x14ac:dyDescent="0.3">
      <c r="B48" s="5" t="s">
        <v>35</v>
      </c>
    </row>
    <row r="49" spans="2:8" x14ac:dyDescent="0.3">
      <c r="B49" s="6" t="s">
        <v>2</v>
      </c>
      <c r="C49" s="6" t="s">
        <v>3</v>
      </c>
      <c r="D49" s="6" t="s">
        <v>4</v>
      </c>
      <c r="E49" s="6" t="s">
        <v>5</v>
      </c>
      <c r="F49" s="6" t="s">
        <v>6</v>
      </c>
      <c r="G49" s="6" t="s">
        <v>7</v>
      </c>
      <c r="H49" s="6" t="s">
        <v>8</v>
      </c>
    </row>
    <row r="50" spans="2:8" x14ac:dyDescent="0.3">
      <c r="B50" s="7"/>
      <c r="C50" s="7"/>
      <c r="D50" s="7"/>
      <c r="E50" s="7"/>
      <c r="F50" s="7"/>
      <c r="G50" s="7" t="s">
        <v>11</v>
      </c>
      <c r="H50" s="7"/>
    </row>
    <row r="52" spans="2:8" x14ac:dyDescent="0.3">
      <c r="B52" s="5" t="s">
        <v>36</v>
      </c>
    </row>
    <row r="53" spans="2:8" x14ac:dyDescent="0.3">
      <c r="B53" s="6" t="s">
        <v>2</v>
      </c>
      <c r="C53" s="6" t="s">
        <v>3</v>
      </c>
      <c r="D53" s="6" t="s">
        <v>4</v>
      </c>
      <c r="E53" s="6" t="s">
        <v>5</v>
      </c>
      <c r="F53" s="6" t="s">
        <v>6</v>
      </c>
      <c r="G53" s="6" t="s">
        <v>7</v>
      </c>
      <c r="H53" s="6" t="s">
        <v>8</v>
      </c>
    </row>
    <row r="54" spans="2:8" x14ac:dyDescent="0.3">
      <c r="B54" s="7"/>
      <c r="C54" s="7"/>
      <c r="D54" s="7"/>
      <c r="E54" s="7" t="s">
        <v>37</v>
      </c>
      <c r="F54" s="7"/>
      <c r="G54" s="7" t="s">
        <v>15</v>
      </c>
      <c r="H54" s="7"/>
    </row>
    <row r="56" spans="2:8" x14ac:dyDescent="0.3">
      <c r="B56" s="5" t="s">
        <v>38</v>
      </c>
    </row>
    <row r="57" spans="2:8" x14ac:dyDescent="0.3">
      <c r="B57" s="6" t="s">
        <v>2</v>
      </c>
      <c r="C57" s="6" t="s">
        <v>3</v>
      </c>
      <c r="D57" s="6" t="s">
        <v>4</v>
      </c>
      <c r="E57" s="6" t="s">
        <v>5</v>
      </c>
      <c r="F57" s="6" t="s">
        <v>6</v>
      </c>
      <c r="G57" s="6" t="s">
        <v>7</v>
      </c>
      <c r="H57" s="6" t="s">
        <v>8</v>
      </c>
    </row>
    <row r="58" spans="2:8" x14ac:dyDescent="0.3">
      <c r="B58" s="7" t="s">
        <v>39</v>
      </c>
      <c r="C58" s="7"/>
      <c r="D58" s="7"/>
      <c r="E58" s="7"/>
      <c r="F58" s="7"/>
      <c r="G58" s="7"/>
      <c r="H58" s="7"/>
    </row>
    <row r="60" spans="2:8" x14ac:dyDescent="0.3">
      <c r="B60" s="5" t="s">
        <v>40</v>
      </c>
    </row>
    <row r="61" spans="2:8" x14ac:dyDescent="0.3">
      <c r="B61" s="6" t="s">
        <v>2</v>
      </c>
      <c r="C61" s="6" t="s">
        <v>3</v>
      </c>
      <c r="D61" s="6" t="s">
        <v>4</v>
      </c>
      <c r="E61" s="6" t="s">
        <v>5</v>
      </c>
      <c r="F61" s="6" t="s">
        <v>6</v>
      </c>
      <c r="G61" s="6" t="s">
        <v>7</v>
      </c>
      <c r="H61" s="6" t="s">
        <v>8</v>
      </c>
    </row>
    <row r="62" spans="2:8" x14ac:dyDescent="0.3">
      <c r="B62" s="7"/>
      <c r="C62" s="7" t="s">
        <v>41</v>
      </c>
      <c r="D62" s="7"/>
      <c r="E62" s="7"/>
      <c r="F62" s="7"/>
      <c r="G62" s="7"/>
      <c r="H62" s="7"/>
    </row>
    <row r="64" spans="2:8" x14ac:dyDescent="0.3">
      <c r="B64" s="5" t="s">
        <v>42</v>
      </c>
    </row>
    <row r="65" spans="2:8" x14ac:dyDescent="0.3">
      <c r="B65" s="6" t="s">
        <v>2</v>
      </c>
      <c r="C65" s="6" t="s">
        <v>3</v>
      </c>
      <c r="D65" s="6" t="s">
        <v>4</v>
      </c>
      <c r="E65" s="6" t="s">
        <v>5</v>
      </c>
      <c r="F65" s="6" t="s">
        <v>6</v>
      </c>
      <c r="G65" s="6" t="s">
        <v>7</v>
      </c>
      <c r="H65" s="6" t="s">
        <v>8</v>
      </c>
    </row>
    <row r="66" spans="2:8" x14ac:dyDescent="0.3">
      <c r="B66" s="7" t="s">
        <v>9</v>
      </c>
      <c r="C66" s="7"/>
      <c r="D66" s="7"/>
      <c r="E66" s="7"/>
      <c r="F66" s="7"/>
      <c r="G66" s="7"/>
      <c r="H66" s="7"/>
    </row>
    <row r="69" spans="2:8" x14ac:dyDescent="0.3">
      <c r="B69" s="4" t="s">
        <v>43</v>
      </c>
    </row>
    <row r="70" spans="2:8" x14ac:dyDescent="0.3">
      <c r="B70" s="8" t="s">
        <v>44</v>
      </c>
      <c r="C70" s="8" t="s">
        <v>4</v>
      </c>
      <c r="D70" s="8" t="s">
        <v>5</v>
      </c>
      <c r="E70" s="8" t="s">
        <v>6</v>
      </c>
      <c r="F70" s="8" t="s">
        <v>8</v>
      </c>
    </row>
    <row r="71" spans="2:8" x14ac:dyDescent="0.3">
      <c r="B71" s="5" t="s">
        <v>25</v>
      </c>
      <c r="C71" s="9">
        <f>DSUM($B$5:$H$15,"Age",$B$20:$H$21)</f>
        <v>334</v>
      </c>
      <c r="D71" s="9">
        <f>DSUM($B$5:$H$15,"Salary",$B$20:$H$21)</f>
        <v>632000</v>
      </c>
      <c r="E71" s="9">
        <f>DSUM($B$5:$H$15,"Rating",$B$20:$H$21)</f>
        <v>39</v>
      </c>
      <c r="F71" s="9">
        <f>DSUM($B$5:$H$15,"Bonus",$B$20:$H$21)</f>
        <v>56800</v>
      </c>
    </row>
    <row r="72" spans="2:8" x14ac:dyDescent="0.3">
      <c r="B72" s="5" t="s">
        <v>45</v>
      </c>
      <c r="C72" s="9">
        <f>DSUM($B$5:$H$15,"Age",$B$24:$H$25)</f>
        <v>141</v>
      </c>
      <c r="D72" s="9">
        <f>DSUM($B$5:$H$15,"Salary",$B$24:$H$25)</f>
        <v>235000</v>
      </c>
      <c r="E72" s="9">
        <f>DSUM($B$5:$H$15,"Rating",$B$24:$H$25)</f>
        <v>16.299999999999997</v>
      </c>
      <c r="F72" s="9">
        <f>DSUM($B$5:$H$15,"Bonus",$B$24:$H$25)</f>
        <v>21300</v>
      </c>
    </row>
    <row r="73" spans="2:8" x14ac:dyDescent="0.3">
      <c r="B73" s="5" t="s">
        <v>46</v>
      </c>
      <c r="C73" s="9">
        <f>DSUM($B$5:$H$15,"Age",$B$28:$H$29)</f>
        <v>224</v>
      </c>
      <c r="D73" s="9">
        <f>DSUM($B$5:$H$15,"Salary",$B$28:$H$29)</f>
        <v>408000</v>
      </c>
      <c r="E73" s="9">
        <f>DSUM($B$5:$H$15,"Rating",$B$28:$H$29)</f>
        <v>23</v>
      </c>
      <c r="F73" s="9">
        <f>DSUM($B$5:$H$15,"Bonus",$B$28:$H$29)</f>
        <v>36800</v>
      </c>
    </row>
    <row r="74" spans="2:8" x14ac:dyDescent="0.3">
      <c r="B74" s="5" t="s">
        <v>47</v>
      </c>
      <c r="C74" s="9">
        <f>DSUM($B$5:$H$15,"Age",$B$32:$H$33)</f>
        <v>181</v>
      </c>
      <c r="D74" s="9">
        <f>DSUM($B$5:$H$15,"Salary",$B$32:$H$33)</f>
        <v>374000</v>
      </c>
      <c r="E74" s="9">
        <f>DSUM($B$5:$H$15,"Rating",$B$32:$H$33)</f>
        <v>20.299999999999997</v>
      </c>
      <c r="F74" s="9">
        <f>DSUM($B$5:$H$15,"Bonus",$B$32:$H$33)</f>
        <v>36300</v>
      </c>
    </row>
    <row r="75" spans="2:8" x14ac:dyDescent="0.3">
      <c r="B75" s="5" t="s">
        <v>31</v>
      </c>
      <c r="C75" s="9">
        <f>DSUM($B$5:$H$15,"Age",$B$36:$H$37)</f>
        <v>113</v>
      </c>
      <c r="D75" s="9">
        <f>DSUM($B$5:$H$15,"Salary",$B$36:$H$37)</f>
        <v>180000</v>
      </c>
      <c r="E75" s="9">
        <f>DSUM($B$5:$H$15,"Rating",$B$36:$H$37)</f>
        <v>12.1</v>
      </c>
      <c r="F75" s="9">
        <f>DSUM($B$5:$H$15,"Bonus",$B$36:$H$37)</f>
        <v>16300</v>
      </c>
    </row>
    <row r="76" spans="2:8" x14ac:dyDescent="0.3">
      <c r="B76" s="5" t="s">
        <v>32</v>
      </c>
      <c r="C76" s="9">
        <f>DSUM($B$5:$H$15,"Age",$B$40:$H$42)</f>
        <v>228</v>
      </c>
      <c r="D76" s="9">
        <f>DSUM($B$5:$H$15,"Salary",$B$40:$H$42)</f>
        <v>380000</v>
      </c>
      <c r="E76" s="9">
        <f>DSUM($B$5:$H$15,"Rating",$B$40:$H$42)</f>
        <v>27.299999999999997</v>
      </c>
      <c r="F76" s="9">
        <f>DSUM($B$5:$H$15,"Bonus",$B$40:$H$42)</f>
        <v>32300</v>
      </c>
    </row>
    <row r="77" spans="2:8" x14ac:dyDescent="0.3">
      <c r="B77" s="5" t="s">
        <v>48</v>
      </c>
      <c r="C77" s="9">
        <f>DSUM($B$5:$H$15,"Age",$B$45:$H$46)</f>
        <v>158</v>
      </c>
      <c r="D77" s="9">
        <f>DSUM($B$5:$H$15,"Salary",$B$45:$H$46)</f>
        <v>300000</v>
      </c>
      <c r="E77" s="9">
        <f>DSUM($B$5:$H$15,"Rating",$B$45:$H$46)</f>
        <v>21.6</v>
      </c>
      <c r="F77" s="9">
        <f>DSUM($B$5:$H$15,"Bonus",$B$45:$H$46)</f>
        <v>29300</v>
      </c>
    </row>
    <row r="78" spans="2:8" x14ac:dyDescent="0.3">
      <c r="B78" s="5" t="s">
        <v>49</v>
      </c>
      <c r="C78" s="9">
        <f>DSUM($B$5:$H$15,"Age",$B$49:$H$50)</f>
        <v>209</v>
      </c>
      <c r="D78" s="9">
        <f>DSUM($B$5:$H$15,"Salary",$B$49:$H$50)</f>
        <v>417000</v>
      </c>
      <c r="E78" s="9">
        <f>DSUM($B$5:$H$15,"Rating",$B$49:$H$50)</f>
        <v>27.1</v>
      </c>
      <c r="F78" s="9">
        <f>DSUM($B$5:$H$15,"Bonus",$B$49:$H$50)</f>
        <v>36800</v>
      </c>
    </row>
    <row r="79" spans="2:8" x14ac:dyDescent="0.3">
      <c r="B79" s="5" t="s">
        <v>50</v>
      </c>
      <c r="C79" s="9">
        <f>DSUM($B$5:$H$15,"Age",$B$53:$H$54)</f>
        <v>125</v>
      </c>
      <c r="D79" s="9">
        <f>DSUM($B$5:$H$15,"Salary",$B$53:$H$54)</f>
        <v>215000</v>
      </c>
      <c r="E79" s="9">
        <f>DSUM($B$5:$H$15,"Rating",$B$53:$H$54)</f>
        <v>11.9</v>
      </c>
      <c r="F79" s="9">
        <f>DSUM($B$5:$H$15,"Bonus",$B$53:$H$54)</f>
        <v>20000</v>
      </c>
    </row>
    <row r="80" spans="2:8" x14ac:dyDescent="0.3">
      <c r="B80" s="5" t="s">
        <v>51</v>
      </c>
      <c r="C80" s="9">
        <f>DSUM($B$5:$H$15,"Age",$B$57:$H$58)</f>
        <v>28</v>
      </c>
      <c r="D80" s="9">
        <f>DSUM($B$5:$H$15,"Salary",$B$57:$H$58)</f>
        <v>55000</v>
      </c>
      <c r="E80" s="9">
        <f>DSUM($B$5:$H$15,"Rating",$B$57:$H$58)</f>
        <v>4.2</v>
      </c>
      <c r="F80" s="9">
        <f>DSUM($B$5:$H$15,"Bonus",$B$57:$H$58)</f>
        <v>5000</v>
      </c>
    </row>
    <row r="81" spans="2:6" x14ac:dyDescent="0.3">
      <c r="B81" s="5" t="s">
        <v>52</v>
      </c>
      <c r="C81" s="9">
        <f>DSUM($B$5:$H$15,"Age",$B$61:$H$62)</f>
        <v>0</v>
      </c>
      <c r="D81" s="9">
        <f>DSUM($B$5:$H$15,"Salary",$B$61:$H$62)</f>
        <v>0</v>
      </c>
      <c r="E81" s="9">
        <f>DSUM($B$5:$H$15,"Rating",$B$61:$H$62)</f>
        <v>0</v>
      </c>
      <c r="F81" s="9">
        <f>DSUM($B$5:$H$15,"Bonus",$B$61:$H$62)</f>
        <v>0</v>
      </c>
    </row>
    <row r="82" spans="2:6" x14ac:dyDescent="0.3">
      <c r="B82" s="5" t="s">
        <v>53</v>
      </c>
      <c r="C82" s="9">
        <f>DSUM($B$5:$H$15,"Age",$B$65:$H$66)</f>
        <v>28</v>
      </c>
      <c r="D82" s="9">
        <f>DSUM($B$5:$H$15,"Salary",$B$65:$H$66)</f>
        <v>55000</v>
      </c>
      <c r="E82" s="9">
        <f>DSUM($B$5:$H$15,"Rating",$B$65:$H$66)</f>
        <v>4.2</v>
      </c>
      <c r="F82" s="9">
        <f>DSUM($B$5:$H$15,"Bonus",$B$65:$H$66)</f>
        <v>5000</v>
      </c>
    </row>
    <row r="85" spans="2:6" x14ac:dyDescent="0.3">
      <c r="B85" s="4" t="s">
        <v>54</v>
      </c>
    </row>
    <row r="86" spans="2:6" x14ac:dyDescent="0.3">
      <c r="B86" s="8" t="s">
        <v>44</v>
      </c>
      <c r="C86" s="8" t="s">
        <v>4</v>
      </c>
      <c r="D86" s="8" t="s">
        <v>5</v>
      </c>
      <c r="E86" s="8" t="s">
        <v>6</v>
      </c>
      <c r="F86" s="8" t="s">
        <v>8</v>
      </c>
    </row>
    <row r="87" spans="2:6" x14ac:dyDescent="0.3">
      <c r="B87" s="5" t="s">
        <v>25</v>
      </c>
      <c r="C87" s="9">
        <f>DAVERAGE($B$5:$H$15,"Age",$B$20:$H$21)</f>
        <v>33.4</v>
      </c>
      <c r="D87" s="9">
        <f>DAVERAGE($B$5:$H$15,"Salary",$B$20:$H$21)</f>
        <v>63200</v>
      </c>
      <c r="E87" s="9">
        <f>DAVERAGE($B$5:$H$15,"Rating",$B$20:$H$21)</f>
        <v>3.9</v>
      </c>
      <c r="F87" s="9">
        <f>DAVERAGE($B$5:$H$15,"Bonus",$B$20:$H$21)</f>
        <v>5680</v>
      </c>
    </row>
    <row r="88" spans="2:6" x14ac:dyDescent="0.3">
      <c r="B88" s="5" t="s">
        <v>45</v>
      </c>
      <c r="C88" s="9">
        <f>DAVERAGE($B$5:$H$15,"Age",$B$24:$H$25)</f>
        <v>35.25</v>
      </c>
      <c r="D88" s="9">
        <f>DAVERAGE($B$5:$H$15,"Salary",$B$24:$H$25)</f>
        <v>58750</v>
      </c>
      <c r="E88" s="9">
        <f>DAVERAGE($B$5:$H$15,"Rating",$B$24:$H$25)</f>
        <v>4.0749999999999993</v>
      </c>
      <c r="F88" s="9">
        <f>DAVERAGE($B$5:$H$15,"Bonus",$B$24:$H$25)</f>
        <v>5325</v>
      </c>
    </row>
    <row r="89" spans="2:6" x14ac:dyDescent="0.3">
      <c r="B89" s="5" t="s">
        <v>46</v>
      </c>
      <c r="C89" s="9">
        <f>DAVERAGE($B$5:$H$15,"Age",$B$28:$H$29)</f>
        <v>37.333333333333336</v>
      </c>
      <c r="D89" s="9">
        <f>DAVERAGE($B$5:$H$15,"Salary",$B$28:$H$29)</f>
        <v>68000</v>
      </c>
      <c r="E89" s="9">
        <f>DAVERAGE($B$5:$H$15,"Rating",$B$28:$H$29)</f>
        <v>3.8333333333333335</v>
      </c>
      <c r="F89" s="9">
        <f>DAVERAGE($B$5:$H$15,"Bonus",$B$28:$H$29)</f>
        <v>6133.333333333333</v>
      </c>
    </row>
    <row r="90" spans="2:6" x14ac:dyDescent="0.3">
      <c r="B90" s="5" t="s">
        <v>47</v>
      </c>
      <c r="C90" s="9">
        <f>DAVERAGE($B$5:$H$15,"Age",$B$32:$H$33)</f>
        <v>36.200000000000003</v>
      </c>
      <c r="D90" s="9">
        <f>DAVERAGE($B$5:$H$15,"Salary",$B$32:$H$33)</f>
        <v>74800</v>
      </c>
      <c r="E90" s="9">
        <f>DAVERAGE($B$5:$H$15,"Rating",$B$32:$H$33)</f>
        <v>4.0599999999999996</v>
      </c>
      <c r="F90" s="9">
        <f>DAVERAGE($B$5:$H$15,"Bonus",$B$32:$H$33)</f>
        <v>7260</v>
      </c>
    </row>
    <row r="91" spans="2:6" x14ac:dyDescent="0.3">
      <c r="B91" s="5" t="s">
        <v>31</v>
      </c>
      <c r="C91" s="9">
        <f>DAVERAGE($B$5:$H$15,"Age",$B$36:$H$37)</f>
        <v>37.666666666666664</v>
      </c>
      <c r="D91" s="9">
        <f>DAVERAGE($B$5:$H$15,"Salary",$B$36:$H$37)</f>
        <v>60000</v>
      </c>
      <c r="E91" s="9">
        <f>DAVERAGE($B$5:$H$15,"Rating",$B$36:$H$37)</f>
        <v>4.0333333333333332</v>
      </c>
      <c r="F91" s="9">
        <f>DAVERAGE($B$5:$H$15,"Bonus",$B$36:$H$37)</f>
        <v>5433.333333333333</v>
      </c>
    </row>
    <row r="92" spans="2:6" x14ac:dyDescent="0.3">
      <c r="B92" s="5" t="s">
        <v>32</v>
      </c>
      <c r="C92" s="9">
        <f>DAVERAGE($B$5:$H$15,"Age",$B$40:$H$42)</f>
        <v>32.571428571428569</v>
      </c>
      <c r="D92" s="9">
        <f>DAVERAGE($B$5:$H$15,"Salary",$B$40:$H$42)</f>
        <v>54285.714285714283</v>
      </c>
      <c r="E92" s="9">
        <f>DAVERAGE($B$5:$H$15,"Rating",$B$40:$H$42)</f>
        <v>3.8999999999999995</v>
      </c>
      <c r="F92" s="9">
        <f>DAVERAGE($B$5:$H$15,"Bonus",$B$40:$H$42)</f>
        <v>4614.2857142857147</v>
      </c>
    </row>
    <row r="93" spans="2:6" x14ac:dyDescent="0.3">
      <c r="B93" s="5" t="s">
        <v>48</v>
      </c>
      <c r="C93" s="9">
        <f>DAVERAGE($B$5:$H$15,"Age",$B$45:$H$46)</f>
        <v>31.6</v>
      </c>
      <c r="D93" s="9">
        <f>DAVERAGE($B$5:$H$15,"Salary",$B$45:$H$46)</f>
        <v>60000</v>
      </c>
      <c r="E93" s="9">
        <f>DAVERAGE($B$5:$H$15,"Rating",$B$45:$H$46)</f>
        <v>4.32</v>
      </c>
      <c r="F93" s="9">
        <f>DAVERAGE($B$5:$H$15,"Bonus",$B$45:$H$46)</f>
        <v>5860</v>
      </c>
    </row>
    <row r="94" spans="2:6" x14ac:dyDescent="0.3">
      <c r="B94" s="5" t="s">
        <v>49</v>
      </c>
      <c r="C94" s="9">
        <f>DAVERAGE($B$5:$H$15,"Age",$B$49:$H$50)</f>
        <v>29.857142857142858</v>
      </c>
      <c r="D94" s="9">
        <f>DAVERAGE($B$5:$H$15,"Salary",$B$49:$H$50)</f>
        <v>59571.428571428572</v>
      </c>
      <c r="E94" s="9">
        <f>DAVERAGE($B$5:$H$15,"Rating",$B$49:$H$50)</f>
        <v>3.8714285714285714</v>
      </c>
      <c r="F94" s="9">
        <f>DAVERAGE($B$5:$H$15,"Bonus",$B$49:$H$50)</f>
        <v>5257.1428571428569</v>
      </c>
    </row>
    <row r="95" spans="2:6" x14ac:dyDescent="0.3">
      <c r="B95" s="5" t="s">
        <v>50</v>
      </c>
      <c r="C95" s="9">
        <f>DAVERAGE($B$5:$H$15,"Age",$B$53:$H$54)</f>
        <v>41.666666666666664</v>
      </c>
      <c r="D95" s="9">
        <f>DAVERAGE($B$5:$H$15,"Salary",$B$53:$H$54)</f>
        <v>71666.666666666672</v>
      </c>
      <c r="E95" s="9">
        <f>DAVERAGE($B$5:$H$15,"Rating",$B$53:$H$54)</f>
        <v>3.9666666666666668</v>
      </c>
      <c r="F95" s="9">
        <f>DAVERAGE($B$5:$H$15,"Bonus",$B$53:$H$54)</f>
        <v>6666.666666666667</v>
      </c>
    </row>
    <row r="96" spans="2:6" x14ac:dyDescent="0.3">
      <c r="B96" s="5" t="s">
        <v>51</v>
      </c>
      <c r="C96" s="9">
        <f>DAVERAGE($B$5:$H$15,"Age",$B$57:$H$58)</f>
        <v>28</v>
      </c>
      <c r="D96" s="9">
        <f>DAVERAGE($B$5:$H$15,"Salary",$B$57:$H$58)</f>
        <v>55000</v>
      </c>
      <c r="E96" s="9">
        <f>DAVERAGE($B$5:$H$15,"Rating",$B$57:$H$58)</f>
        <v>4.2</v>
      </c>
      <c r="F96" s="9">
        <f>DAVERAGE($B$5:$H$15,"Bonus",$B$57:$H$58)</f>
        <v>5000</v>
      </c>
    </row>
    <row r="97" spans="2:6" x14ac:dyDescent="0.3">
      <c r="B97" s="5" t="s">
        <v>52</v>
      </c>
      <c r="C97" s="9" t="e">
        <f>DAVERAGE($B$5:$H$15,"Age",$B$61:$H$62)</f>
        <v>#DIV/0!</v>
      </c>
      <c r="D97" s="9" t="e">
        <f>DAVERAGE($B$5:$H$15,"Salary",$B$61:$H$62)</f>
        <v>#DIV/0!</v>
      </c>
      <c r="E97" s="9" t="e">
        <f>DAVERAGE($B$5:$H$15,"Rating",$B$61:$H$62)</f>
        <v>#DIV/0!</v>
      </c>
      <c r="F97" s="9" t="e">
        <f>DAVERAGE($B$5:$H$15,"Bonus",$B$61:$H$62)</f>
        <v>#DIV/0!</v>
      </c>
    </row>
    <row r="98" spans="2:6" x14ac:dyDescent="0.3">
      <c r="B98" s="5" t="s">
        <v>53</v>
      </c>
      <c r="C98" s="9">
        <f>DAVERAGE($B$5:$H$15,"Age",$B$65:$H$66)</f>
        <v>28</v>
      </c>
      <c r="D98" s="9">
        <f>DAVERAGE($B$5:$H$15,"Salary",$B$65:$H$66)</f>
        <v>55000</v>
      </c>
      <c r="E98" s="9">
        <f>DAVERAGE($B$5:$H$15,"Rating",$B$65:$H$66)</f>
        <v>4.2</v>
      </c>
      <c r="F98" s="9">
        <f>DAVERAGE($B$5:$H$15,"Bonus",$B$65:$H$66)</f>
        <v>5000</v>
      </c>
    </row>
    <row r="101" spans="2:6" x14ac:dyDescent="0.3">
      <c r="B101" s="4" t="s">
        <v>55</v>
      </c>
    </row>
    <row r="102" spans="2:6" x14ac:dyDescent="0.3">
      <c r="B102" s="8" t="s">
        <v>44</v>
      </c>
      <c r="C102" s="8" t="s">
        <v>4</v>
      </c>
      <c r="D102" s="8" t="s">
        <v>5</v>
      </c>
      <c r="E102" s="8" t="s">
        <v>6</v>
      </c>
      <c r="F102" s="8" t="s">
        <v>8</v>
      </c>
    </row>
    <row r="103" spans="2:6" x14ac:dyDescent="0.3">
      <c r="B103" s="5" t="s">
        <v>25</v>
      </c>
      <c r="C103" s="9">
        <f>DCOUNT($B$5:$H$15,"Age",$B$20:$H$21)</f>
        <v>10</v>
      </c>
      <c r="D103" s="9">
        <f>DCOUNT($B$5:$H$15,"Salary",$B$20:$H$21)</f>
        <v>10</v>
      </c>
      <c r="E103" s="9">
        <f>DCOUNT($B$5:$H$15,"Rating",$B$20:$H$21)</f>
        <v>10</v>
      </c>
      <c r="F103" s="9">
        <f>DCOUNT($B$5:$H$15,"Bonus",$B$20:$H$21)</f>
        <v>10</v>
      </c>
    </row>
    <row r="104" spans="2:6" x14ac:dyDescent="0.3">
      <c r="B104" s="5" t="s">
        <v>45</v>
      </c>
      <c r="C104" s="9">
        <f>DCOUNT($B$5:$H$15,"Age",$B$24:$H$25)</f>
        <v>4</v>
      </c>
      <c r="D104" s="9">
        <f>DCOUNT($B$5:$H$15,"Salary",$B$24:$H$25)</f>
        <v>4</v>
      </c>
      <c r="E104" s="9">
        <f>DCOUNT($B$5:$H$15,"Rating",$B$24:$H$25)</f>
        <v>4</v>
      </c>
      <c r="F104" s="9">
        <f>DCOUNT($B$5:$H$15,"Bonus",$B$24:$H$25)</f>
        <v>4</v>
      </c>
    </row>
    <row r="105" spans="2:6" x14ac:dyDescent="0.3">
      <c r="B105" s="5" t="s">
        <v>46</v>
      </c>
      <c r="C105" s="9">
        <f>DCOUNT($B$5:$H$15,"Age",$B$28:$H$29)</f>
        <v>6</v>
      </c>
      <c r="D105" s="9">
        <f>DCOUNT($B$5:$H$15,"Salary",$B$28:$H$29)</f>
        <v>6</v>
      </c>
      <c r="E105" s="9">
        <f>DCOUNT($B$5:$H$15,"Rating",$B$28:$H$29)</f>
        <v>6</v>
      </c>
      <c r="F105" s="9">
        <f>DCOUNT($B$5:$H$15,"Bonus",$B$28:$H$29)</f>
        <v>6</v>
      </c>
    </row>
    <row r="106" spans="2:6" x14ac:dyDescent="0.3">
      <c r="B106" s="5" t="s">
        <v>47</v>
      </c>
      <c r="C106" s="9">
        <f>DCOUNT($B$5:$H$15,"Age",$B$32:$H$33)</f>
        <v>5</v>
      </c>
      <c r="D106" s="9">
        <f>DCOUNT($B$5:$H$15,"Salary",$B$32:$H$33)</f>
        <v>5</v>
      </c>
      <c r="E106" s="9">
        <f>DCOUNT($B$5:$H$15,"Rating",$B$32:$H$33)</f>
        <v>5</v>
      </c>
      <c r="F106" s="9">
        <f>DCOUNT($B$5:$H$15,"Bonus",$B$32:$H$33)</f>
        <v>5</v>
      </c>
    </row>
    <row r="107" spans="2:6" x14ac:dyDescent="0.3">
      <c r="B107" s="5" t="s">
        <v>31</v>
      </c>
      <c r="C107" s="9">
        <f>DCOUNT($B$5:$H$15,"Age",$B$36:$H$37)</f>
        <v>3</v>
      </c>
      <c r="D107" s="9">
        <f>DCOUNT($B$5:$H$15,"Salary",$B$36:$H$37)</f>
        <v>3</v>
      </c>
      <c r="E107" s="9">
        <f>DCOUNT($B$5:$H$15,"Rating",$B$36:$H$37)</f>
        <v>3</v>
      </c>
      <c r="F107" s="9">
        <f>DCOUNT($B$5:$H$15,"Bonus",$B$36:$H$37)</f>
        <v>3</v>
      </c>
    </row>
    <row r="108" spans="2:6" x14ac:dyDescent="0.3">
      <c r="B108" s="5" t="s">
        <v>32</v>
      </c>
      <c r="C108" s="9">
        <f>DCOUNT($B$5:$H$15,"Age",$B$40:$H$42)</f>
        <v>7</v>
      </c>
      <c r="D108" s="9">
        <f>DCOUNT($B$5:$H$15,"Salary",$B$40:$H$42)</f>
        <v>7</v>
      </c>
      <c r="E108" s="9">
        <f>DCOUNT($B$5:$H$15,"Rating",$B$40:$H$42)</f>
        <v>7</v>
      </c>
      <c r="F108" s="9">
        <f>DCOUNT($B$5:$H$15,"Bonus",$B$40:$H$42)</f>
        <v>7</v>
      </c>
    </row>
    <row r="109" spans="2:6" x14ac:dyDescent="0.3">
      <c r="B109" s="5" t="s">
        <v>48</v>
      </c>
      <c r="C109" s="9">
        <f>DCOUNT($B$5:$H$15,"Age",$B$45:$H$46)</f>
        <v>5</v>
      </c>
      <c r="D109" s="9">
        <f>DCOUNT($B$5:$H$15,"Salary",$B$45:$H$46)</f>
        <v>5</v>
      </c>
      <c r="E109" s="9">
        <f>DCOUNT($B$5:$H$15,"Rating",$B$45:$H$46)</f>
        <v>5</v>
      </c>
      <c r="F109" s="9">
        <f>DCOUNT($B$5:$H$15,"Bonus",$B$45:$H$46)</f>
        <v>5</v>
      </c>
    </row>
    <row r="110" spans="2:6" x14ac:dyDescent="0.3">
      <c r="B110" s="5" t="s">
        <v>49</v>
      </c>
      <c r="C110" s="9">
        <f>DCOUNT($B$5:$H$15,"Age",$B$49:$H$50)</f>
        <v>7</v>
      </c>
      <c r="D110" s="9">
        <f>DCOUNT($B$5:$H$15,"Salary",$B$49:$H$50)</f>
        <v>7</v>
      </c>
      <c r="E110" s="9">
        <f>DCOUNT($B$5:$H$15,"Rating",$B$49:$H$50)</f>
        <v>7</v>
      </c>
      <c r="F110" s="9">
        <f>DCOUNT($B$5:$H$15,"Bonus",$B$49:$H$50)</f>
        <v>7</v>
      </c>
    </row>
    <row r="111" spans="2:6" x14ac:dyDescent="0.3">
      <c r="B111" s="5" t="s">
        <v>50</v>
      </c>
      <c r="C111" s="9">
        <f>DCOUNT($B$5:$H$15,"Age",$B$53:$H$54)</f>
        <v>3</v>
      </c>
      <c r="D111" s="9">
        <f>DCOUNT($B$5:$H$15,"Salary",$B$53:$H$54)</f>
        <v>3</v>
      </c>
      <c r="E111" s="9">
        <f>DCOUNT($B$5:$H$15,"Rating",$B$53:$H$54)</f>
        <v>3</v>
      </c>
      <c r="F111" s="9">
        <f>DCOUNT($B$5:$H$15,"Bonus",$B$53:$H$54)</f>
        <v>3</v>
      </c>
    </row>
    <row r="112" spans="2:6" x14ac:dyDescent="0.3">
      <c r="B112" s="5" t="s">
        <v>51</v>
      </c>
      <c r="C112" s="9">
        <f>DCOUNT($B$5:$H$15,"Age",$B$57:$H$58)</f>
        <v>1</v>
      </c>
      <c r="D112" s="9">
        <f>DCOUNT($B$5:$H$15,"Salary",$B$57:$H$58)</f>
        <v>1</v>
      </c>
      <c r="E112" s="9">
        <f>DCOUNT($B$5:$H$15,"Rating",$B$57:$H$58)</f>
        <v>1</v>
      </c>
      <c r="F112" s="9">
        <f>DCOUNT($B$5:$H$15,"Bonus",$B$57:$H$58)</f>
        <v>1</v>
      </c>
    </row>
    <row r="113" spans="2:9" x14ac:dyDescent="0.3">
      <c r="B113" s="5" t="s">
        <v>52</v>
      </c>
      <c r="C113" s="9">
        <f>DCOUNT($B$5:$H$15,"Age",$B$61:$H$62)</f>
        <v>0</v>
      </c>
      <c r="D113" s="9">
        <f>DCOUNT($B$5:$H$15,"Salary",$B$61:$H$62)</f>
        <v>0</v>
      </c>
      <c r="E113" s="9">
        <f>DCOUNT($B$5:$H$15,"Rating",$B$61:$H$62)</f>
        <v>0</v>
      </c>
      <c r="F113" s="9">
        <f>DCOUNT($B$5:$H$15,"Bonus",$B$61:$H$62)</f>
        <v>0</v>
      </c>
    </row>
    <row r="114" spans="2:9" x14ac:dyDescent="0.3">
      <c r="B114" s="5" t="s">
        <v>53</v>
      </c>
      <c r="C114" s="9">
        <f>DCOUNT($B$5:$H$15,"Age",$B$65:$H$66)</f>
        <v>1</v>
      </c>
      <c r="D114" s="9">
        <f>DCOUNT($B$5:$H$15,"Salary",$B$65:$H$66)</f>
        <v>1</v>
      </c>
      <c r="E114" s="9">
        <f>DCOUNT($B$5:$H$15,"Rating",$B$65:$H$66)</f>
        <v>1</v>
      </c>
      <c r="F114" s="9">
        <f>DCOUNT($B$5:$H$15,"Bonus",$B$65:$H$66)</f>
        <v>1</v>
      </c>
    </row>
    <row r="117" spans="2:9" x14ac:dyDescent="0.3">
      <c r="B117" s="4" t="s">
        <v>56</v>
      </c>
    </row>
    <row r="118" spans="2:9" x14ac:dyDescent="0.3">
      <c r="B118" s="8" t="s">
        <v>44</v>
      </c>
      <c r="C118" s="8" t="s">
        <v>2</v>
      </c>
      <c r="D118" s="8" t="s">
        <v>3</v>
      </c>
      <c r="E118" s="8" t="s">
        <v>4</v>
      </c>
      <c r="F118" s="8" t="s">
        <v>5</v>
      </c>
      <c r="G118" s="8" t="s">
        <v>6</v>
      </c>
      <c r="H118" s="8" t="s">
        <v>7</v>
      </c>
      <c r="I118" s="8" t="s">
        <v>8</v>
      </c>
    </row>
    <row r="119" spans="2:9" x14ac:dyDescent="0.3">
      <c r="B119" s="5" t="s">
        <v>25</v>
      </c>
      <c r="C119" s="9">
        <f>DCOUNTA($B$5:$H$15,"Name",$B$20:$H$21)</f>
        <v>10</v>
      </c>
      <c r="D119" s="9">
        <f>DCOUNTA($B$5:$H$15,"Department",$B$20:$H$21)</f>
        <v>10</v>
      </c>
      <c r="E119" s="9">
        <f>DCOUNTA($B$5:$H$15,"Age",$B$20:$H$21)</f>
        <v>10</v>
      </c>
      <c r="F119" s="9">
        <f>DCOUNTA($B$5:$H$15,"Salary",$B$20:$H$21)</f>
        <v>10</v>
      </c>
      <c r="G119" s="9">
        <f>DCOUNTA($B$5:$H$15,"Rating",$B$20:$H$21)</f>
        <v>10</v>
      </c>
      <c r="H119" s="9">
        <f>DCOUNTA($B$5:$H$15,"Active",$B$20:$H$21)</f>
        <v>10</v>
      </c>
      <c r="I119" s="9">
        <f>DCOUNTA($B$5:$H$15,"Bonus",$B$20:$H$21)</f>
        <v>10</v>
      </c>
    </row>
    <row r="120" spans="2:9" x14ac:dyDescent="0.3">
      <c r="B120" s="5" t="s">
        <v>45</v>
      </c>
      <c r="C120" s="9">
        <f>DCOUNTA($B$5:$H$15,"Name",$B$24:$H$25)</f>
        <v>4</v>
      </c>
      <c r="D120" s="9">
        <f>DCOUNTA($B$5:$H$15,"Department",$B$24:$H$25)</f>
        <v>4</v>
      </c>
      <c r="E120" s="9">
        <f>DCOUNTA($B$5:$H$15,"Age",$B$24:$H$25)</f>
        <v>4</v>
      </c>
      <c r="F120" s="9">
        <f>DCOUNTA($B$5:$H$15,"Salary",$B$24:$H$25)</f>
        <v>4</v>
      </c>
      <c r="G120" s="9">
        <f>DCOUNTA($B$5:$H$15,"Rating",$B$24:$H$25)</f>
        <v>4</v>
      </c>
      <c r="H120" s="9">
        <f>DCOUNTA($B$5:$H$15,"Active",$B$24:$H$25)</f>
        <v>4</v>
      </c>
      <c r="I120" s="9">
        <f>DCOUNTA($B$5:$H$15,"Bonus",$B$24:$H$25)</f>
        <v>4</v>
      </c>
    </row>
    <row r="121" spans="2:9" x14ac:dyDescent="0.3">
      <c r="B121" s="5" t="s">
        <v>46</v>
      </c>
      <c r="C121" s="9">
        <f>DCOUNTA($B$5:$H$15,"Name",$B$28:$H$29)</f>
        <v>6</v>
      </c>
      <c r="D121" s="9">
        <f>DCOUNTA($B$5:$H$15,"Department",$B$28:$H$29)</f>
        <v>6</v>
      </c>
      <c r="E121" s="9">
        <f>DCOUNTA($B$5:$H$15,"Age",$B$28:$H$29)</f>
        <v>6</v>
      </c>
      <c r="F121" s="9">
        <f>DCOUNTA($B$5:$H$15,"Salary",$B$28:$H$29)</f>
        <v>6</v>
      </c>
      <c r="G121" s="9">
        <f>DCOUNTA($B$5:$H$15,"Rating",$B$28:$H$29)</f>
        <v>6</v>
      </c>
      <c r="H121" s="9">
        <f>DCOUNTA($B$5:$H$15,"Active",$B$28:$H$29)</f>
        <v>6</v>
      </c>
      <c r="I121" s="9">
        <f>DCOUNTA($B$5:$H$15,"Bonus",$B$28:$H$29)</f>
        <v>6</v>
      </c>
    </row>
    <row r="122" spans="2:9" x14ac:dyDescent="0.3">
      <c r="B122" s="5" t="s">
        <v>47</v>
      </c>
      <c r="C122" s="9">
        <f>DCOUNTA($B$5:$H$15,"Name",$B$32:$H$33)</f>
        <v>5</v>
      </c>
      <c r="D122" s="9">
        <f>DCOUNTA($B$5:$H$15,"Department",$B$32:$H$33)</f>
        <v>5</v>
      </c>
      <c r="E122" s="9">
        <f>DCOUNTA($B$5:$H$15,"Age",$B$32:$H$33)</f>
        <v>5</v>
      </c>
      <c r="F122" s="9">
        <f>DCOUNTA($B$5:$H$15,"Salary",$B$32:$H$33)</f>
        <v>5</v>
      </c>
      <c r="G122" s="9">
        <f>DCOUNTA($B$5:$H$15,"Rating",$B$32:$H$33)</f>
        <v>5</v>
      </c>
      <c r="H122" s="9">
        <f>DCOUNTA($B$5:$H$15,"Active",$B$32:$H$33)</f>
        <v>5</v>
      </c>
      <c r="I122" s="9">
        <f>DCOUNTA($B$5:$H$15,"Bonus",$B$32:$H$33)</f>
        <v>5</v>
      </c>
    </row>
    <row r="123" spans="2:9" x14ac:dyDescent="0.3">
      <c r="B123" s="5" t="s">
        <v>31</v>
      </c>
      <c r="C123" s="9">
        <f>DCOUNTA($B$5:$H$15,"Name",$B$36:$H$37)</f>
        <v>3</v>
      </c>
      <c r="D123" s="9">
        <f>DCOUNTA($B$5:$H$15,"Department",$B$36:$H$37)</f>
        <v>3</v>
      </c>
      <c r="E123" s="9">
        <f>DCOUNTA($B$5:$H$15,"Age",$B$36:$H$37)</f>
        <v>3</v>
      </c>
      <c r="F123" s="9">
        <f>DCOUNTA($B$5:$H$15,"Salary",$B$36:$H$37)</f>
        <v>3</v>
      </c>
      <c r="G123" s="9">
        <f>DCOUNTA($B$5:$H$15,"Rating",$B$36:$H$37)</f>
        <v>3</v>
      </c>
      <c r="H123" s="9">
        <f>DCOUNTA($B$5:$H$15,"Active",$B$36:$H$37)</f>
        <v>3</v>
      </c>
      <c r="I123" s="9">
        <f>DCOUNTA($B$5:$H$15,"Bonus",$B$36:$H$37)</f>
        <v>3</v>
      </c>
    </row>
    <row r="124" spans="2:9" x14ac:dyDescent="0.3">
      <c r="B124" s="5" t="s">
        <v>32</v>
      </c>
      <c r="C124" s="9">
        <f>DCOUNTA($B$5:$H$15,"Name",$B$40:$H$42)</f>
        <v>7</v>
      </c>
      <c r="D124" s="9">
        <f>DCOUNTA($B$5:$H$15,"Department",$B$40:$H$42)</f>
        <v>7</v>
      </c>
      <c r="E124" s="9">
        <f>DCOUNTA($B$5:$H$15,"Age",$B$40:$H$42)</f>
        <v>7</v>
      </c>
      <c r="F124" s="9">
        <f>DCOUNTA($B$5:$H$15,"Salary",$B$40:$H$42)</f>
        <v>7</v>
      </c>
      <c r="G124" s="9">
        <f>DCOUNTA($B$5:$H$15,"Rating",$B$40:$H$42)</f>
        <v>7</v>
      </c>
      <c r="H124" s="9">
        <f>DCOUNTA($B$5:$H$15,"Active",$B$40:$H$42)</f>
        <v>7</v>
      </c>
      <c r="I124" s="9">
        <f>DCOUNTA($B$5:$H$15,"Bonus",$B$40:$H$42)</f>
        <v>7</v>
      </c>
    </row>
    <row r="125" spans="2:9" x14ac:dyDescent="0.3">
      <c r="B125" s="5" t="s">
        <v>48</v>
      </c>
      <c r="C125" s="9">
        <f>DCOUNTA($B$5:$H$15,"Name",$B$45:$H$46)</f>
        <v>5</v>
      </c>
      <c r="D125" s="9">
        <f>DCOUNTA($B$5:$H$15,"Department",$B$45:$H$46)</f>
        <v>5</v>
      </c>
      <c r="E125" s="9">
        <f>DCOUNTA($B$5:$H$15,"Age",$B$45:$H$46)</f>
        <v>5</v>
      </c>
      <c r="F125" s="9">
        <f>DCOUNTA($B$5:$H$15,"Salary",$B$45:$H$46)</f>
        <v>5</v>
      </c>
      <c r="G125" s="9">
        <f>DCOUNTA($B$5:$H$15,"Rating",$B$45:$H$46)</f>
        <v>5</v>
      </c>
      <c r="H125" s="9">
        <f>DCOUNTA($B$5:$H$15,"Active",$B$45:$H$46)</f>
        <v>5</v>
      </c>
      <c r="I125" s="9">
        <f>DCOUNTA($B$5:$H$15,"Bonus",$B$45:$H$46)</f>
        <v>5</v>
      </c>
    </row>
    <row r="126" spans="2:9" x14ac:dyDescent="0.3">
      <c r="B126" s="5" t="s">
        <v>49</v>
      </c>
      <c r="C126" s="9">
        <f>DCOUNTA($B$5:$H$15,"Name",$B$49:$H$50)</f>
        <v>7</v>
      </c>
      <c r="D126" s="9">
        <f>DCOUNTA($B$5:$H$15,"Department",$B$49:$H$50)</f>
        <v>7</v>
      </c>
      <c r="E126" s="9">
        <f>DCOUNTA($B$5:$H$15,"Age",$B$49:$H$50)</f>
        <v>7</v>
      </c>
      <c r="F126" s="9">
        <f>DCOUNTA($B$5:$H$15,"Salary",$B$49:$H$50)</f>
        <v>7</v>
      </c>
      <c r="G126" s="9">
        <f>DCOUNTA($B$5:$H$15,"Rating",$B$49:$H$50)</f>
        <v>7</v>
      </c>
      <c r="H126" s="9">
        <f>DCOUNTA($B$5:$H$15,"Active",$B$49:$H$50)</f>
        <v>7</v>
      </c>
      <c r="I126" s="9">
        <f>DCOUNTA($B$5:$H$15,"Bonus",$B$49:$H$50)</f>
        <v>7</v>
      </c>
    </row>
    <row r="127" spans="2:9" x14ac:dyDescent="0.3">
      <c r="B127" s="5" t="s">
        <v>50</v>
      </c>
      <c r="C127" s="9">
        <f>DCOUNTA($B$5:$H$15,"Name",$B$53:$H$54)</f>
        <v>3</v>
      </c>
      <c r="D127" s="9">
        <f>DCOUNTA($B$5:$H$15,"Department",$B$53:$H$54)</f>
        <v>3</v>
      </c>
      <c r="E127" s="9">
        <f>DCOUNTA($B$5:$H$15,"Age",$B$53:$H$54)</f>
        <v>3</v>
      </c>
      <c r="F127" s="9">
        <f>DCOUNTA($B$5:$H$15,"Salary",$B$53:$H$54)</f>
        <v>3</v>
      </c>
      <c r="G127" s="9">
        <f>DCOUNTA($B$5:$H$15,"Rating",$B$53:$H$54)</f>
        <v>3</v>
      </c>
      <c r="H127" s="9">
        <f>DCOUNTA($B$5:$H$15,"Active",$B$53:$H$54)</f>
        <v>3</v>
      </c>
      <c r="I127" s="9">
        <f>DCOUNTA($B$5:$H$15,"Bonus",$B$53:$H$54)</f>
        <v>3</v>
      </c>
    </row>
    <row r="128" spans="2:9" x14ac:dyDescent="0.3">
      <c r="B128" s="5" t="s">
        <v>51</v>
      </c>
      <c r="C128" s="9">
        <f>DCOUNTA($B$5:$H$15,"Name",$B$57:$H$58)</f>
        <v>1</v>
      </c>
      <c r="D128" s="9">
        <f>DCOUNTA($B$5:$H$15,"Department",$B$57:$H$58)</f>
        <v>1</v>
      </c>
      <c r="E128" s="9">
        <f>DCOUNTA($B$5:$H$15,"Age",$B$57:$H$58)</f>
        <v>1</v>
      </c>
      <c r="F128" s="9">
        <f>DCOUNTA($B$5:$H$15,"Salary",$B$57:$H$58)</f>
        <v>1</v>
      </c>
      <c r="G128" s="9">
        <f>DCOUNTA($B$5:$H$15,"Rating",$B$57:$H$58)</f>
        <v>1</v>
      </c>
      <c r="H128" s="9">
        <f>DCOUNTA($B$5:$H$15,"Active",$B$57:$H$58)</f>
        <v>1</v>
      </c>
      <c r="I128" s="9">
        <f>DCOUNTA($B$5:$H$15,"Bonus",$B$57:$H$58)</f>
        <v>1</v>
      </c>
    </row>
    <row r="129" spans="2:9" x14ac:dyDescent="0.3">
      <c r="B129" s="5" t="s">
        <v>52</v>
      </c>
      <c r="C129" s="9">
        <f>DCOUNTA($B$5:$H$15,"Name",$B$61:$H$62)</f>
        <v>0</v>
      </c>
      <c r="D129" s="9">
        <f>DCOUNTA($B$5:$H$15,"Department",$B$61:$H$62)</f>
        <v>0</v>
      </c>
      <c r="E129" s="9">
        <f>DCOUNTA($B$5:$H$15,"Age",$B$61:$H$62)</f>
        <v>0</v>
      </c>
      <c r="F129" s="9">
        <f>DCOUNTA($B$5:$H$15,"Salary",$B$61:$H$62)</f>
        <v>0</v>
      </c>
      <c r="G129" s="9">
        <f>DCOUNTA($B$5:$H$15,"Rating",$B$61:$H$62)</f>
        <v>0</v>
      </c>
      <c r="H129" s="9">
        <f>DCOUNTA($B$5:$H$15,"Active",$B$61:$H$62)</f>
        <v>0</v>
      </c>
      <c r="I129" s="9">
        <f>DCOUNTA($B$5:$H$15,"Bonus",$B$61:$H$62)</f>
        <v>0</v>
      </c>
    </row>
    <row r="130" spans="2:9" x14ac:dyDescent="0.3">
      <c r="B130" s="5" t="s">
        <v>53</v>
      </c>
      <c r="C130" s="9">
        <f>DCOUNTA($B$5:$H$15,"Name",$B$65:$H$66)</f>
        <v>1</v>
      </c>
      <c r="D130" s="9">
        <f>DCOUNTA($B$5:$H$15,"Department",$B$65:$H$66)</f>
        <v>1</v>
      </c>
      <c r="E130" s="9">
        <f>DCOUNTA($B$5:$H$15,"Age",$B$65:$H$66)</f>
        <v>1</v>
      </c>
      <c r="F130" s="9">
        <f>DCOUNTA($B$5:$H$15,"Salary",$B$65:$H$66)</f>
        <v>1</v>
      </c>
      <c r="G130" s="9">
        <f>DCOUNTA($B$5:$H$15,"Rating",$B$65:$H$66)</f>
        <v>1</v>
      </c>
      <c r="H130" s="9">
        <f>DCOUNTA($B$5:$H$15,"Active",$B$65:$H$66)</f>
        <v>1</v>
      </c>
      <c r="I130" s="9">
        <f>DCOUNTA($B$5:$H$15,"Bonus",$B$65:$H$66)</f>
        <v>1</v>
      </c>
    </row>
    <row r="133" spans="2:9" x14ac:dyDescent="0.3">
      <c r="B133" t="s">
        <v>57</v>
      </c>
    </row>
    <row r="134" spans="2:9" x14ac:dyDescent="0.3">
      <c r="B134" t="s">
        <v>44</v>
      </c>
      <c r="C134" t="s">
        <v>4</v>
      </c>
      <c r="D134" t="s">
        <v>5</v>
      </c>
      <c r="E134" t="s">
        <v>6</v>
      </c>
      <c r="F134" t="s">
        <v>8</v>
      </c>
    </row>
    <row r="135" spans="2:9" x14ac:dyDescent="0.3">
      <c r="B135" t="s">
        <v>25</v>
      </c>
      <c r="C135">
        <f>DMAX($B$5:$H$15,"Age",$B$20:$H$21)</f>
        <v>45</v>
      </c>
      <c r="D135">
        <f>DMAX($B$5:$H$15,"Salary",$B$20:$H$21)</f>
        <v>95000</v>
      </c>
      <c r="E135">
        <f>DMAX($B$5:$H$15,"Rating",$B$20:$H$21)</f>
        <v>4.8</v>
      </c>
      <c r="F135">
        <f>DMAX($B$5:$H$15,"Bonus",$B$20:$H$21)</f>
        <v>9500</v>
      </c>
    </row>
    <row r="136" spans="2:9" x14ac:dyDescent="0.3">
      <c r="B136" t="s">
        <v>45</v>
      </c>
      <c r="C136">
        <f>DMAX($B$5:$H$15,"Age",$B$24:$H$25)</f>
        <v>42</v>
      </c>
      <c r="D136">
        <f>DMAX($B$5:$H$15,"Salary",$B$24:$H$25)</f>
        <v>62000</v>
      </c>
      <c r="E136">
        <f>DMAX($B$5:$H$15,"Rating",$B$24:$H$25)</f>
        <v>4.5</v>
      </c>
      <c r="F136">
        <f>DMAX($B$5:$H$15,"Bonus",$B$24:$H$25)</f>
        <v>6000</v>
      </c>
    </row>
    <row r="137" spans="2:9" x14ac:dyDescent="0.3">
      <c r="B137" s="4" t="s">
        <v>46</v>
      </c>
      <c r="C137">
        <f>DMAX($B$5:$H$15,"Age",$B$28:$H$29)</f>
        <v>45</v>
      </c>
      <c r="D137">
        <f>DMAX($B$5:$H$15,"Salary",$B$28:$H$29)</f>
        <v>95000</v>
      </c>
      <c r="E137">
        <f>DMAX($B$5:$H$15,"Rating",$B$28:$H$29)</f>
        <v>4.5</v>
      </c>
      <c r="F137">
        <f>DMAX($B$5:$H$15,"Bonus",$B$28:$H$29)</f>
        <v>9500</v>
      </c>
    </row>
    <row r="138" spans="2:9" x14ac:dyDescent="0.3">
      <c r="B138" s="8" t="s">
        <v>47</v>
      </c>
      <c r="C138" s="8">
        <f>DMAX($B$5:$H$15,"Age",$B$32:$H$33)</f>
        <v>45</v>
      </c>
      <c r="D138" s="8">
        <f>DMAX($B$5:$H$15,"Salary",$B$32:$H$33)</f>
        <v>95000</v>
      </c>
      <c r="E138" s="8">
        <f>DMAX($B$5:$H$15,"Rating",$B$32:$H$33)</f>
        <v>4.5</v>
      </c>
      <c r="F138" s="8">
        <f>DMAX($B$5:$H$15,"Bonus",$B$32:$H$33)</f>
        <v>9500</v>
      </c>
    </row>
    <row r="139" spans="2:9" x14ac:dyDescent="0.3">
      <c r="B139" s="5" t="s">
        <v>31</v>
      </c>
      <c r="C139" s="9">
        <f>DMAX($B$5:$H$15,"Age",$B$36:$H$37)</f>
        <v>42</v>
      </c>
      <c r="D139" s="9">
        <f>DMAX($B$5:$H$15,"Salary",$B$36:$H$37)</f>
        <v>62000</v>
      </c>
      <c r="E139" s="9">
        <f>DMAX($B$5:$H$15,"Rating",$B$36:$H$37)</f>
        <v>4.5</v>
      </c>
      <c r="F139" s="9">
        <f>DMAX($B$5:$H$15,"Bonus",$B$36:$H$37)</f>
        <v>6000</v>
      </c>
    </row>
    <row r="140" spans="2:9" x14ac:dyDescent="0.3">
      <c r="B140" s="5" t="s">
        <v>32</v>
      </c>
      <c r="C140" s="9">
        <f>DMAX($B$5:$H$15,"Age",$B$40:$H$42)</f>
        <v>42</v>
      </c>
      <c r="D140" s="9">
        <f>DMAX($B$5:$H$15,"Salary",$B$40:$H$42)</f>
        <v>62000</v>
      </c>
      <c r="E140" s="9">
        <f>DMAX($B$5:$H$15,"Rating",$B$40:$H$42)</f>
        <v>4.8</v>
      </c>
      <c r="F140" s="9">
        <f>DMAX($B$5:$H$15,"Bonus",$B$40:$H$42)</f>
        <v>6000</v>
      </c>
    </row>
    <row r="141" spans="2:9" x14ac:dyDescent="0.3">
      <c r="B141" s="5" t="s">
        <v>48</v>
      </c>
      <c r="C141" s="9">
        <f>DMAX($B$5:$H$15,"Age",$B$45:$H$46)</f>
        <v>42</v>
      </c>
      <c r="D141" s="9">
        <f>DMAX($B$5:$H$15,"Salary",$B$45:$H$46)</f>
        <v>72000</v>
      </c>
      <c r="E141" s="9">
        <f>DMAX($B$5:$H$15,"Rating",$B$45:$H$46)</f>
        <v>4.8</v>
      </c>
      <c r="F141" s="9">
        <f>DMAX($B$5:$H$15,"Bonus",$B$45:$H$46)</f>
        <v>7000</v>
      </c>
    </row>
    <row r="142" spans="2:9" x14ac:dyDescent="0.3">
      <c r="B142" s="5" t="s">
        <v>49</v>
      </c>
      <c r="C142" s="9">
        <f>DMAX($B$5:$H$15,"Age",$B$49:$H$50)</f>
        <v>35</v>
      </c>
      <c r="D142" s="9">
        <f>DMAX($B$5:$H$15,"Salary",$B$49:$H$50)</f>
        <v>85000</v>
      </c>
      <c r="E142" s="9">
        <f>DMAX($B$5:$H$15,"Rating",$B$49:$H$50)</f>
        <v>4.8</v>
      </c>
      <c r="F142" s="9">
        <f>DMAX($B$5:$H$15,"Bonus",$B$49:$H$50)</f>
        <v>8000</v>
      </c>
    </row>
    <row r="143" spans="2:9" x14ac:dyDescent="0.3">
      <c r="B143" s="5" t="s">
        <v>50</v>
      </c>
      <c r="C143" s="9">
        <f>DMAX($B$5:$H$15,"Age",$B$53:$H$54)</f>
        <v>45</v>
      </c>
      <c r="D143" s="9">
        <f>DMAX($B$5:$H$15,"Salary",$B$53:$H$54)</f>
        <v>95000</v>
      </c>
      <c r="E143" s="9">
        <f>DMAX($B$5:$H$15,"Rating",$B$53:$H$54)</f>
        <v>4.5</v>
      </c>
      <c r="F143" s="9">
        <f>DMAX($B$5:$H$15,"Bonus",$B$53:$H$54)</f>
        <v>9500</v>
      </c>
    </row>
    <row r="144" spans="2:9" x14ac:dyDescent="0.3">
      <c r="B144" s="5" t="s">
        <v>51</v>
      </c>
      <c r="C144" s="9">
        <f>DMAX($B$5:$H$15,"Age",$B$57:$H$58)</f>
        <v>28</v>
      </c>
      <c r="D144" s="9">
        <f>DMAX($B$5:$H$15,"Salary",$B$57:$H$58)</f>
        <v>55000</v>
      </c>
      <c r="E144" s="9">
        <f>DMAX($B$5:$H$15,"Rating",$B$57:$H$58)</f>
        <v>4.2</v>
      </c>
      <c r="F144" s="9">
        <f>DMAX($B$5:$H$15,"Bonus",$B$57:$H$58)</f>
        <v>5000</v>
      </c>
    </row>
    <row r="145" spans="2:6" x14ac:dyDescent="0.3">
      <c r="B145" s="5" t="s">
        <v>52</v>
      </c>
      <c r="C145" s="9">
        <f>DMAX($B$5:$H$15,"Age",$B$61:$H$62)</f>
        <v>0</v>
      </c>
      <c r="D145" s="9">
        <f>DMAX($B$5:$H$15,"Salary",$B$61:$H$62)</f>
        <v>0</v>
      </c>
      <c r="E145" s="9">
        <f>DMAX($B$5:$H$15,"Rating",$B$61:$H$62)</f>
        <v>0</v>
      </c>
      <c r="F145" s="9">
        <f>DMAX($B$5:$H$15,"Bonus",$B$61:$H$62)</f>
        <v>0</v>
      </c>
    </row>
    <row r="146" spans="2:6" x14ac:dyDescent="0.3">
      <c r="B146" s="5" t="s">
        <v>53</v>
      </c>
      <c r="C146" s="9">
        <f>DMAX($B$5:$H$15,"Age",$B$65:$H$66)</f>
        <v>28</v>
      </c>
      <c r="D146" s="9">
        <f>DMAX($B$5:$H$15,"Salary",$B$65:$H$66)</f>
        <v>55000</v>
      </c>
      <c r="E146" s="9">
        <f>DMAX($B$5:$H$15,"Rating",$B$65:$H$66)</f>
        <v>4.2</v>
      </c>
      <c r="F146" s="9">
        <f>DMAX($B$5:$H$15,"Bonus",$B$65:$H$66)</f>
        <v>5000</v>
      </c>
    </row>
    <row r="147" spans="2:6" x14ac:dyDescent="0.3">
      <c r="B147" s="5"/>
      <c r="C147" s="9"/>
      <c r="D147" s="9"/>
      <c r="E147" s="9"/>
      <c r="F147" s="9"/>
    </row>
    <row r="148" spans="2:6" x14ac:dyDescent="0.3">
      <c r="B148" s="5"/>
      <c r="C148" s="9"/>
      <c r="D148" s="9"/>
      <c r="E148" s="9"/>
      <c r="F148" s="9"/>
    </row>
    <row r="149" spans="2:6" x14ac:dyDescent="0.3">
      <c r="B149" s="5" t="s">
        <v>58</v>
      </c>
      <c r="C149" s="9"/>
      <c r="D149" s="9"/>
      <c r="E149" s="9"/>
      <c r="F149" s="9"/>
    </row>
    <row r="150" spans="2:6" x14ac:dyDescent="0.3">
      <c r="B150" s="5" t="s">
        <v>44</v>
      </c>
      <c r="C150" s="9" t="s">
        <v>4</v>
      </c>
      <c r="D150" s="9" t="s">
        <v>5</v>
      </c>
      <c r="E150" s="9" t="s">
        <v>6</v>
      </c>
      <c r="F150" s="9" t="s">
        <v>8</v>
      </c>
    </row>
    <row r="151" spans="2:6" x14ac:dyDescent="0.3">
      <c r="B151" t="s">
        <v>25</v>
      </c>
      <c r="C151">
        <f>DMIN($B$5:$H$15,"Age",$B$20:$H$21)</f>
        <v>26</v>
      </c>
      <c r="D151">
        <f>DMIN($B$5:$H$15,"Salary",$B$20:$H$21)</f>
        <v>46000</v>
      </c>
      <c r="E151">
        <f>DMIN($B$5:$H$15,"Rating",$B$20:$H$21)</f>
        <v>3</v>
      </c>
      <c r="F151">
        <f>DMIN($B$5:$H$15,"Bonus",$B$20:$H$21)</f>
        <v>2500</v>
      </c>
    </row>
    <row r="152" spans="2:6" x14ac:dyDescent="0.3">
      <c r="B152" t="s">
        <v>45</v>
      </c>
      <c r="C152">
        <f>DMIN($B$5:$H$15,"Age",$B$24:$H$25)</f>
        <v>28</v>
      </c>
      <c r="D152">
        <f>DMIN($B$5:$H$15,"Salary",$B$24:$H$25)</f>
        <v>55000</v>
      </c>
      <c r="E152">
        <f>DMIN($B$5:$H$15,"Rating",$B$24:$H$25)</f>
        <v>3.5</v>
      </c>
      <c r="F152">
        <f>DMIN($B$5:$H$15,"Bonus",$B$24:$H$25)</f>
        <v>4500</v>
      </c>
    </row>
    <row r="153" spans="2:6" x14ac:dyDescent="0.3">
      <c r="B153" s="4" t="s">
        <v>46</v>
      </c>
      <c r="C153">
        <f>DMIN($B$5:$H$15,"Age",$B$28:$H$29)</f>
        <v>31</v>
      </c>
      <c r="D153">
        <f>DMIN($B$5:$H$15,"Salary",$B$28:$H$29)</f>
        <v>48000</v>
      </c>
      <c r="E153">
        <f>DMIN($B$5:$H$15,"Rating",$B$28:$H$29)</f>
        <v>3.2</v>
      </c>
      <c r="F153">
        <f>DMIN($B$5:$H$15,"Bonus",$B$28:$H$29)</f>
        <v>3000</v>
      </c>
    </row>
    <row r="154" spans="2:6" x14ac:dyDescent="0.3">
      <c r="B154" s="8" t="s">
        <v>47</v>
      </c>
      <c r="C154" s="8">
        <f>DMIN($B$5:$H$15,"Age",$B$32:$H$33)</f>
        <v>26</v>
      </c>
      <c r="D154" s="8">
        <f>DMIN($B$5:$H$15,"Salary",$B$32:$H$33)</f>
        <v>60000</v>
      </c>
      <c r="E154" s="8">
        <f>DMIN($B$5:$H$15,"Rating",$B$32:$H$33)</f>
        <v>3.8</v>
      </c>
      <c r="F154" s="8">
        <f>DMIN($B$5:$H$15,"Bonus",$B$32:$H$33)</f>
        <v>5800</v>
      </c>
    </row>
    <row r="155" spans="2:6" x14ac:dyDescent="0.3">
      <c r="B155" s="5" t="s">
        <v>31</v>
      </c>
      <c r="C155" s="9">
        <f>DMIN($B$5:$H$15,"Age",$B$36:$H$37)</f>
        <v>33</v>
      </c>
      <c r="D155" s="9">
        <f>DMIN($B$5:$H$15,"Salary",$B$36:$H$37)</f>
        <v>58000</v>
      </c>
      <c r="E155" s="9">
        <f>DMIN($B$5:$H$15,"Rating",$B$36:$H$37)</f>
        <v>3.5</v>
      </c>
      <c r="F155" s="9">
        <f>DMIN($B$5:$H$15,"Bonus",$B$36:$H$37)</f>
        <v>4500</v>
      </c>
    </row>
    <row r="156" spans="2:6" x14ac:dyDescent="0.3">
      <c r="B156" s="5" t="s">
        <v>32</v>
      </c>
      <c r="C156" s="9">
        <f>DMIN($B$5:$H$15,"Age",$B$40:$H$42)</f>
        <v>27</v>
      </c>
      <c r="D156" s="9">
        <f>DMIN($B$5:$H$15,"Salary",$B$40:$H$42)</f>
        <v>46000</v>
      </c>
      <c r="E156" s="9">
        <f>DMIN($B$5:$H$15,"Rating",$B$40:$H$42)</f>
        <v>3</v>
      </c>
      <c r="F156" s="9">
        <f>DMIN($B$5:$H$15,"Bonus",$B$40:$H$42)</f>
        <v>2500</v>
      </c>
    </row>
    <row r="157" spans="2:6" x14ac:dyDescent="0.3">
      <c r="B157" s="5" t="s">
        <v>48</v>
      </c>
      <c r="C157" s="9">
        <f>DMIN($B$5:$H$15,"Age",$B$45:$H$46)</f>
        <v>26</v>
      </c>
      <c r="D157" s="9">
        <f>DMIN($B$5:$H$15,"Salary",$B$45:$H$46)</f>
        <v>51000</v>
      </c>
      <c r="E157" s="9">
        <f>DMIN($B$5:$H$15,"Rating",$B$45:$H$46)</f>
        <v>4</v>
      </c>
      <c r="F157" s="9">
        <f>DMIN($B$5:$H$15,"Bonus",$B$45:$H$46)</f>
        <v>5000</v>
      </c>
    </row>
    <row r="158" spans="2:6" x14ac:dyDescent="0.3">
      <c r="B158" s="5" t="s">
        <v>49</v>
      </c>
      <c r="C158" s="9">
        <f>DMIN($B$5:$H$15,"Age",$B$49:$H$50)</f>
        <v>26</v>
      </c>
      <c r="D158" s="9">
        <f>DMIN($B$5:$H$15,"Salary",$B$49:$H$50)</f>
        <v>46000</v>
      </c>
      <c r="E158" s="9">
        <f>DMIN($B$5:$H$15,"Rating",$B$49:$H$50)</f>
        <v>3</v>
      </c>
      <c r="F158" s="9">
        <f>DMIN($B$5:$H$15,"Bonus",$B$49:$H$50)</f>
        <v>2500</v>
      </c>
    </row>
    <row r="159" spans="2:6" x14ac:dyDescent="0.3">
      <c r="B159" s="5" t="s">
        <v>50</v>
      </c>
      <c r="C159" s="9">
        <f>DMIN($B$5:$H$15,"Age",$B$53:$H$54)</f>
        <v>38</v>
      </c>
      <c r="D159" s="9">
        <f>DMIN($B$5:$H$15,"Salary",$B$53:$H$54)</f>
        <v>58000</v>
      </c>
      <c r="E159" s="9">
        <f>DMIN($B$5:$H$15,"Rating",$B$53:$H$54)</f>
        <v>3.5</v>
      </c>
      <c r="F159" s="9">
        <f>DMIN($B$5:$H$15,"Bonus",$B$53:$H$54)</f>
        <v>4500</v>
      </c>
    </row>
    <row r="160" spans="2:6" x14ac:dyDescent="0.3">
      <c r="B160" s="5" t="s">
        <v>51</v>
      </c>
      <c r="C160" s="9">
        <f>DMIN($B$5:$H$15,"Age",$B$57:$H$58)</f>
        <v>28</v>
      </c>
      <c r="D160" s="9">
        <f>DMIN($B$5:$H$15,"Salary",$B$57:$H$58)</f>
        <v>55000</v>
      </c>
      <c r="E160" s="9">
        <f>DMIN($B$5:$H$15,"Rating",$B$57:$H$58)</f>
        <v>4.2</v>
      </c>
      <c r="F160" s="9">
        <f>DMIN($B$5:$H$15,"Bonus",$B$57:$H$58)</f>
        <v>5000</v>
      </c>
    </row>
    <row r="161" spans="2:9" x14ac:dyDescent="0.3">
      <c r="B161" s="5" t="s">
        <v>52</v>
      </c>
      <c r="C161" s="9">
        <f>DMIN($B$5:$H$15,"Age",$B$61:$H$62)</f>
        <v>0</v>
      </c>
      <c r="D161" s="9">
        <f>DMIN($B$5:$H$15,"Salary",$B$61:$H$62)</f>
        <v>0</v>
      </c>
      <c r="E161" s="9">
        <f>DMIN($B$5:$H$15,"Rating",$B$61:$H$62)</f>
        <v>0</v>
      </c>
      <c r="F161" s="9">
        <f>DMIN($B$5:$H$15,"Bonus",$B$61:$H$62)</f>
        <v>0</v>
      </c>
    </row>
    <row r="162" spans="2:9" x14ac:dyDescent="0.3">
      <c r="B162" s="5" t="s">
        <v>53</v>
      </c>
      <c r="C162" s="9">
        <f>DMIN($B$5:$H$15,"Age",$B$65:$H$66)</f>
        <v>28</v>
      </c>
      <c r="D162" s="9">
        <f>DMIN($B$5:$H$15,"Salary",$B$65:$H$66)</f>
        <v>55000</v>
      </c>
      <c r="E162" s="9">
        <f>DMIN($B$5:$H$15,"Rating",$B$65:$H$66)</f>
        <v>4.2</v>
      </c>
      <c r="F162" s="9">
        <f>DMIN($B$5:$H$15,"Bonus",$B$65:$H$66)</f>
        <v>5000</v>
      </c>
    </row>
    <row r="163" spans="2:9" x14ac:dyDescent="0.3">
      <c r="B163" s="5"/>
      <c r="C163" s="9"/>
      <c r="D163" s="9"/>
      <c r="E163" s="9"/>
      <c r="F163" s="9"/>
    </row>
    <row r="164" spans="2:9" x14ac:dyDescent="0.3">
      <c r="B164" s="5"/>
      <c r="C164" s="9"/>
      <c r="D164" s="9"/>
      <c r="E164" s="9"/>
      <c r="F164" s="9"/>
    </row>
    <row r="165" spans="2:9" x14ac:dyDescent="0.3">
      <c r="B165" s="5" t="s">
        <v>59</v>
      </c>
      <c r="C165" s="9"/>
      <c r="D165" s="9"/>
      <c r="E165" s="9"/>
      <c r="F165" s="9"/>
    </row>
    <row r="166" spans="2:9" x14ac:dyDescent="0.3">
      <c r="B166" s="8" t="s">
        <v>44</v>
      </c>
      <c r="C166" s="8" t="s">
        <v>2</v>
      </c>
      <c r="D166" s="8" t="s">
        <v>3</v>
      </c>
      <c r="E166" s="8" t="s">
        <v>4</v>
      </c>
      <c r="F166" s="8" t="s">
        <v>5</v>
      </c>
      <c r="G166" s="8" t="s">
        <v>6</v>
      </c>
      <c r="H166" s="8" t="s">
        <v>7</v>
      </c>
      <c r="I166" s="8" t="s">
        <v>8</v>
      </c>
    </row>
    <row r="167" spans="2:9" x14ac:dyDescent="0.3">
      <c r="B167" s="5" t="s">
        <v>25</v>
      </c>
      <c r="C167" s="9" t="e">
        <f>DGET($B$5:$H$15,"Name",$B$20:$H$21)</f>
        <v>#NUM!</v>
      </c>
      <c r="D167" s="9" t="e">
        <f>DGET($B$5:$H$15,"Department",$B$20:$H$21)</f>
        <v>#NUM!</v>
      </c>
      <c r="E167" s="9" t="e">
        <f>DGET($B$5:$H$15,"Age",$B$20:$H$21)</f>
        <v>#NUM!</v>
      </c>
      <c r="F167" s="9" t="e">
        <f>DGET($B$5:$H$15,"Salary",$B$20:$H$21)</f>
        <v>#NUM!</v>
      </c>
      <c r="G167" s="9" t="e">
        <f>DGET($B$5:$H$15,"Rating",$B$20:$H$21)</f>
        <v>#NUM!</v>
      </c>
      <c r="H167" s="9" t="e">
        <f>DGET($B$5:$H$15,"Active",$B$20:$H$21)</f>
        <v>#NUM!</v>
      </c>
      <c r="I167" s="9" t="e">
        <f>DGET($B$5:$H$15,"Bonus",$B$20:$H$21)</f>
        <v>#NUM!</v>
      </c>
    </row>
    <row r="168" spans="2:9" x14ac:dyDescent="0.3">
      <c r="B168" s="5" t="s">
        <v>45</v>
      </c>
      <c r="C168" s="9" t="e">
        <f>DGET($B$5:$H$15,"Name",$B$24:$H$25)</f>
        <v>#NUM!</v>
      </c>
      <c r="D168" s="9" t="e">
        <f>DGET($B$5:$H$15,"Department",$B$24:$H$25)</f>
        <v>#NUM!</v>
      </c>
      <c r="E168" s="9" t="e">
        <f>DGET($B$5:$H$15,"Age",$B$24:$H$25)</f>
        <v>#NUM!</v>
      </c>
      <c r="F168" s="9" t="e">
        <f>DGET($B$5:$H$15,"Salary",$B$24:$H$25)</f>
        <v>#NUM!</v>
      </c>
      <c r="G168" s="9" t="e">
        <f>DGET($B$5:$H$15,"Rating",$B$24:$H$25)</f>
        <v>#NUM!</v>
      </c>
      <c r="H168" s="9" t="e">
        <f>DGET($B$5:$H$15,"Active",$B$24:$H$25)</f>
        <v>#NUM!</v>
      </c>
      <c r="I168" s="9" t="e">
        <f>DGET($B$5:$H$15,"Bonus",$B$24:$H$25)</f>
        <v>#NUM!</v>
      </c>
    </row>
    <row r="169" spans="2:9" x14ac:dyDescent="0.3">
      <c r="B169" s="5" t="s">
        <v>46</v>
      </c>
      <c r="C169" s="9" t="e">
        <f>DGET($B$5:$H$15,"Name",$B$28:$H$29)</f>
        <v>#NUM!</v>
      </c>
      <c r="D169" s="9" t="e">
        <f>DGET($B$5:$H$15,"Department",$B$28:$H$29)</f>
        <v>#NUM!</v>
      </c>
      <c r="E169" s="9" t="e">
        <f>DGET($B$5:$H$15,"Age",$B$28:$H$29)</f>
        <v>#NUM!</v>
      </c>
      <c r="F169" s="9" t="e">
        <f>DGET($B$5:$H$15,"Salary",$B$28:$H$29)</f>
        <v>#NUM!</v>
      </c>
      <c r="G169" s="9" t="e">
        <f>DGET($B$5:$H$15,"Rating",$B$28:$H$29)</f>
        <v>#NUM!</v>
      </c>
      <c r="H169" s="9" t="e">
        <f>DGET($B$5:$H$15,"Active",$B$28:$H$29)</f>
        <v>#NUM!</v>
      </c>
      <c r="I169" s="9" t="e">
        <f>DGET($B$5:$H$15,"Bonus",$B$28:$H$29)</f>
        <v>#NUM!</v>
      </c>
    </row>
    <row r="170" spans="2:9" x14ac:dyDescent="0.3">
      <c r="B170" s="5" t="s">
        <v>47</v>
      </c>
      <c r="C170" s="9" t="e">
        <f>DGET($B$5:$H$15,"Name",$B$32:$H$33)</f>
        <v>#NUM!</v>
      </c>
      <c r="D170" s="9" t="e">
        <f>DGET($B$5:$H$15,"Department",$B$32:$H$33)</f>
        <v>#NUM!</v>
      </c>
      <c r="E170" s="9" t="e">
        <f>DGET($B$5:$H$15,"Age",$B$32:$H$33)</f>
        <v>#NUM!</v>
      </c>
      <c r="F170" s="9" t="e">
        <f>DGET($B$5:$H$15,"Salary",$B$32:$H$33)</f>
        <v>#NUM!</v>
      </c>
      <c r="G170" s="9" t="e">
        <f>DGET($B$5:$H$15,"Rating",$B$32:$H$33)</f>
        <v>#NUM!</v>
      </c>
      <c r="H170" s="9" t="e">
        <f>DGET($B$5:$H$15,"Active",$B$32:$H$33)</f>
        <v>#NUM!</v>
      </c>
      <c r="I170" s="9" t="e">
        <f>DGET($B$5:$H$15,"Bonus",$B$32:$H$33)</f>
        <v>#NUM!</v>
      </c>
    </row>
    <row r="171" spans="2:9" x14ac:dyDescent="0.3">
      <c r="B171" s="5" t="s">
        <v>31</v>
      </c>
      <c r="C171" s="9" t="e">
        <f>DGET($B$5:$H$15,"Name",$B$36:$H$37)</f>
        <v>#NUM!</v>
      </c>
      <c r="D171" s="9" t="e">
        <f>DGET($B$5:$H$15,"Department",$B$36:$H$37)</f>
        <v>#NUM!</v>
      </c>
      <c r="E171" s="9" t="e">
        <f>DGET($B$5:$H$15,"Age",$B$36:$H$37)</f>
        <v>#NUM!</v>
      </c>
      <c r="F171" s="9" t="e">
        <f>DGET($B$5:$H$15,"Salary",$B$36:$H$37)</f>
        <v>#NUM!</v>
      </c>
      <c r="G171" s="9" t="e">
        <f>DGET($B$5:$H$15,"Rating",$B$36:$H$37)</f>
        <v>#NUM!</v>
      </c>
      <c r="H171" s="9" t="e">
        <f>DGET($B$5:$H$15,"Active",$B$36:$H$37)</f>
        <v>#NUM!</v>
      </c>
      <c r="I171" s="9" t="e">
        <f>DGET($B$5:$H$15,"Bonus",$B$36:$H$37)</f>
        <v>#NUM!</v>
      </c>
    </row>
    <row r="172" spans="2:9" x14ac:dyDescent="0.3">
      <c r="B172" s="5" t="s">
        <v>32</v>
      </c>
      <c r="C172" s="9" t="e">
        <f>DGET($B$5:$H$15,"Name",$B$40:$H$42)</f>
        <v>#NUM!</v>
      </c>
      <c r="D172" s="9" t="e">
        <f>DGET($B$5:$H$15,"Department",$B$40:$H$42)</f>
        <v>#NUM!</v>
      </c>
      <c r="E172" s="9" t="e">
        <f>DGET($B$5:$H$15,"Age",$B$40:$H$42)</f>
        <v>#NUM!</v>
      </c>
      <c r="F172" s="9" t="e">
        <f>DGET($B$5:$H$15,"Salary",$B$40:$H$42)</f>
        <v>#NUM!</v>
      </c>
      <c r="G172" s="9" t="e">
        <f>DGET($B$5:$H$15,"Rating",$B$40:$H$42)</f>
        <v>#NUM!</v>
      </c>
      <c r="H172" s="9" t="e">
        <f>DGET($B$5:$H$15,"Active",$B$40:$H$42)</f>
        <v>#NUM!</v>
      </c>
      <c r="I172" s="9" t="e">
        <f>DGET($B$5:$H$15,"Bonus",$B$40:$H$42)</f>
        <v>#NUM!</v>
      </c>
    </row>
    <row r="173" spans="2:9" x14ac:dyDescent="0.3">
      <c r="B173" s="5" t="s">
        <v>48</v>
      </c>
      <c r="C173" s="9" t="e">
        <f>DGET($B$5:$H$15,"Name",$B$45:$H$46)</f>
        <v>#NUM!</v>
      </c>
      <c r="D173" s="9" t="e">
        <f>DGET($B$5:$H$15,"Department",$B$45:$H$46)</f>
        <v>#NUM!</v>
      </c>
      <c r="E173" s="9" t="e">
        <f>DGET($B$5:$H$15,"Age",$B$45:$H$46)</f>
        <v>#NUM!</v>
      </c>
      <c r="F173" s="9" t="e">
        <f>DGET($B$5:$H$15,"Salary",$B$45:$H$46)</f>
        <v>#NUM!</v>
      </c>
      <c r="G173" s="9" t="e">
        <f>DGET($B$5:$H$15,"Rating",$B$45:$H$46)</f>
        <v>#NUM!</v>
      </c>
      <c r="H173" s="9" t="e">
        <f>DGET($B$5:$H$15,"Active",$B$45:$H$46)</f>
        <v>#NUM!</v>
      </c>
      <c r="I173" s="9" t="e">
        <f>DGET($B$5:$H$15,"Bonus",$B$45:$H$46)</f>
        <v>#NUM!</v>
      </c>
    </row>
    <row r="174" spans="2:9" x14ac:dyDescent="0.3">
      <c r="B174" s="5" t="s">
        <v>49</v>
      </c>
      <c r="C174" s="9" t="e">
        <f>DGET($B$5:$H$15,"Name",$B$49:$H$50)</f>
        <v>#NUM!</v>
      </c>
      <c r="D174" s="9" t="e">
        <f>DGET($B$5:$H$15,"Department",$B$49:$H$50)</f>
        <v>#NUM!</v>
      </c>
      <c r="E174" s="9" t="e">
        <f>DGET($B$5:$H$15,"Age",$B$49:$H$50)</f>
        <v>#NUM!</v>
      </c>
      <c r="F174" s="9" t="e">
        <f>DGET($B$5:$H$15,"Salary",$B$49:$H$50)</f>
        <v>#NUM!</v>
      </c>
      <c r="G174" s="9" t="e">
        <f>DGET($B$5:$H$15,"Rating",$B$49:$H$50)</f>
        <v>#NUM!</v>
      </c>
      <c r="H174" s="9" t="e">
        <f>DGET($B$5:$H$15,"Active",$B$49:$H$50)</f>
        <v>#NUM!</v>
      </c>
      <c r="I174" s="9" t="e">
        <f>DGET($B$5:$H$15,"Bonus",$B$49:$H$50)</f>
        <v>#NUM!</v>
      </c>
    </row>
    <row r="175" spans="2:9" x14ac:dyDescent="0.3">
      <c r="B175" s="5" t="s">
        <v>50</v>
      </c>
      <c r="C175" s="9" t="e">
        <f>DGET($B$5:$H$15,"Name",$B$53:$H$54)</f>
        <v>#NUM!</v>
      </c>
      <c r="D175" s="9" t="e">
        <f>DGET($B$5:$H$15,"Department",$B$53:$H$54)</f>
        <v>#NUM!</v>
      </c>
      <c r="E175" s="9" t="e">
        <f>DGET($B$5:$H$15,"Age",$B$53:$H$54)</f>
        <v>#NUM!</v>
      </c>
      <c r="F175" s="9" t="e">
        <f>DGET($B$5:$H$15,"Salary",$B$53:$H$54)</f>
        <v>#NUM!</v>
      </c>
      <c r="G175" s="9" t="e">
        <f>DGET($B$5:$H$15,"Rating",$B$53:$H$54)</f>
        <v>#NUM!</v>
      </c>
      <c r="H175" s="9" t="e">
        <f>DGET($B$5:$H$15,"Active",$B$53:$H$54)</f>
        <v>#NUM!</v>
      </c>
      <c r="I175" s="9" t="e">
        <f>DGET($B$5:$H$15,"Bonus",$B$53:$H$54)</f>
        <v>#NUM!</v>
      </c>
    </row>
    <row r="176" spans="2:9" x14ac:dyDescent="0.3">
      <c r="B176" s="5" t="s">
        <v>51</v>
      </c>
      <c r="C176" s="9" t="str">
        <f>DGET($B$5:$H$15,"Name",$B$57:$H$58)</f>
        <v>Alice</v>
      </c>
      <c r="D176" s="9" t="str">
        <f>DGET($B$5:$H$15,"Department",$B$57:$H$58)</f>
        <v>Sales</v>
      </c>
      <c r="E176" s="9">
        <f>DGET($B$5:$H$15,"Age",$B$57:$H$58)</f>
        <v>28</v>
      </c>
      <c r="F176" s="9">
        <f>DGET($B$5:$H$15,"Salary",$B$57:$H$58)</f>
        <v>55000</v>
      </c>
      <c r="G176" s="9">
        <f>DGET($B$5:$H$15,"Rating",$B$57:$H$58)</f>
        <v>4.2</v>
      </c>
      <c r="H176" s="9" t="str">
        <f>DGET($B$5:$H$15,"Active",$B$57:$H$58)</f>
        <v>Yes</v>
      </c>
      <c r="I176" s="9">
        <f>DGET($B$5:$H$15,"Bonus",$B$57:$H$58)</f>
        <v>5000</v>
      </c>
    </row>
    <row r="177" spans="2:9" x14ac:dyDescent="0.3">
      <c r="B177" s="5" t="s">
        <v>52</v>
      </c>
      <c r="C177" s="9" t="e">
        <f>DGET($B$5:$H$15,"Name",$B$61:$H$62)</f>
        <v>#VALUE!</v>
      </c>
      <c r="D177" s="9" t="e">
        <f>DGET($B$5:$H$15,"Department",$B$61:$H$62)</f>
        <v>#VALUE!</v>
      </c>
      <c r="E177" s="9" t="e">
        <f>DGET($B$5:$H$15,"Age",$B$61:$H$62)</f>
        <v>#VALUE!</v>
      </c>
      <c r="F177" s="9" t="e">
        <f>DGET($B$5:$H$15,"Salary",$B$61:$H$62)</f>
        <v>#VALUE!</v>
      </c>
      <c r="G177" s="9" t="e">
        <f>DGET($B$5:$H$15,"Rating",$B$61:$H$62)</f>
        <v>#VALUE!</v>
      </c>
      <c r="H177" s="9" t="e">
        <f>DGET($B$5:$H$15,"Active",$B$61:$H$62)</f>
        <v>#VALUE!</v>
      </c>
      <c r="I177" s="9" t="e">
        <f>DGET($B$5:$H$15,"Bonus",$B$61:$H$62)</f>
        <v>#VALUE!</v>
      </c>
    </row>
    <row r="178" spans="2:9" x14ac:dyDescent="0.3">
      <c r="B178" s="5" t="s">
        <v>53</v>
      </c>
      <c r="C178" s="9" t="str">
        <f>DGET($B$5:$H$15,"Name",$B$65:$H$66)</f>
        <v>Alice</v>
      </c>
      <c r="D178" s="9" t="str">
        <f>DGET($B$5:$H$15,"Department",$B$65:$H$66)</f>
        <v>Sales</v>
      </c>
      <c r="E178" s="9">
        <f>DGET($B$5:$H$15,"Age",$B$65:$H$66)</f>
        <v>28</v>
      </c>
      <c r="F178" s="9">
        <f>DGET($B$5:$H$15,"Salary",$B$65:$H$66)</f>
        <v>55000</v>
      </c>
      <c r="G178" s="9">
        <f>DGET($B$5:$H$15,"Rating",$B$65:$H$66)</f>
        <v>4.2</v>
      </c>
      <c r="H178" s="9" t="str">
        <f>DGET($B$5:$H$15,"Active",$B$65:$H$66)</f>
        <v>Yes</v>
      </c>
      <c r="I178" s="9">
        <f>DGET($B$5:$H$15,"Bonus",$B$65:$H$66)</f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2026-02-10T01:41:06Z</dcterms:created>
  <dcterms:modified xsi:type="dcterms:W3CDTF">2026-09-10T21:17:39Z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a7b1143d-eae7-4ebe-bf34-8ea778b685d0</vt:lpwstr>
  </property>
</Properties>
</file>