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rl\projects\calipers\verification\cases\tier_a_formulas_information\"/>
    </mc:Choice>
  </mc:AlternateContent>
  <xr:revisionPtr revIDLastSave="0" documentId="8_{7DDFC174-CF24-4552-9F74-4A85268A5500}" xr6:coauthVersionLast="47" xr6:coauthVersionMax="47" xr10:uidLastSave="{00000000-0000-0000-0000-000000000000}"/>
  <bookViews>
    <workbookView xWindow="-110" yWindow="-110" windowWidth="19420" windowHeight="11500" xr2:uid="{CE99472F-67E3-574B-A632-EE6DAD76FAE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40" i="1" l="1"/>
  <c r="C140" i="1" a="1"/>
  <c r="D140" i="1" a="1"/>
  <c r="E140" i="1" a="1"/>
  <c r="F140" i="1" a="1"/>
  <c r="G140" i="1" a="1"/>
  <c r="I140" i="1" a="1"/>
  <c r="J140" i="1" a="1"/>
  <c r="K140" i="1" a="1"/>
  <c r="L140" i="1" a="1"/>
  <c r="M140" i="1" a="1"/>
  <c r="N140" i="1" a="1"/>
  <c r="B141" i="1"/>
  <c r="C141" i="1" a="1"/>
  <c r="D141" i="1" a="1"/>
  <c r="E141" i="1" a="1"/>
  <c r="F141" i="1" a="1"/>
  <c r="G141" i="1" a="1"/>
  <c r="I141" i="1" a="1"/>
  <c r="J141" i="1" a="1"/>
  <c r="K141" i="1" a="1"/>
  <c r="L141" i="1" a="1"/>
  <c r="M141" i="1" a="1"/>
  <c r="N141" i="1" a="1"/>
  <c r="B142" i="1"/>
  <c r="C142" i="1" a="1"/>
  <c r="D142" i="1" a="1"/>
  <c r="E142" i="1" a="1"/>
  <c r="F142" i="1" a="1"/>
  <c r="G142" i="1" a="1"/>
  <c r="I142" i="1" a="1"/>
  <c r="J142" i="1" a="1"/>
  <c r="K142" i="1" a="1"/>
  <c r="L142" i="1" a="1"/>
  <c r="M142" i="1" a="1"/>
  <c r="N142" i="1" a="1"/>
  <c r="B143" i="1"/>
  <c r="C143" i="1" a="1"/>
  <c r="D143" i="1" a="1"/>
  <c r="E143" i="1" a="1"/>
  <c r="F143" i="1" a="1"/>
  <c r="G143" i="1" a="1"/>
  <c r="I143" i="1" a="1"/>
  <c r="J143" i="1" a="1"/>
  <c r="K143" i="1" a="1"/>
  <c r="L143" i="1" a="1"/>
  <c r="M143" i="1" a="1"/>
  <c r="N143" i="1" a="1"/>
  <c r="B144" i="1"/>
  <c r="C144" i="1" a="1"/>
  <c r="D144" i="1" a="1"/>
  <c r="E144" i="1" a="1"/>
  <c r="F144" i="1" a="1"/>
  <c r="G144" i="1" a="1"/>
  <c r="I144" i="1" a="1"/>
  <c r="J144" i="1" a="1"/>
  <c r="K144" i="1" a="1"/>
  <c r="L144" i="1" a="1"/>
  <c r="M144" i="1" a="1"/>
  <c r="N144" i="1" a="1"/>
  <c r="B145" i="1"/>
  <c r="C145" i="1" a="1"/>
  <c r="D145" i="1" a="1"/>
  <c r="E145" i="1" a="1"/>
  <c r="F145" i="1" a="1"/>
  <c r="G145" i="1" a="1"/>
  <c r="I145" i="1" a="1"/>
  <c r="J145" i="1" a="1"/>
  <c r="K145" i="1" a="1"/>
  <c r="L145" i="1" a="1"/>
  <c r="M145" i="1" a="1"/>
  <c r="N145" i="1" a="1"/>
  <c r="B146" i="1"/>
  <c r="C146" i="1" a="1"/>
  <c r="D146" i="1" a="1"/>
  <c r="E146" i="1" a="1"/>
  <c r="F146" i="1" a="1"/>
  <c r="G146" i="1" a="1"/>
  <c r="I146" i="1" a="1"/>
  <c r="J146" i="1" a="1"/>
  <c r="K146" i="1" a="1"/>
  <c r="L146" i="1" a="1"/>
  <c r="M146" i="1" a="1"/>
  <c r="N146" i="1" a="1"/>
  <c r="B147" i="1"/>
  <c r="C147" i="1" a="1"/>
  <c r="D147" i="1" a="1"/>
  <c r="E147" i="1" a="1"/>
  <c r="F147" i="1" a="1"/>
  <c r="G147" i="1" a="1"/>
  <c r="I147" i="1" a="1"/>
  <c r="J147" i="1" a="1"/>
  <c r="K147" i="1" a="1"/>
  <c r="L147" i="1" a="1"/>
  <c r="M147" i="1" a="1"/>
  <c r="N147" i="1" a="1"/>
  <c r="B148" i="1"/>
  <c r="C148" i="1" a="1"/>
  <c r="D148" i="1" a="1"/>
  <c r="E148" i="1" a="1"/>
  <c r="F148" i="1" a="1"/>
  <c r="G148" i="1" a="1"/>
  <c r="I148" i="1" a="1"/>
  <c r="J148" i="1" a="1"/>
  <c r="K148" i="1" a="1"/>
  <c r="L148" i="1" a="1"/>
  <c r="M148" i="1" a="1"/>
  <c r="N148" i="1" a="1"/>
  <c r="B149" i="1"/>
  <c r="C149" i="1" a="1"/>
  <c r="D149" i="1" a="1"/>
  <c r="E149" i="1" a="1"/>
  <c r="F149" i="1" a="1"/>
  <c r="G149" i="1" a="1"/>
  <c r="I149" i="1" a="1"/>
  <c r="J149" i="1" a="1"/>
  <c r="K149" i="1" a="1"/>
  <c r="L149" i="1" a="1"/>
  <c r="M149" i="1" a="1"/>
  <c r="N149" i="1" a="1"/>
  <c r="B150" i="1"/>
  <c r="C150" i="1" a="1"/>
  <c r="D150" i="1" a="1"/>
  <c r="E150" i="1" a="1"/>
  <c r="G150" i="1" a="1"/>
  <c r="I150" i="1" a="1"/>
  <c r="J150" i="1" a="1"/>
  <c r="K150" i="1" a="1"/>
  <c r="L150" i="1" a="1"/>
  <c r="N150" i="1" a="1"/>
  <c r="B151" i="1"/>
  <c r="C151" i="1" a="1"/>
  <c r="D151" i="1" a="1"/>
  <c r="E151" i="1" a="1"/>
  <c r="G151" i="1" a="1"/>
  <c r="I151" i="1" a="1"/>
  <c r="J151" i="1" a="1"/>
  <c r="K151" i="1" a="1"/>
  <c r="L151" i="1" a="1"/>
  <c r="N151" i="1" a="1"/>
  <c r="B152" i="1"/>
  <c r="C152" i="1" a="1"/>
  <c r="D152" i="1" a="1"/>
  <c r="E152" i="1" a="1"/>
  <c r="G152" i="1" a="1"/>
  <c r="I152" i="1" a="1"/>
  <c r="J152" i="1" a="1"/>
  <c r="K152" i="1" a="1"/>
  <c r="L152" i="1" a="1"/>
  <c r="N152" i="1" a="1"/>
  <c r="B153" i="1"/>
  <c r="C153" i="1" a="1"/>
  <c r="D153" i="1" a="1"/>
  <c r="E153" i="1" a="1"/>
  <c r="F153" i="1" a="1"/>
  <c r="G153" i="1" a="1"/>
  <c r="I153" i="1" a="1"/>
  <c r="J153" i="1" a="1"/>
  <c r="K153" i="1" a="1"/>
  <c r="L153" i="1" a="1"/>
  <c r="M153" i="1" a="1"/>
  <c r="N153" i="1" a="1"/>
  <c r="B154" i="1"/>
  <c r="C154" i="1" a="1"/>
  <c r="D154" i="1" a="1"/>
  <c r="E154" i="1" a="1"/>
  <c r="F154" i="1" a="1"/>
  <c r="G154" i="1" a="1"/>
  <c r="I154" i="1" a="1"/>
  <c r="J154" i="1" a="1"/>
  <c r="K154" i="1" a="1"/>
  <c r="L154" i="1" a="1"/>
  <c r="M154" i="1" a="1"/>
  <c r="N154" i="1" a="1"/>
  <c r="B155" i="1"/>
  <c r="C155" i="1" a="1"/>
  <c r="D155" i="1" a="1"/>
  <c r="E155" i="1" a="1"/>
  <c r="F155" i="1" a="1"/>
  <c r="G155" i="1" a="1"/>
  <c r="I155" i="1" a="1"/>
  <c r="J155" i="1" a="1"/>
  <c r="K155" i="1" a="1"/>
  <c r="L155" i="1" a="1"/>
  <c r="M155" i="1" a="1"/>
  <c r="N155" i="1" a="1"/>
  <c r="B156" i="1"/>
  <c r="C156" i="1" a="1"/>
  <c r="D156" i="1" a="1"/>
  <c r="E156" i="1" a="1"/>
  <c r="G156" i="1" a="1"/>
  <c r="I156" i="1" a="1"/>
  <c r="J156" i="1" a="1"/>
  <c r="K156" i="1" a="1"/>
  <c r="L156" i="1" a="1"/>
  <c r="N156" i="1" a="1"/>
  <c r="B157" i="1"/>
  <c r="C157" i="1" a="1"/>
  <c r="D157" i="1" a="1"/>
  <c r="E157" i="1" a="1"/>
  <c r="G157" i="1" a="1"/>
  <c r="I157" i="1" a="1"/>
  <c r="J157" i="1" a="1"/>
  <c r="K157" i="1" a="1"/>
  <c r="L157" i="1" a="1"/>
  <c r="N157" i="1" a="1"/>
  <c r="B158" i="1"/>
  <c r="C158" i="1" a="1"/>
  <c r="D158" i="1" a="1"/>
  <c r="E158" i="1" a="1"/>
  <c r="F158" i="1" a="1"/>
  <c r="G158" i="1" a="1"/>
  <c r="I158" i="1" a="1"/>
  <c r="J158" i="1" a="1"/>
  <c r="K158" i="1" a="1"/>
  <c r="L158" i="1" a="1"/>
  <c r="M158" i="1" a="1"/>
  <c r="N158" i="1" a="1"/>
  <c r="B159" i="1"/>
  <c r="C159" i="1" a="1"/>
  <c r="D159" i="1" a="1"/>
  <c r="E159" i="1" a="1"/>
  <c r="F159" i="1" a="1"/>
  <c r="G159" i="1" a="1"/>
  <c r="I159" i="1" a="1"/>
  <c r="J159" i="1" a="1"/>
  <c r="K159" i="1" a="1"/>
  <c r="L159" i="1" a="1"/>
  <c r="M159" i="1" a="1"/>
  <c r="N159" i="1" a="1"/>
  <c r="B160" i="1"/>
  <c r="C160" i="1" a="1"/>
  <c r="D160" i="1" a="1"/>
  <c r="E160" i="1" a="1"/>
  <c r="F160" i="1" a="1"/>
  <c r="G160" i="1" a="1"/>
  <c r="I160" i="1" a="1"/>
  <c r="J160" i="1" a="1"/>
  <c r="K160" i="1" a="1"/>
  <c r="L160" i="1" a="1"/>
  <c r="M160" i="1" a="1"/>
  <c r="N160" i="1" a="1"/>
  <c r="B115" i="1"/>
  <c r="C115" i="1"/>
  <c r="D115" i="1" a="1"/>
  <c r="B116" i="1"/>
  <c r="C116" i="1"/>
  <c r="D116" i="1" a="1"/>
  <c r="B117" i="1"/>
  <c r="C117" i="1"/>
  <c r="D117" i="1" a="1"/>
  <c r="B118" i="1"/>
  <c r="C118" i="1"/>
  <c r="D118" i="1" a="1"/>
  <c r="B119" i="1"/>
  <c r="C119" i="1"/>
  <c r="D119" i="1" a="1"/>
  <c r="B120" i="1"/>
  <c r="C120" i="1"/>
  <c r="D120" i="1" a="1"/>
  <c r="B121" i="1"/>
  <c r="C121" i="1"/>
  <c r="D121" i="1" a="1"/>
  <c r="B122" i="1"/>
  <c r="B123" i="1"/>
  <c r="C123" i="1"/>
  <c r="D123" i="1" a="1"/>
  <c r="B124" i="1"/>
  <c r="C124" i="1"/>
  <c r="D124" i="1" a="1"/>
  <c r="B125" i="1"/>
  <c r="C125" i="1"/>
  <c r="D125" i="1" a="1"/>
  <c r="B126" i="1"/>
  <c r="C126" i="1"/>
  <c r="D126" i="1" a="1"/>
  <c r="B127" i="1"/>
  <c r="B128" i="1"/>
  <c r="C128" i="1"/>
  <c r="D128" i="1" a="1"/>
  <c r="B129" i="1"/>
  <c r="C129" i="1"/>
  <c r="D129" i="1" a="1"/>
  <c r="B130" i="1"/>
  <c r="C130" i="1"/>
  <c r="D130" i="1" a="1"/>
  <c r="B131" i="1"/>
  <c r="B132" i="1"/>
  <c r="B133" i="1"/>
  <c r="C133" i="1"/>
  <c r="D133" i="1" a="1"/>
  <c r="B134" i="1"/>
  <c r="C134" i="1"/>
  <c r="D134" i="1" a="1"/>
  <c r="B135" i="1"/>
  <c r="C135" i="1"/>
  <c r="D135" i="1" a="1"/>
  <c r="C110" i="1"/>
  <c r="C109" i="1"/>
  <c r="C108" i="1"/>
  <c r="C107" i="1"/>
  <c r="C106" i="1"/>
  <c r="C105" i="1"/>
  <c r="B80" i="1"/>
  <c r="C80" i="1"/>
  <c r="B81" i="1"/>
  <c r="C81" i="1"/>
  <c r="B82" i="1"/>
  <c r="C82" i="1"/>
  <c r="B83" i="1"/>
  <c r="C83" i="1"/>
  <c r="B84" i="1"/>
  <c r="C84" i="1"/>
  <c r="B85" i="1"/>
  <c r="C85" i="1"/>
  <c r="B86" i="1"/>
  <c r="C86" i="1"/>
  <c r="B87" i="1"/>
  <c r="B88" i="1"/>
  <c r="C88" i="1"/>
  <c r="B89" i="1"/>
  <c r="C89" i="1"/>
  <c r="B90" i="1"/>
  <c r="B91" i="1"/>
  <c r="B92" i="1"/>
  <c r="B93" i="1"/>
  <c r="B94" i="1"/>
  <c r="B95" i="1"/>
  <c r="B96" i="1"/>
  <c r="B97" i="1"/>
  <c r="B98" i="1"/>
  <c r="C98" i="1"/>
  <c r="B99" i="1"/>
  <c r="C99" i="1"/>
  <c r="B100" i="1"/>
  <c r="C100" i="1"/>
  <c r="B55" i="1"/>
  <c r="C55" i="1"/>
  <c r="D55" i="1" a="1"/>
  <c r="B56" i="1"/>
  <c r="C56" i="1"/>
  <c r="D56" i="1" a="1"/>
  <c r="B57" i="1"/>
  <c r="C57" i="1"/>
  <c r="D57" i="1" a="1"/>
  <c r="B58" i="1"/>
  <c r="C58" i="1"/>
  <c r="D58" i="1" a="1"/>
  <c r="B59" i="1"/>
  <c r="C59" i="1"/>
  <c r="D59" i="1" a="1"/>
  <c r="B60" i="1"/>
  <c r="C60" i="1"/>
  <c r="D60" i="1" a="1"/>
  <c r="B61" i="1"/>
  <c r="C61" i="1"/>
  <c r="D61" i="1" a="1"/>
  <c r="B62" i="1"/>
  <c r="B63" i="1"/>
  <c r="C63" i="1"/>
  <c r="D63" i="1" a="1"/>
  <c r="B64" i="1"/>
  <c r="C64" i="1"/>
  <c r="D64" i="1" a="1"/>
  <c r="B65" i="1"/>
  <c r="B66" i="1"/>
  <c r="B67" i="1"/>
  <c r="B68" i="1"/>
  <c r="B69" i="1"/>
  <c r="B70" i="1"/>
  <c r="B71" i="1"/>
  <c r="B72" i="1"/>
  <c r="B73" i="1"/>
  <c r="C73" i="1"/>
  <c r="D73" i="1" a="1"/>
  <c r="B74" i="1"/>
  <c r="C74" i="1"/>
  <c r="D74" i="1" a="1"/>
  <c r="B75" i="1"/>
  <c r="C75" i="1"/>
  <c r="D75" i="1" a="1"/>
  <c r="B30" i="1"/>
  <c r="C30" i="1"/>
  <c r="D30" i="1"/>
  <c r="E30" i="1"/>
  <c r="F30" i="1"/>
  <c r="G30" i="1"/>
  <c r="H30" i="1"/>
  <c r="I30" i="1"/>
  <c r="J30" i="1"/>
  <c r="B31" i="1"/>
  <c r="C31" i="1"/>
  <c r="D31" i="1"/>
  <c r="E31" i="1"/>
  <c r="F31" i="1"/>
  <c r="G31" i="1"/>
  <c r="H31" i="1"/>
  <c r="I31" i="1"/>
  <c r="J31" i="1"/>
  <c r="B32" i="1"/>
  <c r="C32" i="1"/>
  <c r="D32" i="1"/>
  <c r="E32" i="1"/>
  <c r="F32" i="1"/>
  <c r="G32" i="1"/>
  <c r="H32" i="1"/>
  <c r="I32" i="1"/>
  <c r="J32" i="1"/>
  <c r="B33" i="1"/>
  <c r="C33" i="1"/>
  <c r="D33" i="1"/>
  <c r="E33" i="1"/>
  <c r="F33" i="1"/>
  <c r="G33" i="1"/>
  <c r="H33" i="1"/>
  <c r="I33" i="1"/>
  <c r="J33" i="1"/>
  <c r="B34" i="1"/>
  <c r="C34" i="1"/>
  <c r="D34" i="1"/>
  <c r="E34" i="1"/>
  <c r="F34" i="1"/>
  <c r="G34" i="1"/>
  <c r="H34" i="1"/>
  <c r="I34" i="1"/>
  <c r="J34" i="1"/>
  <c r="B35" i="1"/>
  <c r="C35" i="1"/>
  <c r="D35" i="1"/>
  <c r="E35" i="1"/>
  <c r="F35" i="1"/>
  <c r="G35" i="1"/>
  <c r="H35" i="1"/>
  <c r="I35" i="1"/>
  <c r="J35" i="1"/>
  <c r="B36" i="1"/>
  <c r="C36" i="1"/>
  <c r="D36" i="1"/>
  <c r="E36" i="1"/>
  <c r="F36" i="1"/>
  <c r="G36" i="1"/>
  <c r="H36" i="1"/>
  <c r="I36" i="1"/>
  <c r="J36" i="1"/>
  <c r="B37" i="1"/>
  <c r="J37" i="1"/>
  <c r="B38" i="1"/>
  <c r="C38" i="1"/>
  <c r="D38" i="1"/>
  <c r="E38" i="1"/>
  <c r="F38" i="1"/>
  <c r="G38" i="1"/>
  <c r="H38" i="1"/>
  <c r="I38" i="1"/>
  <c r="J38" i="1"/>
  <c r="B39" i="1"/>
  <c r="C39" i="1"/>
  <c r="D39" i="1"/>
  <c r="E39" i="1"/>
  <c r="F39" i="1"/>
  <c r="G39" i="1"/>
  <c r="H39" i="1"/>
  <c r="I39" i="1"/>
  <c r="J39" i="1"/>
  <c r="B40" i="1"/>
  <c r="J40" i="1"/>
  <c r="B41" i="1"/>
  <c r="J41" i="1"/>
  <c r="B42" i="1"/>
  <c r="J42" i="1"/>
  <c r="B43" i="1"/>
  <c r="J43" i="1"/>
  <c r="B44" i="1"/>
  <c r="J44" i="1"/>
  <c r="B45" i="1"/>
  <c r="J45" i="1"/>
  <c r="B46" i="1"/>
  <c r="J46" i="1"/>
  <c r="B47" i="1"/>
  <c r="J47" i="1"/>
  <c r="B48" i="1"/>
  <c r="C48" i="1"/>
  <c r="D48" i="1"/>
  <c r="E48" i="1"/>
  <c r="F48" i="1"/>
  <c r="G48" i="1"/>
  <c r="H48" i="1"/>
  <c r="I48" i="1"/>
  <c r="J48" i="1"/>
  <c r="B49" i="1"/>
  <c r="C49" i="1"/>
  <c r="D49" i="1"/>
  <c r="E49" i="1"/>
  <c r="F49" i="1"/>
  <c r="G49" i="1"/>
  <c r="H49" i="1"/>
  <c r="I49" i="1"/>
  <c r="J49" i="1"/>
  <c r="B50" i="1"/>
  <c r="C50" i="1"/>
  <c r="D50" i="1"/>
  <c r="E50" i="1"/>
  <c r="F50" i="1"/>
  <c r="G50" i="1"/>
  <c r="H50" i="1"/>
  <c r="I50" i="1"/>
  <c r="J50" i="1"/>
  <c r="C21" i="1"/>
  <c r="C20" i="1"/>
  <c r="C19" i="1"/>
  <c r="C18" i="1"/>
  <c r="C17" i="1"/>
  <c r="C16" i="1"/>
  <c r="C15" i="1"/>
  <c r="C12" i="1"/>
  <c r="H141" i="1" a="1"/>
  <c r="H153" i="1" a="1"/>
  <c r="H155" i="1" a="1"/>
  <c r="H142" i="1" a="1"/>
  <c r="H154" i="1" a="1"/>
  <c r="H156" i="1" a="1"/>
  <c r="H143" i="1" a="1"/>
  <c r="H144" i="1" a="1"/>
  <c r="H145" i="1" a="1"/>
  <c r="H157" i="1" a="1"/>
  <c r="H146" i="1" a="1"/>
  <c r="H158" i="1" a="1"/>
  <c r="H159" i="1" a="1"/>
  <c r="H160" i="1" a="1"/>
  <c r="H151" i="1" a="1"/>
  <c r="H147" i="1" a="1"/>
  <c r="H148" i="1" a="1"/>
  <c r="H150" i="1" a="1"/>
  <c r="H149" i="1" a="1"/>
  <c r="H140" i="1" a="1"/>
  <c r="H152" i="1" a="1"/>
  <c r="C22" i="1" a="1"/>
  <c r="H46" i="1" l="1"/>
  <c r="M156" i="1" a="1"/>
  <c r="C131" i="1"/>
  <c r="D131" i="1" a="1"/>
  <c r="D71" i="1" a="1"/>
  <c r="F46" i="1"/>
  <c r="C71" i="1"/>
  <c r="C96" i="1"/>
  <c r="C46" i="1"/>
  <c r="D46" i="1"/>
  <c r="E46" i="1"/>
  <c r="G46" i="1"/>
  <c r="I46" i="1"/>
  <c r="F156" i="1" a="1"/>
  <c r="C45" i="1"/>
  <c r="H45" i="1"/>
  <c r="E45" i="1"/>
  <c r="C70" i="1"/>
  <c r="G45" i="1"/>
  <c r="D45" i="1"/>
  <c r="D70" i="1" a="1"/>
  <c r="F45" i="1"/>
  <c r="C95" i="1"/>
  <c r="I45" i="1"/>
  <c r="F44" i="1"/>
  <c r="I44" i="1"/>
  <c r="D69" i="1" a="1"/>
  <c r="C94" i="1"/>
  <c r="H44" i="1"/>
  <c r="C69" i="1"/>
  <c r="C44" i="1"/>
  <c r="D44" i="1"/>
  <c r="E44" i="1"/>
  <c r="G44" i="1"/>
  <c r="C43" i="1"/>
  <c r="D43" i="1"/>
  <c r="E43" i="1"/>
  <c r="D68" i="1" a="1"/>
  <c r="C93" i="1"/>
  <c r="C68" i="1"/>
  <c r="G43" i="1"/>
  <c r="F43" i="1"/>
  <c r="I43" i="1"/>
  <c r="H43" i="1"/>
  <c r="E42" i="1"/>
  <c r="G42" i="1"/>
  <c r="H42" i="1"/>
  <c r="C67" i="1"/>
  <c r="D67" i="1" a="1"/>
  <c r="I42" i="1"/>
  <c r="C127" i="1"/>
  <c r="F42" i="1"/>
  <c r="F152" i="1" a="1"/>
  <c r="M152" i="1" a="1"/>
  <c r="D127" i="1" a="1"/>
  <c r="C92" i="1"/>
  <c r="C42" i="1"/>
  <c r="D42" i="1"/>
  <c r="F151" i="1" a="1"/>
  <c r="C91" i="1"/>
  <c r="M151" i="1" a="1"/>
  <c r="D66" i="1" a="1"/>
  <c r="C66" i="1"/>
  <c r="C41" i="1"/>
  <c r="D41" i="1"/>
  <c r="F41" i="1"/>
  <c r="I41" i="1"/>
  <c r="H41" i="1"/>
  <c r="G41" i="1"/>
  <c r="E41" i="1"/>
  <c r="H40" i="1"/>
  <c r="E40" i="1"/>
  <c r="F40" i="1"/>
  <c r="D65" i="1" a="1"/>
  <c r="C65" i="1"/>
  <c r="C90" i="1"/>
  <c r="D40" i="1"/>
  <c r="M150" i="1" a="1"/>
  <c r="C40" i="1"/>
  <c r="F150" i="1" a="1"/>
  <c r="G40" i="1"/>
  <c r="I40" i="1"/>
  <c r="G37" i="1"/>
  <c r="H37" i="1"/>
  <c r="C122" i="1"/>
  <c r="D122" i="1" a="1"/>
  <c r="C37" i="1"/>
  <c r="E37" i="1"/>
  <c r="C87" i="1"/>
  <c r="D62" i="1" a="1"/>
  <c r="C62" i="1"/>
  <c r="I37" i="1"/>
  <c r="D37" i="1"/>
  <c r="F37" i="1"/>
  <c r="F157" i="1" a="1"/>
  <c r="M157" i="1" a="1"/>
  <c r="C97" i="1"/>
  <c r="C132" i="1"/>
  <c r="C72" i="1"/>
  <c r="D132" i="1" a="1"/>
  <c r="D72" i="1" a="1"/>
  <c r="E47" i="1"/>
  <c r="C47" i="1"/>
  <c r="F47" i="1"/>
  <c r="D47" i="1"/>
  <c r="G47" i="1"/>
  <c r="H47" i="1"/>
  <c r="I47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<sst xmlns="http://schemas.openxmlformats.org/spreadsheetml/2006/main" count="67" uniqueCount="62">
  <si>
    <t>Test Input Values</t>
  </si>
  <si>
    <t>Zero</t>
  </si>
  <si>
    <t>One</t>
  </si>
  <si>
    <t>INFORMATION FORMULA TEST SUITE</t>
  </si>
  <si>
    <t>Blank Cell</t>
  </si>
  <si>
    <t>Negative One</t>
  </si>
  <si>
    <t>Decimal (+)</t>
  </si>
  <si>
    <t>Decimal (-)</t>
  </si>
  <si>
    <t>Text String</t>
  </si>
  <si>
    <t>Empty String</t>
  </si>
  <si>
    <t>Formula (Number)</t>
  </si>
  <si>
    <t>Formula (Text)</t>
  </si>
  <si>
    <t>Formula (Logical)</t>
  </si>
  <si>
    <t>#N/A Error</t>
  </si>
  <si>
    <t>#DIV/0! Error</t>
  </si>
  <si>
    <t>#NUM! Error</t>
  </si>
  <si>
    <t>#VALUE! Error</t>
  </si>
  <si>
    <t>#REF! Error</t>
  </si>
  <si>
    <t>Date Value</t>
  </si>
  <si>
    <t>Large Number</t>
  </si>
  <si>
    <t>Small Number</t>
  </si>
  <si>
    <t>Hello</t>
  </si>
  <si>
    <t>IS FUNCTIONS</t>
  </si>
  <si>
    <t>Test Input</t>
  </si>
  <si>
    <t>ISBLANK</t>
  </si>
  <si>
    <t>ISERROR</t>
  </si>
  <si>
    <t>ISERR</t>
  </si>
  <si>
    <t>ISNA</t>
  </si>
  <si>
    <t>ISNUMBER</t>
  </si>
  <si>
    <t>ISTEXT</t>
  </si>
  <si>
    <t>ISLOGICAL</t>
  </si>
  <si>
    <t>ISFORMULA</t>
  </si>
  <si>
    <t>TYPE FUNCTION</t>
  </si>
  <si>
    <t>TYPE(value)</t>
  </si>
  <si>
    <t>Type Meaning</t>
  </si>
  <si>
    <t>N FUNCTION</t>
  </si>
  <si>
    <t>N(value)</t>
  </si>
  <si>
    <t>NA FUNCTION</t>
  </si>
  <si>
    <t>Description</t>
  </si>
  <si>
    <t>Result</t>
  </si>
  <si>
    <t>NA() returns #N/A</t>
  </si>
  <si>
    <t>ISNA(NA())</t>
  </si>
  <si>
    <t>ISERROR(NA())</t>
  </si>
  <si>
    <t>ISERR(NA())</t>
  </si>
  <si>
    <t>TYPE(NA())</t>
  </si>
  <si>
    <t>ERROR.TYPE(NA())</t>
  </si>
  <si>
    <t>ERROR.TYPE FUNCTION</t>
  </si>
  <si>
    <t>ERROR.TYPE(value)</t>
  </si>
  <si>
    <t>Error Meaning</t>
  </si>
  <si>
    <t>CELL FUNCTION</t>
  </si>
  <si>
    <t>address</t>
  </si>
  <si>
    <t>col</t>
  </si>
  <si>
    <t>color</t>
  </si>
  <si>
    <t>contents</t>
  </si>
  <si>
    <t>filename</t>
  </si>
  <si>
    <t>format</t>
  </si>
  <si>
    <t>parentheses</t>
  </si>
  <si>
    <t>prefix</t>
  </si>
  <si>
    <t>protect</t>
  </si>
  <si>
    <t>row</t>
  </si>
  <si>
    <t>type</t>
  </si>
  <si>
    <t>width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</si>
</sst>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7">
    <font>
      <sz val="12"/>
      <color theme="1"/>
      <name val="Aptos Narrow"/>
      <family val="2"/>
      <scheme val="minor"/>
    </font>
    <font>
      <b/>
      <sz val="14"/>
      <color theme="1"/>
      <name val="Aptos Narrow"/>
      <scheme val="minor"/>
    </font>
    <font>
      <sz val="11"/>
      <color theme="1"/>
      <name val="Aptos Narrow"/>
      <scheme val="minor"/>
    </font>
    <font>
      <b/>
      <sz val="12"/>
      <color theme="1"/>
      <name val="Aptos Narrow"/>
      <scheme val="minor"/>
    </font>
    <font>
      <b/>
      <sz val="11"/>
      <color rgb="FF0000FF"/>
      <name val="Aptos Narrow"/>
      <scheme val="minor"/>
    </font>
    <font>
      <b/>
      <i/>
      <sz val="11"/>
      <color theme="1"/>
      <name val="Aptos Narrow"/>
      <scheme val="minor"/>
    </font>
    <font>
      <b/>
      <sz val="11"/>
      <color theme="1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D6E4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2" fillId="2" borderId="0" xfId="0" applyFont="1" applyFill="1"/>
    <xf numFmtId="0" fontId="3" fillId="0" borderId="0" xfId="0" applyFont="1"/>
    <xf numFmtId="0" fontId="6" fillId="2" borderId="0" xfId="0" applyFont="1" applyFill="1"/>
    <xf numFmtId="0" fontId="4" fillId="0" borderId="0" xfId="0" applyFont="1"/>
    <xf numFmtId="164" fontId="4" fillId="0" borderId="0" xfId="0" applyNumberFormat="1" applyFont="1"/>
    <xf numFmtId="0" fontId="6" fillId="3" borderId="0" xfId="0" applyFont="1" applyFill="1" applyAlignment="1">
      <alignment horizontal="center"/>
    </xf>
    <xf numFmtId="0" fontId="5" fillId="3" borderId="0" xfId="0" applyFont="1" applyFill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1" width="525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1AF8C9DF-0C05-404C-A621-4D124AF27190}">
  <we:reference id="4fb63e59-4fed-4be3-ac28-ba7f1a5f3193" version="1.0.0.4" store="EXCatalog" storeType="EXCatalog"/>
  <we:alternateReferences>
    <we:reference id="WA200009152" version="1.0.0.4" store="en-US" storeType="OMEX"/>
  </we:alternateReferences>
  <we:properties>
    <we:property name="Office.AutoShowTaskpaneWithDocument" value="true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806C9A-6330-1B4C-B463-2FF919A4655E}">
  <dimension ref="B2:O160"/>
  <sheetViews>
    <sheetView tabSelected="1" workbookViewId="0">
      <selection activeCell="P15" sqref="P15"/>
    </sheetView>
  </sheetViews>
  <sheetFormatPr defaultColWidth="11.07421875" defaultRowHeight="15.5"/>
  <cols>
    <col min="2" max="2" width="37" bestFit="1" customWidth="1"/>
    <col min="3" max="3" width="15.84375" bestFit="1" customWidth="1"/>
    <col min="4" max="4" width="12" bestFit="1" customWidth="1"/>
    <col min="5" max="5" width="5.84375" bestFit="1" customWidth="1"/>
    <col min="6" max="6" width="8.15234375" bestFit="1" customWidth="1"/>
    <col min="7" max="7" width="9.3046875" bestFit="1" customWidth="1"/>
    <col min="8" max="8" width="6.3046875" bestFit="1" customWidth="1"/>
    <col min="9" max="9" width="11" bestFit="1" customWidth="1"/>
    <col min="10" max="10" width="10" bestFit="1" customWidth="1"/>
    <col min="11" max="11" width="7" bestFit="1" customWidth="1"/>
    <col min="12" max="12" width="4" bestFit="1" customWidth="1"/>
    <col min="13" max="13" width="4.69140625" bestFit="1" customWidth="1"/>
    <col min="14" max="14" width="5.4609375" bestFit="1" customWidth="1"/>
  </cols>
  <sheetData>
    <row r="2" spans="2:14" ht="18">
      <c r="B2" s="1" t="s">
        <v>3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2:14"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4" spans="2:14">
      <c r="B4" s="4" t="s">
        <v>0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</row>
    <row r="5" spans="2:14">
      <c r="B5" s="3" t="s">
        <v>4</v>
      </c>
      <c r="C5" s="6"/>
      <c r="D5" s="2"/>
      <c r="E5" s="2"/>
      <c r="F5" s="2"/>
      <c r="G5" s="2"/>
      <c r="H5" s="2"/>
      <c r="I5" s="2"/>
      <c r="J5" s="2"/>
      <c r="K5" s="2"/>
      <c r="L5" s="2"/>
      <c r="M5" s="2"/>
      <c r="N5" s="2"/>
    </row>
    <row r="6" spans="2:14">
      <c r="B6" s="3" t="s">
        <v>1</v>
      </c>
      <c r="C6" s="6">
        <v>0</v>
      </c>
      <c r="D6" s="2"/>
      <c r="E6" s="2"/>
      <c r="F6" s="2"/>
      <c r="G6" s="2"/>
      <c r="H6" s="2"/>
      <c r="I6" s="2"/>
      <c r="J6" s="2"/>
      <c r="K6" s="2"/>
      <c r="L6" s="2"/>
      <c r="M6" s="2"/>
      <c r="N6" s="2"/>
    </row>
    <row r="7" spans="2:14">
      <c r="B7" s="3" t="s">
        <v>2</v>
      </c>
      <c r="C7" s="6">
        <v>1</v>
      </c>
      <c r="D7" s="2"/>
      <c r="E7" s="2"/>
      <c r="F7" s="2"/>
      <c r="G7" s="2"/>
      <c r="H7" s="2"/>
      <c r="I7" s="2"/>
      <c r="J7" s="2"/>
      <c r="K7" s="2"/>
      <c r="L7" s="2"/>
      <c r="M7" s="2"/>
      <c r="N7" s="2"/>
    </row>
    <row r="8" spans="2:14">
      <c r="B8" s="3" t="s">
        <v>5</v>
      </c>
      <c r="C8" s="6">
        <v>-1</v>
      </c>
      <c r="D8" s="2"/>
      <c r="E8" s="2"/>
      <c r="F8" s="2"/>
      <c r="G8" s="2"/>
      <c r="H8" s="2"/>
      <c r="I8" s="2"/>
      <c r="J8" s="2"/>
      <c r="K8" s="2"/>
      <c r="L8" s="2"/>
      <c r="M8" s="2"/>
      <c r="N8" s="2"/>
    </row>
    <row r="9" spans="2:14">
      <c r="B9" s="3" t="s">
        <v>6</v>
      </c>
      <c r="C9" s="6">
        <v>42.5</v>
      </c>
      <c r="D9" s="2"/>
      <c r="E9" s="2"/>
      <c r="F9" s="2"/>
      <c r="G9" s="2"/>
      <c r="H9" s="2"/>
      <c r="I9" s="2"/>
      <c r="J9" s="2"/>
      <c r="K9" s="2"/>
      <c r="L9" s="2"/>
      <c r="M9" s="2"/>
      <c r="N9" s="2"/>
    </row>
    <row r="10" spans="2:14">
      <c r="B10" s="3" t="s">
        <v>7</v>
      </c>
      <c r="C10" s="6">
        <v>-42.5</v>
      </c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</row>
    <row r="11" spans="2:14">
      <c r="B11" s="3" t="s">
        <v>8</v>
      </c>
      <c r="C11" s="6" t="s">
        <v>21</v>
      </c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</row>
    <row r="12" spans="2:14">
      <c r="B12" s="3" t="s">
        <v>9</v>
      </c>
      <c r="C12" s="6" t="str">
        <f>""</f>
        <v/>
      </c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</row>
    <row r="13" spans="2:14">
      <c r="B13" s="3" t="b">
        <v>1</v>
      </c>
      <c r="C13" s="6" t="b">
        <v>1</v>
      </c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</row>
    <row r="14" spans="2:14">
      <c r="B14" s="3" t="b">
        <v>0</v>
      </c>
      <c r="C14" s="6" t="b">
        <v>0</v>
      </c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</row>
    <row r="15" spans="2:14">
      <c r="B15" s="3" t="s">
        <v>10</v>
      </c>
      <c r="C15" s="6">
        <f>1+1</f>
        <v>2</v>
      </c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</row>
    <row r="16" spans="2:14">
      <c r="B16" s="3" t="s">
        <v>11</v>
      </c>
      <c r="C16" s="6" t="str">
        <f>"A"&amp;"B"</f>
        <v>AB</v>
      </c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</row>
    <row r="17" spans="2:14">
      <c r="B17" s="3" t="s">
        <v>12</v>
      </c>
      <c r="C17" s="6" t="b">
        <f>1&gt;0</f>
        <v>1</v>
      </c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</row>
    <row r="18" spans="2:14">
      <c r="B18" s="3" t="s">
        <v>13</v>
      </c>
      <c r="C18" s="6" t="e">
        <f>NA()</f>
        <v>#N/A</v>
      </c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</row>
    <row r="19" spans="2:14">
      <c r="B19" s="3" t="s">
        <v>14</v>
      </c>
      <c r="C19" s="6" t="e">
        <f>1/0</f>
        <v>#DIV/0!</v>
      </c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</row>
    <row r="20" spans="2:14">
      <c r="B20" s="3" t="s">
        <v>15</v>
      </c>
      <c r="C20" s="6" t="e">
        <f>SQRT(-1)</f>
        <v>#NUM!</v>
      </c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</row>
    <row r="21" spans="2:14">
      <c r="B21" s="3" t="s">
        <v>16</v>
      </c>
      <c r="C21" s="6" t="e">
        <f>VALUE("abc")</f>
        <v>#VALUE!</v>
      </c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</row>
    <row r="22" spans="2:14">
      <c r="B22" s="3" t="s">
        <v>17</v>
      </c>
      <c r="C22" s="6" t="e" cm="1">
        <f t="array" aca="1" ref="C22" ca="1">INDIRECT("")</f>
        <v>#REF!</v>
      </c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</row>
    <row r="23" spans="2:14">
      <c r="B23" s="3" t="s">
        <v>18</v>
      </c>
      <c r="C23" s="7">
        <v>44941</v>
      </c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</row>
    <row r="24" spans="2:14">
      <c r="B24" s="3" t="s">
        <v>19</v>
      </c>
      <c r="C24" s="6">
        <v>9.9999999999999901E+307</v>
      </c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</row>
    <row r="25" spans="2:14">
      <c r="B25" s="3" t="s">
        <v>20</v>
      </c>
      <c r="C25" s="6">
        <v>9.9999999999999991E-308</v>
      </c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</row>
    <row r="26" spans="2:14">
      <c r="B26" s="2" t="s">
        <v>20</v>
      </c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</row>
    <row r="27" spans="2:14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</row>
    <row r="28" spans="2:14">
      <c r="B28" s="4" t="s">
        <v>22</v>
      </c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</row>
    <row r="29" spans="2:14">
      <c r="B29" s="9" t="s">
        <v>23</v>
      </c>
      <c r="C29" s="8" t="s">
        <v>24</v>
      </c>
      <c r="D29" s="8" t="s">
        <v>25</v>
      </c>
      <c r="E29" s="8" t="s">
        <v>26</v>
      </c>
      <c r="F29" s="8" t="s">
        <v>27</v>
      </c>
      <c r="G29" s="8" t="s">
        <v>28</v>
      </c>
      <c r="H29" s="8" t="s">
        <v>29</v>
      </c>
      <c r="I29" s="8" t="s">
        <v>30</v>
      </c>
      <c r="J29" s="8" t="s">
        <v>31</v>
      </c>
      <c r="K29" s="2"/>
      <c r="L29" s="2"/>
      <c r="M29" s="2"/>
      <c r="N29" s="2"/>
    </row>
    <row r="30" spans="2:14">
      <c r="B30" s="5" t="str">
        <f t="shared" ref="B30:B50" si="0">B5</f>
        <v>Blank Cell</v>
      </c>
      <c r="C30" s="10" t="b">
        <f>ISBLANK($C$5)</f>
        <v>1</v>
      </c>
      <c r="D30" s="10" t="b">
        <f>ISERROR($C$5)</f>
        <v>0</v>
      </c>
      <c r="E30" s="10" t="b">
        <f>ISERR($C$5)</f>
        <v>0</v>
      </c>
      <c r="F30" s="10" t="b">
        <f>ISNA($C$5)</f>
        <v>0</v>
      </c>
      <c r="G30" s="10" t="b">
        <f>ISNUMBER($C$5)</f>
        <v>0</v>
      </c>
      <c r="H30" s="10" t="b">
        <f>ISTEXT($C$5)</f>
        <v>0</v>
      </c>
      <c r="I30" s="10" t="b">
        <f>ISLOGICAL($C$5)</f>
        <v>0</v>
      </c>
      <c r="J30" s="10" t="b">
        <f>_xlfn.ISFORMULA($C$5)</f>
        <v>0</v>
      </c>
      <c r="K30" s="2"/>
      <c r="L30" s="2"/>
      <c r="M30" s="2"/>
      <c r="N30" s="2"/>
    </row>
    <row r="31" spans="2:14">
      <c r="B31" s="5" t="str">
        <f t="shared" si="0"/>
        <v>Zero</v>
      </c>
      <c r="C31" s="10" t="b">
        <f>ISBLANK($C$6)</f>
        <v>0</v>
      </c>
      <c r="D31" s="10" t="b">
        <f>ISERROR($C$6)</f>
        <v>0</v>
      </c>
      <c r="E31" s="10" t="b">
        <f>ISERR($C$6)</f>
        <v>0</v>
      </c>
      <c r="F31" s="10" t="b">
        <f>ISNA($C$6)</f>
        <v>0</v>
      </c>
      <c r="G31" s="10" t="b">
        <f>ISNUMBER($C$6)</f>
        <v>1</v>
      </c>
      <c r="H31" s="10" t="b">
        <f>ISTEXT($C$6)</f>
        <v>0</v>
      </c>
      <c r="I31" s="10" t="b">
        <f>ISLOGICAL($C$6)</f>
        <v>0</v>
      </c>
      <c r="J31" s="10" t="b">
        <f>_xlfn.ISFORMULA($C$6)</f>
        <v>0</v>
      </c>
      <c r="K31" s="2"/>
      <c r="L31" s="2"/>
      <c r="M31" s="2"/>
      <c r="N31" s="2"/>
    </row>
    <row r="32" spans="2:14">
      <c r="B32" s="5" t="str">
        <f t="shared" si="0"/>
        <v>One</v>
      </c>
      <c r="C32" s="10" t="b">
        <f>ISBLANK($C$7)</f>
        <v>0</v>
      </c>
      <c r="D32" s="10" t="b">
        <f>ISERROR($C$7)</f>
        <v>0</v>
      </c>
      <c r="E32" s="10" t="b">
        <f>ISERR($C$7)</f>
        <v>0</v>
      </c>
      <c r="F32" s="10" t="b">
        <f>ISNA($C$7)</f>
        <v>0</v>
      </c>
      <c r="G32" s="10" t="b">
        <f>ISNUMBER($C$7)</f>
        <v>1</v>
      </c>
      <c r="H32" s="10" t="b">
        <f>ISTEXT($C$7)</f>
        <v>0</v>
      </c>
      <c r="I32" s="10" t="b">
        <f>ISLOGICAL($C$7)</f>
        <v>0</v>
      </c>
      <c r="J32" s="10" t="b">
        <f>_xlfn.ISFORMULA($C$7)</f>
        <v>0</v>
      </c>
      <c r="K32" s="2"/>
      <c r="L32" s="2"/>
      <c r="M32" s="2"/>
      <c r="N32" s="2"/>
    </row>
    <row r="33" spans="2:14">
      <c r="B33" s="5" t="str">
        <f t="shared" si="0"/>
        <v>Negative One</v>
      </c>
      <c r="C33" s="10" t="b">
        <f>ISBLANK($C$8)</f>
        <v>0</v>
      </c>
      <c r="D33" s="10" t="b">
        <f>ISERROR($C$8)</f>
        <v>0</v>
      </c>
      <c r="E33" s="10" t="b">
        <f>ISERR($C$8)</f>
        <v>0</v>
      </c>
      <c r="F33" s="10" t="b">
        <f>ISNA($C$8)</f>
        <v>0</v>
      </c>
      <c r="G33" s="10" t="b">
        <f>ISNUMBER($C$8)</f>
        <v>1</v>
      </c>
      <c r="H33" s="10" t="b">
        <f>ISTEXT($C$8)</f>
        <v>0</v>
      </c>
      <c r="I33" s="10" t="b">
        <f>ISLOGICAL($C$8)</f>
        <v>0</v>
      </c>
      <c r="J33" s="10" t="b">
        <f>_xlfn.ISFORMULA($C$8)</f>
        <v>0</v>
      </c>
      <c r="K33" s="2"/>
      <c r="L33" s="2"/>
      <c r="M33" s="2"/>
      <c r="N33" s="2"/>
    </row>
    <row r="34" spans="2:14">
      <c r="B34" s="5" t="str">
        <f t="shared" si="0"/>
        <v>Decimal (+)</v>
      </c>
      <c r="C34" s="10" t="b">
        <f>ISBLANK($C$9)</f>
        <v>0</v>
      </c>
      <c r="D34" s="10" t="b">
        <f>ISERROR($C$9)</f>
        <v>0</v>
      </c>
      <c r="E34" s="10" t="b">
        <f>ISERR($C$9)</f>
        <v>0</v>
      </c>
      <c r="F34" s="10" t="b">
        <f>ISNA($C$9)</f>
        <v>0</v>
      </c>
      <c r="G34" s="10" t="b">
        <f>ISNUMBER($C$9)</f>
        <v>1</v>
      </c>
      <c r="H34" s="10" t="b">
        <f>ISTEXT($C$9)</f>
        <v>0</v>
      </c>
      <c r="I34" s="10" t="b">
        <f>ISLOGICAL($C$9)</f>
        <v>0</v>
      </c>
      <c r="J34" s="10" t="b">
        <f>_xlfn.ISFORMULA($C$9)</f>
        <v>0</v>
      </c>
      <c r="K34" s="2"/>
      <c r="L34" s="2"/>
      <c r="M34" s="2"/>
      <c r="N34" s="2"/>
    </row>
    <row r="35" spans="2:14">
      <c r="B35" s="5" t="str">
        <f t="shared" si="0"/>
        <v>Decimal (-)</v>
      </c>
      <c r="C35" s="10" t="b">
        <f>ISBLANK($C$10)</f>
        <v>0</v>
      </c>
      <c r="D35" s="10" t="b">
        <f>ISERROR($C$10)</f>
        <v>0</v>
      </c>
      <c r="E35" s="10" t="b">
        <f>ISERR($C$10)</f>
        <v>0</v>
      </c>
      <c r="F35" s="10" t="b">
        <f>ISNA($C$10)</f>
        <v>0</v>
      </c>
      <c r="G35" s="10" t="b">
        <f>ISNUMBER($C$10)</f>
        <v>1</v>
      </c>
      <c r="H35" s="10" t="b">
        <f>ISTEXT($C$10)</f>
        <v>0</v>
      </c>
      <c r="I35" s="10" t="b">
        <f>ISLOGICAL($C$10)</f>
        <v>0</v>
      </c>
      <c r="J35" s="10" t="b">
        <f>_xlfn.ISFORMULA($C$10)</f>
        <v>0</v>
      </c>
      <c r="K35" s="2"/>
      <c r="L35" s="2"/>
      <c r="M35" s="2"/>
      <c r="N35" s="2"/>
    </row>
    <row r="36" spans="2:14">
      <c r="B36" s="5" t="str">
        <f t="shared" si="0"/>
        <v>Text String</v>
      </c>
      <c r="C36" s="10" t="b">
        <f>ISBLANK($C$11)</f>
        <v>0</v>
      </c>
      <c r="D36" s="10" t="b">
        <f>ISERROR($C$11)</f>
        <v>0</v>
      </c>
      <c r="E36" s="10" t="b">
        <f>ISERR($C$11)</f>
        <v>0</v>
      </c>
      <c r="F36" s="10" t="b">
        <f>ISNA($C$11)</f>
        <v>0</v>
      </c>
      <c r="G36" s="10" t="b">
        <f>ISNUMBER($C$11)</f>
        <v>0</v>
      </c>
      <c r="H36" s="10" t="b">
        <f>ISTEXT($C$11)</f>
        <v>1</v>
      </c>
      <c r="I36" s="10" t="b">
        <f>ISLOGICAL($C$11)</f>
        <v>0</v>
      </c>
      <c r="J36" s="10" t="b">
        <f>_xlfn.ISFORMULA($C$11)</f>
        <v>0</v>
      </c>
      <c r="K36" s="2"/>
      <c r="L36" s="2"/>
      <c r="M36" s="2"/>
      <c r="N36" s="2"/>
    </row>
    <row r="37" spans="2:14">
      <c r="B37" s="5" t="str">
        <f t="shared" si="0"/>
        <v>Empty String</v>
      </c>
      <c r="C37" s="10" t="b">
        <f>ISBLANK($C$12)</f>
        <v>0</v>
      </c>
      <c r="D37" s="10" t="b">
        <f>ISERROR($C$12)</f>
        <v>0</v>
      </c>
      <c r="E37" s="10" t="b">
        <f>ISERR($C$12)</f>
        <v>0</v>
      </c>
      <c r="F37" s="10" t="b">
        <f>ISNA($C$12)</f>
        <v>0</v>
      </c>
      <c r="G37" s="10" t="b">
        <f>ISNUMBER($C$12)</f>
        <v>0</v>
      </c>
      <c r="H37" s="10" t="b">
        <f>ISTEXT($C$12)</f>
        <v>1</v>
      </c>
      <c r="I37" s="10" t="b">
        <f>ISLOGICAL($C$12)</f>
        <v>0</v>
      </c>
      <c r="J37" s="10" t="b">
        <f>_xlfn.ISFORMULA($C$12)</f>
        <v>1</v>
      </c>
      <c r="K37" s="2"/>
      <c r="L37" s="2"/>
      <c r="M37" s="2"/>
      <c r="N37" s="2"/>
    </row>
    <row r="38" spans="2:14">
      <c r="B38" s="5" t="b">
        <f t="shared" si="0"/>
        <v>1</v>
      </c>
      <c r="C38" s="10" t="b">
        <f>ISBLANK($C$13)</f>
        <v>0</v>
      </c>
      <c r="D38" s="10" t="b">
        <f>ISERROR($C$13)</f>
        <v>0</v>
      </c>
      <c r="E38" s="10" t="b">
        <f>ISERR($C$13)</f>
        <v>0</v>
      </c>
      <c r="F38" s="10" t="b">
        <f>ISNA($C$13)</f>
        <v>0</v>
      </c>
      <c r="G38" s="10" t="b">
        <f>ISNUMBER($C$13)</f>
        <v>0</v>
      </c>
      <c r="H38" s="10" t="b">
        <f>ISTEXT($C$13)</f>
        <v>0</v>
      </c>
      <c r="I38" s="10" t="b">
        <f>ISLOGICAL($C$13)</f>
        <v>1</v>
      </c>
      <c r="J38" s="10" t="b">
        <f>_xlfn.ISFORMULA($C$13)</f>
        <v>0</v>
      </c>
      <c r="K38" s="2"/>
      <c r="L38" s="2"/>
      <c r="M38" s="2"/>
      <c r="N38" s="2"/>
    </row>
    <row r="39" spans="2:14">
      <c r="B39" s="5" t="b">
        <f t="shared" si="0"/>
        <v>0</v>
      </c>
      <c r="C39" s="10" t="b">
        <f>ISBLANK($C$14)</f>
        <v>0</v>
      </c>
      <c r="D39" s="10" t="b">
        <f>ISERROR($C$14)</f>
        <v>0</v>
      </c>
      <c r="E39" s="10" t="b">
        <f>ISERR($C$14)</f>
        <v>0</v>
      </c>
      <c r="F39" s="10" t="b">
        <f>ISNA($C$14)</f>
        <v>0</v>
      </c>
      <c r="G39" s="10" t="b">
        <f>ISNUMBER($C$14)</f>
        <v>0</v>
      </c>
      <c r="H39" s="10" t="b">
        <f>ISTEXT($C$14)</f>
        <v>0</v>
      </c>
      <c r="I39" s="10" t="b">
        <f>ISLOGICAL($C$14)</f>
        <v>1</v>
      </c>
      <c r="J39" s="10" t="b">
        <f>_xlfn.ISFORMULA($C$14)</f>
        <v>0</v>
      </c>
      <c r="K39" s="2"/>
      <c r="L39" s="2"/>
      <c r="M39" s="2"/>
      <c r="N39" s="2"/>
    </row>
    <row r="40" spans="2:14">
      <c r="B40" s="5" t="str">
        <f t="shared" si="0"/>
        <v>Formula (Number)</v>
      </c>
      <c r="C40" s="10" t="b">
        <f>ISBLANK($C$15)</f>
        <v>0</v>
      </c>
      <c r="D40" s="10" t="b">
        <f>ISERROR($C$15)</f>
        <v>0</v>
      </c>
      <c r="E40" s="10" t="b">
        <f>ISERR($C$15)</f>
        <v>0</v>
      </c>
      <c r="F40" s="10" t="b">
        <f>ISNA($C$15)</f>
        <v>0</v>
      </c>
      <c r="G40" s="10" t="b">
        <f>ISNUMBER($C$15)</f>
        <v>1</v>
      </c>
      <c r="H40" s="10" t="b">
        <f>ISTEXT($C$15)</f>
        <v>0</v>
      </c>
      <c r="I40" s="10" t="b">
        <f>ISLOGICAL($C$15)</f>
        <v>0</v>
      </c>
      <c r="J40" s="10" t="b">
        <f>_xlfn.ISFORMULA($C$15)</f>
        <v>1</v>
      </c>
      <c r="K40" s="2"/>
      <c r="L40" s="2"/>
      <c r="M40" s="2"/>
      <c r="N40" s="2"/>
    </row>
    <row r="41" spans="2:14">
      <c r="B41" s="5" t="str">
        <f t="shared" si="0"/>
        <v>Formula (Text)</v>
      </c>
      <c r="C41" s="10" t="b">
        <f>ISBLANK($C$16)</f>
        <v>0</v>
      </c>
      <c r="D41" s="10" t="b">
        <f>ISERROR($C$16)</f>
        <v>0</v>
      </c>
      <c r="E41" s="10" t="b">
        <f>ISERR($C$16)</f>
        <v>0</v>
      </c>
      <c r="F41" s="10" t="b">
        <f>ISNA($C$16)</f>
        <v>0</v>
      </c>
      <c r="G41" s="10" t="b">
        <f>ISNUMBER($C$16)</f>
        <v>0</v>
      </c>
      <c r="H41" s="10" t="b">
        <f>ISTEXT($C$16)</f>
        <v>1</v>
      </c>
      <c r="I41" s="10" t="b">
        <f>ISLOGICAL($C$16)</f>
        <v>0</v>
      </c>
      <c r="J41" s="10" t="b">
        <f>_xlfn.ISFORMULA($C$16)</f>
        <v>1</v>
      </c>
      <c r="K41" s="2"/>
      <c r="L41" s="2"/>
      <c r="M41" s="2"/>
      <c r="N41" s="2"/>
    </row>
    <row r="42" spans="2:14">
      <c r="B42" s="5" t="str">
        <f t="shared" si="0"/>
        <v>Formula (Logical)</v>
      </c>
      <c r="C42" s="10" t="b">
        <f>ISBLANK($C$17)</f>
        <v>0</v>
      </c>
      <c r="D42" s="10" t="b">
        <f>ISERROR($C$17)</f>
        <v>0</v>
      </c>
      <c r="E42" s="10" t="b">
        <f>ISERR($C$17)</f>
        <v>0</v>
      </c>
      <c r="F42" s="10" t="b">
        <f>ISNA($C$17)</f>
        <v>0</v>
      </c>
      <c r="G42" s="10" t="b">
        <f>ISNUMBER($C$17)</f>
        <v>0</v>
      </c>
      <c r="H42" s="10" t="b">
        <f>ISTEXT($C$17)</f>
        <v>0</v>
      </c>
      <c r="I42" s="10" t="b">
        <f>ISLOGICAL($C$17)</f>
        <v>1</v>
      </c>
      <c r="J42" s="10" t="b">
        <f>_xlfn.ISFORMULA($C$17)</f>
        <v>1</v>
      </c>
      <c r="K42" s="2"/>
      <c r="L42" s="2"/>
      <c r="M42" s="2"/>
      <c r="N42" s="2"/>
    </row>
    <row r="43" spans="2:14">
      <c r="B43" s="5" t="str">
        <f t="shared" si="0"/>
        <v>#N/A Error</v>
      </c>
      <c r="C43" s="10" t="b">
        <f>ISBLANK($C$18)</f>
        <v>0</v>
      </c>
      <c r="D43" s="10" t="b">
        <f>ISERROR($C$18)</f>
        <v>1</v>
      </c>
      <c r="E43" s="10" t="b">
        <f>ISERR($C$18)</f>
        <v>0</v>
      </c>
      <c r="F43" s="10" t="b">
        <f>ISNA($C$18)</f>
        <v>1</v>
      </c>
      <c r="G43" s="10" t="b">
        <f>ISNUMBER($C$18)</f>
        <v>0</v>
      </c>
      <c r="H43" s="10" t="b">
        <f>ISTEXT($C$18)</f>
        <v>0</v>
      </c>
      <c r="I43" s="10" t="b">
        <f>ISLOGICAL($C$18)</f>
        <v>0</v>
      </c>
      <c r="J43" s="10" t="b">
        <f>_xlfn.ISFORMULA($C$18)</f>
        <v>1</v>
      </c>
      <c r="K43" s="2"/>
      <c r="L43" s="2"/>
      <c r="M43" s="2"/>
      <c r="N43" s="2"/>
    </row>
    <row r="44" spans="2:14">
      <c r="B44" s="5" t="str">
        <f t="shared" si="0"/>
        <v>#DIV/0! Error</v>
      </c>
      <c r="C44" s="10" t="b">
        <f>ISBLANK($C$19)</f>
        <v>0</v>
      </c>
      <c r="D44" s="10" t="b">
        <f>ISERROR($C$19)</f>
        <v>1</v>
      </c>
      <c r="E44" s="10" t="b">
        <f>ISERR($C$19)</f>
        <v>1</v>
      </c>
      <c r="F44" s="10" t="b">
        <f>ISNA($C$19)</f>
        <v>0</v>
      </c>
      <c r="G44" s="10" t="b">
        <f>ISNUMBER($C$19)</f>
        <v>0</v>
      </c>
      <c r="H44" s="10" t="b">
        <f>ISTEXT($C$19)</f>
        <v>0</v>
      </c>
      <c r="I44" s="10" t="b">
        <f>ISLOGICAL($C$19)</f>
        <v>0</v>
      </c>
      <c r="J44" s="10" t="b">
        <f>_xlfn.ISFORMULA($C$19)</f>
        <v>1</v>
      </c>
      <c r="K44" s="2"/>
      <c r="L44" s="2"/>
      <c r="M44" s="2"/>
      <c r="N44" s="2"/>
    </row>
    <row r="45" spans="2:14">
      <c r="B45" s="5" t="str">
        <f t="shared" si="0"/>
        <v>#NUM! Error</v>
      </c>
      <c r="C45" s="10" t="b">
        <f>ISBLANK($C$20)</f>
        <v>0</v>
      </c>
      <c r="D45" s="10" t="b">
        <f>ISERROR($C$20)</f>
        <v>1</v>
      </c>
      <c r="E45" s="10" t="b">
        <f>ISERR($C$20)</f>
        <v>1</v>
      </c>
      <c r="F45" s="10" t="b">
        <f>ISNA($C$20)</f>
        <v>0</v>
      </c>
      <c r="G45" s="10" t="b">
        <f>ISNUMBER($C$20)</f>
        <v>0</v>
      </c>
      <c r="H45" s="10" t="b">
        <f>ISTEXT($C$20)</f>
        <v>0</v>
      </c>
      <c r="I45" s="10" t="b">
        <f>ISLOGICAL($C$20)</f>
        <v>0</v>
      </c>
      <c r="J45" s="10" t="b">
        <f>_xlfn.ISFORMULA($C$20)</f>
        <v>1</v>
      </c>
      <c r="K45" s="2"/>
      <c r="L45" s="2"/>
      <c r="M45" s="2"/>
      <c r="N45" s="2"/>
    </row>
    <row r="46" spans="2:14">
      <c r="B46" s="5" t="str">
        <f t="shared" si="0"/>
        <v>#VALUE! Error</v>
      </c>
      <c r="C46" s="10" t="b">
        <f>ISBLANK($C$21)</f>
        <v>0</v>
      </c>
      <c r="D46" s="10" t="b">
        <f>ISERROR($C$21)</f>
        <v>1</v>
      </c>
      <c r="E46" s="10" t="b">
        <f>ISERR($C$21)</f>
        <v>1</v>
      </c>
      <c r="F46" s="10" t="b">
        <f>ISNA($C$21)</f>
        <v>0</v>
      </c>
      <c r="G46" s="10" t="b">
        <f>ISNUMBER($C$21)</f>
        <v>0</v>
      </c>
      <c r="H46" s="10" t="b">
        <f>ISTEXT($C$21)</f>
        <v>0</v>
      </c>
      <c r="I46" s="10" t="b">
        <f>ISLOGICAL($C$21)</f>
        <v>0</v>
      </c>
      <c r="J46" s="10" t="b">
        <f>_xlfn.ISFORMULA($C$21)</f>
        <v>1</v>
      </c>
      <c r="K46" s="2"/>
      <c r="L46" s="2"/>
      <c r="M46" s="2"/>
      <c r="N46" s="2"/>
    </row>
    <row r="47" spans="2:14">
      <c r="B47" s="5" t="str">
        <f t="shared" si="0"/>
        <v>#REF! Error</v>
      </c>
      <c r="C47" s="10" t="b">
        <f ca="1">ISBLANK($C$22)</f>
        <v>0</v>
      </c>
      <c r="D47" s="10" t="b">
        <f ca="1">ISERROR($C$22)</f>
        <v>1</v>
      </c>
      <c r="E47" s="10" t="b">
        <f ca="1">ISERR($C$22)</f>
        <v>1</v>
      </c>
      <c r="F47" s="10" t="b">
        <f ca="1">ISNA($C$22)</f>
        <v>0</v>
      </c>
      <c r="G47" s="10" t="b">
        <f ca="1">ISNUMBER($C$22)</f>
        <v>0</v>
      </c>
      <c r="H47" s="10" t="b">
        <f ca="1">ISTEXT($C$22)</f>
        <v>0</v>
      </c>
      <c r="I47" s="10" t="b">
        <f ca="1">ISLOGICAL($C$22)</f>
        <v>0</v>
      </c>
      <c r="J47" s="10" t="b">
        <f>_xlfn.ISFORMULA($C$22)</f>
        <v>1</v>
      </c>
      <c r="K47" s="2"/>
      <c r="L47" s="2"/>
      <c r="M47" s="2"/>
      <c r="N47" s="2"/>
    </row>
    <row r="48" spans="2:14">
      <c r="B48" s="5" t="str">
        <f t="shared" si="0"/>
        <v>Date Value</v>
      </c>
      <c r="C48" s="10" t="b">
        <f>ISBLANK($C$23)</f>
        <v>0</v>
      </c>
      <c r="D48" s="10" t="b">
        <f>ISERROR($C$23)</f>
        <v>0</v>
      </c>
      <c r="E48" s="10" t="b">
        <f>ISERR($C$23)</f>
        <v>0</v>
      </c>
      <c r="F48" s="10" t="b">
        <f>ISNA($C$23)</f>
        <v>0</v>
      </c>
      <c r="G48" s="10" t="b">
        <f>ISNUMBER($C$23)</f>
        <v>1</v>
      </c>
      <c r="H48" s="10" t="b">
        <f>ISTEXT($C$23)</f>
        <v>0</v>
      </c>
      <c r="I48" s="10" t="b">
        <f>ISLOGICAL($C$23)</f>
        <v>0</v>
      </c>
      <c r="J48" s="10" t="b">
        <f>_xlfn.ISFORMULA($C$23)</f>
        <v>0</v>
      </c>
      <c r="K48" s="2"/>
      <c r="L48" s="2"/>
      <c r="M48" s="2"/>
      <c r="N48" s="2"/>
    </row>
    <row r="49" spans="2:14">
      <c r="B49" s="5" t="str">
        <f t="shared" si="0"/>
        <v>Large Number</v>
      </c>
      <c r="C49" s="10" t="b">
        <f>ISBLANK($C$24)</f>
        <v>0</v>
      </c>
      <c r="D49" s="10" t="b">
        <f>ISERROR($C$24)</f>
        <v>0</v>
      </c>
      <c r="E49" s="10" t="b">
        <f>ISERR($C$24)</f>
        <v>0</v>
      </c>
      <c r="F49" s="10" t="b">
        <f>ISNA($C$24)</f>
        <v>0</v>
      </c>
      <c r="G49" s="10" t="b">
        <f>ISNUMBER($C$24)</f>
        <v>1</v>
      </c>
      <c r="H49" s="10" t="b">
        <f>ISTEXT($C$24)</f>
        <v>0</v>
      </c>
      <c r="I49" s="10" t="b">
        <f>ISLOGICAL($C$24)</f>
        <v>0</v>
      </c>
      <c r="J49" s="10" t="b">
        <f>_xlfn.ISFORMULA($C$24)</f>
        <v>0</v>
      </c>
      <c r="K49" s="2"/>
      <c r="L49" s="2"/>
      <c r="M49" s="2"/>
      <c r="N49" s="2"/>
    </row>
    <row r="50" spans="2:14">
      <c r="B50" s="5" t="str">
        <f t="shared" si="0"/>
        <v>Small Number</v>
      </c>
      <c r="C50" s="10" t="b">
        <f>ISBLANK($C$25)</f>
        <v>0</v>
      </c>
      <c r="D50" s="10" t="b">
        <f>ISERROR($C$25)</f>
        <v>0</v>
      </c>
      <c r="E50" s="10" t="b">
        <f>ISERR($C$25)</f>
        <v>0</v>
      </c>
      <c r="F50" s="10" t="b">
        <f>ISNA($C$25)</f>
        <v>0</v>
      </c>
      <c r="G50" s="10" t="b">
        <f>ISNUMBER($C$25)</f>
        <v>1</v>
      </c>
      <c r="H50" s="10" t="b">
        <f>ISTEXT($C$25)</f>
        <v>0</v>
      </c>
      <c r="I50" s="10" t="b">
        <f>ISLOGICAL($C$25)</f>
        <v>0</v>
      </c>
      <c r="J50" s="10" t="b">
        <f>_xlfn.ISFORMULA($C$25)</f>
        <v>0</v>
      </c>
      <c r="K50" s="2"/>
      <c r="L50" s="2"/>
      <c r="M50" s="2"/>
      <c r="N50" s="2"/>
    </row>
    <row r="51" spans="2:14"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</row>
    <row r="52" spans="2:14"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</row>
    <row r="53" spans="2:14">
      <c r="B53" s="4" t="s">
        <v>32</v>
      </c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</row>
    <row r="54" spans="2:14">
      <c r="B54" s="9" t="s">
        <v>23</v>
      </c>
      <c r="C54" s="8" t="s">
        <v>33</v>
      </c>
      <c r="D54" s="8" t="s">
        <v>34</v>
      </c>
      <c r="E54" s="2"/>
      <c r="F54" s="2"/>
      <c r="G54" s="2"/>
      <c r="H54" s="2"/>
      <c r="I54" s="2"/>
      <c r="J54" s="2"/>
      <c r="K54" s="2"/>
      <c r="L54" s="2"/>
      <c r="M54" s="2"/>
      <c r="N54" s="2"/>
    </row>
    <row r="55" spans="2:14">
      <c r="B55" s="5" t="str">
        <f t="shared" ref="B55:B75" si="1">B5</f>
        <v>Blank Cell</v>
      </c>
      <c r="C55" s="10">
        <f>TYPE($C$5)</f>
        <v>1</v>
      </c>
      <c r="D55" s="10" t="str" cm="1">
        <f t="array" ref="D55">_xlfn.SWITCH(TYPE($C$5),1,"Number",2,"Text",4,"Logical",16,"Error",64,"Array",128,"Compound","Unknown")</f>
        <v>Number</v>
      </c>
      <c r="E55" s="2"/>
      <c r="F55" s="2"/>
      <c r="G55" s="2"/>
      <c r="H55" s="2"/>
      <c r="I55" s="2"/>
      <c r="J55" s="2"/>
      <c r="K55" s="2"/>
      <c r="L55" s="2"/>
      <c r="M55" s="2"/>
      <c r="N55" s="2"/>
    </row>
    <row r="56" spans="2:14">
      <c r="B56" s="5" t="str">
        <f t="shared" si="1"/>
        <v>Zero</v>
      </c>
      <c r="C56" s="10">
        <f>TYPE($C$6)</f>
        <v>1</v>
      </c>
      <c r="D56" s="10" t="str" cm="1">
        <f t="array" ref="D56">_xlfn.SWITCH(TYPE($C$6),1,"Number",2,"Text",4,"Logical",16,"Error",64,"Array",128,"Compound","Unknown")</f>
        <v>Number</v>
      </c>
      <c r="E56" s="2"/>
      <c r="F56" s="2"/>
      <c r="G56" s="2"/>
      <c r="H56" s="2"/>
      <c r="I56" s="2"/>
      <c r="J56" s="2"/>
      <c r="K56" s="2"/>
      <c r="L56" s="2"/>
      <c r="M56" s="2"/>
      <c r="N56" s="2"/>
    </row>
    <row r="57" spans="2:14">
      <c r="B57" s="5" t="str">
        <f t="shared" si="1"/>
        <v>One</v>
      </c>
      <c r="C57" s="10">
        <f>TYPE($C$7)</f>
        <v>1</v>
      </c>
      <c r="D57" s="10" t="str" cm="1">
        <f t="array" ref="D57">_xlfn.SWITCH(TYPE($C$7),1,"Number",2,"Text",4,"Logical",16,"Error",64,"Array",128,"Compound","Unknown")</f>
        <v>Number</v>
      </c>
      <c r="E57" s="2"/>
      <c r="F57" s="2"/>
      <c r="G57" s="2"/>
      <c r="H57" s="2"/>
      <c r="I57" s="2"/>
      <c r="J57" s="2"/>
      <c r="K57" s="2"/>
      <c r="L57" s="2"/>
      <c r="M57" s="2"/>
      <c r="N57" s="2"/>
    </row>
    <row r="58" spans="2:14">
      <c r="B58" s="5" t="str">
        <f t="shared" si="1"/>
        <v>Negative One</v>
      </c>
      <c r="C58" s="10">
        <f>TYPE($C$8)</f>
        <v>1</v>
      </c>
      <c r="D58" s="10" t="str" cm="1">
        <f t="array" ref="D58">_xlfn.SWITCH(TYPE($C$8),1,"Number",2,"Text",4,"Logical",16,"Error",64,"Array",128,"Compound","Unknown")</f>
        <v>Number</v>
      </c>
      <c r="E58" s="2"/>
      <c r="F58" s="2"/>
      <c r="G58" s="2"/>
      <c r="H58" s="2"/>
      <c r="I58" s="2"/>
      <c r="J58" s="2"/>
      <c r="K58" s="2"/>
      <c r="L58" s="2"/>
      <c r="M58" s="2"/>
      <c r="N58" s="2"/>
    </row>
    <row r="59" spans="2:14">
      <c r="B59" s="5" t="str">
        <f t="shared" si="1"/>
        <v>Decimal (+)</v>
      </c>
      <c r="C59" s="10">
        <f>TYPE($C$9)</f>
        <v>1</v>
      </c>
      <c r="D59" s="10" t="str" cm="1">
        <f t="array" ref="D59">_xlfn.SWITCH(TYPE($C$9),1,"Number",2,"Text",4,"Logical",16,"Error",64,"Array",128,"Compound","Unknown")</f>
        <v>Number</v>
      </c>
      <c r="E59" s="2"/>
      <c r="F59" s="2"/>
      <c r="G59" s="2"/>
      <c r="H59" s="2"/>
      <c r="I59" s="2"/>
      <c r="J59" s="2"/>
      <c r="K59" s="2"/>
      <c r="L59" s="2"/>
      <c r="M59" s="2"/>
      <c r="N59" s="2"/>
    </row>
    <row r="60" spans="2:14">
      <c r="B60" s="5" t="str">
        <f t="shared" si="1"/>
        <v>Decimal (-)</v>
      </c>
      <c r="C60" s="10">
        <f>TYPE($C$10)</f>
        <v>1</v>
      </c>
      <c r="D60" s="10" t="str" cm="1">
        <f t="array" ref="D60">_xlfn.SWITCH(TYPE($C$10),1,"Number",2,"Text",4,"Logical",16,"Error",64,"Array",128,"Compound","Unknown")</f>
        <v>Number</v>
      </c>
      <c r="E60" s="2"/>
      <c r="F60" s="2"/>
      <c r="G60" s="2"/>
      <c r="H60" s="2"/>
      <c r="I60" s="2"/>
      <c r="J60" s="2"/>
      <c r="K60" s="2"/>
      <c r="L60" s="2"/>
      <c r="M60" s="2"/>
      <c r="N60" s="2"/>
    </row>
    <row r="61" spans="2:14">
      <c r="B61" s="5" t="str">
        <f t="shared" si="1"/>
        <v>Text String</v>
      </c>
      <c r="C61" s="10">
        <f>TYPE($C$11)</f>
        <v>2</v>
      </c>
      <c r="D61" s="10" t="str" cm="1">
        <f t="array" ref="D61">_xlfn.SWITCH(TYPE($C$11),1,"Number",2,"Text",4,"Logical",16,"Error",64,"Array",128,"Compound","Unknown")</f>
        <v>Text</v>
      </c>
      <c r="E61" s="2"/>
      <c r="F61" s="2"/>
      <c r="G61" s="2"/>
      <c r="H61" s="2"/>
      <c r="I61" s="2"/>
      <c r="J61" s="2"/>
      <c r="K61" s="2"/>
      <c r="L61" s="2"/>
      <c r="M61" s="2"/>
      <c r="N61" s="2"/>
    </row>
    <row r="62" spans="2:14">
      <c r="B62" s="5" t="str">
        <f t="shared" si="1"/>
        <v>Empty String</v>
      </c>
      <c r="C62" s="10">
        <f>TYPE($C$12)</f>
        <v>2</v>
      </c>
      <c r="D62" s="10" t="str" cm="1">
        <f t="array" ref="D62">_xlfn.SWITCH(TYPE($C$12),1,"Number",2,"Text",4,"Logical",16,"Error",64,"Array",128,"Compound","Unknown")</f>
        <v>Text</v>
      </c>
      <c r="E62" s="2"/>
      <c r="F62" s="2"/>
      <c r="G62" s="2"/>
      <c r="H62" s="2"/>
      <c r="I62" s="2"/>
      <c r="J62" s="2"/>
      <c r="K62" s="2"/>
      <c r="L62" s="2"/>
      <c r="M62" s="2"/>
      <c r="N62" s="2"/>
    </row>
    <row r="63" spans="2:14">
      <c r="B63" s="5" t="b">
        <f t="shared" si="1"/>
        <v>1</v>
      </c>
      <c r="C63" s="10">
        <f>TYPE($C$13)</f>
        <v>4</v>
      </c>
      <c r="D63" s="10" t="str" cm="1">
        <f t="array" ref="D63">_xlfn.SWITCH(TYPE($C$13),1,"Number",2,"Text",4,"Logical",16,"Error",64,"Array",128,"Compound","Unknown")</f>
        <v>Logical</v>
      </c>
      <c r="E63" s="2"/>
      <c r="F63" s="2"/>
      <c r="G63" s="2"/>
      <c r="H63" s="2"/>
      <c r="I63" s="2"/>
      <c r="J63" s="2"/>
      <c r="K63" s="2"/>
      <c r="L63" s="2"/>
      <c r="M63" s="2"/>
      <c r="N63" s="2"/>
    </row>
    <row r="64" spans="2:14">
      <c r="B64" s="5" t="b">
        <f t="shared" si="1"/>
        <v>0</v>
      </c>
      <c r="C64" s="10">
        <f>TYPE($C$14)</f>
        <v>4</v>
      </c>
      <c r="D64" s="10" t="str" cm="1">
        <f t="array" ref="D64">_xlfn.SWITCH(TYPE($C$14),1,"Number",2,"Text",4,"Logical",16,"Error",64,"Array",128,"Compound","Unknown")</f>
        <v>Logical</v>
      </c>
      <c r="E64" s="2"/>
      <c r="F64" s="2"/>
      <c r="G64" s="2"/>
      <c r="H64" s="2"/>
      <c r="I64" s="2"/>
      <c r="J64" s="2"/>
      <c r="K64" s="2"/>
      <c r="L64" s="2"/>
      <c r="M64" s="2"/>
      <c r="N64" s="2"/>
    </row>
    <row r="65" spans="2:14">
      <c r="B65" s="5" t="str">
        <f t="shared" si="1"/>
        <v>Formula (Number)</v>
      </c>
      <c r="C65" s="10">
        <f>TYPE($C$15)</f>
        <v>1</v>
      </c>
      <c r="D65" s="10" t="str" cm="1">
        <f t="array" ref="D65">_xlfn.SWITCH(TYPE($C$15),1,"Number",2,"Text",4,"Logical",16,"Error",64,"Array",128,"Compound","Unknown")</f>
        <v>Number</v>
      </c>
      <c r="E65" s="2"/>
      <c r="F65" s="2"/>
      <c r="G65" s="2"/>
      <c r="H65" s="2"/>
      <c r="I65" s="2"/>
      <c r="J65" s="2"/>
      <c r="K65" s="2"/>
      <c r="L65" s="2"/>
      <c r="M65" s="2"/>
      <c r="N65" s="2"/>
    </row>
    <row r="66" spans="2:14">
      <c r="B66" s="5" t="str">
        <f t="shared" si="1"/>
        <v>Formula (Text)</v>
      </c>
      <c r="C66" s="10">
        <f>TYPE($C$16)</f>
        <v>2</v>
      </c>
      <c r="D66" s="10" t="str" cm="1">
        <f t="array" ref="D66">_xlfn.SWITCH(TYPE($C$16),1,"Number",2,"Text",4,"Logical",16,"Error",64,"Array",128,"Compound","Unknown")</f>
        <v>Text</v>
      </c>
      <c r="E66" s="2"/>
      <c r="F66" s="2"/>
      <c r="G66" s="2"/>
      <c r="H66" s="2"/>
      <c r="I66" s="2"/>
      <c r="J66" s="2"/>
      <c r="K66" s="2"/>
      <c r="L66" s="2"/>
      <c r="M66" s="2"/>
      <c r="N66" s="2"/>
    </row>
    <row r="67" spans="2:14">
      <c r="B67" s="5" t="str">
        <f t="shared" si="1"/>
        <v>Formula (Logical)</v>
      </c>
      <c r="C67" s="10">
        <f>TYPE($C$17)</f>
        <v>4</v>
      </c>
      <c r="D67" s="10" t="str" cm="1">
        <f t="array" ref="D67">_xlfn.SWITCH(TYPE($C$17),1,"Number",2,"Text",4,"Logical",16,"Error",64,"Array",128,"Compound","Unknown")</f>
        <v>Logical</v>
      </c>
      <c r="E67" s="2"/>
      <c r="F67" s="2"/>
      <c r="G67" s="2"/>
      <c r="H67" s="2"/>
      <c r="I67" s="2"/>
      <c r="J67" s="2"/>
      <c r="K67" s="2"/>
      <c r="L67" s="2"/>
      <c r="M67" s="2"/>
      <c r="N67" s="2"/>
    </row>
    <row r="68" spans="2:14">
      <c r="B68" s="5" t="str">
        <f t="shared" si="1"/>
        <v>#N/A Error</v>
      </c>
      <c r="C68" s="10">
        <f>TYPE($C$18)</f>
        <v>16</v>
      </c>
      <c r="D68" s="10" t="str" cm="1">
        <f t="array" ref="D68">_xlfn.SWITCH(TYPE($C$18),1,"Number",2,"Text",4,"Logical",16,"Error",64,"Array",128,"Compound","Unknown")</f>
        <v>Error</v>
      </c>
      <c r="E68" s="2"/>
      <c r="F68" s="2"/>
      <c r="G68" s="2"/>
      <c r="H68" s="2"/>
      <c r="I68" s="2"/>
      <c r="J68" s="2"/>
      <c r="K68" s="2"/>
      <c r="L68" s="2"/>
      <c r="M68" s="2"/>
      <c r="N68" s="2"/>
    </row>
    <row r="69" spans="2:14">
      <c r="B69" s="5" t="str">
        <f t="shared" si="1"/>
        <v>#DIV/0! Error</v>
      </c>
      <c r="C69" s="10">
        <f>TYPE($C$19)</f>
        <v>16</v>
      </c>
      <c r="D69" s="10" t="str" cm="1">
        <f t="array" ref="D69">_xlfn.SWITCH(TYPE($C$19),1,"Number",2,"Text",4,"Logical",16,"Error",64,"Array",128,"Compound","Unknown")</f>
        <v>Error</v>
      </c>
      <c r="E69" s="2"/>
      <c r="F69" s="2"/>
      <c r="G69" s="2"/>
      <c r="H69" s="2"/>
      <c r="I69" s="2"/>
      <c r="J69" s="2"/>
      <c r="K69" s="2"/>
      <c r="L69" s="2"/>
      <c r="M69" s="2"/>
      <c r="N69" s="2"/>
    </row>
    <row r="70" spans="2:14">
      <c r="B70" s="5" t="str">
        <f t="shared" si="1"/>
        <v>#NUM! Error</v>
      </c>
      <c r="C70" s="10">
        <f>TYPE($C$20)</f>
        <v>16</v>
      </c>
      <c r="D70" s="10" t="str" cm="1">
        <f t="array" ref="D70">_xlfn.SWITCH(TYPE($C$20),1,"Number",2,"Text",4,"Logical",16,"Error",64,"Array",128,"Compound","Unknown")</f>
        <v>Error</v>
      </c>
      <c r="E70" s="2"/>
      <c r="F70" s="2"/>
      <c r="G70" s="2"/>
      <c r="H70" s="2"/>
      <c r="I70" s="2"/>
      <c r="J70" s="2"/>
      <c r="K70" s="2"/>
      <c r="L70" s="2"/>
      <c r="M70" s="2"/>
      <c r="N70" s="2"/>
    </row>
    <row r="71" spans="2:14">
      <c r="B71" s="5" t="str">
        <f t="shared" si="1"/>
        <v>#VALUE! Error</v>
      </c>
      <c r="C71" s="10">
        <f>TYPE($C$21)</f>
        <v>16</v>
      </c>
      <c r="D71" s="10" t="str" cm="1">
        <f t="array" ref="D71">_xlfn.SWITCH(TYPE($C$21),1,"Number",2,"Text",4,"Logical",16,"Error",64,"Array",128,"Compound","Unknown")</f>
        <v>Error</v>
      </c>
      <c r="E71" s="2"/>
      <c r="F71" s="2"/>
      <c r="G71" s="2"/>
      <c r="H71" s="2"/>
      <c r="I71" s="2"/>
      <c r="J71" s="2"/>
      <c r="K71" s="2"/>
      <c r="L71" s="2"/>
      <c r="M71" s="2"/>
      <c r="N71" s="2"/>
    </row>
    <row r="72" spans="2:14">
      <c r="B72" s="5" t="str">
        <f t="shared" si="1"/>
        <v>#REF! Error</v>
      </c>
      <c r="C72" s="10">
        <f ca="1">TYPE($C$22)</f>
        <v>16</v>
      </c>
      <c r="D72" s="10" t="str" cm="1">
        <f t="array" aca="1" ref="D72" ca="1">_xlfn.SWITCH(TYPE($C$22),1,"Number",2,"Text",4,"Logical",16,"Error",64,"Array",128,"Compound","Unknown")</f>
        <v>Error</v>
      </c>
      <c r="E72" s="2"/>
      <c r="F72" s="2"/>
      <c r="G72" s="2"/>
      <c r="H72" s="2"/>
      <c r="I72" s="2"/>
      <c r="J72" s="2"/>
      <c r="K72" s="2"/>
      <c r="L72" s="2"/>
      <c r="M72" s="2"/>
      <c r="N72" s="2"/>
    </row>
    <row r="73" spans="2:14">
      <c r="B73" s="5" t="str">
        <f t="shared" si="1"/>
        <v>Date Value</v>
      </c>
      <c r="C73" s="10">
        <f>TYPE($C$23)</f>
        <v>1</v>
      </c>
      <c r="D73" s="10" t="str" cm="1">
        <f t="array" ref="D73">_xlfn.SWITCH(TYPE($C$23),1,"Number",2,"Text",4,"Logical",16,"Error",64,"Array",128,"Compound","Unknown")</f>
        <v>Number</v>
      </c>
      <c r="E73" s="2"/>
      <c r="F73" s="2"/>
      <c r="G73" s="2"/>
      <c r="H73" s="2"/>
      <c r="I73" s="2"/>
      <c r="J73" s="2"/>
      <c r="K73" s="2"/>
      <c r="L73" s="2"/>
      <c r="M73" s="2"/>
      <c r="N73" s="2"/>
    </row>
    <row r="74" spans="2:14">
      <c r="B74" s="5" t="str">
        <f t="shared" si="1"/>
        <v>Large Number</v>
      </c>
      <c r="C74" s="10">
        <f>TYPE($C$24)</f>
        <v>1</v>
      </c>
      <c r="D74" s="10" t="str" cm="1">
        <f t="array" ref="D74">_xlfn.SWITCH(TYPE($C$24),1,"Number",2,"Text",4,"Logical",16,"Error",64,"Array",128,"Compound","Unknown")</f>
        <v>Number</v>
      </c>
      <c r="E74" s="2"/>
      <c r="F74" s="2"/>
      <c r="G74" s="2"/>
      <c r="H74" s="2"/>
      <c r="I74" s="2"/>
      <c r="J74" s="2"/>
      <c r="K74" s="2"/>
      <c r="L74" s="2"/>
      <c r="M74" s="2"/>
      <c r="N74" s="2"/>
    </row>
    <row r="75" spans="2:14">
      <c r="B75" s="5" t="str">
        <f t="shared" si="1"/>
        <v>Small Number</v>
      </c>
      <c r="C75" s="10">
        <f>TYPE($C$25)</f>
        <v>1</v>
      </c>
      <c r="D75" s="10" t="str" cm="1">
        <f t="array" ref="D75">_xlfn.SWITCH(TYPE($C$25),1,"Number",2,"Text",4,"Logical",16,"Error",64,"Array",128,"Compound","Unknown")</f>
        <v>Number</v>
      </c>
      <c r="E75" s="2"/>
      <c r="F75" s="2"/>
      <c r="G75" s="2"/>
      <c r="H75" s="2"/>
      <c r="I75" s="2"/>
      <c r="J75" s="2"/>
      <c r="K75" s="2"/>
      <c r="L75" s="2"/>
      <c r="M75" s="2"/>
      <c r="N75" s="2"/>
    </row>
    <row r="76" spans="2:14"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</row>
    <row r="77" spans="2:14"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</row>
    <row r="78" spans="2:14">
      <c r="B78" s="4" t="s">
        <v>35</v>
      </c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</row>
    <row r="79" spans="2:14">
      <c r="B79" s="9" t="s">
        <v>23</v>
      </c>
      <c r="C79" s="8" t="s">
        <v>36</v>
      </c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</row>
    <row r="80" spans="2:14">
      <c r="B80" s="5" t="str">
        <f t="shared" ref="B80:B100" si="2">B5</f>
        <v>Blank Cell</v>
      </c>
      <c r="C80" s="10">
        <f>N($C$5)</f>
        <v>0</v>
      </c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</row>
    <row r="81" spans="2:14">
      <c r="B81" s="5" t="str">
        <f t="shared" si="2"/>
        <v>Zero</v>
      </c>
      <c r="C81" s="10">
        <f>N($C$6)</f>
        <v>0</v>
      </c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</row>
    <row r="82" spans="2:14">
      <c r="B82" s="5" t="str">
        <f t="shared" si="2"/>
        <v>One</v>
      </c>
      <c r="C82" s="10">
        <f>N($C$7)</f>
        <v>1</v>
      </c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</row>
    <row r="83" spans="2:14">
      <c r="B83" s="5" t="str">
        <f t="shared" si="2"/>
        <v>Negative One</v>
      </c>
      <c r="C83" s="10">
        <f>N($C$8)</f>
        <v>-1</v>
      </c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</row>
    <row r="84" spans="2:14">
      <c r="B84" s="5" t="str">
        <f t="shared" si="2"/>
        <v>Decimal (+)</v>
      </c>
      <c r="C84" s="10">
        <f>N($C$9)</f>
        <v>42.5</v>
      </c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</row>
    <row r="85" spans="2:14">
      <c r="B85" s="5" t="str">
        <f t="shared" si="2"/>
        <v>Decimal (-)</v>
      </c>
      <c r="C85" s="10">
        <f>N($C$10)</f>
        <v>-42.5</v>
      </c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</row>
    <row r="86" spans="2:14">
      <c r="B86" s="5" t="str">
        <f t="shared" si="2"/>
        <v>Text String</v>
      </c>
      <c r="C86" s="10">
        <f>N($C$11)</f>
        <v>0</v>
      </c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</row>
    <row r="87" spans="2:14">
      <c r="B87" s="5" t="str">
        <f t="shared" si="2"/>
        <v>Empty String</v>
      </c>
      <c r="C87" s="10">
        <f>N($C$12)</f>
        <v>0</v>
      </c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</row>
    <row r="88" spans="2:14">
      <c r="B88" s="5" t="b">
        <f t="shared" si="2"/>
        <v>1</v>
      </c>
      <c r="C88" s="10">
        <f>N($C$13)</f>
        <v>1</v>
      </c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</row>
    <row r="89" spans="2:14">
      <c r="B89" s="5" t="b">
        <f t="shared" si="2"/>
        <v>0</v>
      </c>
      <c r="C89" s="10">
        <f>N($C$14)</f>
        <v>0</v>
      </c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</row>
    <row r="90" spans="2:14">
      <c r="B90" s="5" t="str">
        <f t="shared" si="2"/>
        <v>Formula (Number)</v>
      </c>
      <c r="C90" s="10">
        <f>N($C$15)</f>
        <v>2</v>
      </c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</row>
    <row r="91" spans="2:14">
      <c r="B91" s="5" t="str">
        <f t="shared" si="2"/>
        <v>Formula (Text)</v>
      </c>
      <c r="C91" s="10">
        <f>N($C$16)</f>
        <v>0</v>
      </c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</row>
    <row r="92" spans="2:14">
      <c r="B92" s="5" t="str">
        <f t="shared" si="2"/>
        <v>Formula (Logical)</v>
      </c>
      <c r="C92" s="10">
        <f>N($C$17)</f>
        <v>1</v>
      </c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</row>
    <row r="93" spans="2:14">
      <c r="B93" s="5" t="str">
        <f t="shared" si="2"/>
        <v>#N/A Error</v>
      </c>
      <c r="C93" s="10" t="e">
        <f>N($C$18)</f>
        <v>#N/A</v>
      </c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</row>
    <row r="94" spans="2:14">
      <c r="B94" s="5" t="str">
        <f t="shared" si="2"/>
        <v>#DIV/0! Error</v>
      </c>
      <c r="C94" s="10" t="e">
        <f>N($C$19)</f>
        <v>#DIV/0!</v>
      </c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</row>
    <row r="95" spans="2:14">
      <c r="B95" s="5" t="str">
        <f t="shared" si="2"/>
        <v>#NUM! Error</v>
      </c>
      <c r="C95" s="10" t="e">
        <f>N($C$20)</f>
        <v>#NUM!</v>
      </c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</row>
    <row r="96" spans="2:14">
      <c r="B96" s="5" t="str">
        <f t="shared" si="2"/>
        <v>#VALUE! Error</v>
      </c>
      <c r="C96" s="10" t="e">
        <f>N($C$21)</f>
        <v>#VALUE!</v>
      </c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</row>
    <row r="97" spans="2:14">
      <c r="B97" s="5" t="str">
        <f t="shared" si="2"/>
        <v>#REF! Error</v>
      </c>
      <c r="C97" s="10" t="e">
        <f ca="1">N($C$22)</f>
        <v>#REF!</v>
      </c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</row>
    <row r="98" spans="2:14">
      <c r="B98" s="5" t="str">
        <f t="shared" si="2"/>
        <v>Date Value</v>
      </c>
      <c r="C98" s="10">
        <f>N($C$23)</f>
        <v>44941</v>
      </c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</row>
    <row r="99" spans="2:14">
      <c r="B99" s="5" t="str">
        <f t="shared" si="2"/>
        <v>Large Number</v>
      </c>
      <c r="C99" s="10">
        <f>N($C$24)</f>
        <v>9.9999999999999901E+307</v>
      </c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</row>
    <row r="100" spans="2:14">
      <c r="B100" s="5" t="str">
        <f t="shared" si="2"/>
        <v>Small Number</v>
      </c>
      <c r="C100" s="10">
        <f>N($C$25)</f>
        <v>9.9999999999999991E-308</v>
      </c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</row>
    <row r="101" spans="2:14"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</row>
    <row r="102" spans="2:14"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</row>
    <row r="103" spans="2:14">
      <c r="B103" s="4" t="s">
        <v>37</v>
      </c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</row>
    <row r="104" spans="2:14">
      <c r="B104" s="8" t="s">
        <v>38</v>
      </c>
      <c r="C104" s="8" t="s">
        <v>39</v>
      </c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</row>
    <row r="105" spans="2:14">
      <c r="B105" s="5" t="s">
        <v>40</v>
      </c>
      <c r="C105" s="10" t="e">
        <f>NA()</f>
        <v>#N/A</v>
      </c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</row>
    <row r="106" spans="2:14">
      <c r="B106" s="5" t="s">
        <v>41</v>
      </c>
      <c r="C106" s="10" t="b">
        <f>ISNA(NA())</f>
        <v>1</v>
      </c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</row>
    <row r="107" spans="2:14">
      <c r="B107" s="5" t="s">
        <v>42</v>
      </c>
      <c r="C107" s="10" t="b">
        <f>ISERROR(NA())</f>
        <v>1</v>
      </c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</row>
    <row r="108" spans="2:14">
      <c r="B108" s="5" t="s">
        <v>43</v>
      </c>
      <c r="C108" s="10" t="b">
        <f>ISERR(NA())</f>
        <v>0</v>
      </c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</row>
    <row r="109" spans="2:14">
      <c r="B109" s="5" t="s">
        <v>44</v>
      </c>
      <c r="C109" s="10">
        <f>TYPE(NA())</f>
        <v>16</v>
      </c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</row>
    <row r="110" spans="2:14">
      <c r="B110" s="5" t="s">
        <v>45</v>
      </c>
      <c r="C110" s="10">
        <f>ERROR.TYPE(NA())</f>
        <v>7</v>
      </c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</row>
    <row r="111" spans="2:14"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</row>
    <row r="112" spans="2:14"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</row>
    <row r="113" spans="2:14">
      <c r="B113" s="4" t="s">
        <v>46</v>
      </c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</row>
    <row r="114" spans="2:14">
      <c r="B114" s="9" t="s">
        <v>23</v>
      </c>
      <c r="C114" s="8" t="s">
        <v>47</v>
      </c>
      <c r="D114" s="8" t="s">
        <v>48</v>
      </c>
      <c r="E114" s="2"/>
      <c r="F114" s="2"/>
      <c r="G114" s="2"/>
      <c r="H114" s="2"/>
      <c r="I114" s="2"/>
      <c r="J114" s="2"/>
      <c r="K114" s="2"/>
      <c r="L114" s="2"/>
      <c r="M114" s="2"/>
      <c r="N114" s="2"/>
    </row>
    <row r="115" spans="2:14">
      <c r="B115" s="5" t="str">
        <f t="shared" ref="B115:B135" si="3">B5</f>
        <v>Blank Cell</v>
      </c>
      <c r="C115" s="10" t="str">
        <f>IFERROR(ERROR.TYPE($C$5),"Not an error")</f>
        <v>Not an error</v>
      </c>
      <c r="D115" s="10" t="str" cm="1">
        <f t="array" ref="D115">IFERROR(_xlfn.SWITCH(ERROR.TYPE($C$5),1,"#NULL!",2,"#DIV/0!",3,"#VALUE!",4,"#REF!",5,"#NAME?",6,"#NUM!",7,"#N/A",8,"#GETTING_DATA"),"Not an error")</f>
        <v>Not an error</v>
      </c>
      <c r="E115" s="2"/>
      <c r="F115" s="2"/>
      <c r="G115" s="2"/>
      <c r="H115" s="2"/>
      <c r="I115" s="2"/>
      <c r="J115" s="2"/>
      <c r="K115" s="2"/>
      <c r="L115" s="2"/>
      <c r="M115" s="2"/>
      <c r="N115" s="2"/>
    </row>
    <row r="116" spans="2:14">
      <c r="B116" s="5" t="str">
        <f t="shared" si="3"/>
        <v>Zero</v>
      </c>
      <c r="C116" s="10" t="str">
        <f>IFERROR(ERROR.TYPE($C$6),"Not an error")</f>
        <v>Not an error</v>
      </c>
      <c r="D116" s="10" t="str" cm="1">
        <f t="array" ref="D116">IFERROR(_xlfn.SWITCH(ERROR.TYPE($C$6),1,"#NULL!",2,"#DIV/0!",3,"#VALUE!",4,"#REF!",5,"#NAME?",6,"#NUM!",7,"#N/A",8,"#GETTING_DATA"),"Not an error")</f>
        <v>Not an error</v>
      </c>
      <c r="E116" s="2"/>
      <c r="F116" s="2"/>
      <c r="G116" s="2"/>
      <c r="H116" s="2"/>
      <c r="I116" s="2"/>
      <c r="J116" s="2"/>
      <c r="K116" s="2"/>
      <c r="L116" s="2"/>
      <c r="M116" s="2"/>
      <c r="N116" s="2"/>
    </row>
    <row r="117" spans="2:14">
      <c r="B117" s="5" t="str">
        <f t="shared" si="3"/>
        <v>One</v>
      </c>
      <c r="C117" s="10" t="str">
        <f>IFERROR(ERROR.TYPE($C$7),"Not an error")</f>
        <v>Not an error</v>
      </c>
      <c r="D117" s="10" t="str" cm="1">
        <f t="array" ref="D117">IFERROR(_xlfn.SWITCH(ERROR.TYPE($C$7),1,"#NULL!",2,"#DIV/0!",3,"#VALUE!",4,"#REF!",5,"#NAME?",6,"#NUM!",7,"#N/A",8,"#GETTING_DATA"),"Not an error")</f>
        <v>Not an error</v>
      </c>
      <c r="E117" s="2"/>
      <c r="F117" s="2"/>
      <c r="G117" s="2"/>
      <c r="H117" s="2"/>
      <c r="I117" s="2"/>
      <c r="J117" s="2"/>
      <c r="K117" s="2"/>
      <c r="L117" s="2"/>
      <c r="M117" s="2"/>
      <c r="N117" s="2"/>
    </row>
    <row r="118" spans="2:14">
      <c r="B118" s="5" t="str">
        <f t="shared" si="3"/>
        <v>Negative One</v>
      </c>
      <c r="C118" s="10" t="str">
        <f>IFERROR(ERROR.TYPE($C$8),"Not an error")</f>
        <v>Not an error</v>
      </c>
      <c r="D118" s="10" t="str" cm="1">
        <f t="array" ref="D118">IFERROR(_xlfn.SWITCH(ERROR.TYPE($C$8),1,"#NULL!",2,"#DIV/0!",3,"#VALUE!",4,"#REF!",5,"#NAME?",6,"#NUM!",7,"#N/A",8,"#GETTING_DATA"),"Not an error")</f>
        <v>Not an error</v>
      </c>
      <c r="E118" s="2"/>
      <c r="F118" s="2"/>
      <c r="G118" s="2"/>
      <c r="H118" s="2"/>
      <c r="I118" s="2"/>
      <c r="J118" s="2"/>
      <c r="K118" s="2"/>
      <c r="L118" s="2"/>
      <c r="M118" s="2"/>
      <c r="N118" s="2"/>
    </row>
    <row r="119" spans="2:14">
      <c r="B119" s="5" t="str">
        <f t="shared" si="3"/>
        <v>Decimal (+)</v>
      </c>
      <c r="C119" s="10" t="str">
        <f>IFERROR(ERROR.TYPE($C$9),"Not an error")</f>
        <v>Not an error</v>
      </c>
      <c r="D119" s="10" t="str" cm="1">
        <f t="array" ref="D119">IFERROR(_xlfn.SWITCH(ERROR.TYPE($C$9),1,"#NULL!",2,"#DIV/0!",3,"#VALUE!",4,"#REF!",5,"#NAME?",6,"#NUM!",7,"#N/A",8,"#GETTING_DATA"),"Not an error")</f>
        <v>Not an error</v>
      </c>
      <c r="E119" s="2"/>
      <c r="F119" s="2"/>
      <c r="G119" s="2"/>
      <c r="H119" s="2"/>
      <c r="I119" s="2"/>
      <c r="J119" s="2"/>
      <c r="K119" s="2"/>
      <c r="L119" s="2"/>
      <c r="M119" s="2"/>
      <c r="N119" s="2"/>
    </row>
    <row r="120" spans="2:14">
      <c r="B120" s="5" t="str">
        <f t="shared" si="3"/>
        <v>Decimal (-)</v>
      </c>
      <c r="C120" s="10" t="str">
        <f>IFERROR(ERROR.TYPE($C$10),"Not an error")</f>
        <v>Not an error</v>
      </c>
      <c r="D120" s="10" t="str" cm="1">
        <f t="array" ref="D120">IFERROR(_xlfn.SWITCH(ERROR.TYPE($C$10),1,"#NULL!",2,"#DIV/0!",3,"#VALUE!",4,"#REF!",5,"#NAME?",6,"#NUM!",7,"#N/A",8,"#GETTING_DATA"),"Not an error")</f>
        <v>Not an error</v>
      </c>
      <c r="E120" s="2"/>
      <c r="F120" s="2"/>
      <c r="G120" s="2"/>
      <c r="H120" s="2"/>
      <c r="I120" s="2"/>
      <c r="J120" s="2"/>
      <c r="K120" s="2"/>
      <c r="L120" s="2"/>
      <c r="M120" s="2"/>
      <c r="N120" s="2"/>
    </row>
    <row r="121" spans="2:14">
      <c r="B121" s="5" t="str">
        <f t="shared" si="3"/>
        <v>Text String</v>
      </c>
      <c r="C121" s="10" t="str">
        <f>IFERROR(ERROR.TYPE($C$11),"Not an error")</f>
        <v>Not an error</v>
      </c>
      <c r="D121" s="10" t="str" cm="1">
        <f t="array" ref="D121">IFERROR(_xlfn.SWITCH(ERROR.TYPE($C$11),1,"#NULL!",2,"#DIV/0!",3,"#VALUE!",4,"#REF!",5,"#NAME?",6,"#NUM!",7,"#N/A",8,"#GETTING_DATA"),"Not an error")</f>
        <v>Not an error</v>
      </c>
      <c r="E121" s="2"/>
      <c r="F121" s="2"/>
      <c r="G121" s="2"/>
      <c r="H121" s="2"/>
      <c r="I121" s="2"/>
      <c r="J121" s="2"/>
      <c r="K121" s="2"/>
      <c r="L121" s="2"/>
      <c r="M121" s="2"/>
      <c r="N121" s="2"/>
    </row>
    <row r="122" spans="2:14">
      <c r="B122" s="5" t="str">
        <f t="shared" si="3"/>
        <v>Empty String</v>
      </c>
      <c r="C122" s="10" t="str">
        <f>IFERROR(ERROR.TYPE($C$12),"Not an error")</f>
        <v>Not an error</v>
      </c>
      <c r="D122" s="10" t="str" cm="1">
        <f t="array" ref="D122">IFERROR(_xlfn.SWITCH(ERROR.TYPE($C$12),1,"#NULL!",2,"#DIV/0!",3,"#VALUE!",4,"#REF!",5,"#NAME?",6,"#NUM!",7,"#N/A",8,"#GETTING_DATA"),"Not an error")</f>
        <v>Not an error</v>
      </c>
      <c r="E122" s="2"/>
      <c r="F122" s="2"/>
      <c r="G122" s="2"/>
      <c r="H122" s="2"/>
      <c r="I122" s="2"/>
      <c r="J122" s="2"/>
      <c r="K122" s="2"/>
      <c r="L122" s="2"/>
      <c r="M122" s="2"/>
      <c r="N122" s="2"/>
    </row>
    <row r="123" spans="2:14">
      <c r="B123" s="5" t="b">
        <f t="shared" si="3"/>
        <v>1</v>
      </c>
      <c r="C123" s="10" t="str">
        <f>IFERROR(ERROR.TYPE($C$13),"Not an error")</f>
        <v>Not an error</v>
      </c>
      <c r="D123" s="10" t="str" cm="1">
        <f t="array" ref="D123">IFERROR(_xlfn.SWITCH(ERROR.TYPE($C$13),1,"#NULL!",2,"#DIV/0!",3,"#VALUE!",4,"#REF!",5,"#NAME?",6,"#NUM!",7,"#N/A",8,"#GETTING_DATA"),"Not an error")</f>
        <v>Not an error</v>
      </c>
      <c r="E123" s="2"/>
      <c r="F123" s="2"/>
      <c r="G123" s="2"/>
      <c r="H123" s="2"/>
      <c r="I123" s="2"/>
      <c r="J123" s="2"/>
      <c r="K123" s="2"/>
      <c r="L123" s="2"/>
      <c r="M123" s="2"/>
      <c r="N123" s="2"/>
    </row>
    <row r="124" spans="2:14">
      <c r="B124" s="5" t="b">
        <f t="shared" si="3"/>
        <v>0</v>
      </c>
      <c r="C124" s="10" t="str">
        <f>IFERROR(ERROR.TYPE($C$14),"Not an error")</f>
        <v>Not an error</v>
      </c>
      <c r="D124" s="10" t="str" cm="1">
        <f t="array" ref="D124">IFERROR(_xlfn.SWITCH(ERROR.TYPE($C$14),1,"#NULL!",2,"#DIV/0!",3,"#VALUE!",4,"#REF!",5,"#NAME?",6,"#NUM!",7,"#N/A",8,"#GETTING_DATA"),"Not an error")</f>
        <v>Not an error</v>
      </c>
      <c r="E124" s="2"/>
      <c r="F124" s="2"/>
      <c r="G124" s="2"/>
      <c r="H124" s="2"/>
      <c r="I124" s="2"/>
      <c r="J124" s="2"/>
      <c r="K124" s="2"/>
      <c r="L124" s="2"/>
      <c r="M124" s="2"/>
      <c r="N124" s="2"/>
    </row>
    <row r="125" spans="2:14">
      <c r="B125" s="5" t="str">
        <f t="shared" si="3"/>
        <v>Formula (Number)</v>
      </c>
      <c r="C125" s="10" t="str">
        <f>IFERROR(ERROR.TYPE($C$15),"Not an error")</f>
        <v>Not an error</v>
      </c>
      <c r="D125" s="10" t="str" cm="1">
        <f t="array" ref="D125">IFERROR(_xlfn.SWITCH(ERROR.TYPE($C$15),1,"#NULL!",2,"#DIV/0!",3,"#VALUE!",4,"#REF!",5,"#NAME?",6,"#NUM!",7,"#N/A",8,"#GETTING_DATA"),"Not an error")</f>
        <v>Not an error</v>
      </c>
      <c r="E125" s="2"/>
      <c r="F125" s="2"/>
      <c r="G125" s="2"/>
      <c r="H125" s="2"/>
      <c r="I125" s="2"/>
      <c r="J125" s="2"/>
      <c r="K125" s="2"/>
      <c r="L125" s="2"/>
      <c r="M125" s="2"/>
      <c r="N125" s="2"/>
    </row>
    <row r="126" spans="2:14">
      <c r="B126" s="5" t="str">
        <f t="shared" si="3"/>
        <v>Formula (Text)</v>
      </c>
      <c r="C126" s="10" t="str">
        <f>IFERROR(ERROR.TYPE($C$16),"Not an error")</f>
        <v>Not an error</v>
      </c>
      <c r="D126" s="10" t="str" cm="1">
        <f t="array" ref="D126">IFERROR(_xlfn.SWITCH(ERROR.TYPE($C$16),1,"#NULL!",2,"#DIV/0!",3,"#VALUE!",4,"#REF!",5,"#NAME?",6,"#NUM!",7,"#N/A",8,"#GETTING_DATA"),"Not an error")</f>
        <v>Not an error</v>
      </c>
      <c r="E126" s="2"/>
      <c r="F126" s="2"/>
      <c r="G126" s="2"/>
      <c r="H126" s="2"/>
      <c r="I126" s="2"/>
      <c r="J126" s="2"/>
      <c r="K126" s="2"/>
      <c r="L126" s="2"/>
      <c r="M126" s="2"/>
      <c r="N126" s="2"/>
    </row>
    <row r="127" spans="2:14">
      <c r="B127" s="5" t="str">
        <f t="shared" si="3"/>
        <v>Formula (Logical)</v>
      </c>
      <c r="C127" s="10" t="str">
        <f>IFERROR(ERROR.TYPE($C$17),"Not an error")</f>
        <v>Not an error</v>
      </c>
      <c r="D127" s="10" t="str" cm="1">
        <f t="array" ref="D127">IFERROR(_xlfn.SWITCH(ERROR.TYPE($C$17),1,"#NULL!",2,"#DIV/0!",3,"#VALUE!",4,"#REF!",5,"#NAME?",6,"#NUM!",7,"#N/A",8,"#GETTING_DATA"),"Not an error")</f>
        <v>Not an error</v>
      </c>
      <c r="E127" s="2"/>
      <c r="F127" s="2"/>
      <c r="G127" s="2"/>
      <c r="H127" s="2"/>
      <c r="I127" s="2"/>
      <c r="J127" s="2"/>
      <c r="K127" s="2"/>
      <c r="L127" s="2"/>
      <c r="M127" s="2"/>
      <c r="N127" s="2"/>
    </row>
    <row r="128" spans="2:14">
      <c r="B128" s="5" t="str">
        <f t="shared" si="3"/>
        <v>#N/A Error</v>
      </c>
      <c r="C128" s="10">
        <f>IFERROR(ERROR.TYPE($C$18),"Not an error")</f>
        <v>7</v>
      </c>
      <c r="D128" s="10" t="str" cm="1">
        <f t="array" ref="D128">IFERROR(_xlfn.SWITCH(ERROR.TYPE($C$18),1,"#NULL!",2,"#DIV/0!",3,"#VALUE!",4,"#REF!",5,"#NAME?",6,"#NUM!",7,"#N/A",8,"#GETTING_DATA"),"Not an error")</f>
        <v>#N/A</v>
      </c>
      <c r="E128" s="2"/>
      <c r="F128" s="2"/>
      <c r="G128" s="2"/>
      <c r="H128" s="2"/>
      <c r="I128" s="2"/>
      <c r="J128" s="2"/>
      <c r="K128" s="2"/>
      <c r="L128" s="2"/>
      <c r="M128" s="2"/>
      <c r="N128" s="2"/>
    </row>
    <row r="129" spans="2:15">
      <c r="B129" s="5" t="str">
        <f t="shared" si="3"/>
        <v>#DIV/0! Error</v>
      </c>
      <c r="C129" s="10">
        <f>IFERROR(ERROR.TYPE($C$19),"Not an error")</f>
        <v>2</v>
      </c>
      <c r="D129" s="10" t="str" cm="1">
        <f t="array" ref="D129">IFERROR(_xlfn.SWITCH(ERROR.TYPE($C$19),1,"#NULL!",2,"#DIV/0!",3,"#VALUE!",4,"#REF!",5,"#NAME?",6,"#NUM!",7,"#N/A",8,"#GETTING_DATA"),"Not an error")</f>
        <v>#DIV/0!</v>
      </c>
      <c r="E129" s="2"/>
      <c r="F129" s="2"/>
      <c r="G129" s="2"/>
      <c r="H129" s="2"/>
      <c r="I129" s="2"/>
      <c r="J129" s="2"/>
      <c r="K129" s="2"/>
      <c r="L129" s="2"/>
      <c r="M129" s="2"/>
      <c r="N129" s="2"/>
    </row>
    <row r="130" spans="2:15">
      <c r="B130" s="5" t="str">
        <f t="shared" si="3"/>
        <v>#NUM! Error</v>
      </c>
      <c r="C130" s="10">
        <f>IFERROR(ERROR.TYPE($C$20),"Not an error")</f>
        <v>6</v>
      </c>
      <c r="D130" s="10" t="str" cm="1">
        <f t="array" ref="D130">IFERROR(_xlfn.SWITCH(ERROR.TYPE($C$20),1,"#NULL!",2,"#DIV/0!",3,"#VALUE!",4,"#REF!",5,"#NAME?",6,"#NUM!",7,"#N/A",8,"#GETTING_DATA"),"Not an error")</f>
        <v>#NUM!</v>
      </c>
      <c r="E130" s="2"/>
      <c r="F130" s="2"/>
      <c r="G130" s="2"/>
      <c r="H130" s="2"/>
      <c r="I130" s="2"/>
      <c r="J130" s="2"/>
      <c r="K130" s="2"/>
      <c r="L130" s="2"/>
      <c r="M130" s="2"/>
      <c r="N130" s="2"/>
    </row>
    <row r="131" spans="2:15">
      <c r="B131" s="5" t="str">
        <f t="shared" si="3"/>
        <v>#VALUE! Error</v>
      </c>
      <c r="C131" s="10">
        <f>IFERROR(ERROR.TYPE($C$21),"Not an error")</f>
        <v>3</v>
      </c>
      <c r="D131" s="10" t="str" cm="1">
        <f t="array" ref="D131">IFERROR(_xlfn.SWITCH(ERROR.TYPE($C$21),1,"#NULL!",2,"#DIV/0!",3,"#VALUE!",4,"#REF!",5,"#NAME?",6,"#NUM!",7,"#N/A",8,"#GETTING_DATA"),"Not an error")</f>
        <v>#VALUE!</v>
      </c>
      <c r="E131" s="2"/>
      <c r="F131" s="2"/>
      <c r="G131" s="2"/>
      <c r="H131" s="2"/>
      <c r="I131" s="2"/>
      <c r="J131" s="2"/>
      <c r="K131" s="2"/>
      <c r="L131" s="2"/>
      <c r="M131" s="2"/>
      <c r="N131" s="2"/>
    </row>
    <row r="132" spans="2:15">
      <c r="B132" s="5" t="str">
        <f t="shared" si="3"/>
        <v>#REF! Error</v>
      </c>
      <c r="C132" s="10">
        <f ca="1">IFERROR(ERROR.TYPE($C$22),"Not an error")</f>
        <v>4</v>
      </c>
      <c r="D132" s="10" t="str" cm="1">
        <f t="array" aca="1" ref="D132" ca="1">IFERROR(_xlfn.SWITCH(ERROR.TYPE($C$22),1,"#NULL!",2,"#DIV/0!",3,"#VALUE!",4,"#REF!",5,"#NAME?",6,"#NUM!",7,"#N/A",8,"#GETTING_DATA"),"Not an error")</f>
        <v>#REF!</v>
      </c>
      <c r="E132" s="2"/>
      <c r="F132" s="2"/>
      <c r="G132" s="2"/>
      <c r="H132" s="2"/>
      <c r="I132" s="2"/>
      <c r="J132" s="2"/>
      <c r="K132" s="2"/>
      <c r="L132" s="2"/>
      <c r="M132" s="2"/>
      <c r="N132" s="2"/>
    </row>
    <row r="133" spans="2:15">
      <c r="B133" s="5" t="str">
        <f t="shared" si="3"/>
        <v>Date Value</v>
      </c>
      <c r="C133" s="10" t="str">
        <f>IFERROR(ERROR.TYPE($C$23),"Not an error")</f>
        <v>Not an error</v>
      </c>
      <c r="D133" s="10" t="str" cm="1">
        <f t="array" ref="D133">IFERROR(_xlfn.SWITCH(ERROR.TYPE($C$23),1,"#NULL!",2,"#DIV/0!",3,"#VALUE!",4,"#REF!",5,"#NAME?",6,"#NUM!",7,"#N/A",8,"#GETTING_DATA"),"Not an error")</f>
        <v>Not an error</v>
      </c>
      <c r="E133" s="2"/>
      <c r="F133" s="2"/>
      <c r="G133" s="2"/>
      <c r="H133" s="2"/>
      <c r="I133" s="2"/>
      <c r="J133" s="2"/>
      <c r="K133" s="2"/>
      <c r="L133" s="2"/>
      <c r="M133" s="2"/>
      <c r="N133" s="2"/>
    </row>
    <row r="134" spans="2:15">
      <c r="B134" s="5" t="str">
        <f t="shared" si="3"/>
        <v>Large Number</v>
      </c>
      <c r="C134" s="10" t="str">
        <f>IFERROR(ERROR.TYPE($C$24),"Not an error")</f>
        <v>Not an error</v>
      </c>
      <c r="D134" s="10" t="str" cm="1">
        <f t="array" ref="D134">IFERROR(_xlfn.SWITCH(ERROR.TYPE($C$24),1,"#NULL!",2,"#DIV/0!",3,"#VALUE!",4,"#REF!",5,"#NAME?",6,"#NUM!",7,"#N/A",8,"#GETTING_DATA"),"Not an error")</f>
        <v>Not an error</v>
      </c>
      <c r="E134" s="2"/>
      <c r="F134" s="2"/>
      <c r="G134" s="2"/>
      <c r="H134" s="2"/>
      <c r="I134" s="2"/>
      <c r="J134" s="2"/>
      <c r="K134" s="2"/>
      <c r="L134" s="2"/>
      <c r="M134" s="2"/>
      <c r="N134" s="2"/>
    </row>
    <row r="135" spans="2:15">
      <c r="B135" s="5" t="str">
        <f t="shared" si="3"/>
        <v>Small Number</v>
      </c>
      <c r="C135" s="10" t="str">
        <f>IFERROR(ERROR.TYPE($C$25),"Not an error")</f>
        <v>Not an error</v>
      </c>
      <c r="D135" s="10" t="str" cm="1">
        <f t="array" ref="D135">IFERROR(_xlfn.SWITCH(ERROR.TYPE($C$25),1,"#NULL!",2,"#DIV/0!",3,"#VALUE!",4,"#REF!",5,"#NAME?",6,"#NUM!",7,"#N/A",8,"#GETTING_DATA"),"Not an error")</f>
        <v>Not an error</v>
      </c>
      <c r="E135" s="2"/>
      <c r="F135" s="2"/>
      <c r="G135" s="2"/>
      <c r="H135" s="2"/>
      <c r="I135" s="2"/>
      <c r="J135" s="2"/>
      <c r="K135" s="2"/>
      <c r="L135" s="2"/>
      <c r="M135" s="2"/>
      <c r="N135" s="2"/>
    </row>
    <row r="136" spans="2:15"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</row>
    <row r="137" spans="2:15"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</row>
    <row r="138" spans="2:15">
      <c r="B138" s="4" t="s">
        <v>49</v>
      </c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</row>
    <row r="139" spans="2:15">
      <c r="B139" s="9" t="s">
        <v>23</v>
      </c>
      <c r="C139" s="8" t="s">
        <v>50</v>
      </c>
      <c r="D139" s="8" t="s">
        <v>51</v>
      </c>
      <c r="E139" s="8" t="s">
        <v>52</v>
      </c>
      <c r="F139" s="8" t="s">
        <v>53</v>
      </c>
      <c r="G139" s="8" t="s">
        <v>54</v>
      </c>
      <c r="H139" s="8" t="s">
        <v>55</v>
      </c>
      <c r="I139" s="8" t="s">
        <v>56</v>
      </c>
      <c r="J139" s="8" t="s">
        <v>57</v>
      </c>
      <c r="K139" s="8" t="s">
        <v>58</v>
      </c>
      <c r="L139" s="8" t="s">
        <v>59</v>
      </c>
      <c r="M139" s="8" t="s">
        <v>60</v>
      </c>
      <c r="N139" s="8" t="s">
        <v>61</v>
      </c>
    </row>
    <row r="140" spans="2:15">
      <c r="B140" s="5" t="str">
        <f t="shared" ref="B140:B160" si="4">B5</f>
        <v>Blank Cell</v>
      </c>
      <c r="C140" s="10" t="str" cm="1">
        <f t="array" aca="1" ref="C140" ca="1">IFERROR(CELL("address",$C$5),"Error")</f>
        <v>$C$5</v>
      </c>
      <c r="D140" s="10" cm="1">
        <f t="array" aca="1" ref="D140" ca="1">IFERROR(CELL("col",$C$5),"Error")</f>
        <v>3</v>
      </c>
      <c r="E140" s="10" cm="1">
        <f t="array" aca="1" ref="E140" ca="1">IFERROR(CELL("color",$C$5),"Error")</f>
        <v>0</v>
      </c>
      <c r="F140" s="10" cm="1">
        <f t="array" aca="1" ref="F140" ca="1">IFERROR(CELL("contents",$C$5),"Error")</f>
        <v>0</v>
      </c>
      <c r="G140" s="10" t="str" cm="1">
        <f t="array" aca="1" ref="G140" ca="1">IFERROR(CELL("filename",$C$5),"Error")</f>
        <v>C:\Users\frl\projects\calipers\verification\cases\tier_a_formulas_information\[init.xlsx]Sheet1</v>
      </c>
      <c r="H140" s="10" t="str" cm="1">
        <f t="array" aca="1" ref="H140" ca="1">IFERROR(CELL("format",$C$5),"Error")</f>
        <v>G</v>
      </c>
      <c r="I140" s="10" cm="1">
        <f t="array" aca="1" ref="I140" ca="1">IFERROR(CELL("parentheses",$C$5),"Error")</f>
        <v>0</v>
      </c>
      <c r="J140" s="10" t="str" cm="1">
        <f t="array" aca="1" ref="J140" ca="1">IFERROR(CELL("prefix",$C$5),"Error")</f>
        <v/>
      </c>
      <c r="K140" s="10" cm="1">
        <f t="array" aca="1" ref="K140" ca="1">IFERROR(CELL("protect",$C$5),"Error")</f>
        <v>1</v>
      </c>
      <c r="L140" s="10" cm="1">
        <f t="array" aca="1" ref="L140" ca="1">IFERROR(CELL("row",$C$5),"Error")</f>
        <v>5</v>
      </c>
      <c r="M140" s="10" t="str" cm="1">
        <f t="array" aca="1" ref="M140" ca="1">IFERROR(CELL("type",$C$5),"Error")</f>
        <v>b</v>
      </c>
      <c r="N140" s="10" cm="1">
        <f t="array" aca="1" ref="N140:O140" ca="1">IFERROR(CELL("width",$C$5),"Error")</f>
        <v>15</v>
      </c>
      <c r="O140" t="b">
        <f ca="1"/>
        <v>0</v>
      </c>
    </row>
    <row r="141" spans="2:15">
      <c r="B141" s="5" t="str">
        <f t="shared" si="4"/>
        <v>Zero</v>
      </c>
      <c r="C141" s="10" t="str" cm="1">
        <f t="array" aca="1" ref="C141" ca="1">IFERROR(CELL("address",$C$6),"Error")</f>
        <v>$C$6</v>
      </c>
      <c r="D141" s="10" cm="1">
        <f t="array" aca="1" ref="D141" ca="1">IFERROR(CELL("col",$C$6),"Error")</f>
        <v>3</v>
      </c>
      <c r="E141" s="10" cm="1">
        <f t="array" aca="1" ref="E141" ca="1">IFERROR(CELL("color",$C$6),"Error")</f>
        <v>0</v>
      </c>
      <c r="F141" s="10" cm="1">
        <f t="array" aca="1" ref="F141" ca="1">IFERROR(CELL("contents",$C$6),"Error")</f>
        <v>0</v>
      </c>
      <c r="G141" s="10" t="str" cm="1">
        <f t="array" aca="1" ref="G141" ca="1">IFERROR(CELL("filename",$C$6),"Error")</f>
        <v>C:\Users\frl\projects\calipers\verification\cases\tier_a_formulas_information\[init.xlsx]Sheet1</v>
      </c>
      <c r="H141" s="10" t="str" cm="1">
        <f t="array" aca="1" ref="H141" ca="1">IFERROR(CELL("format",$C$6),"Error")</f>
        <v>G</v>
      </c>
      <c r="I141" s="10" cm="1">
        <f t="array" aca="1" ref="I141" ca="1">IFERROR(CELL("parentheses",$C$6),"Error")</f>
        <v>0</v>
      </c>
      <c r="J141" s="10" t="str" cm="1">
        <f t="array" aca="1" ref="J141" ca="1">IFERROR(CELL("prefix",$C$6),"Error")</f>
        <v/>
      </c>
      <c r="K141" s="10" cm="1">
        <f t="array" aca="1" ref="K141" ca="1">IFERROR(CELL("protect",$C$6),"Error")</f>
        <v>1</v>
      </c>
      <c r="L141" s="10" cm="1">
        <f t="array" aca="1" ref="L141" ca="1">IFERROR(CELL("row",$C$6),"Error")</f>
        <v>6</v>
      </c>
      <c r="M141" s="10" t="str" cm="1">
        <f t="array" aca="1" ref="M141" ca="1">IFERROR(CELL("type",$C$6),"Error")</f>
        <v>v</v>
      </c>
      <c r="N141" s="10" cm="1">
        <f t="array" aca="1" ref="N141:O141" ca="1">IFERROR(CELL("width",$C$6),"Error")</f>
        <v>15</v>
      </c>
      <c r="O141" t="b">
        <f ca="1"/>
        <v>0</v>
      </c>
    </row>
    <row r="142" spans="2:15">
      <c r="B142" s="5" t="str">
        <f t="shared" si="4"/>
        <v>One</v>
      </c>
      <c r="C142" s="10" t="str" cm="1">
        <f t="array" aca="1" ref="C142" ca="1">IFERROR(CELL("address",$C$7),"Error")</f>
        <v>$C$7</v>
      </c>
      <c r="D142" s="10" cm="1">
        <f t="array" aca="1" ref="D142" ca="1">IFERROR(CELL("col",$C$7),"Error")</f>
        <v>3</v>
      </c>
      <c r="E142" s="10" cm="1">
        <f t="array" aca="1" ref="E142" ca="1">IFERROR(CELL("color",$C$7),"Error")</f>
        <v>0</v>
      </c>
      <c r="F142" s="10" cm="1">
        <f t="array" aca="1" ref="F142" ca="1">IFERROR(CELL("contents",$C$7),"Error")</f>
        <v>1</v>
      </c>
      <c r="G142" s="10" t="str" cm="1">
        <f t="array" aca="1" ref="G142" ca="1">IFERROR(CELL("filename",$C$7),"Error")</f>
        <v>C:\Users\frl\projects\calipers\verification\cases\tier_a_formulas_information\[init.xlsx]Sheet1</v>
      </c>
      <c r="H142" s="10" t="str" cm="1">
        <f t="array" aca="1" ref="H142" ca="1">IFERROR(CELL("format",$C$7),"Error")</f>
        <v>G</v>
      </c>
      <c r="I142" s="10" cm="1">
        <f t="array" aca="1" ref="I142" ca="1">IFERROR(CELL("parentheses",$C$7),"Error")</f>
        <v>0</v>
      </c>
      <c r="J142" s="10" t="str" cm="1">
        <f t="array" aca="1" ref="J142" ca="1">IFERROR(CELL("prefix",$C$7),"Error")</f>
        <v/>
      </c>
      <c r="K142" s="10" cm="1">
        <f t="array" aca="1" ref="K142" ca="1">IFERROR(CELL("protect",$C$7),"Error")</f>
        <v>1</v>
      </c>
      <c r="L142" s="10" cm="1">
        <f t="array" aca="1" ref="L142" ca="1">IFERROR(CELL("row",$C$7),"Error")</f>
        <v>7</v>
      </c>
      <c r="M142" s="10" t="str" cm="1">
        <f t="array" aca="1" ref="M142" ca="1">IFERROR(CELL("type",$C$7),"Error")</f>
        <v>v</v>
      </c>
      <c r="N142" s="10" cm="1">
        <f t="array" aca="1" ref="N142:O142" ca="1">IFERROR(CELL("width",$C$7),"Error")</f>
        <v>15</v>
      </c>
      <c r="O142" t="b">
        <f ca="1"/>
        <v>0</v>
      </c>
    </row>
    <row r="143" spans="2:15">
      <c r="B143" s="5" t="str">
        <f t="shared" si="4"/>
        <v>Negative One</v>
      </c>
      <c r="C143" s="10" t="str" cm="1">
        <f t="array" aca="1" ref="C143" ca="1">IFERROR(CELL("address",$C$8),"Error")</f>
        <v>$C$8</v>
      </c>
      <c r="D143" s="10" cm="1">
        <f t="array" aca="1" ref="D143" ca="1">IFERROR(CELL("col",$C$8),"Error")</f>
        <v>3</v>
      </c>
      <c r="E143" s="10" cm="1">
        <f t="array" aca="1" ref="E143" ca="1">IFERROR(CELL("color",$C$8),"Error")</f>
        <v>0</v>
      </c>
      <c r="F143" s="10" cm="1">
        <f t="array" aca="1" ref="F143" ca="1">IFERROR(CELL("contents",$C$8),"Error")</f>
        <v>-1</v>
      </c>
      <c r="G143" s="10" t="str" cm="1">
        <f t="array" aca="1" ref="G143" ca="1">IFERROR(CELL("filename",$C$8),"Error")</f>
        <v>C:\Users\frl\projects\calipers\verification\cases\tier_a_formulas_information\[init.xlsx]Sheet1</v>
      </c>
      <c r="H143" s="10" t="str" cm="1">
        <f t="array" aca="1" ref="H143" ca="1">IFERROR(CELL("format",$C$8),"Error")</f>
        <v>G</v>
      </c>
      <c r="I143" s="10" cm="1">
        <f t="array" aca="1" ref="I143" ca="1">IFERROR(CELL("parentheses",$C$8),"Error")</f>
        <v>0</v>
      </c>
      <c r="J143" s="10" t="str" cm="1">
        <f t="array" aca="1" ref="J143" ca="1">IFERROR(CELL("prefix",$C$8),"Error")</f>
        <v/>
      </c>
      <c r="K143" s="10" cm="1">
        <f t="array" aca="1" ref="K143" ca="1">IFERROR(CELL("protect",$C$8),"Error")</f>
        <v>1</v>
      </c>
      <c r="L143" s="10" cm="1">
        <f t="array" aca="1" ref="L143" ca="1">IFERROR(CELL("row",$C$8),"Error")</f>
        <v>8</v>
      </c>
      <c r="M143" s="10" t="str" cm="1">
        <f t="array" aca="1" ref="M143" ca="1">IFERROR(CELL("type",$C$8),"Error")</f>
        <v>v</v>
      </c>
      <c r="N143" s="10" cm="1">
        <f t="array" aca="1" ref="N143:O143" ca="1">IFERROR(CELL("width",$C$8),"Error")</f>
        <v>15</v>
      </c>
      <c r="O143" t="b">
        <f ca="1"/>
        <v>0</v>
      </c>
    </row>
    <row r="144" spans="2:15">
      <c r="B144" s="5" t="str">
        <f t="shared" si="4"/>
        <v>Decimal (+)</v>
      </c>
      <c r="C144" s="10" t="str" cm="1">
        <f t="array" aca="1" ref="C144" ca="1">IFERROR(CELL("address",$C$9),"Error")</f>
        <v>$C$9</v>
      </c>
      <c r="D144" s="10" cm="1">
        <f t="array" aca="1" ref="D144" ca="1">IFERROR(CELL("col",$C$9),"Error")</f>
        <v>3</v>
      </c>
      <c r="E144" s="10" cm="1">
        <f t="array" aca="1" ref="E144" ca="1">IFERROR(CELL("color",$C$9),"Error")</f>
        <v>0</v>
      </c>
      <c r="F144" s="10" cm="1">
        <f t="array" aca="1" ref="F144" ca="1">IFERROR(CELL("contents",$C$9),"Error")</f>
        <v>42.5</v>
      </c>
      <c r="G144" s="10" t="str" cm="1">
        <f t="array" aca="1" ref="G144" ca="1">IFERROR(CELL("filename",$C$9),"Error")</f>
        <v>C:\Users\frl\projects\calipers\verification\cases\tier_a_formulas_information\[init.xlsx]Sheet1</v>
      </c>
      <c r="H144" s="10" t="str" cm="1">
        <f t="array" aca="1" ref="H144" ca="1">IFERROR(CELL("format",$C$9),"Error")</f>
        <v>G</v>
      </c>
      <c r="I144" s="10" cm="1">
        <f t="array" aca="1" ref="I144" ca="1">IFERROR(CELL("parentheses",$C$9),"Error")</f>
        <v>0</v>
      </c>
      <c r="J144" s="10" t="str" cm="1">
        <f t="array" aca="1" ref="J144" ca="1">IFERROR(CELL("prefix",$C$9),"Error")</f>
        <v/>
      </c>
      <c r="K144" s="10" cm="1">
        <f t="array" aca="1" ref="K144" ca="1">IFERROR(CELL("protect",$C$9),"Error")</f>
        <v>1</v>
      </c>
      <c r="L144" s="10" cm="1">
        <f t="array" aca="1" ref="L144" ca="1">IFERROR(CELL("row",$C$9),"Error")</f>
        <v>9</v>
      </c>
      <c r="M144" s="10" t="str" cm="1">
        <f t="array" aca="1" ref="M144" ca="1">IFERROR(CELL("type",$C$9),"Error")</f>
        <v>v</v>
      </c>
      <c r="N144" s="10" cm="1">
        <f t="array" aca="1" ref="N144:O144" ca="1">IFERROR(CELL("width",$C$9),"Error")</f>
        <v>15</v>
      </c>
      <c r="O144" t="b">
        <f ca="1"/>
        <v>0</v>
      </c>
    </row>
    <row r="145" spans="2:15">
      <c r="B145" s="5" t="str">
        <f t="shared" si="4"/>
        <v>Decimal (-)</v>
      </c>
      <c r="C145" s="10" t="str" cm="1">
        <f t="array" aca="1" ref="C145" ca="1">IFERROR(CELL("address",$C$10),"Error")</f>
        <v>$C$10</v>
      </c>
      <c r="D145" s="10" cm="1">
        <f t="array" aca="1" ref="D145" ca="1">IFERROR(CELL("col",$C$10),"Error")</f>
        <v>3</v>
      </c>
      <c r="E145" s="10" cm="1">
        <f t="array" aca="1" ref="E145" ca="1">IFERROR(CELL("color",$C$10),"Error")</f>
        <v>0</v>
      </c>
      <c r="F145" s="10" cm="1">
        <f t="array" aca="1" ref="F145" ca="1">IFERROR(CELL("contents",$C$10),"Error")</f>
        <v>-42.5</v>
      </c>
      <c r="G145" s="10" t="str" cm="1">
        <f t="array" aca="1" ref="G145" ca="1">IFERROR(CELL("filename",$C$10),"Error")</f>
        <v>C:\Users\frl\projects\calipers\verification\cases\tier_a_formulas_information\[init.xlsx]Sheet1</v>
      </c>
      <c r="H145" s="10" t="str" cm="1">
        <f t="array" aca="1" ref="H145" ca="1">IFERROR(CELL("format",$C$10),"Error")</f>
        <v>G</v>
      </c>
      <c r="I145" s="10" cm="1">
        <f t="array" aca="1" ref="I145" ca="1">IFERROR(CELL("parentheses",$C$10),"Error")</f>
        <v>0</v>
      </c>
      <c r="J145" s="10" t="str" cm="1">
        <f t="array" aca="1" ref="J145" ca="1">IFERROR(CELL("prefix",$C$10),"Error")</f>
        <v/>
      </c>
      <c r="K145" s="10" cm="1">
        <f t="array" aca="1" ref="K145" ca="1">IFERROR(CELL("protect",$C$10),"Error")</f>
        <v>1</v>
      </c>
      <c r="L145" s="10" cm="1">
        <f t="array" aca="1" ref="L145" ca="1">IFERROR(CELL("row",$C$10),"Error")</f>
        <v>10</v>
      </c>
      <c r="M145" s="10" t="str" cm="1">
        <f t="array" aca="1" ref="M145" ca="1">IFERROR(CELL("type",$C$10),"Error")</f>
        <v>v</v>
      </c>
      <c r="N145" s="10" cm="1">
        <f t="array" aca="1" ref="N145:O145" ca="1">IFERROR(CELL("width",$C$10),"Error")</f>
        <v>15</v>
      </c>
      <c r="O145" t="b">
        <f ca="1"/>
        <v>0</v>
      </c>
    </row>
    <row r="146" spans="2:15">
      <c r="B146" s="5" t="str">
        <f t="shared" si="4"/>
        <v>Text String</v>
      </c>
      <c r="C146" s="10" t="str" cm="1">
        <f t="array" aca="1" ref="C146" ca="1">IFERROR(CELL("address",$C$11),"Error")</f>
        <v>$C$11</v>
      </c>
      <c r="D146" s="10" cm="1">
        <f t="array" aca="1" ref="D146" ca="1">IFERROR(CELL("col",$C$11),"Error")</f>
        <v>3</v>
      </c>
      <c r="E146" s="10" cm="1">
        <f t="array" aca="1" ref="E146" ca="1">IFERROR(CELL("color",$C$11),"Error")</f>
        <v>0</v>
      </c>
      <c r="F146" s="10" t="str" cm="1">
        <f t="array" aca="1" ref="F146" ca="1">IFERROR(CELL("contents",$C$11),"Error")</f>
        <v>Hello</v>
      </c>
      <c r="G146" s="10" t="str" cm="1">
        <f t="array" aca="1" ref="G146" ca="1">IFERROR(CELL("filename",$C$11),"Error")</f>
        <v>C:\Users\frl\projects\calipers\verification\cases\tier_a_formulas_information\[init.xlsx]Sheet1</v>
      </c>
      <c r="H146" s="10" t="str" cm="1">
        <f t="array" aca="1" ref="H146" ca="1">IFERROR(CELL("format",$C$11),"Error")</f>
        <v>G</v>
      </c>
      <c r="I146" s="10" cm="1">
        <f t="array" aca="1" ref="I146" ca="1">IFERROR(CELL("parentheses",$C$11),"Error")</f>
        <v>0</v>
      </c>
      <c r="J146" s="10" t="str" cm="1">
        <f t="array" aca="1" ref="J146" ca="1">IFERROR(CELL("prefix",$C$11),"Error")</f>
        <v>'</v>
      </c>
      <c r="K146" s="10" cm="1">
        <f t="array" aca="1" ref="K146" ca="1">IFERROR(CELL("protect",$C$11),"Error")</f>
        <v>1</v>
      </c>
      <c r="L146" s="10" cm="1">
        <f t="array" aca="1" ref="L146" ca="1">IFERROR(CELL("row",$C$11),"Error")</f>
        <v>11</v>
      </c>
      <c r="M146" s="10" t="str" cm="1">
        <f t="array" aca="1" ref="M146" ca="1">IFERROR(CELL("type",$C$11),"Error")</f>
        <v>l</v>
      </c>
      <c r="N146" s="10" cm="1">
        <f t="array" aca="1" ref="N146:O146" ca="1">IFERROR(CELL("width",$C$11),"Error")</f>
        <v>15</v>
      </c>
      <c r="O146" t="b">
        <f ca="1"/>
        <v>0</v>
      </c>
    </row>
    <row r="147" spans="2:15">
      <c r="B147" s="5" t="str">
        <f t="shared" si="4"/>
        <v>Empty String</v>
      </c>
      <c r="C147" s="10" t="str" cm="1">
        <f t="array" aca="1" ref="C147" ca="1">IFERROR(CELL("address",$C$12),"Error")</f>
        <v>$C$12</v>
      </c>
      <c r="D147" s="10" cm="1">
        <f t="array" aca="1" ref="D147" ca="1">IFERROR(CELL("col",$C$12),"Error")</f>
        <v>3</v>
      </c>
      <c r="E147" s="10" cm="1">
        <f t="array" aca="1" ref="E147" ca="1">IFERROR(CELL("color",$C$12),"Error")</f>
        <v>0</v>
      </c>
      <c r="F147" s="10" t="str" cm="1">
        <f t="array" aca="1" ref="F147" ca="1">IFERROR(CELL("contents",$C$12),"Error")</f>
        <v/>
      </c>
      <c r="G147" s="10" t="str" cm="1">
        <f t="array" aca="1" ref="G147" ca="1">IFERROR(CELL("filename",$C$12),"Error")</f>
        <v>C:\Users\frl\projects\calipers\verification\cases\tier_a_formulas_information\[init.xlsx]Sheet1</v>
      </c>
      <c r="H147" s="10" t="str" cm="1">
        <f t="array" aca="1" ref="H147" ca="1">IFERROR(CELL("format",$C$12),"Error")</f>
        <v>G</v>
      </c>
      <c r="I147" s="10" cm="1">
        <f t="array" aca="1" ref="I147" ca="1">IFERROR(CELL("parentheses",$C$12),"Error")</f>
        <v>0</v>
      </c>
      <c r="J147" s="10" t="str" cm="1">
        <f t="array" aca="1" ref="J147" ca="1">IFERROR(CELL("prefix",$C$12),"Error")</f>
        <v/>
      </c>
      <c r="K147" s="10" cm="1">
        <f t="array" aca="1" ref="K147" ca="1">IFERROR(CELL("protect",$C$12),"Error")</f>
        <v>1</v>
      </c>
      <c r="L147" s="10" cm="1">
        <f t="array" aca="1" ref="L147" ca="1">IFERROR(CELL("row",$C$12),"Error")</f>
        <v>12</v>
      </c>
      <c r="M147" s="10" t="str" cm="1">
        <f t="array" aca="1" ref="M147" ca="1">IFERROR(CELL("type",$C$12),"Error")</f>
        <v>l</v>
      </c>
      <c r="N147" s="10" cm="1">
        <f t="array" aca="1" ref="N147:O147" ca="1">IFERROR(CELL("width",$C$12),"Error")</f>
        <v>15</v>
      </c>
      <c r="O147" t="b">
        <f ca="1"/>
        <v>0</v>
      </c>
    </row>
    <row r="148" spans="2:15">
      <c r="B148" s="5" t="b">
        <f t="shared" si="4"/>
        <v>1</v>
      </c>
      <c r="C148" s="10" t="str" cm="1">
        <f t="array" aca="1" ref="C148" ca="1">IFERROR(CELL("address",$C$13),"Error")</f>
        <v>$C$13</v>
      </c>
      <c r="D148" s="10" cm="1">
        <f t="array" aca="1" ref="D148" ca="1">IFERROR(CELL("col",$C$13),"Error")</f>
        <v>3</v>
      </c>
      <c r="E148" s="10" cm="1">
        <f t="array" aca="1" ref="E148" ca="1">IFERROR(CELL("color",$C$13),"Error")</f>
        <v>0</v>
      </c>
      <c r="F148" s="10" t="b" cm="1">
        <f t="array" aca="1" ref="F148" ca="1">IFERROR(CELL("contents",$C$13),"Error")</f>
        <v>1</v>
      </c>
      <c r="G148" s="10" t="str" cm="1">
        <f t="array" aca="1" ref="G148" ca="1">IFERROR(CELL("filename",$C$13),"Error")</f>
        <v>C:\Users\frl\projects\calipers\verification\cases\tier_a_formulas_information\[init.xlsx]Sheet1</v>
      </c>
      <c r="H148" s="10" t="str" cm="1">
        <f t="array" aca="1" ref="H148" ca="1">IFERROR(CELL("format",$C$13),"Error")</f>
        <v>G</v>
      </c>
      <c r="I148" s="10" cm="1">
        <f t="array" aca="1" ref="I148" ca="1">IFERROR(CELL("parentheses",$C$13),"Error")</f>
        <v>0</v>
      </c>
      <c r="J148" s="10" t="str" cm="1">
        <f t="array" aca="1" ref="J148" ca="1">IFERROR(CELL("prefix",$C$13),"Error")</f>
        <v/>
      </c>
      <c r="K148" s="10" cm="1">
        <f t="array" aca="1" ref="K148" ca="1">IFERROR(CELL("protect",$C$13),"Error")</f>
        <v>1</v>
      </c>
      <c r="L148" s="10" cm="1">
        <f t="array" aca="1" ref="L148" ca="1">IFERROR(CELL("row",$C$13),"Error")</f>
        <v>13</v>
      </c>
      <c r="M148" s="10" t="str" cm="1">
        <f t="array" aca="1" ref="M148" ca="1">IFERROR(CELL("type",$C$13),"Error")</f>
        <v>v</v>
      </c>
      <c r="N148" s="10" cm="1">
        <f t="array" aca="1" ref="N148:O148" ca="1">IFERROR(CELL("width",$C$13),"Error")</f>
        <v>15</v>
      </c>
      <c r="O148" t="b">
        <f ca="1"/>
        <v>0</v>
      </c>
    </row>
    <row r="149" spans="2:15">
      <c r="B149" s="5" t="b">
        <f t="shared" si="4"/>
        <v>0</v>
      </c>
      <c r="C149" s="10" t="str" cm="1">
        <f t="array" aca="1" ref="C149" ca="1">IFERROR(CELL("address",$C$14),"Error")</f>
        <v>$C$14</v>
      </c>
      <c r="D149" s="10" cm="1">
        <f t="array" aca="1" ref="D149" ca="1">IFERROR(CELL("col",$C$14),"Error")</f>
        <v>3</v>
      </c>
      <c r="E149" s="10" cm="1">
        <f t="array" aca="1" ref="E149" ca="1">IFERROR(CELL("color",$C$14),"Error")</f>
        <v>0</v>
      </c>
      <c r="F149" s="10" t="b" cm="1">
        <f t="array" aca="1" ref="F149" ca="1">IFERROR(CELL("contents",$C$14),"Error")</f>
        <v>0</v>
      </c>
      <c r="G149" s="10" t="str" cm="1">
        <f t="array" aca="1" ref="G149" ca="1">IFERROR(CELL("filename",$C$14),"Error")</f>
        <v>C:\Users\frl\projects\calipers\verification\cases\tier_a_formulas_information\[init.xlsx]Sheet1</v>
      </c>
      <c r="H149" s="10" t="str" cm="1">
        <f t="array" aca="1" ref="H149" ca="1">IFERROR(CELL("format",$C$14),"Error")</f>
        <v>G</v>
      </c>
      <c r="I149" s="10" cm="1">
        <f t="array" aca="1" ref="I149" ca="1">IFERROR(CELL("parentheses",$C$14),"Error")</f>
        <v>0</v>
      </c>
      <c r="J149" s="10" t="str" cm="1">
        <f t="array" aca="1" ref="J149" ca="1">IFERROR(CELL("prefix",$C$14),"Error")</f>
        <v/>
      </c>
      <c r="K149" s="10" cm="1">
        <f t="array" aca="1" ref="K149" ca="1">IFERROR(CELL("protect",$C$14),"Error")</f>
        <v>1</v>
      </c>
      <c r="L149" s="10" cm="1">
        <f t="array" aca="1" ref="L149" ca="1">IFERROR(CELL("row",$C$14),"Error")</f>
        <v>14</v>
      </c>
      <c r="M149" s="10" t="str" cm="1">
        <f t="array" aca="1" ref="M149" ca="1">IFERROR(CELL("type",$C$14),"Error")</f>
        <v>v</v>
      </c>
      <c r="N149" s="10" cm="1">
        <f t="array" aca="1" ref="N149:O149" ca="1">IFERROR(CELL("width",$C$14),"Error")</f>
        <v>15</v>
      </c>
      <c r="O149" t="b">
        <f ca="1"/>
        <v>0</v>
      </c>
    </row>
    <row r="150" spans="2:15">
      <c r="B150" s="5" t="str">
        <f t="shared" si="4"/>
        <v>Formula (Number)</v>
      </c>
      <c r="C150" s="10" t="str" cm="1">
        <f t="array" aca="1" ref="C150" ca="1">IFERROR(CELL("address",$C$15),"Error")</f>
        <v>$C$15</v>
      </c>
      <c r="D150" s="10" cm="1">
        <f t="array" aca="1" ref="D150" ca="1">IFERROR(CELL("col",$C$15),"Error")</f>
        <v>3</v>
      </c>
      <c r="E150" s="10" cm="1">
        <f t="array" aca="1" ref="E150" ca="1">IFERROR(CELL("color",$C$15),"Error")</f>
        <v>0</v>
      </c>
      <c r="F150" s="10" cm="1">
        <f t="array" aca="1" ref="F150" ca="1">IFERROR(CELL("contents",$C$15),"Error")</f>
        <v>2</v>
      </c>
      <c r="G150" s="10" t="str" cm="1">
        <f t="array" aca="1" ref="G150" ca="1">IFERROR(CELL("filename",$C$15),"Error")</f>
        <v>C:\Users\frl\projects\calipers\verification\cases\tier_a_formulas_information\[init.xlsx]Sheet1</v>
      </c>
      <c r="H150" s="10" t="str" cm="1">
        <f t="array" aca="1" ref="H150" ca="1">IFERROR(CELL("format",$C$15),"Error")</f>
        <v>G</v>
      </c>
      <c r="I150" s="10" cm="1">
        <f t="array" aca="1" ref="I150" ca="1">IFERROR(CELL("parentheses",$C$15),"Error")</f>
        <v>0</v>
      </c>
      <c r="J150" s="10" t="str" cm="1">
        <f t="array" aca="1" ref="J150" ca="1">IFERROR(CELL("prefix",$C$15),"Error")</f>
        <v/>
      </c>
      <c r="K150" s="10" cm="1">
        <f t="array" aca="1" ref="K150" ca="1">IFERROR(CELL("protect",$C$15),"Error")</f>
        <v>1</v>
      </c>
      <c r="L150" s="10" cm="1">
        <f t="array" aca="1" ref="L150" ca="1">IFERROR(CELL("row",$C$15),"Error")</f>
        <v>15</v>
      </c>
      <c r="M150" s="10" t="str" cm="1">
        <f t="array" aca="1" ref="M150" ca="1">IFERROR(CELL("type",$C$15),"Error")</f>
        <v>v</v>
      </c>
      <c r="N150" s="10" cm="1">
        <f t="array" aca="1" ref="N150:O150" ca="1">IFERROR(CELL("width",$C$15),"Error")</f>
        <v>15</v>
      </c>
      <c r="O150" t="b">
        <f ca="1"/>
        <v>0</v>
      </c>
    </row>
    <row r="151" spans="2:15">
      <c r="B151" s="5" t="str">
        <f t="shared" si="4"/>
        <v>Formula (Text)</v>
      </c>
      <c r="C151" s="10" t="str" cm="1">
        <f t="array" aca="1" ref="C151" ca="1">IFERROR(CELL("address",$C$16),"Error")</f>
        <v>$C$16</v>
      </c>
      <c r="D151" s="10" cm="1">
        <f t="array" aca="1" ref="D151" ca="1">IFERROR(CELL("col",$C$16),"Error")</f>
        <v>3</v>
      </c>
      <c r="E151" s="10" cm="1">
        <f t="array" aca="1" ref="E151" ca="1">IFERROR(CELL("color",$C$16),"Error")</f>
        <v>0</v>
      </c>
      <c r="F151" s="10" t="str" cm="1">
        <f t="array" aca="1" ref="F151" ca="1">IFERROR(CELL("contents",$C$16),"Error")</f>
        <v>AB</v>
      </c>
      <c r="G151" s="10" t="str" cm="1">
        <f t="array" aca="1" ref="G151" ca="1">IFERROR(CELL("filename",$C$16),"Error")</f>
        <v>C:\Users\frl\projects\calipers\verification\cases\tier_a_formulas_information\[init.xlsx]Sheet1</v>
      </c>
      <c r="H151" s="10" t="str" cm="1">
        <f t="array" aca="1" ref="H151" ca="1">IFERROR(CELL("format",$C$16),"Error")</f>
        <v>G</v>
      </c>
      <c r="I151" s="10" cm="1">
        <f t="array" aca="1" ref="I151" ca="1">IFERROR(CELL("parentheses",$C$16),"Error")</f>
        <v>0</v>
      </c>
      <c r="J151" s="10" t="str" cm="1">
        <f t="array" aca="1" ref="J151" ca="1">IFERROR(CELL("prefix",$C$16),"Error")</f>
        <v/>
      </c>
      <c r="K151" s="10" cm="1">
        <f t="array" aca="1" ref="K151" ca="1">IFERROR(CELL("protect",$C$16),"Error")</f>
        <v>1</v>
      </c>
      <c r="L151" s="10" cm="1">
        <f t="array" aca="1" ref="L151" ca="1">IFERROR(CELL("row",$C$16),"Error")</f>
        <v>16</v>
      </c>
      <c r="M151" s="10" t="str" cm="1">
        <f t="array" aca="1" ref="M151" ca="1">IFERROR(CELL("type",$C$16),"Error")</f>
        <v>l</v>
      </c>
      <c r="N151" s="10" cm="1">
        <f t="array" aca="1" ref="N151:O151" ca="1">IFERROR(CELL("width",$C$16),"Error")</f>
        <v>15</v>
      </c>
      <c r="O151" t="b">
        <f ca="1"/>
        <v>0</v>
      </c>
    </row>
    <row r="152" spans="2:15">
      <c r="B152" s="5" t="str">
        <f t="shared" si="4"/>
        <v>Formula (Logical)</v>
      </c>
      <c r="C152" s="10" t="str" cm="1">
        <f t="array" aca="1" ref="C152" ca="1">IFERROR(CELL("address",$C$17),"Error")</f>
        <v>$C$17</v>
      </c>
      <c r="D152" s="10" cm="1">
        <f t="array" aca="1" ref="D152" ca="1">IFERROR(CELL("col",$C$17),"Error")</f>
        <v>3</v>
      </c>
      <c r="E152" s="10" cm="1">
        <f t="array" aca="1" ref="E152" ca="1">IFERROR(CELL("color",$C$17),"Error")</f>
        <v>0</v>
      </c>
      <c r="F152" s="10" t="b" cm="1">
        <f t="array" aca="1" ref="F152" ca="1">IFERROR(CELL("contents",$C$17),"Error")</f>
        <v>1</v>
      </c>
      <c r="G152" s="10" t="str" cm="1">
        <f t="array" aca="1" ref="G152" ca="1">IFERROR(CELL("filename",$C$17),"Error")</f>
        <v>C:\Users\frl\projects\calipers\verification\cases\tier_a_formulas_information\[init.xlsx]Sheet1</v>
      </c>
      <c r="H152" s="10" t="str" cm="1">
        <f t="array" aca="1" ref="H152" ca="1">IFERROR(CELL("format",$C$17),"Error")</f>
        <v>G</v>
      </c>
      <c r="I152" s="10" cm="1">
        <f t="array" aca="1" ref="I152" ca="1">IFERROR(CELL("parentheses",$C$17),"Error")</f>
        <v>0</v>
      </c>
      <c r="J152" s="10" t="str" cm="1">
        <f t="array" aca="1" ref="J152" ca="1">IFERROR(CELL("prefix",$C$17),"Error")</f>
        <v/>
      </c>
      <c r="K152" s="10" cm="1">
        <f t="array" aca="1" ref="K152" ca="1">IFERROR(CELL("protect",$C$17),"Error")</f>
        <v>1</v>
      </c>
      <c r="L152" s="10" cm="1">
        <f t="array" aca="1" ref="L152" ca="1">IFERROR(CELL("row",$C$17),"Error")</f>
        <v>17</v>
      </c>
      <c r="M152" s="10" t="str" cm="1">
        <f t="array" aca="1" ref="M152" ca="1">IFERROR(CELL("type",$C$17),"Error")</f>
        <v>v</v>
      </c>
      <c r="N152" s="10" cm="1">
        <f t="array" aca="1" ref="N152:O152" ca="1">IFERROR(CELL("width",$C$17),"Error")</f>
        <v>15</v>
      </c>
      <c r="O152" t="b">
        <f ca="1"/>
        <v>0</v>
      </c>
    </row>
    <row r="153" spans="2:15">
      <c r="B153" s="5" t="str">
        <f t="shared" si="4"/>
        <v>#N/A Error</v>
      </c>
      <c r="C153" s="10" t="str" cm="1">
        <f t="array" aca="1" ref="C153" ca="1">IFERROR(CELL("address",$C$18),"Error")</f>
        <v>$C$18</v>
      </c>
      <c r="D153" s="10" cm="1">
        <f t="array" aca="1" ref="D153" ca="1">IFERROR(CELL("col",$C$18),"Error")</f>
        <v>3</v>
      </c>
      <c r="E153" s="10" cm="1">
        <f t="array" aca="1" ref="E153" ca="1">IFERROR(CELL("color",$C$18),"Error")</f>
        <v>0</v>
      </c>
      <c r="F153" s="10" t="str" cm="1">
        <f t="array" aca="1" ref="F153" ca="1">IFERROR(CELL("contents",$C$18),"Error")</f>
        <v>Error</v>
      </c>
      <c r="G153" s="10" t="str" cm="1">
        <f t="array" aca="1" ref="G153" ca="1">IFERROR(CELL("filename",$C$18),"Error")</f>
        <v>C:\Users\frl\projects\calipers\verification\cases\tier_a_formulas_information\[init.xlsx]Sheet1</v>
      </c>
      <c r="H153" s="10" t="str" cm="1">
        <f t="array" aca="1" ref="H153" ca="1">IFERROR(CELL("format",$C$18),"Error")</f>
        <v>G</v>
      </c>
      <c r="I153" s="10" cm="1">
        <f t="array" aca="1" ref="I153" ca="1">IFERROR(CELL("parentheses",$C$18),"Error")</f>
        <v>0</v>
      </c>
      <c r="J153" s="10" t="str" cm="1">
        <f t="array" aca="1" ref="J153" ca="1">IFERROR(CELL("prefix",$C$18),"Error")</f>
        <v/>
      </c>
      <c r="K153" s="10" cm="1">
        <f t="array" aca="1" ref="K153" ca="1">IFERROR(CELL("protect",$C$18),"Error")</f>
        <v>1</v>
      </c>
      <c r="L153" s="10" cm="1">
        <f t="array" aca="1" ref="L153" ca="1">IFERROR(CELL("row",$C$18),"Error")</f>
        <v>18</v>
      </c>
      <c r="M153" s="10" t="str" cm="1">
        <f t="array" aca="1" ref="M153" ca="1">IFERROR(CELL("type",$C$18),"Error")</f>
        <v>v</v>
      </c>
      <c r="N153" s="10" cm="1">
        <f t="array" aca="1" ref="N153:O153" ca="1">IFERROR(CELL("width",$C$18),"Error")</f>
        <v>15</v>
      </c>
      <c r="O153" t="b">
        <f ca="1"/>
        <v>0</v>
      </c>
    </row>
    <row r="154" spans="2:15">
      <c r="B154" s="5" t="str">
        <f t="shared" si="4"/>
        <v>#DIV/0! Error</v>
      </c>
      <c r="C154" s="10" t="str" cm="1">
        <f t="array" aca="1" ref="C154" ca="1">IFERROR(CELL("address",$C$19),"Error")</f>
        <v>$C$19</v>
      </c>
      <c r="D154" s="10" cm="1">
        <f t="array" aca="1" ref="D154" ca="1">IFERROR(CELL("col",$C$19),"Error")</f>
        <v>3</v>
      </c>
      <c r="E154" s="10" cm="1">
        <f t="array" aca="1" ref="E154" ca="1">IFERROR(CELL("color",$C$19),"Error")</f>
        <v>0</v>
      </c>
      <c r="F154" s="10" t="str" cm="1">
        <f t="array" aca="1" ref="F154" ca="1">IFERROR(CELL("contents",$C$19),"Error")</f>
        <v>Error</v>
      </c>
      <c r="G154" s="10" t="str" cm="1">
        <f t="array" aca="1" ref="G154" ca="1">IFERROR(CELL("filename",$C$19),"Error")</f>
        <v>C:\Users\frl\projects\calipers\verification\cases\tier_a_formulas_information\[init.xlsx]Sheet1</v>
      </c>
      <c r="H154" s="10" t="str" cm="1">
        <f t="array" aca="1" ref="H154" ca="1">IFERROR(CELL("format",$C$19),"Error")</f>
        <v>G</v>
      </c>
      <c r="I154" s="10" cm="1">
        <f t="array" aca="1" ref="I154" ca="1">IFERROR(CELL("parentheses",$C$19),"Error")</f>
        <v>0</v>
      </c>
      <c r="J154" s="10" t="str" cm="1">
        <f t="array" aca="1" ref="J154" ca="1">IFERROR(CELL("prefix",$C$19),"Error")</f>
        <v/>
      </c>
      <c r="K154" s="10" cm="1">
        <f t="array" aca="1" ref="K154" ca="1">IFERROR(CELL("protect",$C$19),"Error")</f>
        <v>1</v>
      </c>
      <c r="L154" s="10" cm="1">
        <f t="array" aca="1" ref="L154" ca="1">IFERROR(CELL("row",$C$19),"Error")</f>
        <v>19</v>
      </c>
      <c r="M154" s="10" t="str" cm="1">
        <f t="array" aca="1" ref="M154" ca="1">IFERROR(CELL("type",$C$19),"Error")</f>
        <v>v</v>
      </c>
      <c r="N154" s="10" cm="1">
        <f t="array" aca="1" ref="N154:O154" ca="1">IFERROR(CELL("width",$C$19),"Error")</f>
        <v>15</v>
      </c>
      <c r="O154" t="b">
        <f ca="1"/>
        <v>0</v>
      </c>
    </row>
    <row r="155" spans="2:15">
      <c r="B155" s="5" t="str">
        <f t="shared" si="4"/>
        <v>#NUM! Error</v>
      </c>
      <c r="C155" s="10" t="str" cm="1">
        <f t="array" aca="1" ref="C155" ca="1">IFERROR(CELL("address",$C$20),"Error")</f>
        <v>$C$20</v>
      </c>
      <c r="D155" s="10" cm="1">
        <f t="array" aca="1" ref="D155" ca="1">IFERROR(CELL("col",$C$20),"Error")</f>
        <v>3</v>
      </c>
      <c r="E155" s="10" cm="1">
        <f t="array" aca="1" ref="E155" ca="1">IFERROR(CELL("color",$C$20),"Error")</f>
        <v>0</v>
      </c>
      <c r="F155" s="10" t="str" cm="1">
        <f t="array" aca="1" ref="F155" ca="1">IFERROR(CELL("contents",$C$20),"Error")</f>
        <v>Error</v>
      </c>
      <c r="G155" s="10" t="str" cm="1">
        <f t="array" aca="1" ref="G155" ca="1">IFERROR(CELL("filename",$C$20),"Error")</f>
        <v>C:\Users\frl\projects\calipers\verification\cases\tier_a_formulas_information\[init.xlsx]Sheet1</v>
      </c>
      <c r="H155" s="10" t="str" cm="1">
        <f t="array" aca="1" ref="H155" ca="1">IFERROR(CELL("format",$C$20),"Error")</f>
        <v>G</v>
      </c>
      <c r="I155" s="10" cm="1">
        <f t="array" aca="1" ref="I155" ca="1">IFERROR(CELL("parentheses",$C$20),"Error")</f>
        <v>0</v>
      </c>
      <c r="J155" s="10" t="str" cm="1">
        <f t="array" aca="1" ref="J155" ca="1">IFERROR(CELL("prefix",$C$20),"Error")</f>
        <v/>
      </c>
      <c r="K155" s="10" cm="1">
        <f t="array" aca="1" ref="K155" ca="1">IFERROR(CELL("protect",$C$20),"Error")</f>
        <v>1</v>
      </c>
      <c r="L155" s="10" cm="1">
        <f t="array" aca="1" ref="L155" ca="1">IFERROR(CELL("row",$C$20),"Error")</f>
        <v>20</v>
      </c>
      <c r="M155" s="10" t="str" cm="1">
        <f t="array" aca="1" ref="M155" ca="1">IFERROR(CELL("type",$C$20),"Error")</f>
        <v>v</v>
      </c>
      <c r="N155" s="10" cm="1">
        <f t="array" aca="1" ref="N155:O155" ca="1">IFERROR(CELL("width",$C$20),"Error")</f>
        <v>15</v>
      </c>
      <c r="O155" t="b">
        <f ca="1"/>
        <v>0</v>
      </c>
    </row>
    <row r="156" spans="2:15">
      <c r="B156" s="5" t="str">
        <f t="shared" si="4"/>
        <v>#VALUE! Error</v>
      </c>
      <c r="C156" s="10" t="str" cm="1">
        <f t="array" aca="1" ref="C156" ca="1">IFERROR(CELL("address",$C$21),"Error")</f>
        <v>$C$21</v>
      </c>
      <c r="D156" s="10" cm="1">
        <f t="array" aca="1" ref="D156" ca="1">IFERROR(CELL("col",$C$21),"Error")</f>
        <v>3</v>
      </c>
      <c r="E156" s="10" cm="1">
        <f t="array" aca="1" ref="E156" ca="1">IFERROR(CELL("color",$C$21),"Error")</f>
        <v>0</v>
      </c>
      <c r="F156" s="10" t="str" cm="1">
        <f t="array" aca="1" ref="F156" ca="1">IFERROR(CELL("contents",$C$21),"Error")</f>
        <v>Error</v>
      </c>
      <c r="G156" s="10" t="str" cm="1">
        <f t="array" aca="1" ref="G156" ca="1">IFERROR(CELL("filename",$C$21),"Error")</f>
        <v>C:\Users\frl\projects\calipers\verification\cases\tier_a_formulas_information\[init.xlsx]Sheet1</v>
      </c>
      <c r="H156" s="10" t="str" cm="1">
        <f t="array" aca="1" ref="H156" ca="1">IFERROR(CELL("format",$C$21),"Error")</f>
        <v>G</v>
      </c>
      <c r="I156" s="10" cm="1">
        <f t="array" aca="1" ref="I156" ca="1">IFERROR(CELL("parentheses",$C$21),"Error")</f>
        <v>0</v>
      </c>
      <c r="J156" s="10" t="str" cm="1">
        <f t="array" aca="1" ref="J156" ca="1">IFERROR(CELL("prefix",$C$21),"Error")</f>
        <v/>
      </c>
      <c r="K156" s="10" cm="1">
        <f t="array" aca="1" ref="K156" ca="1">IFERROR(CELL("protect",$C$21),"Error")</f>
        <v>1</v>
      </c>
      <c r="L156" s="10" cm="1">
        <f t="array" aca="1" ref="L156" ca="1">IFERROR(CELL("row",$C$21),"Error")</f>
        <v>21</v>
      </c>
      <c r="M156" s="10" t="str" cm="1">
        <f t="array" aca="1" ref="M156" ca="1">IFERROR(CELL("type",$C$21),"Error")</f>
        <v>v</v>
      </c>
      <c r="N156" s="10" cm="1">
        <f t="array" aca="1" ref="N156:O156" ca="1">IFERROR(CELL("width",$C$21),"Error")</f>
        <v>15</v>
      </c>
      <c r="O156" t="b">
        <f ca="1"/>
        <v>0</v>
      </c>
    </row>
    <row r="157" spans="2:15">
      <c r="B157" s="5" t="str">
        <f t="shared" si="4"/>
        <v>#REF! Error</v>
      </c>
      <c r="C157" s="10" t="str" cm="1">
        <f t="array" aca="1" ref="C157" ca="1">IFERROR(CELL("address",$C$22),"Error")</f>
        <v>$C$22</v>
      </c>
      <c r="D157" s="10" cm="1">
        <f t="array" aca="1" ref="D157" ca="1">IFERROR(CELL("col",$C$22),"Error")</f>
        <v>3</v>
      </c>
      <c r="E157" s="10" cm="1">
        <f t="array" aca="1" ref="E157" ca="1">IFERROR(CELL("color",$C$22),"Error")</f>
        <v>0</v>
      </c>
      <c r="F157" s="10" t="str" cm="1">
        <f t="array" aca="1" ref="F157" ca="1">IFERROR(CELL("contents",$C$22),"Error")</f>
        <v>Error</v>
      </c>
      <c r="G157" s="10" t="str" cm="1">
        <f t="array" aca="1" ref="G157" ca="1">IFERROR(CELL("filename",$C$22),"Error")</f>
        <v>C:\Users\frl\projects\calipers\verification\cases\tier_a_formulas_information\[init.xlsx]Sheet1</v>
      </c>
      <c r="H157" s="10" t="str" cm="1">
        <f t="array" aca="1" ref="H157" ca="1">IFERROR(CELL("format",$C$22),"Error")</f>
        <v>G</v>
      </c>
      <c r="I157" s="10" cm="1">
        <f t="array" aca="1" ref="I157" ca="1">IFERROR(CELL("parentheses",$C$22),"Error")</f>
        <v>0</v>
      </c>
      <c r="J157" s="10" t="str" cm="1">
        <f t="array" aca="1" ref="J157" ca="1">IFERROR(CELL("prefix",$C$22),"Error")</f>
        <v/>
      </c>
      <c r="K157" s="10" cm="1">
        <f t="array" aca="1" ref="K157" ca="1">IFERROR(CELL("protect",$C$22),"Error")</f>
        <v>1</v>
      </c>
      <c r="L157" s="10" cm="1">
        <f t="array" aca="1" ref="L157" ca="1">IFERROR(CELL("row",$C$22),"Error")</f>
        <v>22</v>
      </c>
      <c r="M157" s="10" t="str" cm="1">
        <f t="array" aca="1" ref="M157" ca="1">IFERROR(CELL("type",$C$22),"Error")</f>
        <v>v</v>
      </c>
      <c r="N157" s="10" cm="1">
        <f t="array" aca="1" ref="N157:O157" ca="1">IFERROR(CELL("width",$C$22),"Error")</f>
        <v>15</v>
      </c>
      <c r="O157" t="b">
        <f ca="1"/>
        <v>0</v>
      </c>
    </row>
    <row r="158" spans="2:15">
      <c r="B158" s="5" t="str">
        <f t="shared" si="4"/>
        <v>Date Value</v>
      </c>
      <c r="C158" s="10" t="str" cm="1">
        <f t="array" aca="1" ref="C158" ca="1">IFERROR(CELL("address",$C$23),"Error")</f>
        <v>$C$23</v>
      </c>
      <c r="D158" s="10" cm="1">
        <f t="array" aca="1" ref="D158" ca="1">IFERROR(CELL("col",$C$23),"Error")</f>
        <v>3</v>
      </c>
      <c r="E158" s="10" cm="1">
        <f t="array" aca="1" ref="E158" ca="1">IFERROR(CELL("color",$C$23),"Error")</f>
        <v>0</v>
      </c>
      <c r="F158" s="10" cm="1">
        <f t="array" aca="1" ref="F158" ca="1">IFERROR(CELL("contents",$C$23),"Error")</f>
        <v>44941</v>
      </c>
      <c r="G158" s="10" t="str" cm="1">
        <f t="array" aca="1" ref="G158" ca="1">IFERROR(CELL("filename",$C$23),"Error")</f>
        <v>C:\Users\frl\projects\calipers\verification\cases\tier_a_formulas_information\[init.xlsx]Sheet1</v>
      </c>
      <c r="H158" s="10" t="str" cm="1">
        <f t="array" aca="1" ref="H158" ca="1">IFERROR(CELL("format",$C$23),"Error")</f>
        <v>G</v>
      </c>
      <c r="I158" s="10" cm="1">
        <f t="array" aca="1" ref="I158" ca="1">IFERROR(CELL("parentheses",$C$23),"Error")</f>
        <v>0</v>
      </c>
      <c r="J158" s="10" t="str" cm="1">
        <f t="array" aca="1" ref="J158" ca="1">IFERROR(CELL("prefix",$C$23),"Error")</f>
        <v/>
      </c>
      <c r="K158" s="10" cm="1">
        <f t="array" aca="1" ref="K158" ca="1">IFERROR(CELL("protect",$C$23),"Error")</f>
        <v>1</v>
      </c>
      <c r="L158" s="10" cm="1">
        <f t="array" aca="1" ref="L158" ca="1">IFERROR(CELL("row",$C$23),"Error")</f>
        <v>23</v>
      </c>
      <c r="M158" s="10" t="str" cm="1">
        <f t="array" aca="1" ref="M158" ca="1">IFERROR(CELL("type",$C$23),"Error")</f>
        <v>v</v>
      </c>
      <c r="N158" s="10" cm="1">
        <f t="array" aca="1" ref="N158:O158" ca="1">IFERROR(CELL("width",$C$23),"Error")</f>
        <v>15</v>
      </c>
      <c r="O158" t="b">
        <f ca="1"/>
        <v>0</v>
      </c>
    </row>
    <row r="159" spans="2:15">
      <c r="B159" s="5" t="str">
        <f t="shared" si="4"/>
        <v>Large Number</v>
      </c>
      <c r="C159" s="10" t="str" cm="1">
        <f t="array" aca="1" ref="C159" ca="1">IFERROR(CELL("address",$C$24),"Error")</f>
        <v>$C$24</v>
      </c>
      <c r="D159" s="10" cm="1">
        <f t="array" aca="1" ref="D159" ca="1">IFERROR(CELL("col",$C$24),"Error")</f>
        <v>3</v>
      </c>
      <c r="E159" s="10" cm="1">
        <f t="array" aca="1" ref="E159" ca="1">IFERROR(CELL("color",$C$24),"Error")</f>
        <v>0</v>
      </c>
      <c r="F159" s="10" cm="1">
        <f t="array" aca="1" ref="F159" ca="1">IFERROR(CELL("contents",$C$24),"Error")</f>
        <v>9.9999999999999901E+307</v>
      </c>
      <c r="G159" s="10" t="str" cm="1">
        <f t="array" aca="1" ref="G159" ca="1">IFERROR(CELL("filename",$C$24),"Error")</f>
        <v>C:\Users\frl\projects\calipers\verification\cases\tier_a_formulas_information\[init.xlsx]Sheet1</v>
      </c>
      <c r="H159" s="10" t="str" cm="1">
        <f t="array" aca="1" ref="H159" ca="1">IFERROR(CELL("format",$C$24),"Error")</f>
        <v>G</v>
      </c>
      <c r="I159" s="10" cm="1">
        <f t="array" aca="1" ref="I159" ca="1">IFERROR(CELL("parentheses",$C$24),"Error")</f>
        <v>0</v>
      </c>
      <c r="J159" s="10" t="str" cm="1">
        <f t="array" aca="1" ref="J159" ca="1">IFERROR(CELL("prefix",$C$24),"Error")</f>
        <v/>
      </c>
      <c r="K159" s="10" cm="1">
        <f t="array" aca="1" ref="K159" ca="1">IFERROR(CELL("protect",$C$24),"Error")</f>
        <v>1</v>
      </c>
      <c r="L159" s="10" cm="1">
        <f t="array" aca="1" ref="L159" ca="1">IFERROR(CELL("row",$C$24),"Error")</f>
        <v>24</v>
      </c>
      <c r="M159" s="10" t="str" cm="1">
        <f t="array" aca="1" ref="M159" ca="1">IFERROR(CELL("type",$C$24),"Error")</f>
        <v>v</v>
      </c>
      <c r="N159" s="10" cm="1">
        <f t="array" aca="1" ref="N159:O159" ca="1">IFERROR(CELL("width",$C$24),"Error")</f>
        <v>15</v>
      </c>
      <c r="O159" t="b">
        <f ca="1"/>
        <v>0</v>
      </c>
    </row>
    <row r="160" spans="2:15">
      <c r="B160" s="5" t="str">
        <f t="shared" si="4"/>
        <v>Small Number</v>
      </c>
      <c r="C160" s="10" t="str" cm="1">
        <f t="array" aca="1" ref="C160" ca="1">IFERROR(CELL("address",$C$25),"Error")</f>
        <v>$C$25</v>
      </c>
      <c r="D160" s="10" cm="1">
        <f t="array" aca="1" ref="D160" ca="1">IFERROR(CELL("col",$C$25),"Error")</f>
        <v>3</v>
      </c>
      <c r="E160" s="10" cm="1">
        <f t="array" aca="1" ref="E160" ca="1">IFERROR(CELL("color",$C$25),"Error")</f>
        <v>0</v>
      </c>
      <c r="F160" s="10" cm="1">
        <f t="array" aca="1" ref="F160" ca="1">IFERROR(CELL("contents",$C$25),"Error")</f>
        <v>9.9999999999999991E-308</v>
      </c>
      <c r="G160" s="10" t="str" cm="1">
        <f t="array" aca="1" ref="G160" ca="1">IFERROR(CELL("filename",$C$25),"Error")</f>
        <v>C:\Users\frl\projects\calipers\verification\cases\tier_a_formulas_information\[init.xlsx]Sheet1</v>
      </c>
      <c r="H160" s="10" t="str" cm="1">
        <f t="array" aca="1" ref="H160" ca="1">IFERROR(CELL("format",$C$25),"Error")</f>
        <v>G</v>
      </c>
      <c r="I160" s="10" cm="1">
        <f t="array" aca="1" ref="I160" ca="1">IFERROR(CELL("parentheses",$C$25),"Error")</f>
        <v>0</v>
      </c>
      <c r="J160" s="10" t="str" cm="1">
        <f t="array" aca="1" ref="J160" ca="1">IFERROR(CELL("prefix",$C$25),"Error")</f>
        <v/>
      </c>
      <c r="K160" s="10" cm="1">
        <f t="array" aca="1" ref="K160" ca="1">IFERROR(CELL("protect",$C$25),"Error")</f>
        <v>1</v>
      </c>
      <c r="L160" s="10" cm="1">
        <f t="array" aca="1" ref="L160" ca="1">IFERROR(CELL("row",$C$25),"Error")</f>
        <v>25</v>
      </c>
      <c r="M160" s="10" t="str" cm="1">
        <f t="array" aca="1" ref="M160" ca="1">IFERROR(CELL("type",$C$25),"Error")</f>
        <v>v</v>
      </c>
      <c r="N160" s="10" cm="1">
        <f t="array" aca="1" ref="N160:O160" ca="1">IFERROR(CELL("width",$C$25),"Error")</f>
        <v>15</v>
      </c>
      <c r="O160" t="b">
        <f ca="1"/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Adrian Dueermael</dc:creator>
  <cp:lastModifiedBy>Adrian Dueermael</cp:lastModifiedBy>
  <dcterms:created xsi:type="dcterms:W3CDTF">2026-02-10T00:05:14Z</dcterms:created>
  <dcterms:modified xsi:type="dcterms:W3CDTF">2026-09-08T20:02:42Z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hortcut_file_id">
    <vt:lpwstr>4602e7f4-d746-4a87-a2b1-471794ea3ebb</vt:lpwstr>
  </property>
</Properties>
</file>