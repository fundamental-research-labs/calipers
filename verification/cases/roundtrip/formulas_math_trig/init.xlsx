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F10D9269-D313-4967-B499-EB0B621B1420}" xr6:coauthVersionLast="47" xr6:coauthVersionMax="47" xr10:uidLastSave="{00000000-0000-0000-0000-000000000000}"/>
  <bookViews>
    <workbookView xWindow="-108" yWindow="-108" windowWidth="23256" windowHeight="13896" xr2:uid="{2B82E61A-D437-2145-9148-17D3499E7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1" l="1"/>
  <c r="B140" i="1"/>
  <c r="C140" i="1"/>
  <c r="D140" i="1"/>
  <c r="B141" i="1"/>
  <c r="C141" i="1"/>
  <c r="B142" i="1"/>
  <c r="B143" i="1"/>
  <c r="B144" i="1"/>
  <c r="D144" i="1"/>
  <c r="B145" i="1"/>
  <c r="C145" i="1"/>
  <c r="D145" i="1"/>
  <c r="B146" i="1"/>
  <c r="C146" i="1"/>
  <c r="D146" i="1"/>
  <c r="B147" i="1"/>
  <c r="C147" i="1"/>
  <c r="B148" i="1"/>
  <c r="D148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B115" i="1"/>
  <c r="C115" i="1"/>
  <c r="D115" i="1"/>
  <c r="E115" i="1"/>
  <c r="B116" i="1"/>
  <c r="D116" i="1"/>
  <c r="E116" i="1"/>
  <c r="B117" i="1"/>
  <c r="B118" i="1"/>
  <c r="B119" i="1"/>
  <c r="C119" i="1"/>
  <c r="D119" i="1"/>
  <c r="E119" i="1"/>
  <c r="B120" i="1"/>
  <c r="C120" i="1"/>
  <c r="D120" i="1"/>
  <c r="E120" i="1"/>
  <c r="B121" i="1"/>
  <c r="C121" i="1"/>
  <c r="B122" i="1"/>
  <c r="D122" i="1"/>
  <c r="E122" i="1"/>
  <c r="B123" i="1"/>
  <c r="D123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79" i="1"/>
  <c r="C79" i="1"/>
  <c r="D79" i="1"/>
  <c r="E79" i="1"/>
  <c r="F79" i="1"/>
  <c r="G79" i="1"/>
  <c r="B80" i="1"/>
  <c r="C80" i="1"/>
  <c r="D80" i="1"/>
  <c r="F80" i="1"/>
  <c r="B81" i="1"/>
  <c r="B82" i="1"/>
  <c r="B83" i="1"/>
  <c r="C83" i="1"/>
  <c r="G83" i="1"/>
  <c r="B84" i="1"/>
  <c r="C84" i="1"/>
  <c r="D84" i="1"/>
  <c r="E84" i="1"/>
  <c r="F84" i="1"/>
  <c r="G84" i="1"/>
  <c r="B85" i="1"/>
  <c r="C85" i="1"/>
  <c r="G85" i="1"/>
  <c r="B86" i="1"/>
  <c r="C86" i="1"/>
  <c r="D86" i="1"/>
  <c r="F86" i="1"/>
  <c r="G86" i="1"/>
  <c r="B87" i="1"/>
  <c r="C87" i="1"/>
  <c r="C67" i="1"/>
  <c r="D67" i="1"/>
  <c r="G67" i="1"/>
  <c r="H67" i="1"/>
  <c r="I67" i="1"/>
  <c r="J67" i="1"/>
  <c r="G68" i="1"/>
  <c r="H68" i="1"/>
  <c r="J68" i="1"/>
  <c r="C71" i="1"/>
  <c r="D71" i="1"/>
  <c r="G71" i="1"/>
  <c r="H71" i="1"/>
  <c r="I71" i="1"/>
  <c r="J71" i="1"/>
  <c r="G72" i="1"/>
  <c r="H72" i="1"/>
  <c r="I72" i="1"/>
  <c r="J72" i="1"/>
  <c r="C73" i="1"/>
  <c r="D73" i="1"/>
  <c r="H73" i="1"/>
  <c r="I73" i="1"/>
  <c r="J73" i="1"/>
  <c r="K73" i="1"/>
  <c r="D74" i="1"/>
  <c r="G74" i="1"/>
  <c r="D75" i="1"/>
  <c r="G75" i="1"/>
  <c r="I75" i="1"/>
  <c r="J75" i="1"/>
  <c r="B67" i="1"/>
  <c r="B71" i="1"/>
  <c r="B72" i="1"/>
  <c r="B73" i="1"/>
  <c r="B74" i="1"/>
  <c r="C66" i="1"/>
  <c r="D66" i="1"/>
  <c r="H66" i="1"/>
  <c r="I66" i="1"/>
  <c r="J66" i="1"/>
  <c r="K66" i="1"/>
  <c r="B55" i="1"/>
  <c r="C55" i="1"/>
  <c r="D55" i="1"/>
  <c r="E55" i="1"/>
  <c r="B56" i="1"/>
  <c r="B57" i="1"/>
  <c r="B58" i="1"/>
  <c r="B59" i="1"/>
  <c r="B60" i="1"/>
  <c r="C60" i="1"/>
  <c r="D60" i="1"/>
  <c r="E60" i="1"/>
  <c r="B61" i="1"/>
  <c r="C61" i="1"/>
  <c r="D61" i="1"/>
  <c r="E61" i="1"/>
  <c r="B62" i="1"/>
  <c r="B63" i="1"/>
  <c r="D63" i="1"/>
  <c r="E63" i="1"/>
  <c r="B43" i="1"/>
  <c r="C43" i="1"/>
  <c r="D43" i="1"/>
  <c r="E43" i="1"/>
  <c r="B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B50" i="1"/>
  <c r="B51" i="1"/>
  <c r="C51" i="1"/>
  <c r="D51" i="1"/>
  <c r="E51" i="1"/>
  <c r="C32" i="1"/>
  <c r="C44" i="1" s="1"/>
  <c r="C33" i="1"/>
  <c r="C37" i="1"/>
  <c r="C49" i="1" s="1"/>
  <c r="C38" i="1"/>
  <c r="C50" i="1" s="1"/>
  <c r="C18" i="1"/>
  <c r="D18" i="1"/>
  <c r="E18" i="1"/>
  <c r="F18" i="1"/>
  <c r="G18" i="1"/>
  <c r="H18" i="1"/>
  <c r="G19" i="1"/>
  <c r="H19" i="1"/>
  <c r="E20" i="1"/>
  <c r="C22" i="1"/>
  <c r="D22" i="1"/>
  <c r="E22" i="1"/>
  <c r="F22" i="1"/>
  <c r="G22" i="1"/>
  <c r="H22" i="1"/>
  <c r="F23" i="1"/>
  <c r="G23" i="1"/>
  <c r="H23" i="1"/>
  <c r="C24" i="1"/>
  <c r="D24" i="1"/>
  <c r="E24" i="1"/>
  <c r="F24" i="1"/>
  <c r="G24" i="1"/>
  <c r="H24" i="1"/>
  <c r="G25" i="1"/>
  <c r="H25" i="1"/>
  <c r="C26" i="1"/>
  <c r="E26" i="1"/>
  <c r="G26" i="1"/>
  <c r="H26" i="1"/>
  <c r="B18" i="1"/>
  <c r="B19" i="1"/>
  <c r="B20" i="1"/>
  <c r="B21" i="1"/>
  <c r="B22" i="1"/>
  <c r="B23" i="1"/>
  <c r="B24" i="1"/>
  <c r="B25" i="1"/>
  <c r="B26" i="1"/>
  <c r="C6" i="1"/>
  <c r="C56" i="1" s="1"/>
  <c r="C7" i="1"/>
  <c r="D81" i="1" s="1"/>
  <c r="C8" i="1"/>
  <c r="D143" i="1" s="1"/>
  <c r="C9" i="1"/>
  <c r="D83" i="1" s="1"/>
  <c r="C10" i="1"/>
  <c r="H70" i="1" s="1"/>
  <c r="C11" i="1"/>
  <c r="D121" i="1" s="1"/>
  <c r="C12" i="1"/>
  <c r="D147" i="1" s="1"/>
  <c r="C13" i="1"/>
  <c r="D87" i="1" s="1"/>
  <c r="H20" i="1" l="1"/>
  <c r="G70" i="1"/>
  <c r="D69" i="1"/>
  <c r="C81" i="1"/>
  <c r="C118" i="1"/>
  <c r="C143" i="1"/>
  <c r="G20" i="1"/>
  <c r="E58" i="1"/>
  <c r="F74" i="1"/>
  <c r="F70" i="1"/>
  <c r="C69" i="1"/>
  <c r="F26" i="1"/>
  <c r="F20" i="1"/>
  <c r="D50" i="1"/>
  <c r="D58" i="1"/>
  <c r="B75" i="1"/>
  <c r="H75" i="1"/>
  <c r="E74" i="1"/>
  <c r="K72" i="1"/>
  <c r="E70" i="1"/>
  <c r="K68" i="1"/>
  <c r="G82" i="1"/>
  <c r="G80" i="1"/>
  <c r="E123" i="1"/>
  <c r="E117" i="1"/>
  <c r="D142" i="1"/>
  <c r="C58" i="1"/>
  <c r="D70" i="1"/>
  <c r="F82" i="1"/>
  <c r="D117" i="1"/>
  <c r="C142" i="1"/>
  <c r="D26" i="1"/>
  <c r="D20" i="1"/>
  <c r="F75" i="1"/>
  <c r="C74" i="1"/>
  <c r="F71" i="1"/>
  <c r="C70" i="1"/>
  <c r="I68" i="1"/>
  <c r="F67" i="1"/>
  <c r="E86" i="1"/>
  <c r="E82" i="1"/>
  <c r="E80" i="1"/>
  <c r="C123" i="1"/>
  <c r="C117" i="1"/>
  <c r="C20" i="1"/>
  <c r="E57" i="1"/>
  <c r="E75" i="1"/>
  <c r="E71" i="1"/>
  <c r="K69" i="1"/>
  <c r="E67" i="1"/>
  <c r="D82" i="1"/>
  <c r="D141" i="1"/>
  <c r="D57" i="1"/>
  <c r="J69" i="1"/>
  <c r="C82" i="1"/>
  <c r="C57" i="1"/>
  <c r="F72" i="1"/>
  <c r="I69" i="1"/>
  <c r="E25" i="1"/>
  <c r="E23" i="1"/>
  <c r="E21" i="1"/>
  <c r="E19" i="1"/>
  <c r="E44" i="1"/>
  <c r="E62" i="1"/>
  <c r="E59" i="1"/>
  <c r="E56" i="1"/>
  <c r="G66" i="1"/>
  <c r="B68" i="1"/>
  <c r="J74" i="1"/>
  <c r="G73" i="1"/>
  <c r="D72" i="1"/>
  <c r="J70" i="1"/>
  <c r="G69" i="1"/>
  <c r="D68" i="1"/>
  <c r="F87" i="1"/>
  <c r="F85" i="1"/>
  <c r="F83" i="1"/>
  <c r="F81" i="1"/>
  <c r="C148" i="1"/>
  <c r="C144" i="1"/>
  <c r="H21" i="1"/>
  <c r="G21" i="1"/>
  <c r="C63" i="1"/>
  <c r="B70" i="1"/>
  <c r="C75" i="1"/>
  <c r="F68" i="1"/>
  <c r="F25" i="1"/>
  <c r="F21" i="1"/>
  <c r="F19" i="1"/>
  <c r="B69" i="1"/>
  <c r="K74" i="1"/>
  <c r="E72" i="1"/>
  <c r="K70" i="1"/>
  <c r="H69" i="1"/>
  <c r="E68" i="1"/>
  <c r="G87" i="1"/>
  <c r="G81" i="1"/>
  <c r="C122" i="1"/>
  <c r="C116" i="1"/>
  <c r="D25" i="1"/>
  <c r="D23" i="1"/>
  <c r="D21" i="1"/>
  <c r="D19" i="1"/>
  <c r="D44" i="1"/>
  <c r="D62" i="1"/>
  <c r="D59" i="1"/>
  <c r="D56" i="1"/>
  <c r="F66" i="1"/>
  <c r="I74" i="1"/>
  <c r="F73" i="1"/>
  <c r="C72" i="1"/>
  <c r="I70" i="1"/>
  <c r="F69" i="1"/>
  <c r="C68" i="1"/>
  <c r="E87" i="1"/>
  <c r="E85" i="1"/>
  <c r="E83" i="1"/>
  <c r="E81" i="1"/>
  <c r="E121" i="1"/>
  <c r="E118" i="1"/>
  <c r="C25" i="1"/>
  <c r="C23" i="1"/>
  <c r="C21" i="1"/>
  <c r="C19" i="1"/>
  <c r="C62" i="1"/>
  <c r="C59" i="1"/>
  <c r="E66" i="1"/>
  <c r="K75" i="1"/>
  <c r="H74" i="1"/>
  <c r="E73" i="1"/>
  <c r="K71" i="1"/>
  <c r="E69" i="1"/>
  <c r="K67" i="1"/>
  <c r="D85" i="1"/>
  <c r="D118" i="1"/>
  <c r="E50" i="1"/>
  <c r="E49" i="1"/>
  <c r="D49" i="1"/>
</calcChain>
</file>

<file path=xl/sharedStrings.xml><?xml version="1.0" encoding="utf-8"?>
<sst xmlns="http://schemas.openxmlformats.org/spreadsheetml/2006/main" count="91" uniqueCount="76">
  <si>
    <t>Zero</t>
  </si>
  <si>
    <t>Input</t>
  </si>
  <si>
    <t>NOTES</t>
  </si>
  <si>
    <t>Inputs</t>
  </si>
  <si>
    <t>TRIGONOMETRY FORMULA TEST SUITE</t>
  </si>
  <si>
    <t>Test Input Values (Radians)</t>
  </si>
  <si>
    <t>π/6 (30°)</t>
  </si>
  <si>
    <t>π/4 (45°)</t>
  </si>
  <si>
    <t>π/3 (60°)</t>
  </si>
  <si>
    <t>π/2 (90°)</t>
  </si>
  <si>
    <t>π (180°)</t>
  </si>
  <si>
    <t>3π/2 (270°)</t>
  </si>
  <si>
    <t>2π (360°)</t>
  </si>
  <si>
    <t>-π/4 (-45°)</t>
  </si>
  <si>
    <t>BASIC TRIGONOMETRIC FUNCTIONS</t>
  </si>
  <si>
    <t>SIN</t>
  </si>
  <si>
    <t>COS</t>
  </si>
  <si>
    <t>TAN</t>
  </si>
  <si>
    <t>SEC</t>
  </si>
  <si>
    <t>CSC</t>
  </si>
  <si>
    <t>COT</t>
  </si>
  <si>
    <t>INVERSE TRIGONOMETRIC FUNCTIONS</t>
  </si>
  <si>
    <t>Test Input Values (for Inverse Trig)</t>
  </si>
  <si>
    <t>-√3/2</t>
  </si>
  <si>
    <t>-√2/2</t>
  </si>
  <si>
    <t>√2/2</t>
  </si>
  <si>
    <t>√3/2</t>
  </si>
  <si>
    <t>ASIN, ACOS, ATAN (using Inverse Trig Inputs)</t>
  </si>
  <si>
    <t>ASIN</t>
  </si>
  <si>
    <t>ACOS</t>
  </si>
  <si>
    <t>ATAN</t>
  </si>
  <si>
    <t>ASIN, ACOS, ATAN (using Angle Inputs)</t>
  </si>
  <si>
    <t>ATAN2(X, Y) — All Input Combinations</t>
  </si>
  <si>
    <t>Y \ X</t>
  </si>
  <si>
    <t>HYPERBOLIC FUNCTIONS</t>
  </si>
  <si>
    <t>SINH</t>
  </si>
  <si>
    <t>COSH</t>
  </si>
  <si>
    <t>TANH</t>
  </si>
  <si>
    <t>SECH (1/COSH)</t>
  </si>
  <si>
    <t>CSCH (1/SINH)</t>
  </si>
  <si>
    <t>INVERSE HYPERBOLIC FUNCTIONS</t>
  </si>
  <si>
    <t>Test Input Values (for Inverse Hyperbolic)</t>
  </si>
  <si>
    <t>ASINH, ACOSH, ATANH</t>
  </si>
  <si>
    <t>ASINH</t>
  </si>
  <si>
    <t>ACOSH</t>
  </si>
  <si>
    <t>ATANH</t>
  </si>
  <si>
    <t>ASINH, ACOSH, ATANH (using Angle Inputs)</t>
  </si>
  <si>
    <t>CONVERSION FUNCTIONS</t>
  </si>
  <si>
    <t>RADIANS (Degree → Radian) &amp; DEGREES (Radian → Degree)</t>
  </si>
  <si>
    <t>RADIANS</t>
  </si>
  <si>
    <t>DEGREES</t>
  </si>
  <si>
    <t>0°</t>
  </si>
  <si>
    <t>30°</t>
  </si>
  <si>
    <t>45°</t>
  </si>
  <si>
    <t>60°</t>
  </si>
  <si>
    <t>90°</t>
  </si>
  <si>
    <t>180°</t>
  </si>
  <si>
    <t>270°</t>
  </si>
  <si>
    <t>360°</t>
  </si>
  <si>
    <t>-45°</t>
  </si>
  <si>
    <t>RADIANS &amp; DEGREES (using Angle Inputs)</t>
  </si>
  <si>
    <t>PI() FUNCTION</t>
  </si>
  <si>
    <t>PI()</t>
  </si>
  <si>
    <t>Division by zero (e.g., CSC(0), COT(0), ATAN2(0,0))</t>
  </si>
  <si>
    <t>Invalid input for domain (e.g., ASIN(2), ACOSH(0.5), ATANH(2))</t>
  </si>
  <si>
    <t>Angle inputs in C5:C13 — change inputs there to re-test</t>
  </si>
  <si>
    <t>Inv Trig Inputs</t>
  </si>
  <si>
    <t>Domain-specific inputs in C31:C39 for ASIN/ACOS range [-1,1]</t>
  </si>
  <si>
    <t>Inv Hyp Inputs</t>
  </si>
  <si>
    <t>Domain-specific inputs in C91:C99 for ACOSH(≥1), ATANH(|x|&lt;1)</t>
  </si>
  <si>
    <t>SEC/CSC/COT</t>
  </si>
  <si>
    <t>SEC=1/COS, CSC=1/SIN, COT=1/TAN (reciprocal identities)</t>
  </si>
  <si>
    <t>SECH/CSCH</t>
  </si>
  <si>
    <t>SECH=1/COSH, CSCH=1/SINH (reciprocal hyperbolic identities)</t>
  </si>
  <si>
    <t>Precision</t>
  </si>
  <si>
    <t>Near-zero results at π/2, π, 2π due to floating-point representation of PI()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</si>
</sst>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9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C00000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1" fontId="4" fillId="0" borderId="0" xfId="0" applyNumberFormat="1" applyFont="1"/>
    <xf numFmtId="0" fontId="3" fillId="0" borderId="0" xfId="0" applyFont="1"/>
    <xf numFmtId="0" fontId="6" fillId="2" borderId="0" xfId="0" applyFont="1" applyFill="1"/>
    <xf numFmtId="11" fontId="2" fillId="0" borderId="0" xfId="0" applyNumberFormat="1" applyFont="1" applyAlignment="1">
      <alignment horizontal="center"/>
    </xf>
    <xf numFmtId="11" fontId="6" fillId="2" borderId="0" xfId="0" applyNumberFormat="1" applyFont="1" applyFill="1"/>
    <xf numFmtId="0" fontId="3" fillId="2" borderId="0" xfId="0" applyFont="1" applyFill="1"/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C2FE8D-6D8D-9445-B63F-A03FBB90BC44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7C9D-1CA2-1649-A1DA-C609654B06B8}">
  <dimension ref="B2:K162"/>
  <sheetViews>
    <sheetView tabSelected="1" workbookViewId="0">
      <selection activeCell="C33" sqref="C33"/>
    </sheetView>
  </sheetViews>
  <sheetFormatPr defaultColWidth="11.19921875" defaultRowHeight="15.6" x14ac:dyDescent="0.3"/>
  <cols>
    <col min="2" max="2" width="50" bestFit="1" customWidth="1"/>
    <col min="3" max="3" width="60.19921875" bestFit="1" customWidth="1"/>
    <col min="4" max="5" width="9.19921875" bestFit="1" customWidth="1"/>
    <col min="6" max="6" width="13" bestFit="1" customWidth="1"/>
    <col min="7" max="7" width="12.5" bestFit="1" customWidth="1"/>
    <col min="8" max="8" width="9.19921875" bestFit="1" customWidth="1"/>
    <col min="9" max="10" width="8.69921875" bestFit="1" customWidth="1"/>
    <col min="11" max="11" width="9.19921875" bestFit="1" customWidth="1"/>
  </cols>
  <sheetData>
    <row r="2" spans="2:11" ht="18" x14ac:dyDescent="0.35">
      <c r="B2" s="1" t="s">
        <v>4</v>
      </c>
      <c r="C2" s="1"/>
      <c r="D2" s="1"/>
      <c r="E2" s="1"/>
      <c r="F2" s="1"/>
      <c r="G2" s="1"/>
      <c r="H2" s="1"/>
      <c r="I2" s="1"/>
      <c r="J2" s="1"/>
      <c r="K2" s="1"/>
    </row>
    <row r="4" spans="2:11" x14ac:dyDescent="0.3">
      <c r="B4" s="5" t="s">
        <v>5</v>
      </c>
      <c r="C4" s="5"/>
      <c r="D4" s="5"/>
      <c r="E4" s="5"/>
      <c r="F4" s="5"/>
      <c r="G4" s="5"/>
      <c r="H4" s="5"/>
      <c r="I4" s="5"/>
      <c r="J4" s="5"/>
      <c r="K4" s="5"/>
    </row>
    <row r="5" spans="2:11" x14ac:dyDescent="0.3">
      <c r="B5" s="3" t="s">
        <v>0</v>
      </c>
      <c r="C5" s="4">
        <v>0</v>
      </c>
      <c r="D5" s="2"/>
      <c r="E5" s="2"/>
      <c r="F5" s="2"/>
      <c r="G5" s="2"/>
      <c r="H5" s="2"/>
      <c r="I5" s="2"/>
      <c r="J5" s="2"/>
      <c r="K5" s="2"/>
    </row>
    <row r="6" spans="2:11" x14ac:dyDescent="0.3">
      <c r="B6" s="3" t="s">
        <v>6</v>
      </c>
      <c r="C6" s="4">
        <f>PI()/6</f>
        <v>0.52359877559829882</v>
      </c>
      <c r="D6" s="2"/>
      <c r="E6" s="2"/>
      <c r="F6" s="2"/>
      <c r="G6" s="2"/>
      <c r="H6" s="2"/>
      <c r="I6" s="2"/>
      <c r="J6" s="2"/>
      <c r="K6" s="2"/>
    </row>
    <row r="7" spans="2:11" x14ac:dyDescent="0.3">
      <c r="B7" s="3" t="s">
        <v>7</v>
      </c>
      <c r="C7" s="4">
        <f>PI()/4</f>
        <v>0.78539816339744828</v>
      </c>
      <c r="D7" s="2"/>
      <c r="E7" s="2"/>
      <c r="F7" s="2"/>
      <c r="G7" s="2"/>
      <c r="H7" s="2"/>
      <c r="I7" s="2"/>
      <c r="J7" s="2"/>
      <c r="K7" s="2"/>
    </row>
    <row r="8" spans="2:11" x14ac:dyDescent="0.3">
      <c r="B8" s="3" t="s">
        <v>8</v>
      </c>
      <c r="C8" s="4">
        <f>PI()/3</f>
        <v>1.0471975511965976</v>
      </c>
      <c r="D8" s="2"/>
      <c r="E8" s="2"/>
      <c r="F8" s="2"/>
      <c r="G8" s="2"/>
      <c r="H8" s="2"/>
      <c r="I8" s="2"/>
      <c r="J8" s="2"/>
      <c r="K8" s="2"/>
    </row>
    <row r="9" spans="2:11" x14ac:dyDescent="0.3">
      <c r="B9" s="3" t="s">
        <v>9</v>
      </c>
      <c r="C9" s="4">
        <f>PI()/2</f>
        <v>1.5707963267948966</v>
      </c>
      <c r="D9" s="2"/>
      <c r="E9" s="2"/>
      <c r="F9" s="2"/>
      <c r="G9" s="2"/>
      <c r="H9" s="2"/>
      <c r="I9" s="2"/>
      <c r="J9" s="2"/>
      <c r="K9" s="2"/>
    </row>
    <row r="10" spans="2:11" x14ac:dyDescent="0.3">
      <c r="B10" s="3" t="s">
        <v>10</v>
      </c>
      <c r="C10" s="4">
        <f>PI()</f>
        <v>3.1415926535897931</v>
      </c>
      <c r="D10" s="2"/>
      <c r="E10" s="2"/>
      <c r="F10" s="2"/>
      <c r="G10" s="2"/>
      <c r="H10" s="2"/>
      <c r="I10" s="2"/>
      <c r="J10" s="2"/>
      <c r="K10" s="2"/>
    </row>
    <row r="11" spans="2:11" x14ac:dyDescent="0.3">
      <c r="B11" s="3" t="s">
        <v>11</v>
      </c>
      <c r="C11" s="4">
        <f>3*PI()/2</f>
        <v>4.7123889803846897</v>
      </c>
      <c r="D11" s="2"/>
      <c r="E11" s="2"/>
      <c r="F11" s="2"/>
      <c r="G11" s="2"/>
      <c r="H11" s="2"/>
      <c r="I11" s="2"/>
      <c r="J11" s="2"/>
      <c r="K11" s="2"/>
    </row>
    <row r="12" spans="2:11" x14ac:dyDescent="0.3">
      <c r="B12" s="3" t="s">
        <v>12</v>
      </c>
      <c r="C12" s="4">
        <f>2*PI()</f>
        <v>6.2831853071795862</v>
      </c>
      <c r="D12" s="2"/>
      <c r="E12" s="2"/>
      <c r="F12" s="2"/>
      <c r="G12" s="2"/>
      <c r="H12" s="2"/>
      <c r="I12" s="2"/>
      <c r="J12" s="2"/>
      <c r="K12" s="2"/>
    </row>
    <row r="13" spans="2:11" x14ac:dyDescent="0.3">
      <c r="B13" s="3" t="s">
        <v>13</v>
      </c>
      <c r="C13" s="4">
        <f>-PI()/4</f>
        <v>-0.78539816339744828</v>
      </c>
      <c r="D13" s="2"/>
      <c r="E13" s="2"/>
      <c r="F13" s="2"/>
      <c r="G13" s="2"/>
      <c r="H13" s="2"/>
      <c r="I13" s="2"/>
      <c r="J13" s="2"/>
      <c r="K13" s="2"/>
    </row>
    <row r="14" spans="2:11" x14ac:dyDescent="0.3">
      <c r="D14" s="2"/>
      <c r="E14" s="2"/>
      <c r="F14" s="2"/>
      <c r="G14" s="2"/>
      <c r="H14" s="2"/>
      <c r="I14" s="2"/>
      <c r="J14" s="2"/>
      <c r="K14" s="2"/>
    </row>
    <row r="15" spans="2:11" x14ac:dyDescent="0.3">
      <c r="D15" s="2"/>
      <c r="E15" s="2"/>
      <c r="F15" s="2"/>
      <c r="G15" s="2"/>
      <c r="H15" s="2"/>
      <c r="I15" s="2"/>
      <c r="J15" s="2"/>
      <c r="K15" s="2"/>
    </row>
    <row r="16" spans="2:11" x14ac:dyDescent="0.3">
      <c r="B16" s="9" t="s">
        <v>14</v>
      </c>
      <c r="C16" s="5"/>
      <c r="D16" s="5"/>
      <c r="E16" s="5"/>
      <c r="F16" s="5"/>
      <c r="G16" s="5"/>
      <c r="H16" s="5"/>
      <c r="I16" s="5"/>
      <c r="J16" s="5"/>
      <c r="K16" s="5"/>
    </row>
    <row r="17" spans="2:11" x14ac:dyDescent="0.3">
      <c r="B17" s="11" t="s">
        <v>1</v>
      </c>
      <c r="C17" s="10" t="s">
        <v>15</v>
      </c>
      <c r="D17" s="10" t="s">
        <v>16</v>
      </c>
      <c r="E17" s="10" t="s">
        <v>17</v>
      </c>
      <c r="F17" s="10" t="s">
        <v>18</v>
      </c>
      <c r="G17" s="10" t="s">
        <v>19</v>
      </c>
      <c r="H17" s="10" t="s">
        <v>20</v>
      </c>
    </row>
    <row r="18" spans="2:11" x14ac:dyDescent="0.3">
      <c r="B18" s="6" t="str">
        <f>$B$5</f>
        <v>Zero</v>
      </c>
      <c r="C18" s="7">
        <f>SIN($C$5)</f>
        <v>0</v>
      </c>
      <c r="D18" s="7">
        <f>COS($C$5)</f>
        <v>1</v>
      </c>
      <c r="E18" s="7">
        <f>TAN($C$5)</f>
        <v>0</v>
      </c>
      <c r="F18" s="7">
        <f>_xlfn.SEC($C$5)</f>
        <v>1</v>
      </c>
      <c r="G18" s="7" t="e">
        <f>_xlfn.CSC($C$5)</f>
        <v>#DIV/0!</v>
      </c>
      <c r="H18" s="7" t="e">
        <f>_xlfn.COT($C$5)</f>
        <v>#DIV/0!</v>
      </c>
    </row>
    <row r="19" spans="2:11" x14ac:dyDescent="0.3">
      <c r="B19" s="6" t="str">
        <f>$B$6</f>
        <v>π/6 (30°)</v>
      </c>
      <c r="C19" s="7">
        <f>SIN($C$6)</f>
        <v>0.49999999999999994</v>
      </c>
      <c r="D19" s="7">
        <f>COS($C$6)</f>
        <v>0.86602540378443871</v>
      </c>
      <c r="E19" s="7">
        <f>TAN($C$6)</f>
        <v>0.57735026918962562</v>
      </c>
      <c r="F19" s="7">
        <f>_xlfn.SEC($C$6)</f>
        <v>1.1547005383792515</v>
      </c>
      <c r="G19" s="7">
        <f>_xlfn.CSC($C$6)</f>
        <v>2.0000000000000004</v>
      </c>
      <c r="H19" s="7">
        <f>_xlfn.COT($C$6)</f>
        <v>1.7320508075688776</v>
      </c>
    </row>
    <row r="20" spans="2:11" x14ac:dyDescent="0.3">
      <c r="B20" s="6" t="str">
        <f>$B$7</f>
        <v>π/4 (45°)</v>
      </c>
      <c r="C20" s="7">
        <f>SIN($C$7)</f>
        <v>0.70710678118654746</v>
      </c>
      <c r="D20" s="7">
        <f>COS($C$7)</f>
        <v>0.70710678118654757</v>
      </c>
      <c r="E20" s="7">
        <f>TAN($C$7)</f>
        <v>0.99999999999999989</v>
      </c>
      <c r="F20" s="7">
        <f>_xlfn.SEC($C$7)</f>
        <v>1.4142135623730949</v>
      </c>
      <c r="G20" s="7">
        <f>_xlfn.CSC($C$7)</f>
        <v>1.4142135623730951</v>
      </c>
      <c r="H20" s="7">
        <f>_xlfn.COT($C$7)</f>
        <v>1.0000000000000002</v>
      </c>
    </row>
    <row r="21" spans="2:11" x14ac:dyDescent="0.3">
      <c r="B21" s="6" t="str">
        <f>$B$8</f>
        <v>π/3 (60°)</v>
      </c>
      <c r="C21" s="7">
        <f>SIN($C$8)</f>
        <v>0.8660254037844386</v>
      </c>
      <c r="D21" s="7">
        <f>COS($C$8)</f>
        <v>0.50000000000000011</v>
      </c>
      <c r="E21" s="7">
        <f>TAN($C$8)</f>
        <v>1.7320508075688767</v>
      </c>
      <c r="F21" s="7">
        <f>_xlfn.SEC($C$8)</f>
        <v>1.9999999999999996</v>
      </c>
      <c r="G21" s="7">
        <f>_xlfn.CSC($C$8)</f>
        <v>1.1547005383792517</v>
      </c>
      <c r="H21" s="7">
        <f>_xlfn.COT($C$8)</f>
        <v>0.57735026918962595</v>
      </c>
    </row>
    <row r="22" spans="2:11" x14ac:dyDescent="0.3">
      <c r="B22" s="6" t="str">
        <f>$B$9</f>
        <v>π/2 (90°)</v>
      </c>
      <c r="C22" s="7">
        <f>SIN($C$9)</f>
        <v>1</v>
      </c>
      <c r="D22" s="7">
        <f>COS($C$9)</f>
        <v>6.123233995736766E-17</v>
      </c>
      <c r="E22" s="7">
        <f>TAN($C$9)</f>
        <v>1.633123935319537E+16</v>
      </c>
      <c r="F22" s="7">
        <f>_xlfn.SEC($C$9)</f>
        <v>1.633123935319537E+16</v>
      </c>
      <c r="G22" s="7">
        <f>_xlfn.CSC($C$9)</f>
        <v>1</v>
      </c>
      <c r="H22" s="7">
        <f>_xlfn.COT($C$9)</f>
        <v>6.123233995736766E-17</v>
      </c>
    </row>
    <row r="23" spans="2:11" x14ac:dyDescent="0.3">
      <c r="B23" s="6" t="str">
        <f>$B$10</f>
        <v>π (180°)</v>
      </c>
      <c r="C23" s="7">
        <f>SIN($C$10)</f>
        <v>1.2246467991473532E-16</v>
      </c>
      <c r="D23" s="7">
        <f>COS($C$10)</f>
        <v>-1</v>
      </c>
      <c r="E23" s="7">
        <f>TAN($C$10)</f>
        <v>-1.2246467991473532E-16</v>
      </c>
      <c r="F23" s="7">
        <f>_xlfn.SEC($C$10)</f>
        <v>-1</v>
      </c>
      <c r="G23" s="7">
        <f>_xlfn.CSC($C$10)</f>
        <v>8165619676597685</v>
      </c>
      <c r="H23" s="7">
        <f>_xlfn.COT($C$10)</f>
        <v>-8165619676597685</v>
      </c>
    </row>
    <row r="24" spans="2:11" x14ac:dyDescent="0.3">
      <c r="B24" s="6" t="str">
        <f>$B$11</f>
        <v>3π/2 (270°)</v>
      </c>
      <c r="C24" s="7">
        <f>SIN($C$11)</f>
        <v>-1</v>
      </c>
      <c r="D24" s="7">
        <f>COS($C$11)</f>
        <v>-1.8369701987210297E-16</v>
      </c>
      <c r="E24" s="7">
        <f>TAN($C$11)</f>
        <v>5443746451065123</v>
      </c>
      <c r="F24" s="7">
        <f>_xlfn.SEC($C$11)</f>
        <v>-5443746451065123</v>
      </c>
      <c r="G24" s="7">
        <f>_xlfn.CSC($C$11)</f>
        <v>-1</v>
      </c>
      <c r="H24" s="7">
        <f>_xlfn.COT($C$11)</f>
        <v>1.8369701987210299E-16</v>
      </c>
    </row>
    <row r="25" spans="2:11" x14ac:dyDescent="0.3">
      <c r="B25" s="6" t="str">
        <f>$B$12</f>
        <v>2π (360°)</v>
      </c>
      <c r="C25" s="7">
        <f>SIN($C$12)</f>
        <v>-2.4492935982947064E-16</v>
      </c>
      <c r="D25" s="7">
        <f>COS($C$12)</f>
        <v>1</v>
      </c>
      <c r="E25" s="7">
        <f>TAN($C$12)</f>
        <v>-2.4492935982947064E-16</v>
      </c>
      <c r="F25" s="7">
        <f>_xlfn.SEC($C$12)</f>
        <v>1</v>
      </c>
      <c r="G25" s="7">
        <f>_xlfn.CSC($C$12)</f>
        <v>-4082809838298842.5</v>
      </c>
      <c r="H25" s="7">
        <f>_xlfn.COT($C$12)</f>
        <v>-4082809838298842.5</v>
      </c>
    </row>
    <row r="26" spans="2:11" x14ac:dyDescent="0.3">
      <c r="B26" s="6" t="str">
        <f>$B$13</f>
        <v>-π/4 (-45°)</v>
      </c>
      <c r="C26" s="7">
        <f>SIN($C$13)</f>
        <v>-0.70710678118654746</v>
      </c>
      <c r="D26" s="7">
        <f>COS($C$13)</f>
        <v>0.70710678118654757</v>
      </c>
      <c r="E26" s="7">
        <f>TAN($C$13)</f>
        <v>-0.99999999999999989</v>
      </c>
      <c r="F26" s="7">
        <f>_xlfn.SEC($C$13)</f>
        <v>1.4142135623730949</v>
      </c>
      <c r="G26" s="7">
        <f>_xlfn.CSC($C$13)</f>
        <v>-1.4142135623730951</v>
      </c>
      <c r="H26" s="7">
        <f>_xlfn.COT($C$13)</f>
        <v>-1.0000000000000002</v>
      </c>
    </row>
    <row r="28" spans="2:11" x14ac:dyDescent="0.3">
      <c r="B28" s="5" t="s">
        <v>21</v>
      </c>
      <c r="C28" s="5"/>
      <c r="D28" s="5"/>
      <c r="E28" s="5"/>
      <c r="F28" s="5"/>
      <c r="G28" s="5"/>
      <c r="H28" s="5"/>
      <c r="I28" s="5"/>
      <c r="J28" s="5"/>
      <c r="K28" s="5"/>
    </row>
    <row r="30" spans="2:11" x14ac:dyDescent="0.3">
      <c r="B30" s="5" t="s">
        <v>22</v>
      </c>
      <c r="C30" s="5"/>
      <c r="D30" s="5"/>
      <c r="E30" s="5"/>
      <c r="F30" s="5"/>
      <c r="G30" s="5"/>
      <c r="H30" s="5"/>
      <c r="I30" s="5"/>
      <c r="J30" s="5"/>
      <c r="K30" s="5"/>
    </row>
    <row r="31" spans="2:11" x14ac:dyDescent="0.3">
      <c r="B31" s="3">
        <v>-1</v>
      </c>
      <c r="C31" s="4">
        <v>-1</v>
      </c>
    </row>
    <row r="32" spans="2:11" x14ac:dyDescent="0.3">
      <c r="B32" s="3" t="s">
        <v>23</v>
      </c>
      <c r="C32" s="4">
        <f>-SQRT(3)/2</f>
        <v>-0.8660254037844386</v>
      </c>
    </row>
    <row r="33" spans="2:11" x14ac:dyDescent="0.3">
      <c r="B33" s="3" t="s">
        <v>24</v>
      </c>
      <c r="C33" s="4">
        <f>-SQRT(2)/2</f>
        <v>-0.70710678118654757</v>
      </c>
    </row>
    <row r="34" spans="2:11" x14ac:dyDescent="0.3">
      <c r="B34" s="3">
        <v>-0.5</v>
      </c>
      <c r="C34" s="4">
        <v>-0.5</v>
      </c>
    </row>
    <row r="35" spans="2:11" x14ac:dyDescent="0.3">
      <c r="B35" s="3">
        <v>0</v>
      </c>
      <c r="C35" s="4">
        <v>0</v>
      </c>
    </row>
    <row r="36" spans="2:11" x14ac:dyDescent="0.3">
      <c r="B36" s="3">
        <v>0.5</v>
      </c>
      <c r="C36" s="4">
        <v>0.5</v>
      </c>
    </row>
    <row r="37" spans="2:11" x14ac:dyDescent="0.3">
      <c r="B37" s="3" t="s">
        <v>25</v>
      </c>
      <c r="C37" s="4">
        <f>SQRT(2)/2</f>
        <v>0.70710678118654757</v>
      </c>
    </row>
    <row r="38" spans="2:11" x14ac:dyDescent="0.3">
      <c r="B38" s="3" t="s">
        <v>26</v>
      </c>
      <c r="C38" s="4">
        <f>SQRT(3)/2</f>
        <v>0.8660254037844386</v>
      </c>
    </row>
    <row r="39" spans="2:11" x14ac:dyDescent="0.3">
      <c r="B39" s="3">
        <v>1</v>
      </c>
      <c r="C39" s="4">
        <v>1</v>
      </c>
    </row>
    <row r="41" spans="2:11" x14ac:dyDescent="0.3">
      <c r="B41" s="5" t="s">
        <v>27</v>
      </c>
      <c r="C41" s="5"/>
      <c r="D41" s="5"/>
      <c r="E41" s="5"/>
      <c r="F41" s="5"/>
      <c r="G41" s="5"/>
      <c r="H41" s="5"/>
      <c r="I41" s="5"/>
      <c r="J41" s="5"/>
      <c r="K41" s="5"/>
    </row>
    <row r="42" spans="2:11" x14ac:dyDescent="0.3">
      <c r="B42" s="11" t="s">
        <v>1</v>
      </c>
      <c r="C42" s="10" t="s">
        <v>28</v>
      </c>
      <c r="D42" s="10" t="s">
        <v>29</v>
      </c>
      <c r="E42" s="10" t="s">
        <v>30</v>
      </c>
    </row>
    <row r="43" spans="2:11" x14ac:dyDescent="0.3">
      <c r="B43" s="6">
        <f>$B$31</f>
        <v>-1</v>
      </c>
      <c r="C43" s="7">
        <f>ASIN($C$31)</f>
        <v>-1.5707963267948966</v>
      </c>
      <c r="D43" s="7">
        <f>ACOS($C$31)</f>
        <v>3.1415926535897931</v>
      </c>
      <c r="E43" s="7">
        <f>ATAN($C$31)</f>
        <v>-0.78539816339744828</v>
      </c>
    </row>
    <row r="44" spans="2:11" x14ac:dyDescent="0.3">
      <c r="B44" s="6" t="str">
        <f>$B$32</f>
        <v>-√3/2</v>
      </c>
      <c r="C44" s="7">
        <f>ASIN($C$32)</f>
        <v>-1.0471975511965976</v>
      </c>
      <c r="D44" s="7">
        <f>ACOS($C$32)</f>
        <v>2.617993877991494</v>
      </c>
      <c r="E44" s="7">
        <f>ATAN($C$32)</f>
        <v>-0.71372437894476559</v>
      </c>
    </row>
    <row r="45" spans="2:11" x14ac:dyDescent="0.3">
      <c r="B45" s="6" t="str">
        <f>$B$33</f>
        <v>-√2/2</v>
      </c>
      <c r="C45" s="7">
        <f>ASIN($C$33)</f>
        <v>-0.78539816339744828</v>
      </c>
      <c r="D45" s="7">
        <f>ACOS($C$33)</f>
        <v>2.3561944901923448</v>
      </c>
      <c r="E45" s="7">
        <f>ATAN($C$33)</f>
        <v>-0.61547970867038737</v>
      </c>
    </row>
    <row r="46" spans="2:11" x14ac:dyDescent="0.3">
      <c r="B46" s="6">
        <f>$B$34</f>
        <v>-0.5</v>
      </c>
      <c r="C46" s="7">
        <f>ASIN($C$34)</f>
        <v>-0.52359877559829893</v>
      </c>
      <c r="D46" s="7">
        <f>ACOS($C$34)</f>
        <v>2.0943951023931957</v>
      </c>
      <c r="E46" s="7">
        <f>ATAN($C$34)</f>
        <v>-0.46364760900080615</v>
      </c>
    </row>
    <row r="47" spans="2:11" x14ac:dyDescent="0.3">
      <c r="B47" s="6">
        <f>$B$35</f>
        <v>0</v>
      </c>
      <c r="C47" s="7">
        <f>ASIN($C$35)</f>
        <v>0</v>
      </c>
      <c r="D47" s="7">
        <f>ACOS($C$35)</f>
        <v>1.5707963267948966</v>
      </c>
      <c r="E47" s="7">
        <f>ATAN($C$35)</f>
        <v>0</v>
      </c>
    </row>
    <row r="48" spans="2:11" x14ac:dyDescent="0.3">
      <c r="B48" s="6">
        <f>$B$36</f>
        <v>0.5</v>
      </c>
      <c r="C48" s="7">
        <f>ASIN($C$36)</f>
        <v>0.52359877559829893</v>
      </c>
      <c r="D48" s="7">
        <f>ACOS($C$36)</f>
        <v>1.0471975511965976</v>
      </c>
      <c r="E48" s="7">
        <f>ATAN($C$36)</f>
        <v>0.46364760900080615</v>
      </c>
    </row>
    <row r="49" spans="2:11" x14ac:dyDescent="0.3">
      <c r="B49" s="6" t="str">
        <f>$B$37</f>
        <v>√2/2</v>
      </c>
      <c r="C49" s="7">
        <f>ASIN($C$37)</f>
        <v>0.78539816339744839</v>
      </c>
      <c r="D49" s="7">
        <f>ACOS($C$37)</f>
        <v>0.78539816339744817</v>
      </c>
      <c r="E49" s="7">
        <f>ATAN($C$37)</f>
        <v>0.61547970867038737</v>
      </c>
    </row>
    <row r="50" spans="2:11" x14ac:dyDescent="0.3">
      <c r="B50" s="6" t="str">
        <f>$B$38</f>
        <v>√3/2</v>
      </c>
      <c r="C50" s="7">
        <f>ASIN($C$38)</f>
        <v>1.0471975511965976</v>
      </c>
      <c r="D50" s="7">
        <f>ACOS($C$38)</f>
        <v>0.52359877559829893</v>
      </c>
      <c r="E50" s="7">
        <f>ATAN($C$38)</f>
        <v>0.71372437894476559</v>
      </c>
    </row>
    <row r="51" spans="2:11" x14ac:dyDescent="0.3">
      <c r="B51" s="6">
        <f>$B$39</f>
        <v>1</v>
      </c>
      <c r="C51" s="7">
        <f>ASIN($C$39)</f>
        <v>1.5707963267948966</v>
      </c>
      <c r="D51" s="7">
        <f>ACOS($C$39)</f>
        <v>0</v>
      </c>
      <c r="E51" s="7">
        <f>ATAN($C$39)</f>
        <v>0.78539816339744828</v>
      </c>
    </row>
    <row r="53" spans="2:11" x14ac:dyDescent="0.3">
      <c r="B53" s="5" t="s">
        <v>31</v>
      </c>
      <c r="C53" s="5"/>
      <c r="D53" s="5"/>
      <c r="E53" s="5"/>
      <c r="F53" s="5"/>
      <c r="G53" s="5"/>
      <c r="H53" s="5"/>
      <c r="I53" s="5"/>
      <c r="J53" s="5"/>
      <c r="K53" s="5"/>
    </row>
    <row r="54" spans="2:11" x14ac:dyDescent="0.3">
      <c r="B54" s="11" t="s">
        <v>1</v>
      </c>
      <c r="C54" s="10" t="s">
        <v>28</v>
      </c>
      <c r="D54" s="10" t="s">
        <v>29</v>
      </c>
      <c r="E54" s="10" t="s">
        <v>30</v>
      </c>
    </row>
    <row r="55" spans="2:11" x14ac:dyDescent="0.3">
      <c r="B55" s="6" t="str">
        <f>$B$5</f>
        <v>Zero</v>
      </c>
      <c r="C55" s="7">
        <f>ASIN($C$5)</f>
        <v>0</v>
      </c>
      <c r="D55" s="7">
        <f>ACOS($C$5)</f>
        <v>1.5707963267948966</v>
      </c>
      <c r="E55" s="7">
        <f>ATAN($C$5)</f>
        <v>0</v>
      </c>
    </row>
    <row r="56" spans="2:11" x14ac:dyDescent="0.3">
      <c r="B56" s="6" t="str">
        <f>$B$6</f>
        <v>π/6 (30°)</v>
      </c>
      <c r="C56" s="7">
        <f>ASIN($C$6)</f>
        <v>0.55106958309944631</v>
      </c>
      <c r="D56" s="7">
        <f>ACOS($C$6)</f>
        <v>1.0197267436954502</v>
      </c>
      <c r="E56" s="7">
        <f>ATAN($C$6)</f>
        <v>0.48234790710102493</v>
      </c>
    </row>
    <row r="57" spans="2:11" x14ac:dyDescent="0.3">
      <c r="B57" s="6" t="str">
        <f>$B$7</f>
        <v>π/4 (45°)</v>
      </c>
      <c r="C57" s="7">
        <f>ASIN($C$7)</f>
        <v>0.90333911076651274</v>
      </c>
      <c r="D57" s="7">
        <f>ACOS($C$7)</f>
        <v>0.66745721602838382</v>
      </c>
      <c r="E57" s="7">
        <f>ATAN($C$7)</f>
        <v>0.66577375002835382</v>
      </c>
    </row>
    <row r="58" spans="2:11" x14ac:dyDescent="0.3">
      <c r="B58" s="6" t="str">
        <f>$B$8</f>
        <v>π/3 (60°)</v>
      </c>
      <c r="C58" s="7" t="e">
        <f>ASIN($C$8)</f>
        <v>#NUM!</v>
      </c>
      <c r="D58" s="7" t="e">
        <f>ACOS($C$8)</f>
        <v>#NUM!</v>
      </c>
      <c r="E58" s="7">
        <f>ATAN($C$8)</f>
        <v>0.80844879263002201</v>
      </c>
    </row>
    <row r="59" spans="2:11" x14ac:dyDescent="0.3">
      <c r="B59" s="6" t="str">
        <f>$B$9</f>
        <v>π/2 (90°)</v>
      </c>
      <c r="C59" s="7" t="e">
        <f>ASIN($C$9)</f>
        <v>#NUM!</v>
      </c>
      <c r="D59" s="7" t="e">
        <f>ACOS($C$9)</f>
        <v>#NUM!</v>
      </c>
      <c r="E59" s="7">
        <f>ATAN($C$9)</f>
        <v>1.0038848218538872</v>
      </c>
    </row>
    <row r="60" spans="2:11" x14ac:dyDescent="0.3">
      <c r="B60" s="6" t="str">
        <f>$B$10</f>
        <v>π (180°)</v>
      </c>
      <c r="C60" s="7" t="e">
        <f>ASIN($C$10)</f>
        <v>#NUM!</v>
      </c>
      <c r="D60" s="7" t="e">
        <f>ACOS($C$10)</f>
        <v>#NUM!</v>
      </c>
      <c r="E60" s="7">
        <f>ATAN($C$10)</f>
        <v>1.2626272556789115</v>
      </c>
    </row>
    <row r="61" spans="2:11" x14ac:dyDescent="0.3">
      <c r="B61" s="6" t="str">
        <f>$B$11</f>
        <v>3π/2 (270°)</v>
      </c>
      <c r="C61" s="7" t="e">
        <f>ASIN($C$11)</f>
        <v>#NUM!</v>
      </c>
      <c r="D61" s="7" t="e">
        <f>ACOS($C$11)</f>
        <v>#NUM!</v>
      </c>
      <c r="E61" s="7">
        <f>ATAN($C$11)</f>
        <v>1.3616916829711636</v>
      </c>
    </row>
    <row r="62" spans="2:11" x14ac:dyDescent="0.3">
      <c r="B62" s="6" t="str">
        <f>$B$12</f>
        <v>2π (360°)</v>
      </c>
      <c r="C62" s="7" t="e">
        <f>ASIN($C$12)</f>
        <v>#NUM!</v>
      </c>
      <c r="D62" s="7" t="e">
        <f>ACOS($C$12)</f>
        <v>#NUM!</v>
      </c>
      <c r="E62" s="7">
        <f>ATAN($C$12)</f>
        <v>1.4129651365067377</v>
      </c>
    </row>
    <row r="63" spans="2:11" x14ac:dyDescent="0.3">
      <c r="B63" s="6" t="str">
        <f>$B$13</f>
        <v>-π/4 (-45°)</v>
      </c>
      <c r="C63" s="7">
        <f>ASIN($C$13)</f>
        <v>-0.90333911076651274</v>
      </c>
      <c r="D63" s="7">
        <f>ACOS($C$13)</f>
        <v>2.4741354375614093</v>
      </c>
      <c r="E63" s="7">
        <f>ATAN($C$13)</f>
        <v>-0.66577375002835382</v>
      </c>
    </row>
    <row r="65" spans="2:11" x14ac:dyDescent="0.3">
      <c r="B65" s="5" t="s">
        <v>32</v>
      </c>
      <c r="C65" s="5"/>
      <c r="D65" s="5"/>
      <c r="E65" s="5"/>
      <c r="F65" s="5"/>
      <c r="G65" s="5"/>
      <c r="H65" s="5"/>
      <c r="I65" s="5"/>
      <c r="J65" s="5"/>
      <c r="K65" s="5"/>
    </row>
    <row r="66" spans="2:11" x14ac:dyDescent="0.3">
      <c r="B66" s="11" t="s">
        <v>33</v>
      </c>
      <c r="C66" s="12">
        <f>$C$5</f>
        <v>0</v>
      </c>
      <c r="D66" s="12">
        <f>$C$6</f>
        <v>0.52359877559829882</v>
      </c>
      <c r="E66" s="12">
        <f>$C$7</f>
        <v>0.78539816339744828</v>
      </c>
      <c r="F66" s="12">
        <f>$C$8</f>
        <v>1.0471975511965976</v>
      </c>
      <c r="G66" s="12">
        <f>$C$9</f>
        <v>1.5707963267948966</v>
      </c>
      <c r="H66" s="12">
        <f>$C$10</f>
        <v>3.1415926535897931</v>
      </c>
      <c r="I66" s="12">
        <f>$C$11</f>
        <v>4.7123889803846897</v>
      </c>
      <c r="J66" s="12">
        <f>$C$12</f>
        <v>6.2831853071795862</v>
      </c>
      <c r="K66" s="12">
        <f>$C$13</f>
        <v>-0.78539816339744828</v>
      </c>
    </row>
    <row r="67" spans="2:11" x14ac:dyDescent="0.3">
      <c r="B67" s="8">
        <f>$C$5</f>
        <v>0</v>
      </c>
      <c r="C67" s="7" t="e">
        <f>ATAN2($C$5,$C$5)</f>
        <v>#DIV/0!</v>
      </c>
      <c r="D67" s="7">
        <f>ATAN2($C$6,$C$5)</f>
        <v>0</v>
      </c>
      <c r="E67" s="7">
        <f>ATAN2($C$7,$C$5)</f>
        <v>0</v>
      </c>
      <c r="F67" s="7">
        <f>ATAN2($C$8,$C$5)</f>
        <v>0</v>
      </c>
      <c r="G67" s="7">
        <f>ATAN2($C$9,$C$5)</f>
        <v>0</v>
      </c>
      <c r="H67" s="7">
        <f>ATAN2($C$10,$C$5)</f>
        <v>0</v>
      </c>
      <c r="I67" s="7">
        <f>ATAN2($C$11,$C$5)</f>
        <v>0</v>
      </c>
      <c r="J67" s="7">
        <f>ATAN2($C$12,$C$5)</f>
        <v>0</v>
      </c>
      <c r="K67" s="7">
        <f>ATAN2($C$13,$C$5)</f>
        <v>3.1415926535897931</v>
      </c>
    </row>
    <row r="68" spans="2:11" x14ac:dyDescent="0.3">
      <c r="B68" s="8">
        <f>$C$6</f>
        <v>0.52359877559829882</v>
      </c>
      <c r="C68" s="7">
        <f>ATAN2($C$5,$C$6)</f>
        <v>1.5707963267948966</v>
      </c>
      <c r="D68" s="7">
        <f>ATAN2($C$6,$C$6)</f>
        <v>0.78539816339744828</v>
      </c>
      <c r="E68" s="7">
        <f>ATAN2($C$7,$C$6)</f>
        <v>0.5880026035475675</v>
      </c>
      <c r="F68" s="7">
        <f>ATAN2($C$8,$C$6)</f>
        <v>0.46364760900080615</v>
      </c>
      <c r="G68" s="7">
        <f>ATAN2($C$9,$C$6)</f>
        <v>0.32175055439664219</v>
      </c>
      <c r="H68" s="7">
        <f>ATAN2($C$10,$C$6)</f>
        <v>0.16514867741462683</v>
      </c>
      <c r="I68" s="7">
        <f>ATAN2($C$11,$C$6)</f>
        <v>0.11065722117389563</v>
      </c>
      <c r="J68" s="7">
        <f>ATAN2($C$12,$C$6)</f>
        <v>8.3141231888441219E-2</v>
      </c>
      <c r="K68" s="7">
        <f>ATAN2($C$13,$C$6)</f>
        <v>2.5535900500422257</v>
      </c>
    </row>
    <row r="69" spans="2:11" x14ac:dyDescent="0.3">
      <c r="B69" s="8">
        <f>$C$7</f>
        <v>0.78539816339744828</v>
      </c>
      <c r="C69" s="7">
        <f>ATAN2($C$5,$C$7)</f>
        <v>1.5707963267948966</v>
      </c>
      <c r="D69" s="7">
        <f>ATAN2($C$6,$C$7)</f>
        <v>0.98279372324732905</v>
      </c>
      <c r="E69" s="7">
        <f>ATAN2($C$7,$C$7)</f>
        <v>0.78539816339744828</v>
      </c>
      <c r="F69" s="7">
        <f>ATAN2($C$8,$C$7)</f>
        <v>0.64350110879328437</v>
      </c>
      <c r="G69" s="7">
        <f>ATAN2($C$9,$C$7)</f>
        <v>0.46364760900080615</v>
      </c>
      <c r="H69" s="7">
        <f>ATAN2($C$10,$C$7)</f>
        <v>0.24497866312686414</v>
      </c>
      <c r="I69" s="7">
        <f>ATAN2($C$11,$C$7)</f>
        <v>0.16514867741462683</v>
      </c>
      <c r="J69" s="7">
        <f>ATAN2($C$12,$C$7)</f>
        <v>0.12435499454676144</v>
      </c>
      <c r="K69" s="7">
        <f>ATAN2($C$13,$C$7)</f>
        <v>2.3561944901923448</v>
      </c>
    </row>
    <row r="70" spans="2:11" x14ac:dyDescent="0.3">
      <c r="B70" s="8">
        <f>$C$8</f>
        <v>1.0471975511965976</v>
      </c>
      <c r="C70" s="7">
        <f>ATAN2($C$5,$C$8)</f>
        <v>1.5707963267948966</v>
      </c>
      <c r="D70" s="7">
        <f>ATAN2($C$6,$C$8)</f>
        <v>1.1071487177940906</v>
      </c>
      <c r="E70" s="7">
        <f>ATAN2($C$7,$C$8)</f>
        <v>0.92729521800161219</v>
      </c>
      <c r="F70" s="7">
        <f>ATAN2($C$8,$C$8)</f>
        <v>0.78539816339744828</v>
      </c>
      <c r="G70" s="7">
        <f>ATAN2($C$9,$C$8)</f>
        <v>0.5880026035475675</v>
      </c>
      <c r="H70" s="7">
        <f>ATAN2($C$10,$C$8)</f>
        <v>0.32175055439664219</v>
      </c>
      <c r="I70" s="7">
        <f>ATAN2($C$11,$C$8)</f>
        <v>0.21866894587394195</v>
      </c>
      <c r="J70" s="7">
        <f>ATAN2($C$12,$C$8)</f>
        <v>0.16514867741462683</v>
      </c>
      <c r="K70" s="7">
        <f>ATAN2($C$13,$C$8)</f>
        <v>2.2142974355881808</v>
      </c>
    </row>
    <row r="71" spans="2:11" x14ac:dyDescent="0.3">
      <c r="B71" s="8">
        <f>$C$9</f>
        <v>1.5707963267948966</v>
      </c>
      <c r="C71" s="7">
        <f>ATAN2($C$5,$C$9)</f>
        <v>1.5707963267948966</v>
      </c>
      <c r="D71" s="7">
        <f>ATAN2($C$6,$C$9)</f>
        <v>1.2490457723982544</v>
      </c>
      <c r="E71" s="7">
        <f>ATAN2($C$7,$C$9)</f>
        <v>1.1071487177940906</v>
      </c>
      <c r="F71" s="7">
        <f>ATAN2($C$8,$C$9)</f>
        <v>0.98279372324732905</v>
      </c>
      <c r="G71" s="7">
        <f>ATAN2($C$9,$C$9)</f>
        <v>0.78539816339744828</v>
      </c>
      <c r="H71" s="7">
        <f>ATAN2($C$10,$C$9)</f>
        <v>0.46364760900080615</v>
      </c>
      <c r="I71" s="7">
        <f>ATAN2($C$11,$C$9)</f>
        <v>0.32175055439664219</v>
      </c>
      <c r="J71" s="7">
        <f>ATAN2($C$12,$C$9)</f>
        <v>0.24497866312686414</v>
      </c>
      <c r="K71" s="7">
        <f>ATAN2($C$13,$C$9)</f>
        <v>2.0344439357957027</v>
      </c>
    </row>
    <row r="72" spans="2:11" x14ac:dyDescent="0.3">
      <c r="B72" s="8">
        <f>$C$10</f>
        <v>3.1415926535897931</v>
      </c>
      <c r="C72" s="7">
        <f>ATAN2($C$5,$C$10)</f>
        <v>1.5707963267948966</v>
      </c>
      <c r="D72" s="7">
        <f>ATAN2($C$6,$C$10)</f>
        <v>1.4056476493802699</v>
      </c>
      <c r="E72" s="7">
        <f>ATAN2($C$7,$C$10)</f>
        <v>1.3258176636680326</v>
      </c>
      <c r="F72" s="7">
        <f>ATAN2($C$8,$C$10)</f>
        <v>1.2490457723982544</v>
      </c>
      <c r="G72" s="7">
        <f>ATAN2($C$9,$C$10)</f>
        <v>1.1071487177940906</v>
      </c>
      <c r="H72" s="7">
        <f>ATAN2($C$10,$C$10)</f>
        <v>0.78539816339744828</v>
      </c>
      <c r="I72" s="7">
        <f>ATAN2($C$11,$C$10)</f>
        <v>0.5880026035475675</v>
      </c>
      <c r="J72" s="7">
        <f>ATAN2($C$12,$C$10)</f>
        <v>0.46364760900080615</v>
      </c>
      <c r="K72" s="7">
        <f>ATAN2($C$13,$C$10)</f>
        <v>1.8157749899217606</v>
      </c>
    </row>
    <row r="73" spans="2:11" x14ac:dyDescent="0.3">
      <c r="B73" s="8">
        <f>$C$11</f>
        <v>4.7123889803846897</v>
      </c>
      <c r="C73" s="7">
        <f>ATAN2($C$5,$C$11)</f>
        <v>1.5707963267948966</v>
      </c>
      <c r="D73" s="7">
        <f>ATAN2($C$6,$C$11)</f>
        <v>1.4601391056210009</v>
      </c>
      <c r="E73" s="7">
        <f>ATAN2($C$7,$C$11)</f>
        <v>1.4056476493802699</v>
      </c>
      <c r="F73" s="7">
        <f>ATAN2($C$8,$C$11)</f>
        <v>1.3521273809209546</v>
      </c>
      <c r="G73" s="7">
        <f>ATAN2($C$9,$C$11)</f>
        <v>1.2490457723982544</v>
      </c>
      <c r="H73" s="7">
        <f>ATAN2($C$10,$C$11)</f>
        <v>0.98279372324732905</v>
      </c>
      <c r="I73" s="7">
        <f>ATAN2($C$11,$C$11)</f>
        <v>0.78539816339744828</v>
      </c>
      <c r="J73" s="7">
        <f>ATAN2($C$12,$C$11)</f>
        <v>0.64350110879328437</v>
      </c>
      <c r="K73" s="7">
        <f>ATAN2($C$13,$C$11)</f>
        <v>1.7359450042095232</v>
      </c>
    </row>
    <row r="74" spans="2:11" x14ac:dyDescent="0.3">
      <c r="B74" s="8">
        <f>$C$12</f>
        <v>6.2831853071795862</v>
      </c>
      <c r="C74" s="7">
        <f>ATAN2($C$5,$C$12)</f>
        <v>1.5707963267948966</v>
      </c>
      <c r="D74" s="7">
        <f>ATAN2($C$6,$C$12)</f>
        <v>1.4876550949064553</v>
      </c>
      <c r="E74" s="7">
        <f>ATAN2($C$7,$C$12)</f>
        <v>1.4464413322481351</v>
      </c>
      <c r="F74" s="7">
        <f>ATAN2($C$8,$C$12)</f>
        <v>1.4056476493802699</v>
      </c>
      <c r="G74" s="7">
        <f>ATAN2($C$9,$C$12)</f>
        <v>1.3258176636680326</v>
      </c>
      <c r="H74" s="7">
        <f>ATAN2($C$10,$C$12)</f>
        <v>1.1071487177940906</v>
      </c>
      <c r="I74" s="7">
        <f>ATAN2($C$11,$C$12)</f>
        <v>0.92729521800161219</v>
      </c>
      <c r="J74" s="7">
        <f>ATAN2($C$12,$C$12)</f>
        <v>0.78539816339744828</v>
      </c>
      <c r="K74" s="7">
        <f>ATAN2($C$13,$C$12)</f>
        <v>1.695151321341658</v>
      </c>
    </row>
    <row r="75" spans="2:11" x14ac:dyDescent="0.3">
      <c r="B75" s="8">
        <f>$C$13</f>
        <v>-0.78539816339744828</v>
      </c>
      <c r="C75" s="7">
        <f>ATAN2($C$5,$C$13)</f>
        <v>-1.5707963267948966</v>
      </c>
      <c r="D75" s="7">
        <f>ATAN2($C$6,$C$13)</f>
        <v>-0.98279372324732905</v>
      </c>
      <c r="E75" s="7">
        <f>ATAN2($C$7,$C$13)</f>
        <v>-0.78539816339744828</v>
      </c>
      <c r="F75" s="7">
        <f>ATAN2($C$8,$C$13)</f>
        <v>-0.64350110879328437</v>
      </c>
      <c r="G75" s="7">
        <f>ATAN2($C$9,$C$13)</f>
        <v>-0.46364760900080615</v>
      </c>
      <c r="H75" s="7">
        <f>ATAN2($C$10,$C$13)</f>
        <v>-0.24497866312686414</v>
      </c>
      <c r="I75" s="7">
        <f>ATAN2($C$11,$C$13)</f>
        <v>-0.16514867741462683</v>
      </c>
      <c r="J75" s="7">
        <f>ATAN2($C$12,$C$13)</f>
        <v>-0.12435499454676144</v>
      </c>
      <c r="K75" s="7">
        <f>ATAN2($C$13,$C$13)</f>
        <v>-2.3561944901923448</v>
      </c>
    </row>
    <row r="77" spans="2:11" x14ac:dyDescent="0.3">
      <c r="B77" s="5" t="s">
        <v>34</v>
      </c>
      <c r="C77" s="5"/>
      <c r="D77" s="5"/>
      <c r="E77" s="5"/>
      <c r="F77" s="5"/>
      <c r="G77" s="5"/>
      <c r="H77" s="5"/>
      <c r="I77" s="5"/>
      <c r="J77" s="5"/>
      <c r="K77" s="5"/>
    </row>
    <row r="78" spans="2:11" x14ac:dyDescent="0.3">
      <c r="B78" s="11" t="s">
        <v>1</v>
      </c>
      <c r="C78" s="10" t="s">
        <v>35</v>
      </c>
      <c r="D78" s="10" t="s">
        <v>36</v>
      </c>
      <c r="E78" s="10" t="s">
        <v>37</v>
      </c>
      <c r="F78" s="10" t="s">
        <v>38</v>
      </c>
      <c r="G78" s="10" t="s">
        <v>39</v>
      </c>
    </row>
    <row r="79" spans="2:11" x14ac:dyDescent="0.3">
      <c r="B79" s="6" t="str">
        <f>$B$5</f>
        <v>Zero</v>
      </c>
      <c r="C79" s="7">
        <f>SINH($C$5)</f>
        <v>0</v>
      </c>
      <c r="D79" s="7">
        <f>COSH($C$5)</f>
        <v>1</v>
      </c>
      <c r="E79" s="7">
        <f>TANH($C$5)</f>
        <v>0</v>
      </c>
      <c r="F79" s="7">
        <f>1/COSH($C$5)</f>
        <v>1</v>
      </c>
      <c r="G79" s="7" t="e">
        <f>1/SINH($C$5)</f>
        <v>#DIV/0!</v>
      </c>
    </row>
    <row r="80" spans="2:11" x14ac:dyDescent="0.3">
      <c r="B80" s="6" t="str">
        <f>$B$6</f>
        <v>π/6 (30°)</v>
      </c>
      <c r="C80" s="7">
        <f>SINH($C$6)</f>
        <v>0.54785347388803973</v>
      </c>
      <c r="D80" s="7">
        <f>COSH($C$6)</f>
        <v>1.1402383210764286</v>
      </c>
      <c r="E80" s="7">
        <f>TANH($C$6)</f>
        <v>0.48047277815645162</v>
      </c>
      <c r="F80" s="7">
        <f>1/COSH($C$6)</f>
        <v>0.87700964045477936</v>
      </c>
      <c r="G80" s="7">
        <f>1/SINH($C$6)</f>
        <v>1.8253055746879534</v>
      </c>
    </row>
    <row r="81" spans="2:11" x14ac:dyDescent="0.3">
      <c r="B81" s="6" t="str">
        <f>$B$7</f>
        <v>π/4 (45°)</v>
      </c>
      <c r="C81" s="7">
        <f>SINH($C$7)</f>
        <v>0.86867096148600964</v>
      </c>
      <c r="D81" s="7">
        <f>COSH($C$7)</f>
        <v>1.3246090892520057</v>
      </c>
      <c r="E81" s="7">
        <f>TANH($C$7)</f>
        <v>0.65579420263267241</v>
      </c>
      <c r="F81" s="7">
        <f>1/COSH($C$7)</f>
        <v>0.7549397087141313</v>
      </c>
      <c r="G81" s="7">
        <f>1/SINH($C$7)</f>
        <v>1.1511838709208486</v>
      </c>
    </row>
    <row r="82" spans="2:11" x14ac:dyDescent="0.3">
      <c r="B82" s="6" t="str">
        <f>$B$8</f>
        <v>π/3 (60°)</v>
      </c>
      <c r="C82" s="7">
        <f>SINH($C$8)</f>
        <v>1.2493670505239751</v>
      </c>
      <c r="D82" s="7">
        <f>COSH($C$8)</f>
        <v>1.6002868577023861</v>
      </c>
      <c r="E82" s="7">
        <f>TANH($C$8)</f>
        <v>0.78071443535926766</v>
      </c>
      <c r="F82" s="7">
        <f>1/COSH($C$8)</f>
        <v>0.62488796629608723</v>
      </c>
      <c r="G82" s="7">
        <f>1/SINH($C$8)</f>
        <v>0.80040529288859308</v>
      </c>
    </row>
    <row r="83" spans="2:11" x14ac:dyDescent="0.3">
      <c r="B83" s="6" t="str">
        <f>$B$9</f>
        <v>π/2 (90°)</v>
      </c>
      <c r="C83" s="7">
        <f>SINH($C$9)</f>
        <v>2.3012989023072947</v>
      </c>
      <c r="D83" s="7">
        <f>COSH($C$9)</f>
        <v>2.5091784786580567</v>
      </c>
      <c r="E83" s="7">
        <f>TANH($C$9)</f>
        <v>0.91715233566727439</v>
      </c>
      <c r="F83" s="7">
        <f>1/COSH($C$9)</f>
        <v>0.3985368153383867</v>
      </c>
      <c r="G83" s="7">
        <f>1/SINH($C$9)</f>
        <v>0.43453720809469581</v>
      </c>
    </row>
    <row r="84" spans="2:11" x14ac:dyDescent="0.3">
      <c r="B84" s="6" t="str">
        <f>$B$10</f>
        <v>π (180°)</v>
      </c>
      <c r="C84" s="7">
        <f>SINH($C$10)</f>
        <v>11.548739357257748</v>
      </c>
      <c r="D84" s="7">
        <f>COSH($C$10)</f>
        <v>11.591953275521519</v>
      </c>
      <c r="E84" s="7">
        <f>TANH($C$10)</f>
        <v>0.99627207622075009</v>
      </c>
      <c r="F84" s="7">
        <f>1/COSH($C$10)</f>
        <v>8.6266738334054432E-2</v>
      </c>
      <c r="G84" s="7">
        <f>1/SINH($C$10)</f>
        <v>8.6589537530046945E-2</v>
      </c>
    </row>
    <row r="85" spans="2:11" x14ac:dyDescent="0.3">
      <c r="B85" s="6" t="str">
        <f>$B$11</f>
        <v>3π/2 (270°)</v>
      </c>
      <c r="C85" s="7">
        <f>SINH($C$11)</f>
        <v>55.654397599417543</v>
      </c>
      <c r="D85" s="7">
        <f>COSH($C$11)</f>
        <v>55.663380890438667</v>
      </c>
      <c r="E85" s="7">
        <f>TANH($C$11)</f>
        <v>0.99983861398863272</v>
      </c>
      <c r="F85" s="7">
        <f>1/COSH($C$11)</f>
        <v>1.7965132264752007E-2</v>
      </c>
      <c r="G85" s="7">
        <f>1/SINH($C$11)</f>
        <v>1.7968032053777287E-2</v>
      </c>
    </row>
    <row r="86" spans="2:11" x14ac:dyDescent="0.3">
      <c r="B86" s="6" t="str">
        <f>$B$12</f>
        <v>2π (360°)</v>
      </c>
      <c r="C86" s="7">
        <f>SINH($C$12)</f>
        <v>267.74489404101644</v>
      </c>
      <c r="D86" s="7">
        <f>COSH($C$12)</f>
        <v>267.74676148374817</v>
      </c>
      <c r="E86" s="7">
        <f>TANH($C$12)</f>
        <v>0.99999302533961054</v>
      </c>
      <c r="F86" s="7">
        <f>1/COSH($C$12)</f>
        <v>3.7348724386371281E-3</v>
      </c>
      <c r="G86" s="7">
        <f>1/SINH($C$12)</f>
        <v>3.7348984882856731E-3</v>
      </c>
    </row>
    <row r="87" spans="2:11" x14ac:dyDescent="0.3">
      <c r="B87" s="6" t="str">
        <f>$B$13</f>
        <v>-π/4 (-45°)</v>
      </c>
      <c r="C87" s="7">
        <f>SINH($C$13)</f>
        <v>-0.86867096148600964</v>
      </c>
      <c r="D87" s="7">
        <f>COSH($C$13)</f>
        <v>1.3246090892520057</v>
      </c>
      <c r="E87" s="7">
        <f>TANH($C$13)</f>
        <v>-0.65579420263267241</v>
      </c>
      <c r="F87" s="7">
        <f>1/COSH($C$13)</f>
        <v>0.7549397087141313</v>
      </c>
      <c r="G87" s="7">
        <f>1/SINH($C$13)</f>
        <v>-1.1511838709208486</v>
      </c>
    </row>
    <row r="89" spans="2:11" x14ac:dyDescent="0.3">
      <c r="B89" s="5" t="s">
        <v>40</v>
      </c>
      <c r="C89" s="5"/>
      <c r="D89" s="5"/>
      <c r="E89" s="5"/>
      <c r="F89" s="5"/>
      <c r="G89" s="5"/>
      <c r="H89" s="5"/>
      <c r="I89" s="5"/>
      <c r="J89" s="5"/>
      <c r="K89" s="5"/>
    </row>
    <row r="90" spans="2:11" x14ac:dyDescent="0.3">
      <c r="B90" s="5" t="s">
        <v>41</v>
      </c>
      <c r="C90" s="5"/>
      <c r="D90" s="5"/>
      <c r="E90" s="5"/>
      <c r="F90" s="5"/>
      <c r="G90" s="5"/>
      <c r="H90" s="5"/>
      <c r="I90" s="5"/>
      <c r="J90" s="5"/>
      <c r="K90" s="5"/>
    </row>
    <row r="91" spans="2:11" x14ac:dyDescent="0.3">
      <c r="B91" s="3">
        <v>-10</v>
      </c>
      <c r="C91" s="4">
        <v>-10</v>
      </c>
    </row>
    <row r="92" spans="2:11" x14ac:dyDescent="0.3">
      <c r="B92" s="3">
        <v>-1</v>
      </c>
      <c r="C92" s="4">
        <v>-1</v>
      </c>
    </row>
    <row r="93" spans="2:11" x14ac:dyDescent="0.3">
      <c r="B93" s="3">
        <v>-0.5</v>
      </c>
      <c r="C93" s="4">
        <v>-0.5</v>
      </c>
    </row>
    <row r="94" spans="2:11" x14ac:dyDescent="0.3">
      <c r="B94" s="3">
        <v>0</v>
      </c>
      <c r="C94" s="4">
        <v>0</v>
      </c>
    </row>
    <row r="95" spans="2:11" x14ac:dyDescent="0.3">
      <c r="B95" s="3">
        <v>0.5</v>
      </c>
      <c r="C95" s="4">
        <v>0.5</v>
      </c>
    </row>
    <row r="96" spans="2:11" x14ac:dyDescent="0.3">
      <c r="B96" s="3">
        <v>1</v>
      </c>
      <c r="C96" s="4">
        <v>1</v>
      </c>
    </row>
    <row r="97" spans="2:11" x14ac:dyDescent="0.3">
      <c r="B97" s="3">
        <v>2</v>
      </c>
      <c r="C97" s="4">
        <v>2</v>
      </c>
    </row>
    <row r="98" spans="2:11" x14ac:dyDescent="0.3">
      <c r="B98" s="3">
        <v>10</v>
      </c>
      <c r="C98" s="4">
        <v>10</v>
      </c>
    </row>
    <row r="99" spans="2:11" x14ac:dyDescent="0.3">
      <c r="B99" s="3">
        <v>100</v>
      </c>
      <c r="C99" s="4">
        <v>100</v>
      </c>
    </row>
    <row r="101" spans="2:11" x14ac:dyDescent="0.3">
      <c r="B101" s="5" t="s">
        <v>42</v>
      </c>
      <c r="C101" s="5"/>
      <c r="D101" s="5"/>
      <c r="E101" s="5"/>
      <c r="F101" s="5"/>
      <c r="G101" s="5"/>
      <c r="H101" s="5"/>
      <c r="I101" s="5"/>
      <c r="J101" s="5"/>
      <c r="K101" s="5"/>
    </row>
    <row r="102" spans="2:11" x14ac:dyDescent="0.3">
      <c r="B102" s="11" t="s">
        <v>1</v>
      </c>
      <c r="C102" s="10" t="s">
        <v>43</v>
      </c>
      <c r="D102" s="10" t="s">
        <v>44</v>
      </c>
      <c r="E102" s="10" t="s">
        <v>45</v>
      </c>
    </row>
    <row r="103" spans="2:11" x14ac:dyDescent="0.3">
      <c r="B103" s="6">
        <f>$B$91</f>
        <v>-10</v>
      </c>
      <c r="C103" s="7">
        <f>ASINH($C$91)</f>
        <v>-2.9982229502979698</v>
      </c>
      <c r="D103" s="7" t="e">
        <f>ACOSH($C$91)</f>
        <v>#NUM!</v>
      </c>
      <c r="E103" s="7" t="e">
        <f>ATANH($C$91)</f>
        <v>#NUM!</v>
      </c>
    </row>
    <row r="104" spans="2:11" x14ac:dyDescent="0.3">
      <c r="B104" s="6">
        <f>$B$92</f>
        <v>-1</v>
      </c>
      <c r="C104" s="7">
        <f>ASINH($C$92)</f>
        <v>-0.88137358701954294</v>
      </c>
      <c r="D104" s="7" t="e">
        <f>ACOSH($C$92)</f>
        <v>#NUM!</v>
      </c>
      <c r="E104" s="7" t="e">
        <f>ATANH($C$92)</f>
        <v>#NUM!</v>
      </c>
    </row>
    <row r="105" spans="2:11" x14ac:dyDescent="0.3">
      <c r="B105" s="6">
        <f>$B$93</f>
        <v>-0.5</v>
      </c>
      <c r="C105" s="7">
        <f>ASINH($C$93)</f>
        <v>-0.48121182505960347</v>
      </c>
      <c r="D105" s="7" t="e">
        <f>ACOSH($C$93)</f>
        <v>#NUM!</v>
      </c>
      <c r="E105" s="7">
        <f>ATANH($C$93)</f>
        <v>-0.54930614433405489</v>
      </c>
    </row>
    <row r="106" spans="2:11" x14ac:dyDescent="0.3">
      <c r="B106" s="6">
        <f>$B$94</f>
        <v>0</v>
      </c>
      <c r="C106" s="7">
        <f>ASINH($C$94)</f>
        <v>0</v>
      </c>
      <c r="D106" s="7" t="e">
        <f>ACOSH($C$94)</f>
        <v>#NUM!</v>
      </c>
      <c r="E106" s="7">
        <f>ATANH($C$94)</f>
        <v>0</v>
      </c>
    </row>
    <row r="107" spans="2:11" x14ac:dyDescent="0.3">
      <c r="B107" s="6">
        <f>$B$95</f>
        <v>0.5</v>
      </c>
      <c r="C107" s="7">
        <f>ASINH($C$95)</f>
        <v>0.48121182505960347</v>
      </c>
      <c r="D107" s="7" t="e">
        <f>ACOSH($C$95)</f>
        <v>#NUM!</v>
      </c>
      <c r="E107" s="7">
        <f>ATANH($C$95)</f>
        <v>0.54930614433405489</v>
      </c>
    </row>
    <row r="108" spans="2:11" x14ac:dyDescent="0.3">
      <c r="B108" s="6">
        <f>$B$96</f>
        <v>1</v>
      </c>
      <c r="C108" s="7">
        <f>ASINH($C$96)</f>
        <v>0.88137358701954294</v>
      </c>
      <c r="D108" s="7">
        <f>ACOSH($C$96)</f>
        <v>0</v>
      </c>
      <c r="E108" s="7" t="e">
        <f>ATANH($C$96)</f>
        <v>#NUM!</v>
      </c>
    </row>
    <row r="109" spans="2:11" x14ac:dyDescent="0.3">
      <c r="B109" s="6">
        <f>$B$97</f>
        <v>2</v>
      </c>
      <c r="C109" s="7">
        <f>ASINH($C$97)</f>
        <v>1.4436354751788103</v>
      </c>
      <c r="D109" s="7">
        <f>ACOSH($C$97)</f>
        <v>1.3169578969248166</v>
      </c>
      <c r="E109" s="7" t="e">
        <f>ATANH($C$97)</f>
        <v>#NUM!</v>
      </c>
    </row>
    <row r="110" spans="2:11" x14ac:dyDescent="0.3">
      <c r="B110" s="6">
        <f>$B$98</f>
        <v>10</v>
      </c>
      <c r="C110" s="7">
        <f>ASINH($C$98)</f>
        <v>2.9982229502979698</v>
      </c>
      <c r="D110" s="7">
        <f>ACOSH($C$98)</f>
        <v>2.9932228461263808</v>
      </c>
      <c r="E110" s="7" t="e">
        <f>ATANH($C$98)</f>
        <v>#NUM!</v>
      </c>
    </row>
    <row r="111" spans="2:11" x14ac:dyDescent="0.3">
      <c r="B111" s="6">
        <f>$B$99</f>
        <v>100</v>
      </c>
      <c r="C111" s="7">
        <f>ASINH($C$99)</f>
        <v>5.2983423656105888</v>
      </c>
      <c r="D111" s="7">
        <f>ACOSH($C$99)</f>
        <v>5.298292365610485</v>
      </c>
      <c r="E111" s="7" t="e">
        <f>ATANH($C$99)</f>
        <v>#NUM!</v>
      </c>
    </row>
    <row r="113" spans="2:11" x14ac:dyDescent="0.3">
      <c r="B113" s="5" t="s">
        <v>46</v>
      </c>
      <c r="C113" s="5"/>
      <c r="D113" s="5"/>
      <c r="E113" s="5"/>
      <c r="F113" s="5"/>
      <c r="G113" s="5"/>
      <c r="H113" s="5"/>
      <c r="I113" s="5"/>
      <c r="J113" s="5"/>
      <c r="K113" s="5"/>
    </row>
    <row r="114" spans="2:11" x14ac:dyDescent="0.3">
      <c r="B114" s="11" t="s">
        <v>1</v>
      </c>
      <c r="C114" s="10" t="s">
        <v>43</v>
      </c>
      <c r="D114" s="10" t="s">
        <v>44</v>
      </c>
      <c r="E114" s="10" t="s">
        <v>45</v>
      </c>
    </row>
    <row r="115" spans="2:11" x14ac:dyDescent="0.3">
      <c r="B115" s="6" t="str">
        <f>$B$5</f>
        <v>Zero</v>
      </c>
      <c r="C115" s="7">
        <f>ASINH($C$5)</f>
        <v>0</v>
      </c>
      <c r="D115" s="7" t="e">
        <f>ACOSH($C$5)</f>
        <v>#NUM!</v>
      </c>
      <c r="E115" s="7">
        <f>ATANH($C$5)</f>
        <v>0</v>
      </c>
    </row>
    <row r="116" spans="2:11" x14ac:dyDescent="0.3">
      <c r="B116" s="6" t="str">
        <f>$B$6</f>
        <v>π/6 (30°)</v>
      </c>
      <c r="C116" s="7">
        <f>ASINH($C$6)</f>
        <v>0.5022189850346116</v>
      </c>
      <c r="D116" s="7" t="e">
        <f>ACOSH($C$6)</f>
        <v>#NUM!</v>
      </c>
      <c r="E116" s="7">
        <f>ATANH($C$6)</f>
        <v>0.58128501169472302</v>
      </c>
    </row>
    <row r="117" spans="2:11" x14ac:dyDescent="0.3">
      <c r="B117" s="6" t="str">
        <f>$B$7</f>
        <v>π/4 (45°)</v>
      </c>
      <c r="C117" s="7">
        <f>ASINH($C$7)</f>
        <v>0.72122548872677994</v>
      </c>
      <c r="D117" s="7" t="e">
        <f>ACOSH($C$7)</f>
        <v>#NUM!</v>
      </c>
      <c r="E117" s="7">
        <f>ATANH($C$7)</f>
        <v>1.059306170823243</v>
      </c>
    </row>
    <row r="118" spans="2:11" x14ac:dyDescent="0.3">
      <c r="B118" s="6" t="str">
        <f>$B$8</f>
        <v>π/3 (60°)</v>
      </c>
      <c r="C118" s="7">
        <f>ASINH($C$8)</f>
        <v>0.91435665539288569</v>
      </c>
      <c r="D118" s="7">
        <f>ACOSH($C$8)</f>
        <v>0.30604210861326531</v>
      </c>
      <c r="E118" s="7" t="e">
        <f>ATANH($C$8)</f>
        <v>#NUM!</v>
      </c>
    </row>
    <row r="119" spans="2:11" x14ac:dyDescent="0.3">
      <c r="B119" s="6" t="str">
        <f>$B$9</f>
        <v>π/2 (90°)</v>
      </c>
      <c r="C119" s="7">
        <f>ASINH($C$9)</f>
        <v>1.233403117511217</v>
      </c>
      <c r="D119" s="7">
        <f>ACOSH($C$9)</f>
        <v>1.0232274785475506</v>
      </c>
      <c r="E119" s="7" t="e">
        <f>ATANH($C$9)</f>
        <v>#NUM!</v>
      </c>
    </row>
    <row r="120" spans="2:11" x14ac:dyDescent="0.3">
      <c r="B120" s="6" t="str">
        <f>$B$10</f>
        <v>π (180°)</v>
      </c>
      <c r="C120" s="7">
        <f>ASINH($C$10)</f>
        <v>1.8622957433108482</v>
      </c>
      <c r="D120" s="7">
        <f>ACOSH($C$10)</f>
        <v>1.8115262724608532</v>
      </c>
      <c r="E120" s="7" t="e">
        <f>ATANH($C$10)</f>
        <v>#NUM!</v>
      </c>
    </row>
    <row r="121" spans="2:11" x14ac:dyDescent="0.3">
      <c r="B121" s="6" t="str">
        <f>$B$11</f>
        <v>3π/2 (270°)</v>
      </c>
      <c r="C121" s="7">
        <f>ASINH($C$11)</f>
        <v>2.2544145929927146</v>
      </c>
      <c r="D121" s="7">
        <f>ACOSH($C$11)</f>
        <v>2.2318892530580827</v>
      </c>
      <c r="E121" s="7" t="e">
        <f>ATANH($C$11)</f>
        <v>#NUM!</v>
      </c>
    </row>
    <row r="122" spans="2:11" x14ac:dyDescent="0.3">
      <c r="B122" s="6" t="str">
        <f>$B$12</f>
        <v>2π (360°)</v>
      </c>
      <c r="C122" s="7">
        <f>ASINH($C$12)</f>
        <v>2.5372975013733612</v>
      </c>
      <c r="D122" s="7">
        <f>ACOSH($C$12)</f>
        <v>2.5246306599334671</v>
      </c>
      <c r="E122" s="7" t="e">
        <f>ATANH($C$12)</f>
        <v>#NUM!</v>
      </c>
    </row>
    <row r="123" spans="2:11" x14ac:dyDescent="0.3">
      <c r="B123" s="6" t="str">
        <f>$B$13</f>
        <v>-π/4 (-45°)</v>
      </c>
      <c r="C123" s="7">
        <f>ASINH($C$13)</f>
        <v>-0.72122548872677994</v>
      </c>
      <c r="D123" s="7" t="e">
        <f>ACOSH($C$13)</f>
        <v>#NUM!</v>
      </c>
      <c r="E123" s="7">
        <f>ATANH($C$13)</f>
        <v>-1.0593061708232432</v>
      </c>
    </row>
    <row r="125" spans="2:11" x14ac:dyDescent="0.3">
      <c r="B125" s="5" t="s">
        <v>47</v>
      </c>
      <c r="C125" s="5"/>
      <c r="D125" s="5"/>
      <c r="E125" s="5"/>
      <c r="F125" s="5"/>
      <c r="G125" s="5"/>
      <c r="H125" s="5"/>
      <c r="I125" s="5"/>
      <c r="J125" s="5"/>
      <c r="K125" s="5"/>
    </row>
    <row r="126" spans="2:11" x14ac:dyDescent="0.3">
      <c r="B126" s="5" t="s">
        <v>48</v>
      </c>
      <c r="C126" s="5"/>
      <c r="D126" s="5"/>
      <c r="E126" s="5"/>
      <c r="F126" s="5"/>
      <c r="G126" s="5"/>
      <c r="H126" s="5"/>
      <c r="I126" s="5"/>
      <c r="J126" s="5"/>
      <c r="K126" s="5"/>
    </row>
    <row r="127" spans="2:11" x14ac:dyDescent="0.3">
      <c r="B127" s="11" t="s">
        <v>1</v>
      </c>
      <c r="C127" s="10" t="s">
        <v>49</v>
      </c>
      <c r="D127" s="10" t="s">
        <v>50</v>
      </c>
    </row>
    <row r="128" spans="2:11" x14ac:dyDescent="0.3">
      <c r="B128" s="6" t="s">
        <v>51</v>
      </c>
      <c r="C128" s="7">
        <f>RADIANS(0)</f>
        <v>0</v>
      </c>
      <c r="D128" s="7">
        <f>DEGREES(0)</f>
        <v>0</v>
      </c>
    </row>
    <row r="129" spans="2:11" x14ac:dyDescent="0.3">
      <c r="B129" s="6" t="s">
        <v>52</v>
      </c>
      <c r="C129" s="7">
        <f>RADIANS(30)</f>
        <v>0.52359877559829882</v>
      </c>
      <c r="D129" s="7">
        <f>DEGREES(30)</f>
        <v>1718.8733853924696</v>
      </c>
    </row>
    <row r="130" spans="2:11" x14ac:dyDescent="0.3">
      <c r="B130" s="6" t="s">
        <v>53</v>
      </c>
      <c r="C130" s="7">
        <f>RADIANS(45)</f>
        <v>0.78539816339744828</v>
      </c>
      <c r="D130" s="7">
        <f>DEGREES(45)</f>
        <v>2578.3100780887044</v>
      </c>
    </row>
    <row r="131" spans="2:11" x14ac:dyDescent="0.3">
      <c r="B131" s="6" t="s">
        <v>54</v>
      </c>
      <c r="C131" s="7">
        <f>RADIANS(60)</f>
        <v>1.0471975511965976</v>
      </c>
      <c r="D131" s="7">
        <f>DEGREES(60)</f>
        <v>3437.7467707849391</v>
      </c>
    </row>
    <row r="132" spans="2:11" x14ac:dyDescent="0.3">
      <c r="B132" s="6" t="s">
        <v>55</v>
      </c>
      <c r="C132" s="7">
        <f>RADIANS(90)</f>
        <v>1.5707963267948966</v>
      </c>
      <c r="D132" s="7">
        <f>DEGREES(90)</f>
        <v>5156.6201561774087</v>
      </c>
    </row>
    <row r="133" spans="2:11" x14ac:dyDescent="0.3">
      <c r="B133" s="6" t="s">
        <v>56</v>
      </c>
      <c r="C133" s="7">
        <f>RADIANS(180)</f>
        <v>3.1415926535897931</v>
      </c>
      <c r="D133" s="7">
        <f>DEGREES(180)</f>
        <v>10313.240312354817</v>
      </c>
    </row>
    <row r="134" spans="2:11" x14ac:dyDescent="0.3">
      <c r="B134" s="6" t="s">
        <v>57</v>
      </c>
      <c r="C134" s="7">
        <f>RADIANS(270)</f>
        <v>4.7123889803846897</v>
      </c>
      <c r="D134" s="7">
        <f>DEGREES(270)</f>
        <v>15469.860468532228</v>
      </c>
    </row>
    <row r="135" spans="2:11" x14ac:dyDescent="0.3">
      <c r="B135" s="6" t="s">
        <v>58</v>
      </c>
      <c r="C135" s="7">
        <f>RADIANS(360)</f>
        <v>6.2831853071795862</v>
      </c>
      <c r="D135" s="7">
        <f>DEGREES(360)</f>
        <v>20626.480624709635</v>
      </c>
    </row>
    <row r="136" spans="2:11" x14ac:dyDescent="0.3">
      <c r="B136" s="6" t="s">
        <v>59</v>
      </c>
      <c r="C136" s="7">
        <f>RADIANS(-45)</f>
        <v>-0.78539816339744828</v>
      </c>
      <c r="D136" s="7">
        <f>DEGREES(-45)</f>
        <v>-2578.3100780887044</v>
      </c>
    </row>
    <row r="138" spans="2:11" x14ac:dyDescent="0.3">
      <c r="B138" s="9" t="s">
        <v>60</v>
      </c>
      <c r="C138" s="5"/>
      <c r="D138" s="5"/>
      <c r="E138" s="5"/>
      <c r="F138" s="5"/>
      <c r="G138" s="5"/>
      <c r="H138" s="5"/>
      <c r="I138" s="5"/>
      <c r="J138" s="5"/>
      <c r="K138" s="5"/>
    </row>
    <row r="139" spans="2:11" x14ac:dyDescent="0.3">
      <c r="B139" s="11" t="s">
        <v>1</v>
      </c>
      <c r="C139" s="10" t="s">
        <v>49</v>
      </c>
      <c r="D139" s="10" t="s">
        <v>50</v>
      </c>
    </row>
    <row r="140" spans="2:11" x14ac:dyDescent="0.3">
      <c r="B140" s="6" t="str">
        <f>$B$5</f>
        <v>Zero</v>
      </c>
      <c r="C140" s="7">
        <f>RADIANS($C$5)</f>
        <v>0</v>
      </c>
      <c r="D140" s="7">
        <f>DEGREES($C$5)</f>
        <v>0</v>
      </c>
    </row>
    <row r="141" spans="2:11" x14ac:dyDescent="0.3">
      <c r="B141" s="6" t="str">
        <f>$B$6</f>
        <v>π/6 (30°)</v>
      </c>
      <c r="C141" s="7">
        <f>RADIANS($C$6)</f>
        <v>9.1385225936012563E-3</v>
      </c>
      <c r="D141" s="7">
        <f>DEGREES($C$6)</f>
        <v>29.999999999999996</v>
      </c>
    </row>
    <row r="142" spans="2:11" x14ac:dyDescent="0.3">
      <c r="B142" s="6" t="str">
        <f>$B$7</f>
        <v>π/4 (45°)</v>
      </c>
      <c r="C142" s="7">
        <f>RADIANS($C$7)</f>
        <v>1.3707783890401887E-2</v>
      </c>
      <c r="D142" s="7">
        <f>DEGREES($C$7)</f>
        <v>45</v>
      </c>
    </row>
    <row r="143" spans="2:11" x14ac:dyDescent="0.3">
      <c r="B143" s="6" t="str">
        <f>$B$8</f>
        <v>π/3 (60°)</v>
      </c>
      <c r="C143" s="7">
        <f>RADIANS($C$8)</f>
        <v>1.8277045187202513E-2</v>
      </c>
      <c r="D143" s="7">
        <f>DEGREES($C$8)</f>
        <v>59.999999999999993</v>
      </c>
    </row>
    <row r="144" spans="2:11" x14ac:dyDescent="0.3">
      <c r="B144" s="6" t="str">
        <f>$B$9</f>
        <v>π/2 (90°)</v>
      </c>
      <c r="C144" s="7">
        <f>RADIANS($C$9)</f>
        <v>2.7415567780803774E-2</v>
      </c>
      <c r="D144" s="7">
        <f>DEGREES($C$9)</f>
        <v>90</v>
      </c>
    </row>
    <row r="145" spans="2:11" x14ac:dyDescent="0.3">
      <c r="B145" s="6" t="str">
        <f>$B$10</f>
        <v>π (180°)</v>
      </c>
      <c r="C145" s="7">
        <f>RADIANS($C$10)</f>
        <v>5.4831135561607548E-2</v>
      </c>
      <c r="D145" s="7">
        <f>DEGREES($C$10)</f>
        <v>180</v>
      </c>
    </row>
    <row r="146" spans="2:11" x14ac:dyDescent="0.3">
      <c r="B146" s="6" t="str">
        <f>$B$11</f>
        <v>3π/2 (270°)</v>
      </c>
      <c r="C146" s="7">
        <f>RADIANS($C$11)</f>
        <v>8.2246703342411312E-2</v>
      </c>
      <c r="D146" s="7">
        <f>DEGREES($C$11)</f>
        <v>270</v>
      </c>
    </row>
    <row r="147" spans="2:11" x14ac:dyDescent="0.3">
      <c r="B147" s="6" t="str">
        <f>$B$12</f>
        <v>2π (360°)</v>
      </c>
      <c r="C147" s="7">
        <f>RADIANS($C$12)</f>
        <v>0.1096622711232151</v>
      </c>
      <c r="D147" s="7">
        <f>DEGREES($C$12)</f>
        <v>360</v>
      </c>
    </row>
    <row r="148" spans="2:11" x14ac:dyDescent="0.3">
      <c r="B148" s="6" t="str">
        <f>$B$13</f>
        <v>-π/4 (-45°)</v>
      </c>
      <c r="C148" s="7">
        <f>RADIANS($C$13)</f>
        <v>-1.3707783890401887E-2</v>
      </c>
      <c r="D148" s="7">
        <f>DEGREES($C$13)</f>
        <v>-45</v>
      </c>
    </row>
    <row r="150" spans="2:11" x14ac:dyDescent="0.3">
      <c r="B150" s="5" t="s">
        <v>61</v>
      </c>
      <c r="C150" s="5"/>
      <c r="D150" s="5"/>
      <c r="E150" s="5"/>
      <c r="F150" s="5"/>
      <c r="G150" s="5"/>
      <c r="H150" s="5"/>
      <c r="I150" s="5"/>
      <c r="J150" s="5"/>
      <c r="K150" s="5"/>
    </row>
    <row r="151" spans="2:11" x14ac:dyDescent="0.3">
      <c r="B151" s="6" t="s">
        <v>62</v>
      </c>
      <c r="C151" s="13">
        <f>PI()</f>
        <v>3.1415926535897931</v>
      </c>
    </row>
    <row r="154" spans="2:11" x14ac:dyDescent="0.3">
      <c r="B154" s="5" t="s">
        <v>2</v>
      </c>
      <c r="C154" s="5"/>
      <c r="D154" s="5"/>
      <c r="E154" s="5"/>
      <c r="F154" s="5"/>
      <c r="G154" s="5"/>
      <c r="H154" s="5"/>
      <c r="I154" s="5"/>
      <c r="J154" s="5"/>
      <c r="K154" s="5"/>
    </row>
    <row r="155" spans="2:11" x14ac:dyDescent="0.3">
      <c r="B155" s="14" t="e">
        <v>#DIV/0!</v>
      </c>
      <c r="C155" s="15" t="s">
        <v>63</v>
      </c>
    </row>
    <row r="156" spans="2:11" x14ac:dyDescent="0.3">
      <c r="B156" s="14" t="e">
        <v>#NUM!</v>
      </c>
      <c r="C156" s="15" t="s">
        <v>64</v>
      </c>
    </row>
    <row r="157" spans="2:11" x14ac:dyDescent="0.3">
      <c r="B157" s="14" t="s">
        <v>3</v>
      </c>
      <c r="C157" s="15" t="s">
        <v>65</v>
      </c>
    </row>
    <row r="158" spans="2:11" x14ac:dyDescent="0.3">
      <c r="B158" s="14" t="s">
        <v>66</v>
      </c>
      <c r="C158" s="15" t="s">
        <v>67</v>
      </c>
    </row>
    <row r="159" spans="2:11" x14ac:dyDescent="0.3">
      <c r="B159" s="14" t="s">
        <v>68</v>
      </c>
      <c r="C159" s="15" t="s">
        <v>69</v>
      </c>
    </row>
    <row r="160" spans="2:11" x14ac:dyDescent="0.3">
      <c r="B160" s="14" t="s">
        <v>70</v>
      </c>
      <c r="C160" s="15" t="s">
        <v>71</v>
      </c>
    </row>
    <row r="161" spans="2:3" x14ac:dyDescent="0.3">
      <c r="B161" s="14" t="s">
        <v>72</v>
      </c>
      <c r="C161" s="15" t="s">
        <v>73</v>
      </c>
    </row>
    <row r="162" spans="2:3" x14ac:dyDescent="0.3">
      <c r="B162" s="14" t="s">
        <v>74</v>
      </c>
      <c r="C162" s="1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2026-02-09T19:58:02Z</dcterms:created>
  <dcterms:modified xsi:type="dcterms:W3CDTF">2026-09-10T21:19:16Z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fc62f408-fba6-4c95-9e9c-4eaebbc98e93</vt:lpwstr>
  </property>
</Properties>
</file>