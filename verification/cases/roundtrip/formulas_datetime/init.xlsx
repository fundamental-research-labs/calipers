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8F9A68E4-2AFF-49A6-8634-13DF4D8389BF}" xr6:coauthVersionLast="47" xr6:coauthVersionMax="47" xr10:uidLastSave="{00000000-0000-0000-0000-000000000000}"/>
  <bookViews>
    <workbookView xWindow="-108" yWindow="-108" windowWidth="23256" windowHeight="13896" xr2:uid="{63476466-BFCB-C04A-A60C-BF1759BA0D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5" i="1" l="1"/>
  <c r="B216" i="1"/>
  <c r="B217" i="1"/>
  <c r="B218" i="1"/>
  <c r="B219" i="1"/>
  <c r="B220" i="1"/>
  <c r="B221" i="1"/>
  <c r="B222" i="1"/>
  <c r="B223" i="1"/>
  <c r="B189" i="1"/>
  <c r="B190" i="1"/>
  <c r="B191" i="1"/>
  <c r="B192" i="1"/>
  <c r="B193" i="1"/>
  <c r="B194" i="1"/>
  <c r="B195" i="1"/>
  <c r="B196" i="1"/>
  <c r="B197" i="1"/>
  <c r="B176" i="1"/>
  <c r="B177" i="1"/>
  <c r="B178" i="1"/>
  <c r="B179" i="1"/>
  <c r="B180" i="1"/>
  <c r="B181" i="1"/>
  <c r="B182" i="1"/>
  <c r="B183" i="1"/>
  <c r="B184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C58" i="1"/>
  <c r="C59" i="1"/>
  <c r="C60" i="1"/>
  <c r="C61" i="1"/>
  <c r="C62" i="1"/>
  <c r="C63" i="1"/>
  <c r="C64" i="1"/>
  <c r="C65" i="1"/>
  <c r="C66" i="1"/>
  <c r="C67" i="1"/>
  <c r="C68" i="1"/>
  <c r="C69" i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C21" i="1"/>
  <c r="C22" i="1"/>
  <c r="C23" i="1"/>
  <c r="C24" i="1"/>
  <c r="C25" i="1"/>
  <c r="C26" i="1"/>
  <c r="C27" i="1"/>
  <c r="C28" i="1"/>
  <c r="C29" i="1"/>
  <c r="C30" i="1"/>
  <c r="C31" i="1"/>
  <c r="C32" i="1"/>
  <c r="C16" i="1"/>
  <c r="C17" i="1"/>
  <c r="C15" i="1"/>
  <c r="C12" i="1"/>
  <c r="C13" i="1"/>
  <c r="C14" i="1"/>
  <c r="C8" i="1"/>
  <c r="C9" i="1"/>
  <c r="C10" i="1"/>
  <c r="C11" i="1"/>
  <c r="C5" i="1"/>
  <c r="C6" i="1"/>
  <c r="C7" i="1"/>
  <c r="F182" i="2"/>
  <c r="E182" i="2"/>
  <c r="D182" i="2"/>
  <c r="C182" i="2"/>
  <c r="G181" i="2"/>
  <c r="F181" i="2"/>
  <c r="E181" i="2"/>
  <c r="D181" i="2"/>
  <c r="C181" i="2"/>
  <c r="G180" i="2"/>
  <c r="F180" i="2"/>
  <c r="E180" i="2"/>
  <c r="D180" i="2"/>
  <c r="C180" i="2"/>
  <c r="G179" i="2"/>
  <c r="F179" i="2"/>
  <c r="E179" i="2"/>
  <c r="D179" i="2"/>
  <c r="C179" i="2"/>
  <c r="G178" i="2"/>
  <c r="F178" i="2"/>
  <c r="E178" i="2"/>
  <c r="D178" i="2"/>
  <c r="C178" i="2"/>
  <c r="G177" i="2"/>
  <c r="F177" i="2"/>
  <c r="E177" i="2"/>
  <c r="D177" i="2"/>
  <c r="C177" i="2"/>
  <c r="G172" i="2"/>
  <c r="E172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G164" i="2"/>
  <c r="F164" i="2"/>
  <c r="E164" i="2"/>
  <c r="D164" i="2"/>
  <c r="C164" i="2"/>
  <c r="F159" i="2"/>
  <c r="E159" i="2"/>
  <c r="D159" i="2"/>
  <c r="C159" i="2"/>
  <c r="G158" i="2"/>
  <c r="D157" i="2"/>
  <c r="C157" i="2"/>
  <c r="G156" i="2"/>
  <c r="F156" i="2"/>
  <c r="E156" i="2"/>
  <c r="G155" i="2"/>
  <c r="F155" i="2"/>
  <c r="E155" i="2"/>
  <c r="D155" i="2"/>
  <c r="C155" i="2"/>
  <c r="G154" i="2"/>
  <c r="F154" i="2"/>
  <c r="E154" i="2"/>
  <c r="D154" i="2"/>
  <c r="C154" i="2"/>
  <c r="G153" i="2"/>
  <c r="F153" i="2"/>
  <c r="E153" i="2"/>
  <c r="D153" i="2"/>
  <c r="C153" i="2"/>
  <c r="G152" i="2"/>
  <c r="F152" i="2"/>
  <c r="E152" i="2"/>
  <c r="D152" i="2"/>
  <c r="C152" i="2"/>
  <c r="G151" i="2"/>
  <c r="F151" i="2"/>
  <c r="E151" i="2"/>
  <c r="D151" i="2"/>
  <c r="C151" i="2"/>
  <c r="G145" i="2"/>
  <c r="G143" i="2"/>
  <c r="F143" i="2"/>
  <c r="E143" i="2"/>
  <c r="D143" i="2"/>
  <c r="C143" i="2"/>
  <c r="G142" i="2"/>
  <c r="F142" i="2"/>
  <c r="E142" i="2"/>
  <c r="D142" i="2"/>
  <c r="C142" i="2"/>
  <c r="G141" i="2"/>
  <c r="F141" i="2"/>
  <c r="E141" i="2"/>
  <c r="D141" i="2"/>
  <c r="C141" i="2"/>
  <c r="G140" i="2"/>
  <c r="F140" i="2"/>
  <c r="E140" i="2"/>
  <c r="D140" i="2"/>
  <c r="C140" i="2"/>
  <c r="G139" i="2"/>
  <c r="F139" i="2"/>
  <c r="E139" i="2"/>
  <c r="D139" i="2"/>
  <c r="C139" i="2"/>
  <c r="G138" i="2"/>
  <c r="F138" i="2"/>
  <c r="E138" i="2"/>
  <c r="D138" i="2"/>
  <c r="C138" i="2"/>
  <c r="C132" i="2"/>
  <c r="G129" i="2"/>
  <c r="F129" i="2"/>
  <c r="E129" i="2"/>
  <c r="D129" i="2"/>
  <c r="C129" i="2"/>
  <c r="G128" i="2"/>
  <c r="F128" i="2"/>
  <c r="E128" i="2"/>
  <c r="D128" i="2"/>
  <c r="C128" i="2"/>
  <c r="G127" i="2"/>
  <c r="F127" i="2"/>
  <c r="E127" i="2"/>
  <c r="D127" i="2"/>
  <c r="C127" i="2"/>
  <c r="G126" i="2"/>
  <c r="F126" i="2"/>
  <c r="E126" i="2"/>
  <c r="D126" i="2"/>
  <c r="C126" i="2"/>
  <c r="G125" i="2"/>
  <c r="F125" i="2"/>
  <c r="E125" i="2"/>
  <c r="D125" i="2"/>
  <c r="C125" i="2"/>
  <c r="I118" i="2"/>
  <c r="J117" i="2"/>
  <c r="F117" i="2"/>
  <c r="G116" i="2"/>
  <c r="F116" i="2"/>
  <c r="E116" i="2"/>
  <c r="H115" i="2"/>
  <c r="G115" i="2"/>
  <c r="F115" i="2"/>
  <c r="E115" i="2"/>
  <c r="D115" i="2"/>
  <c r="C115" i="2"/>
  <c r="K114" i="2"/>
  <c r="J114" i="2"/>
  <c r="I114" i="2"/>
  <c r="H114" i="2"/>
  <c r="G114" i="2"/>
  <c r="F114" i="2"/>
  <c r="E114" i="2"/>
  <c r="D114" i="2"/>
  <c r="C114" i="2"/>
  <c r="K113" i="2"/>
  <c r="J113" i="2"/>
  <c r="I113" i="2"/>
  <c r="H113" i="2"/>
  <c r="G113" i="2"/>
  <c r="F113" i="2"/>
  <c r="E113" i="2"/>
  <c r="D113" i="2"/>
  <c r="C113" i="2"/>
  <c r="K112" i="2"/>
  <c r="J112" i="2"/>
  <c r="I112" i="2"/>
  <c r="H112" i="2"/>
  <c r="G112" i="2"/>
  <c r="F112" i="2"/>
  <c r="E112" i="2"/>
  <c r="D112" i="2"/>
  <c r="C112" i="2"/>
  <c r="K111" i="2"/>
  <c r="J111" i="2"/>
  <c r="I111" i="2"/>
  <c r="H111" i="2"/>
  <c r="G111" i="2"/>
  <c r="F111" i="2"/>
  <c r="E111" i="2"/>
  <c r="D111" i="2"/>
  <c r="C111" i="2"/>
  <c r="K110" i="2"/>
  <c r="J110" i="2"/>
  <c r="I110" i="2"/>
  <c r="H110" i="2"/>
  <c r="G110" i="2"/>
  <c r="F110" i="2"/>
  <c r="E110" i="2"/>
  <c r="D110" i="2"/>
  <c r="C110" i="2"/>
  <c r="J104" i="2"/>
  <c r="H104" i="2"/>
  <c r="G104" i="2"/>
  <c r="F104" i="2"/>
  <c r="G103" i="2"/>
  <c r="F103" i="2"/>
  <c r="K101" i="2"/>
  <c r="E101" i="2"/>
  <c r="D101" i="2"/>
  <c r="C101" i="2"/>
  <c r="J100" i="2"/>
  <c r="H100" i="2"/>
  <c r="G100" i="2"/>
  <c r="F100" i="2"/>
  <c r="E100" i="2"/>
  <c r="D100" i="2"/>
  <c r="C100" i="2"/>
  <c r="G99" i="2"/>
  <c r="F99" i="2"/>
  <c r="E99" i="2"/>
  <c r="D99" i="2"/>
  <c r="C99" i="2"/>
  <c r="H98" i="2"/>
  <c r="G98" i="2"/>
  <c r="F98" i="2"/>
  <c r="E98" i="2"/>
  <c r="D98" i="2"/>
  <c r="C98" i="2"/>
  <c r="K97" i="2"/>
  <c r="J97" i="2"/>
  <c r="I97" i="2"/>
  <c r="G97" i="2"/>
  <c r="F97" i="2"/>
  <c r="E97" i="2"/>
  <c r="D97" i="2"/>
  <c r="C97" i="2"/>
  <c r="H96" i="2"/>
  <c r="G96" i="2"/>
  <c r="F96" i="2"/>
  <c r="E96" i="2"/>
  <c r="D96" i="2"/>
  <c r="C96" i="2"/>
  <c r="G91" i="2"/>
  <c r="C91" i="2"/>
  <c r="D90" i="2"/>
  <c r="C90" i="2"/>
  <c r="I89" i="2"/>
  <c r="J88" i="2"/>
  <c r="I88" i="2"/>
  <c r="H88" i="2"/>
  <c r="G88" i="2"/>
  <c r="F88" i="2"/>
  <c r="H87" i="2"/>
  <c r="G87" i="2"/>
  <c r="F87" i="2"/>
  <c r="E87" i="2"/>
  <c r="D87" i="2"/>
  <c r="C87" i="2"/>
  <c r="H86" i="2"/>
  <c r="G86" i="2"/>
  <c r="F86" i="2"/>
  <c r="E86" i="2"/>
  <c r="D86" i="2"/>
  <c r="C86" i="2"/>
  <c r="G85" i="2"/>
  <c r="F85" i="2"/>
  <c r="E85" i="2"/>
  <c r="D85" i="2"/>
  <c r="C85" i="2"/>
  <c r="K84" i="2"/>
  <c r="J84" i="2"/>
  <c r="H84" i="2"/>
  <c r="G84" i="2"/>
  <c r="F84" i="2"/>
  <c r="E84" i="2"/>
  <c r="D84" i="2"/>
  <c r="C84" i="2"/>
  <c r="H83" i="2"/>
  <c r="G83" i="2"/>
  <c r="F83" i="2"/>
  <c r="E83" i="2"/>
  <c r="D83" i="2"/>
  <c r="C83" i="2"/>
  <c r="C78" i="2"/>
  <c r="K77" i="2"/>
  <c r="J77" i="2"/>
  <c r="J76" i="2"/>
  <c r="I76" i="2"/>
  <c r="H76" i="2"/>
  <c r="G76" i="2"/>
  <c r="H75" i="2"/>
  <c r="G75" i="2"/>
  <c r="F75" i="2"/>
  <c r="E75" i="2"/>
  <c r="D75" i="2"/>
  <c r="C75" i="2"/>
  <c r="H74" i="2"/>
  <c r="G74" i="2"/>
  <c r="F74" i="2"/>
  <c r="E74" i="2"/>
  <c r="D74" i="2"/>
  <c r="C74" i="2"/>
  <c r="G73" i="2"/>
  <c r="F73" i="2"/>
  <c r="E73" i="2"/>
  <c r="D73" i="2"/>
  <c r="C73" i="2"/>
  <c r="K72" i="2"/>
  <c r="J72" i="2"/>
  <c r="I72" i="2"/>
  <c r="H72" i="2"/>
  <c r="G72" i="2"/>
  <c r="F72" i="2"/>
  <c r="E72" i="2"/>
  <c r="D72" i="2"/>
  <c r="C72" i="2"/>
  <c r="H71" i="2"/>
  <c r="G71" i="2"/>
  <c r="F71" i="2"/>
  <c r="E71" i="2"/>
  <c r="D71" i="2"/>
  <c r="C71" i="2"/>
  <c r="G70" i="2"/>
  <c r="F70" i="2"/>
  <c r="E70" i="2"/>
  <c r="D70" i="2"/>
  <c r="C70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K45" i="2"/>
  <c r="G45" i="2"/>
  <c r="F45" i="2"/>
  <c r="E45" i="2"/>
  <c r="D45" i="2"/>
  <c r="C45" i="2"/>
  <c r="K44" i="2"/>
  <c r="G44" i="2"/>
  <c r="F44" i="2"/>
  <c r="E44" i="2"/>
  <c r="D44" i="2"/>
  <c r="C44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C13" i="2"/>
  <c r="C12" i="2"/>
  <c r="C11" i="2"/>
  <c r="C10" i="2"/>
  <c r="J153" i="1" l="1"/>
  <c r="J215" i="1"/>
  <c r="J183" i="1"/>
  <c r="I153" i="1"/>
  <c r="H153" i="1"/>
  <c r="G153" i="1"/>
  <c r="I206" i="1"/>
  <c r="F153" i="1"/>
  <c r="C153" i="1"/>
  <c r="H206" i="1"/>
  <c r="J216" i="1"/>
  <c r="E85" i="1"/>
  <c r="D85" i="1"/>
  <c r="C85" i="1"/>
  <c r="L119" i="1"/>
  <c r="I183" i="1"/>
  <c r="H183" i="1"/>
  <c r="G183" i="1"/>
  <c r="G206" i="1"/>
  <c r="J217" i="1"/>
  <c r="F206" i="1"/>
  <c r="K119" i="1"/>
  <c r="J119" i="1"/>
  <c r="I119" i="1"/>
  <c r="H119" i="1"/>
  <c r="G119" i="1"/>
  <c r="F183" i="1"/>
  <c r="E183" i="1"/>
  <c r="J218" i="1"/>
  <c r="D183" i="1"/>
  <c r="E102" i="1"/>
  <c r="D102" i="1"/>
  <c r="C102" i="1"/>
  <c r="G170" i="1"/>
  <c r="H170" i="1"/>
  <c r="I170" i="1"/>
  <c r="J170" i="1"/>
  <c r="J219" i="1"/>
  <c r="E206" i="1"/>
  <c r="D206" i="1"/>
  <c r="F119" i="1"/>
  <c r="E119" i="1"/>
  <c r="D119" i="1"/>
  <c r="C183" i="1"/>
  <c r="M196" i="1"/>
  <c r="J196" i="1"/>
  <c r="J220" i="1"/>
  <c r="G196" i="1"/>
  <c r="C196" i="1"/>
  <c r="C170" i="1"/>
  <c r="D170" i="1"/>
  <c r="E170" i="1"/>
  <c r="F170" i="1"/>
  <c r="C136" i="1"/>
  <c r="E153" i="1"/>
  <c r="J221" i="1"/>
  <c r="K170" i="1"/>
  <c r="C119" i="1"/>
  <c r="D136" i="1"/>
  <c r="B206" i="1"/>
  <c r="D153" i="1"/>
  <c r="F136" i="1"/>
  <c r="D196" i="1"/>
  <c r="F196" i="1"/>
  <c r="J222" i="1"/>
  <c r="I196" i="1"/>
  <c r="L196" i="1"/>
  <c r="G136" i="1"/>
  <c r="H136" i="1"/>
  <c r="I136" i="1"/>
  <c r="E136" i="1"/>
  <c r="K136" i="1"/>
  <c r="L136" i="1"/>
  <c r="J223" i="1"/>
  <c r="K196" i="1"/>
  <c r="H196" i="1"/>
  <c r="E196" i="1"/>
  <c r="L170" i="1"/>
  <c r="K183" i="1"/>
  <c r="L153" i="1"/>
  <c r="K153" i="1"/>
  <c r="J136" i="1"/>
  <c r="E154" i="1"/>
  <c r="D154" i="1"/>
  <c r="C154" i="1"/>
  <c r="H137" i="1"/>
  <c r="K215" i="1"/>
  <c r="G137" i="1"/>
  <c r="F137" i="1"/>
  <c r="K216" i="1"/>
  <c r="E137" i="1"/>
  <c r="D137" i="1"/>
  <c r="C137" i="1"/>
  <c r="H184" i="1"/>
  <c r="E103" i="1"/>
  <c r="D103" i="1"/>
  <c r="C103" i="1"/>
  <c r="K217" i="1"/>
  <c r="H171" i="1"/>
  <c r="L171" i="1"/>
  <c r="F154" i="1"/>
  <c r="E197" i="1"/>
  <c r="J197" i="1"/>
  <c r="M197" i="1"/>
  <c r="E184" i="1"/>
  <c r="K218" i="1"/>
  <c r="I184" i="1"/>
  <c r="I171" i="1"/>
  <c r="C184" i="1"/>
  <c r="D184" i="1"/>
  <c r="G184" i="1"/>
  <c r="K184" i="1"/>
  <c r="L154" i="1"/>
  <c r="K219" i="1"/>
  <c r="K154" i="1"/>
  <c r="J154" i="1"/>
  <c r="F171" i="1"/>
  <c r="I154" i="1"/>
  <c r="H154" i="1"/>
  <c r="G154" i="1"/>
  <c r="L120" i="1"/>
  <c r="K220" i="1"/>
  <c r="D197" i="1"/>
  <c r="G197" i="1"/>
  <c r="H197" i="1"/>
  <c r="K197" i="1"/>
  <c r="K120" i="1"/>
  <c r="J120" i="1"/>
  <c r="I120" i="1"/>
  <c r="K221" i="1"/>
  <c r="H120" i="1"/>
  <c r="G120" i="1"/>
  <c r="F120" i="1"/>
  <c r="E120" i="1"/>
  <c r="D120" i="1"/>
  <c r="C120" i="1"/>
  <c r="F184" i="1"/>
  <c r="K222" i="1"/>
  <c r="J184" i="1"/>
  <c r="G171" i="1"/>
  <c r="J171" i="1"/>
  <c r="K137" i="1"/>
  <c r="C171" i="1"/>
  <c r="D171" i="1"/>
  <c r="E171" i="1"/>
  <c r="K223" i="1"/>
  <c r="K171" i="1"/>
  <c r="L137" i="1"/>
  <c r="J137" i="1"/>
  <c r="C206" i="1"/>
  <c r="E86" i="1"/>
  <c r="I137" i="1"/>
  <c r="D86" i="1"/>
  <c r="C86" i="1"/>
  <c r="C197" i="1"/>
  <c r="F197" i="1"/>
  <c r="I197" i="1"/>
  <c r="L197" i="1"/>
  <c r="D169" i="1"/>
  <c r="C84" i="1"/>
  <c r="G152" i="1"/>
  <c r="F118" i="1"/>
  <c r="G135" i="1"/>
  <c r="K118" i="1"/>
  <c r="J118" i="1"/>
  <c r="L118" i="1"/>
  <c r="K152" i="1"/>
  <c r="D152" i="1"/>
  <c r="L169" i="1"/>
  <c r="D84" i="1"/>
  <c r="G118" i="1"/>
  <c r="J152" i="1"/>
  <c r="C118" i="1"/>
  <c r="C169" i="1"/>
  <c r="L135" i="1"/>
  <c r="F152" i="1"/>
  <c r="E152" i="1"/>
  <c r="C135" i="1"/>
  <c r="I118" i="1"/>
  <c r="D135" i="1"/>
  <c r="E135" i="1"/>
  <c r="H118" i="1"/>
  <c r="E169" i="1"/>
  <c r="H135" i="1"/>
  <c r="F169" i="1"/>
  <c r="G169" i="1"/>
  <c r="H169" i="1"/>
  <c r="I169" i="1"/>
  <c r="J169" i="1"/>
  <c r="I135" i="1"/>
  <c r="K169" i="1"/>
  <c r="E84" i="1"/>
  <c r="J135" i="1"/>
  <c r="D118" i="1"/>
  <c r="E118" i="1"/>
  <c r="I152" i="1"/>
  <c r="K135" i="1"/>
  <c r="E101" i="1"/>
  <c r="D101" i="1"/>
  <c r="C101" i="1"/>
  <c r="C152" i="1"/>
  <c r="H152" i="1"/>
  <c r="L152" i="1"/>
  <c r="F135" i="1"/>
  <c r="D166" i="1"/>
  <c r="E149" i="1"/>
  <c r="H115" i="1"/>
  <c r="L149" i="1"/>
  <c r="K149" i="1"/>
  <c r="C166" i="1"/>
  <c r="E166" i="1"/>
  <c r="F166" i="1"/>
  <c r="G166" i="1"/>
  <c r="H166" i="1"/>
  <c r="I166" i="1"/>
  <c r="C98" i="1"/>
  <c r="I115" i="1"/>
  <c r="J166" i="1"/>
  <c r="K166" i="1"/>
  <c r="L166" i="1"/>
  <c r="E81" i="1"/>
  <c r="C81" i="1"/>
  <c r="I149" i="1"/>
  <c r="J115" i="1"/>
  <c r="L115" i="1"/>
  <c r="K115" i="1"/>
  <c r="J149" i="1"/>
  <c r="E98" i="1"/>
  <c r="D149" i="1"/>
  <c r="G115" i="1"/>
  <c r="D98" i="1"/>
  <c r="F149" i="1"/>
  <c r="G149" i="1"/>
  <c r="C149" i="1"/>
  <c r="H149" i="1"/>
  <c r="L132" i="1"/>
  <c r="K132" i="1"/>
  <c r="J132" i="1"/>
  <c r="I132" i="1"/>
  <c r="H132" i="1"/>
  <c r="G132" i="1"/>
  <c r="F132" i="1"/>
  <c r="E132" i="1"/>
  <c r="D132" i="1"/>
  <c r="C132" i="1"/>
  <c r="D81" i="1"/>
  <c r="F115" i="1"/>
  <c r="E115" i="1"/>
  <c r="D115" i="1"/>
  <c r="C115" i="1"/>
  <c r="L167" i="1"/>
  <c r="D150" i="1"/>
  <c r="D82" i="1"/>
  <c r="E150" i="1"/>
  <c r="I150" i="1"/>
  <c r="K116" i="1"/>
  <c r="K150" i="1"/>
  <c r="J116" i="1"/>
  <c r="I116" i="1"/>
  <c r="H116" i="1"/>
  <c r="L133" i="1"/>
  <c r="K133" i="1"/>
  <c r="J133" i="1"/>
  <c r="I133" i="1"/>
  <c r="H133" i="1"/>
  <c r="G133" i="1"/>
  <c r="F133" i="1"/>
  <c r="G116" i="1"/>
  <c r="H150" i="1"/>
  <c r="E133" i="1"/>
  <c r="G150" i="1"/>
  <c r="L150" i="1"/>
  <c r="L116" i="1"/>
  <c r="C150" i="1"/>
  <c r="F116" i="1"/>
  <c r="E116" i="1"/>
  <c r="C167" i="1"/>
  <c r="D133" i="1"/>
  <c r="C133" i="1"/>
  <c r="E167" i="1"/>
  <c r="F167" i="1"/>
  <c r="G167" i="1"/>
  <c r="H167" i="1"/>
  <c r="I167" i="1"/>
  <c r="J167" i="1"/>
  <c r="K167" i="1"/>
  <c r="D167" i="1"/>
  <c r="E82" i="1"/>
  <c r="C82" i="1"/>
  <c r="F150" i="1"/>
  <c r="E99" i="1"/>
  <c r="D99" i="1"/>
  <c r="D116" i="1"/>
  <c r="C116" i="1"/>
  <c r="C99" i="1"/>
  <c r="J150" i="1"/>
  <c r="K117" i="1"/>
  <c r="G151" i="1"/>
  <c r="C134" i="1"/>
  <c r="E117" i="1"/>
  <c r="C83" i="1"/>
  <c r="E83" i="1"/>
  <c r="I117" i="1"/>
  <c r="D117" i="1"/>
  <c r="C117" i="1"/>
  <c r="H117" i="1"/>
  <c r="L151" i="1"/>
  <c r="E151" i="1"/>
  <c r="C151" i="1"/>
  <c r="I151" i="1"/>
  <c r="L168" i="1"/>
  <c r="K168" i="1"/>
  <c r="H151" i="1"/>
  <c r="J168" i="1"/>
  <c r="I168" i="1"/>
  <c r="H168" i="1"/>
  <c r="G168" i="1"/>
  <c r="D100" i="1"/>
  <c r="F168" i="1"/>
  <c r="E168" i="1"/>
  <c r="D168" i="1"/>
  <c r="L134" i="1"/>
  <c r="K134" i="1"/>
  <c r="L117" i="1"/>
  <c r="J151" i="1"/>
  <c r="F151" i="1"/>
  <c r="E100" i="1"/>
  <c r="C100" i="1"/>
  <c r="G117" i="1"/>
  <c r="F117" i="1"/>
  <c r="J134" i="1"/>
  <c r="I134" i="1"/>
  <c r="D83" i="1"/>
  <c r="H134" i="1"/>
  <c r="G134" i="1"/>
  <c r="F134" i="1"/>
  <c r="E134" i="1"/>
  <c r="J117" i="1"/>
  <c r="C168" i="1"/>
  <c r="D151" i="1"/>
  <c r="K151" i="1"/>
  <c r="D134" i="1"/>
  <c r="F192" i="1"/>
  <c r="F162" i="1"/>
  <c r="K162" i="1"/>
  <c r="M192" i="1"/>
  <c r="H192" i="1"/>
  <c r="J192" i="1"/>
  <c r="K192" i="1"/>
  <c r="E94" i="1"/>
  <c r="D94" i="1"/>
  <c r="F111" i="1"/>
  <c r="E111" i="1"/>
  <c r="C192" i="1"/>
  <c r="E192" i="1"/>
  <c r="J179" i="1"/>
  <c r="K179" i="1"/>
  <c r="G192" i="1"/>
  <c r="L145" i="1"/>
  <c r="K145" i="1"/>
  <c r="J145" i="1"/>
  <c r="I145" i="1"/>
  <c r="H145" i="1"/>
  <c r="G145" i="1"/>
  <c r="I192" i="1"/>
  <c r="E145" i="1"/>
  <c r="L192" i="1"/>
  <c r="D111" i="1"/>
  <c r="C111" i="1"/>
  <c r="E179" i="1"/>
  <c r="I179" i="1"/>
  <c r="F215" i="1"/>
  <c r="F216" i="1"/>
  <c r="D162" i="1"/>
  <c r="H162" i="1"/>
  <c r="L162" i="1"/>
  <c r="F217" i="1"/>
  <c r="F218" i="1"/>
  <c r="L128" i="1"/>
  <c r="K128" i="1"/>
  <c r="J128" i="1"/>
  <c r="I128" i="1"/>
  <c r="H128" i="1"/>
  <c r="G128" i="1"/>
  <c r="F219" i="1"/>
  <c r="J162" i="1"/>
  <c r="G162" i="1"/>
  <c r="C162" i="1"/>
  <c r="H179" i="1"/>
  <c r="G179" i="1"/>
  <c r="D179" i="1"/>
  <c r="C179" i="1"/>
  <c r="F179" i="1"/>
  <c r="F220" i="1"/>
  <c r="F221" i="1"/>
  <c r="F222" i="1"/>
  <c r="F223" i="1"/>
  <c r="F128" i="1"/>
  <c r="E128" i="1"/>
  <c r="D128" i="1"/>
  <c r="C128" i="1"/>
  <c r="C204" i="1"/>
  <c r="L111" i="1"/>
  <c r="K111" i="1"/>
  <c r="E162" i="1"/>
  <c r="I162" i="1"/>
  <c r="D145" i="1"/>
  <c r="C145" i="1"/>
  <c r="J111" i="1"/>
  <c r="I111" i="1"/>
  <c r="H111" i="1"/>
  <c r="G111" i="1"/>
  <c r="E77" i="1"/>
  <c r="D77" i="1"/>
  <c r="C77" i="1"/>
  <c r="D192" i="1"/>
  <c r="C94" i="1"/>
  <c r="F145" i="1"/>
  <c r="G193" i="1"/>
  <c r="D180" i="1"/>
  <c r="E180" i="1"/>
  <c r="G215" i="1"/>
  <c r="F180" i="1"/>
  <c r="G180" i="1"/>
  <c r="H180" i="1"/>
  <c r="I180" i="1"/>
  <c r="J180" i="1"/>
  <c r="G216" i="1"/>
  <c r="K180" i="1"/>
  <c r="D163" i="1"/>
  <c r="I163" i="1"/>
  <c r="G112" i="1"/>
  <c r="C146" i="1"/>
  <c r="G217" i="1"/>
  <c r="D146" i="1"/>
  <c r="E146" i="1"/>
  <c r="F146" i="1"/>
  <c r="G146" i="1"/>
  <c r="H146" i="1"/>
  <c r="G218" i="1"/>
  <c r="I146" i="1"/>
  <c r="J146" i="1"/>
  <c r="K146" i="1"/>
  <c r="L146" i="1"/>
  <c r="C129" i="1"/>
  <c r="G219" i="1"/>
  <c r="D129" i="1"/>
  <c r="E129" i="1"/>
  <c r="F129" i="1"/>
  <c r="G129" i="1"/>
  <c r="H129" i="1"/>
  <c r="G220" i="1"/>
  <c r="I129" i="1"/>
  <c r="J129" i="1"/>
  <c r="K129" i="1"/>
  <c r="L129" i="1"/>
  <c r="C78" i="1"/>
  <c r="G221" i="1"/>
  <c r="E78" i="1"/>
  <c r="C112" i="1"/>
  <c r="D112" i="1"/>
  <c r="E112" i="1"/>
  <c r="F112" i="1"/>
  <c r="G222" i="1"/>
  <c r="H112" i="1"/>
  <c r="I112" i="1"/>
  <c r="J112" i="1"/>
  <c r="K112" i="1"/>
  <c r="L112" i="1"/>
  <c r="G223" i="1"/>
  <c r="D78" i="1"/>
  <c r="C95" i="1"/>
  <c r="D95" i="1"/>
  <c r="E95" i="1"/>
  <c r="C207" i="1"/>
  <c r="E193" i="1"/>
  <c r="F193" i="1"/>
  <c r="I193" i="1"/>
  <c r="L193" i="1"/>
  <c r="M193" i="1"/>
  <c r="C163" i="1"/>
  <c r="G163" i="1"/>
  <c r="J163" i="1"/>
  <c r="L163" i="1"/>
  <c r="B208" i="1"/>
  <c r="D208" i="1"/>
  <c r="E208" i="1"/>
  <c r="F208" i="1"/>
  <c r="G208" i="1"/>
  <c r="H208" i="1"/>
  <c r="I208" i="1"/>
  <c r="H193" i="1"/>
  <c r="K193" i="1"/>
  <c r="E163" i="1"/>
  <c r="H163" i="1"/>
  <c r="C193" i="1"/>
  <c r="D193" i="1"/>
  <c r="J193" i="1"/>
  <c r="F163" i="1"/>
  <c r="K163" i="1"/>
  <c r="C180" i="1"/>
  <c r="C181" i="1"/>
  <c r="C208" i="1"/>
  <c r="H215" i="1"/>
  <c r="B209" i="1"/>
  <c r="D181" i="1"/>
  <c r="E181" i="1"/>
  <c r="F181" i="1"/>
  <c r="H216" i="1"/>
  <c r="G181" i="1"/>
  <c r="H181" i="1"/>
  <c r="I181" i="1"/>
  <c r="J181" i="1"/>
  <c r="H217" i="1"/>
  <c r="K181" i="1"/>
  <c r="J147" i="1"/>
  <c r="L130" i="1"/>
  <c r="D79" i="1"/>
  <c r="H218" i="1"/>
  <c r="C194" i="1"/>
  <c r="K130" i="1"/>
  <c r="E194" i="1"/>
  <c r="L147" i="1"/>
  <c r="H219" i="1"/>
  <c r="D147" i="1"/>
  <c r="H194" i="1"/>
  <c r="K194" i="1"/>
  <c r="L194" i="1"/>
  <c r="H220" i="1"/>
  <c r="C147" i="1"/>
  <c r="E96" i="1"/>
  <c r="D96" i="1"/>
  <c r="J130" i="1"/>
  <c r="H221" i="1"/>
  <c r="I130" i="1"/>
  <c r="C96" i="1"/>
  <c r="E79" i="1"/>
  <c r="F113" i="1"/>
  <c r="H222" i="1"/>
  <c r="H130" i="1"/>
  <c r="G113" i="1"/>
  <c r="H113" i="1"/>
  <c r="C79" i="1"/>
  <c r="H223" i="1"/>
  <c r="G130" i="1"/>
  <c r="I113" i="1"/>
  <c r="J113" i="1"/>
  <c r="E113" i="1"/>
  <c r="D113" i="1"/>
  <c r="F130" i="1"/>
  <c r="E130" i="1"/>
  <c r="D130" i="1"/>
  <c r="C130" i="1"/>
  <c r="I209" i="1"/>
  <c r="K113" i="1"/>
  <c r="L113" i="1"/>
  <c r="C164" i="1"/>
  <c r="D194" i="1"/>
  <c r="F194" i="1"/>
  <c r="J194" i="1"/>
  <c r="G194" i="1"/>
  <c r="I194" i="1"/>
  <c r="H209" i="1"/>
  <c r="M194" i="1"/>
  <c r="G209" i="1"/>
  <c r="F209" i="1"/>
  <c r="E147" i="1"/>
  <c r="D209" i="1"/>
  <c r="E209" i="1"/>
  <c r="C113" i="1"/>
  <c r="K147" i="1"/>
  <c r="I147" i="1"/>
  <c r="L164" i="1"/>
  <c r="K164" i="1"/>
  <c r="J164" i="1"/>
  <c r="I164" i="1"/>
  <c r="H164" i="1"/>
  <c r="G164" i="1"/>
  <c r="F164" i="1"/>
  <c r="E164" i="1"/>
  <c r="D164" i="1"/>
  <c r="F147" i="1"/>
  <c r="G147" i="1"/>
  <c r="H147" i="1"/>
  <c r="H165" i="1"/>
  <c r="D148" i="1"/>
  <c r="I215" i="1"/>
  <c r="E148" i="1"/>
  <c r="I195" i="1"/>
  <c r="C97" i="1"/>
  <c r="I216" i="1"/>
  <c r="D97" i="1"/>
  <c r="F195" i="1"/>
  <c r="E97" i="1"/>
  <c r="I217" i="1"/>
  <c r="J182" i="1"/>
  <c r="C195" i="1"/>
  <c r="I218" i="1"/>
  <c r="D80" i="1"/>
  <c r="I219" i="1"/>
  <c r="I220" i="1"/>
  <c r="K165" i="1"/>
  <c r="I221" i="1"/>
  <c r="I222" i="1"/>
  <c r="I223" i="1"/>
  <c r="F148" i="1"/>
  <c r="G148" i="1"/>
  <c r="H148" i="1"/>
  <c r="I148" i="1"/>
  <c r="J148" i="1"/>
  <c r="K148" i="1"/>
  <c r="L148" i="1"/>
  <c r="L165" i="1"/>
  <c r="J165" i="1"/>
  <c r="I165" i="1"/>
  <c r="G165" i="1"/>
  <c r="F165" i="1"/>
  <c r="E165" i="1"/>
  <c r="D165" i="1"/>
  <c r="C165" i="1"/>
  <c r="F182" i="1"/>
  <c r="C209" i="1"/>
  <c r="K182" i="1"/>
  <c r="I182" i="1"/>
  <c r="H182" i="1"/>
  <c r="G182" i="1"/>
  <c r="E182" i="1"/>
  <c r="L114" i="1"/>
  <c r="K114" i="1"/>
  <c r="J114" i="1"/>
  <c r="I114" i="1"/>
  <c r="H114" i="1"/>
  <c r="C131" i="1"/>
  <c r="D131" i="1"/>
  <c r="E131" i="1"/>
  <c r="F131" i="1"/>
  <c r="G131" i="1"/>
  <c r="H131" i="1"/>
  <c r="I131" i="1"/>
  <c r="J131" i="1"/>
  <c r="K131" i="1"/>
  <c r="L131" i="1"/>
  <c r="D182" i="1"/>
  <c r="C182" i="1"/>
  <c r="G114" i="1"/>
  <c r="F114" i="1"/>
  <c r="E114" i="1"/>
  <c r="D114" i="1"/>
  <c r="C114" i="1"/>
  <c r="K195" i="1"/>
  <c r="H195" i="1"/>
  <c r="E195" i="1"/>
  <c r="C80" i="1"/>
  <c r="E80" i="1"/>
  <c r="L195" i="1"/>
  <c r="M195" i="1"/>
  <c r="J195" i="1"/>
  <c r="G195" i="1"/>
  <c r="D195" i="1"/>
  <c r="C148" i="1"/>
  <c r="G176" i="1"/>
  <c r="C216" i="1"/>
  <c r="J176" i="1"/>
  <c r="C217" i="1"/>
  <c r="K176" i="1"/>
  <c r="C218" i="1"/>
  <c r="C219" i="1"/>
  <c r="C125" i="1"/>
  <c r="K142" i="1"/>
  <c r="F142" i="1"/>
  <c r="C189" i="1"/>
  <c r="C215" i="1"/>
  <c r="L125" i="1"/>
  <c r="C142" i="1"/>
  <c r="I142" i="1"/>
  <c r="D210" i="1"/>
  <c r="I159" i="1"/>
  <c r="E159" i="1"/>
  <c r="F202" i="1"/>
  <c r="F159" i="1"/>
  <c r="L142" i="1"/>
  <c r="E202" i="1"/>
  <c r="I176" i="1"/>
  <c r="F176" i="1"/>
  <c r="C176" i="1"/>
  <c r="L159" i="1"/>
  <c r="I202" i="1"/>
  <c r="H202" i="1"/>
  <c r="G159" i="1"/>
  <c r="G142" i="1"/>
  <c r="L108" i="1"/>
  <c r="K108" i="1"/>
  <c r="J142" i="1"/>
  <c r="E142" i="1"/>
  <c r="J108" i="1"/>
  <c r="I108" i="1"/>
  <c r="H108" i="1"/>
  <c r="H142" i="1"/>
  <c r="B202" i="1"/>
  <c r="E210" i="1"/>
  <c r="F210" i="1"/>
  <c r="D142" i="1"/>
  <c r="K159" i="1"/>
  <c r="H159" i="1"/>
  <c r="C159" i="1"/>
  <c r="G108" i="1"/>
  <c r="C223" i="1"/>
  <c r="J159" i="1"/>
  <c r="F108" i="1"/>
  <c r="D202" i="1"/>
  <c r="C210" i="1"/>
  <c r="H176" i="1"/>
  <c r="E176" i="1"/>
  <c r="B210" i="1"/>
  <c r="D176" i="1"/>
  <c r="G202" i="1"/>
  <c r="C91" i="1"/>
  <c r="D91" i="1"/>
  <c r="E91" i="1"/>
  <c r="G210" i="1"/>
  <c r="K125" i="1"/>
  <c r="H210" i="1"/>
  <c r="I210" i="1"/>
  <c r="J125" i="1"/>
  <c r="I125" i="1"/>
  <c r="C222" i="1"/>
  <c r="E108" i="1"/>
  <c r="C221" i="1"/>
  <c r="H125" i="1"/>
  <c r="G125" i="1"/>
  <c r="F125" i="1"/>
  <c r="D159" i="1"/>
  <c r="D108" i="1"/>
  <c r="C220" i="1"/>
  <c r="C108" i="1"/>
  <c r="C74" i="1"/>
  <c r="E125" i="1"/>
  <c r="D74" i="1"/>
  <c r="E74" i="1"/>
  <c r="D125" i="1"/>
  <c r="M189" i="1"/>
  <c r="L189" i="1"/>
  <c r="K189" i="1"/>
  <c r="J189" i="1"/>
  <c r="I189" i="1"/>
  <c r="H189" i="1"/>
  <c r="G189" i="1"/>
  <c r="F189" i="1"/>
  <c r="E189" i="1"/>
  <c r="D189" i="1"/>
  <c r="C205" i="1"/>
  <c r="C203" i="1"/>
  <c r="C177" i="1"/>
  <c r="C109" i="1"/>
  <c r="D109" i="1"/>
  <c r="E109" i="1"/>
  <c r="F109" i="1"/>
  <c r="G109" i="1"/>
  <c r="H109" i="1"/>
  <c r="I109" i="1"/>
  <c r="J109" i="1"/>
  <c r="K109" i="1"/>
  <c r="L109" i="1"/>
  <c r="L143" i="1"/>
  <c r="D215" i="1"/>
  <c r="I205" i="1"/>
  <c r="H205" i="1"/>
  <c r="G205" i="1"/>
  <c r="F205" i="1"/>
  <c r="E205" i="1"/>
  <c r="D205" i="1"/>
  <c r="K160" i="1"/>
  <c r="G160" i="1"/>
  <c r="C160" i="1"/>
  <c r="K177" i="1"/>
  <c r="H177" i="1"/>
  <c r="G177" i="1"/>
  <c r="D177" i="1"/>
  <c r="D216" i="1"/>
  <c r="D217" i="1"/>
  <c r="D218" i="1"/>
  <c r="D219" i="1"/>
  <c r="D220" i="1"/>
  <c r="C92" i="1"/>
  <c r="D92" i="1"/>
  <c r="E92" i="1"/>
  <c r="D221" i="1"/>
  <c r="D222" i="1"/>
  <c r="D223" i="1"/>
  <c r="I143" i="1"/>
  <c r="H143" i="1"/>
  <c r="G143" i="1"/>
  <c r="F143" i="1"/>
  <c r="E143" i="1"/>
  <c r="D143" i="1"/>
  <c r="C143" i="1"/>
  <c r="C126" i="1"/>
  <c r="D126" i="1"/>
  <c r="E126" i="1"/>
  <c r="F126" i="1"/>
  <c r="G126" i="1"/>
  <c r="H126" i="1"/>
  <c r="M190" i="1"/>
  <c r="L190" i="1"/>
  <c r="K190" i="1"/>
  <c r="J190" i="1"/>
  <c r="I126" i="1"/>
  <c r="J126" i="1"/>
  <c r="K126" i="1"/>
  <c r="L126" i="1"/>
  <c r="C75" i="1"/>
  <c r="D75" i="1"/>
  <c r="E75" i="1"/>
  <c r="H190" i="1"/>
  <c r="G190" i="1"/>
  <c r="F190" i="1"/>
  <c r="J160" i="1"/>
  <c r="E190" i="1"/>
  <c r="D190" i="1"/>
  <c r="C190" i="1"/>
  <c r="F160" i="1"/>
  <c r="K143" i="1"/>
  <c r="J143" i="1"/>
  <c r="L160" i="1"/>
  <c r="I160" i="1"/>
  <c r="E160" i="1"/>
  <c r="J177" i="1"/>
  <c r="F177" i="1"/>
  <c r="H160" i="1"/>
  <c r="D160" i="1"/>
  <c r="I190" i="1"/>
  <c r="I177" i="1"/>
  <c r="B205" i="1"/>
  <c r="E177" i="1"/>
  <c r="D161" i="1"/>
  <c r="G161" i="1"/>
  <c r="J161" i="1"/>
  <c r="C202" i="1"/>
  <c r="E223" i="1"/>
  <c r="H110" i="1"/>
  <c r="G110" i="1"/>
  <c r="E222" i="1"/>
  <c r="E221" i="1"/>
  <c r="E220" i="1"/>
  <c r="K178" i="1"/>
  <c r="H178" i="1"/>
  <c r="G178" i="1"/>
  <c r="E219" i="1"/>
  <c r="E218" i="1"/>
  <c r="D178" i="1"/>
  <c r="F110" i="1"/>
  <c r="E110" i="1"/>
  <c r="D110" i="1"/>
  <c r="C110" i="1"/>
  <c r="E217" i="1"/>
  <c r="E216" i="1"/>
  <c r="E215" i="1"/>
  <c r="C178" i="1"/>
  <c r="E178" i="1"/>
  <c r="I178" i="1"/>
  <c r="C161" i="1"/>
  <c r="F161" i="1"/>
  <c r="I161" i="1"/>
  <c r="K161" i="1"/>
  <c r="F178" i="1"/>
  <c r="C93" i="1"/>
  <c r="D93" i="1"/>
  <c r="E93" i="1"/>
  <c r="J178" i="1"/>
  <c r="E161" i="1"/>
  <c r="H161" i="1"/>
  <c r="L161" i="1"/>
  <c r="J144" i="1"/>
  <c r="D144" i="1"/>
  <c r="E144" i="1"/>
  <c r="F144" i="1"/>
  <c r="G144" i="1"/>
  <c r="H144" i="1"/>
  <c r="I144" i="1"/>
  <c r="L144" i="1"/>
  <c r="K144" i="1"/>
  <c r="L127" i="1"/>
  <c r="K127" i="1"/>
  <c r="I207" i="1"/>
  <c r="M191" i="1"/>
  <c r="L191" i="1"/>
  <c r="K191" i="1"/>
  <c r="I191" i="1"/>
  <c r="H191" i="1"/>
  <c r="G191" i="1"/>
  <c r="F191" i="1"/>
  <c r="E191" i="1"/>
  <c r="C191" i="1"/>
  <c r="H207" i="1"/>
  <c r="G207" i="1"/>
  <c r="F207" i="1"/>
  <c r="E207" i="1"/>
  <c r="D207" i="1"/>
  <c r="D191" i="1"/>
  <c r="J191" i="1"/>
  <c r="C144" i="1"/>
  <c r="L110" i="1"/>
  <c r="K110" i="1"/>
  <c r="J110" i="1"/>
  <c r="C76" i="1"/>
  <c r="D76" i="1"/>
  <c r="E76" i="1"/>
  <c r="I204" i="1"/>
  <c r="H204" i="1"/>
  <c r="G204" i="1"/>
  <c r="F204" i="1"/>
  <c r="E204" i="1"/>
  <c r="D204" i="1"/>
  <c r="I203" i="1"/>
  <c r="H203" i="1"/>
  <c r="G203" i="1"/>
  <c r="F203" i="1"/>
  <c r="E203" i="1"/>
  <c r="D203" i="1"/>
  <c r="J127" i="1"/>
  <c r="I127" i="1"/>
  <c r="H127" i="1"/>
  <c r="G127" i="1"/>
  <c r="I110" i="1"/>
  <c r="B207" i="1"/>
  <c r="B203" i="1"/>
  <c r="C127" i="1"/>
  <c r="B204" i="1"/>
  <c r="D127" i="1"/>
  <c r="E127" i="1"/>
  <c r="F127" i="1"/>
  <c r="C146" i="2"/>
  <c r="K57" i="2"/>
  <c r="K65" i="2"/>
  <c r="I65" i="2"/>
  <c r="K61" i="2"/>
  <c r="K60" i="2"/>
  <c r="K52" i="2"/>
  <c r="J52" i="2"/>
  <c r="H52" i="2"/>
  <c r="G52" i="2"/>
  <c r="K48" i="2"/>
  <c r="H39" i="2"/>
  <c r="G39" i="2"/>
  <c r="F39" i="2"/>
  <c r="E39" i="2"/>
  <c r="D39" i="2"/>
  <c r="C39" i="2"/>
  <c r="K33" i="2"/>
  <c r="K32" i="2"/>
  <c r="E26" i="2"/>
  <c r="D26" i="2"/>
  <c r="C26" i="2"/>
  <c r="K21" i="2"/>
  <c r="K20" i="2"/>
  <c r="F52" i="2"/>
  <c r="D132" i="2"/>
  <c r="G51" i="2"/>
  <c r="J57" i="2"/>
  <c r="J64" i="2"/>
  <c r="E38" i="2"/>
  <c r="K64" i="2"/>
  <c r="H51" i="2"/>
  <c r="D38" i="2"/>
  <c r="J45" i="2"/>
  <c r="J44" i="2"/>
  <c r="C38" i="2"/>
  <c r="I64" i="2"/>
  <c r="J33" i="2"/>
  <c r="J32" i="2"/>
  <c r="J61" i="2"/>
  <c r="J20" i="2"/>
  <c r="J21" i="2"/>
  <c r="C102" i="2"/>
  <c r="I57" i="2"/>
  <c r="C63" i="2"/>
  <c r="I32" i="2"/>
  <c r="I44" i="2"/>
  <c r="F24" i="2"/>
  <c r="I21" i="2"/>
  <c r="D170" i="2"/>
  <c r="E170" i="2"/>
  <c r="F170" i="2"/>
  <c r="G169" i="2"/>
  <c r="C49" i="2"/>
  <c r="H48" i="2"/>
  <c r="H47" i="2"/>
  <c r="H46" i="2"/>
  <c r="H44" i="2"/>
  <c r="H62" i="2"/>
  <c r="F62" i="2"/>
  <c r="E62" i="2"/>
  <c r="K36" i="2"/>
  <c r="J36" i="2"/>
  <c r="H36" i="2"/>
  <c r="G62" i="2"/>
  <c r="F36" i="2"/>
  <c r="C36" i="2"/>
  <c r="H35" i="2"/>
  <c r="H34" i="2"/>
  <c r="D62" i="2"/>
  <c r="H70" i="2"/>
  <c r="C62" i="2"/>
  <c r="E130" i="2"/>
  <c r="G36" i="2"/>
  <c r="H32" i="2"/>
  <c r="H31" i="2"/>
  <c r="C130" i="2"/>
  <c r="D130" i="2"/>
  <c r="H99" i="2"/>
  <c r="G130" i="2"/>
  <c r="H23" i="2"/>
  <c r="G23" i="2"/>
  <c r="F130" i="2"/>
  <c r="E23" i="2"/>
  <c r="D23" i="2"/>
  <c r="C23" i="2"/>
  <c r="H22" i="2"/>
  <c r="H60" i="2"/>
  <c r="K49" i="2"/>
  <c r="J49" i="2"/>
  <c r="H59" i="2"/>
  <c r="F23" i="2"/>
  <c r="H20" i="2"/>
  <c r="H19" i="2"/>
  <c r="H18" i="2"/>
  <c r="C169" i="2"/>
  <c r="D169" i="2"/>
  <c r="I49" i="2"/>
  <c r="E49" i="2"/>
  <c r="D49" i="2"/>
  <c r="H58" i="2"/>
  <c r="G170" i="2"/>
  <c r="I20" i="2"/>
  <c r="G24" i="2"/>
  <c r="D63" i="2"/>
  <c r="J65" i="2"/>
  <c r="K76" i="2"/>
  <c r="J89" i="2"/>
  <c r="I101" i="2"/>
  <c r="G117" i="2"/>
  <c r="D145" i="2"/>
  <c r="H24" i="2"/>
  <c r="C50" i="2"/>
  <c r="I52" i="2"/>
  <c r="E63" i="2"/>
  <c r="I77" i="2"/>
  <c r="K89" i="2"/>
  <c r="J101" i="2"/>
  <c r="I104" i="2"/>
  <c r="H117" i="2"/>
  <c r="F131" i="2"/>
  <c r="E145" i="2"/>
  <c r="F172" i="2"/>
  <c r="I24" i="2"/>
  <c r="I36" i="2"/>
  <c r="D50" i="2"/>
  <c r="I61" i="2"/>
  <c r="F63" i="2"/>
  <c r="I117" i="2"/>
  <c r="G131" i="2"/>
  <c r="F145" i="2"/>
  <c r="E50" i="2"/>
  <c r="E183" i="2"/>
  <c r="E131" i="2"/>
  <c r="K102" i="2"/>
  <c r="H89" i="2"/>
  <c r="E76" i="2"/>
  <c r="K50" i="2"/>
  <c r="H37" i="2"/>
  <c r="E24" i="2"/>
  <c r="K63" i="2"/>
  <c r="D144" i="2"/>
  <c r="G102" i="2"/>
  <c r="G50" i="2"/>
  <c r="D37" i="2"/>
  <c r="I59" i="2"/>
  <c r="I47" i="2"/>
  <c r="H116" i="2"/>
  <c r="E102" i="2"/>
  <c r="D183" i="2"/>
  <c r="G144" i="2"/>
  <c r="D131" i="2"/>
  <c r="J102" i="2"/>
  <c r="G89" i="2"/>
  <c r="D76" i="2"/>
  <c r="J50" i="2"/>
  <c r="G37" i="2"/>
  <c r="D24" i="2"/>
  <c r="E37" i="2"/>
  <c r="J116" i="2"/>
  <c r="I99" i="2"/>
  <c r="I23" i="2"/>
  <c r="E157" i="2"/>
  <c r="C183" i="2"/>
  <c r="F144" i="2"/>
  <c r="C131" i="2"/>
  <c r="I102" i="2"/>
  <c r="I98" i="2"/>
  <c r="F89" i="2"/>
  <c r="I86" i="2"/>
  <c r="C76" i="2"/>
  <c r="I74" i="2"/>
  <c r="I70" i="2"/>
  <c r="I58" i="2"/>
  <c r="I50" i="2"/>
  <c r="I46" i="2"/>
  <c r="F37" i="2"/>
  <c r="I34" i="2"/>
  <c r="C24" i="2"/>
  <c r="I22" i="2"/>
  <c r="I18" i="2"/>
  <c r="H50" i="2"/>
  <c r="G157" i="2"/>
  <c r="D89" i="2"/>
  <c r="C144" i="2"/>
  <c r="I116" i="2"/>
  <c r="C37" i="2"/>
  <c r="I19" i="2"/>
  <c r="E144" i="2"/>
  <c r="K116" i="2"/>
  <c r="H102" i="2"/>
  <c r="E89" i="2"/>
  <c r="J63" i="2"/>
  <c r="F157" i="2"/>
  <c r="F102" i="2"/>
  <c r="C89" i="2"/>
  <c r="I87" i="2"/>
  <c r="I83" i="2"/>
  <c r="I75" i="2"/>
  <c r="I71" i="2"/>
  <c r="I63" i="2"/>
  <c r="F50" i="2"/>
  <c r="I35" i="2"/>
  <c r="I31" i="2"/>
  <c r="G183" i="2"/>
  <c r="F183" i="2"/>
  <c r="I48" i="2"/>
  <c r="C51" i="2"/>
  <c r="I73" i="2"/>
  <c r="J85" i="2"/>
  <c r="J96" i="2"/>
  <c r="D102" i="2"/>
  <c r="J24" i="2"/>
  <c r="G63" i="2"/>
  <c r="I85" i="2"/>
  <c r="I96" i="2"/>
  <c r="F158" i="2"/>
  <c r="C145" i="2"/>
  <c r="E117" i="2"/>
  <c r="K90" i="2"/>
  <c r="H77" i="2"/>
  <c r="E64" i="2"/>
  <c r="K38" i="2"/>
  <c r="H25" i="2"/>
  <c r="K51" i="2"/>
  <c r="E25" i="2"/>
  <c r="J99" i="2"/>
  <c r="G90" i="2"/>
  <c r="J83" i="2"/>
  <c r="J75" i="2"/>
  <c r="J59" i="2"/>
  <c r="J47" i="2"/>
  <c r="J35" i="2"/>
  <c r="J31" i="2"/>
  <c r="D25" i="2"/>
  <c r="G132" i="2"/>
  <c r="I103" i="2"/>
  <c r="C171" i="2"/>
  <c r="K117" i="2"/>
  <c r="H103" i="2"/>
  <c r="E158" i="2"/>
  <c r="D117" i="2"/>
  <c r="J98" i="2"/>
  <c r="J90" i="2"/>
  <c r="J86" i="2"/>
  <c r="G77" i="2"/>
  <c r="J74" i="2"/>
  <c r="J70" i="2"/>
  <c r="D64" i="2"/>
  <c r="J58" i="2"/>
  <c r="J46" i="2"/>
  <c r="J38" i="2"/>
  <c r="J34" i="2"/>
  <c r="G25" i="2"/>
  <c r="J22" i="2"/>
  <c r="J18" i="2"/>
  <c r="H38" i="2"/>
  <c r="J103" i="2"/>
  <c r="J87" i="2"/>
  <c r="D77" i="2"/>
  <c r="J71" i="2"/>
  <c r="J19" i="2"/>
  <c r="F90" i="2"/>
  <c r="I51" i="2"/>
  <c r="F132" i="2"/>
  <c r="E90" i="2"/>
  <c r="G171" i="2"/>
  <c r="D158" i="2"/>
  <c r="C117" i="2"/>
  <c r="I90" i="2"/>
  <c r="F77" i="2"/>
  <c r="C64" i="2"/>
  <c r="I38" i="2"/>
  <c r="F25" i="2"/>
  <c r="K103" i="2"/>
  <c r="J51" i="2"/>
  <c r="F171" i="2"/>
  <c r="C158" i="2"/>
  <c r="H90" i="2"/>
  <c r="E77" i="2"/>
  <c r="E171" i="2"/>
  <c r="G38" i="2"/>
  <c r="J23" i="2"/>
  <c r="D171" i="2"/>
  <c r="C77" i="2"/>
  <c r="F38" i="2"/>
  <c r="C25" i="2"/>
  <c r="G184" i="2"/>
  <c r="F184" i="2"/>
  <c r="E184" i="2"/>
  <c r="D184" i="2"/>
  <c r="C184" i="2"/>
  <c r="K24" i="2"/>
  <c r="H63" i="2"/>
  <c r="G185" i="2"/>
  <c r="D172" i="2"/>
  <c r="G133" i="2"/>
  <c r="H118" i="2"/>
  <c r="E104" i="2"/>
  <c r="K98" i="2"/>
  <c r="K86" i="2"/>
  <c r="K78" i="2"/>
  <c r="K74" i="2"/>
  <c r="K70" i="2"/>
  <c r="H65" i="2"/>
  <c r="K58" i="2"/>
  <c r="E52" i="2"/>
  <c r="K46" i="2"/>
  <c r="K34" i="2"/>
  <c r="K26" i="2"/>
  <c r="K22" i="2"/>
  <c r="K18" i="2"/>
  <c r="K39" i="2"/>
  <c r="K19" i="2"/>
  <c r="C133" i="2"/>
  <c r="D118" i="2"/>
  <c r="J39" i="2"/>
  <c r="G26" i="2"/>
  <c r="F78" i="2"/>
  <c r="D146" i="2"/>
  <c r="K96" i="2"/>
  <c r="K88" i="2"/>
  <c r="F185" i="2"/>
  <c r="C172" i="2"/>
  <c r="F133" i="2"/>
  <c r="G118" i="2"/>
  <c r="D104" i="2"/>
  <c r="J78" i="2"/>
  <c r="G65" i="2"/>
  <c r="D52" i="2"/>
  <c r="J26" i="2"/>
  <c r="K83" i="2"/>
  <c r="E65" i="2"/>
  <c r="K35" i="2"/>
  <c r="H26" i="2"/>
  <c r="K23" i="2"/>
  <c r="D65" i="2"/>
  <c r="G159" i="2"/>
  <c r="K104" i="2"/>
  <c r="K100" i="2"/>
  <c r="H91" i="2"/>
  <c r="E185" i="2"/>
  <c r="E133" i="2"/>
  <c r="F118" i="2"/>
  <c r="C104" i="2"/>
  <c r="I78" i="2"/>
  <c r="F65" i="2"/>
  <c r="C52" i="2"/>
  <c r="I26" i="2"/>
  <c r="H78" i="2"/>
  <c r="K71" i="2"/>
  <c r="K59" i="2"/>
  <c r="K31" i="2"/>
  <c r="F146" i="2"/>
  <c r="G78" i="2"/>
  <c r="I91" i="2"/>
  <c r="D185" i="2"/>
  <c r="G146" i="2"/>
  <c r="D133" i="2"/>
  <c r="E118" i="2"/>
  <c r="K99" i="2"/>
  <c r="K91" i="2"/>
  <c r="K87" i="2"/>
  <c r="K75" i="2"/>
  <c r="K47" i="2"/>
  <c r="J91" i="2"/>
  <c r="E146" i="2"/>
  <c r="C118" i="2"/>
  <c r="C65" i="2"/>
  <c r="I39" i="2"/>
  <c r="F26" i="2"/>
  <c r="C185" i="2"/>
  <c r="I25" i="2"/>
  <c r="I37" i="2"/>
  <c r="J48" i="2"/>
  <c r="D51" i="2"/>
  <c r="F64" i="2"/>
  <c r="J73" i="2"/>
  <c r="D78" i="2"/>
  <c r="K85" i="2"/>
  <c r="D91" i="2"/>
  <c r="C103" i="2"/>
  <c r="J118" i="2"/>
  <c r="E132" i="2"/>
  <c r="J25" i="2"/>
  <c r="J37" i="2"/>
  <c r="E51" i="2"/>
  <c r="I60" i="2"/>
  <c r="G64" i="2"/>
  <c r="K73" i="2"/>
  <c r="E78" i="2"/>
  <c r="E91" i="2"/>
  <c r="D103" i="2"/>
  <c r="C116" i="2"/>
  <c r="K118" i="2"/>
  <c r="K25" i="2"/>
  <c r="I33" i="2"/>
  <c r="K37" i="2"/>
  <c r="I45" i="2"/>
  <c r="F51" i="2"/>
  <c r="J60" i="2"/>
  <c r="H64" i="2"/>
  <c r="F76" i="2"/>
  <c r="I84" i="2"/>
  <c r="F91" i="2"/>
  <c r="I100" i="2"/>
  <c r="E103" i="2"/>
  <c r="D116" i="2"/>
  <c r="C170" i="2"/>
  <c r="G182" i="2"/>
  <c r="F49" i="2"/>
  <c r="I62" i="2"/>
  <c r="C88" i="2"/>
  <c r="F101" i="2"/>
  <c r="I115" i="2"/>
  <c r="E169" i="2"/>
  <c r="D36" i="2"/>
  <c r="G49" i="2"/>
  <c r="J62" i="2"/>
  <c r="D88" i="2"/>
  <c r="G101" i="2"/>
  <c r="J115" i="2"/>
  <c r="C156" i="2"/>
  <c r="F169" i="2"/>
  <c r="H21" i="2"/>
  <c r="H33" i="2"/>
  <c r="E36" i="2"/>
  <c r="H45" i="2"/>
  <c r="H49" i="2"/>
  <c r="H57" i="2"/>
  <c r="H61" i="2"/>
  <c r="K62" i="2"/>
  <c r="H73" i="2"/>
  <c r="H85" i="2"/>
  <c r="E88" i="2"/>
  <c r="H97" i="2"/>
  <c r="H101" i="2"/>
  <c r="K115" i="2"/>
  <c r="D156" i="2"/>
</calcChain>
</file>

<file path=xl/sharedStrings.xml><?xml version="1.0" encoding="utf-8"?>
<sst xmlns="http://schemas.openxmlformats.org/spreadsheetml/2006/main" count="155" uniqueCount="140">
  <si>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</si>
  <si>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</si>
  <si>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</si>
  <si>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</si>
  <si>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</si>
  <si>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</si>
  <si>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</si>
  <si>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Min Pos (1E-307)</t>
  </si>
  <si>
    <t>Min Neg (-1E-307)</t>
  </si>
  <si>
    <t>Max Pos</t>
  </si>
  <si>
    <t>Max Neg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</si>
  <si>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</si>
  <si>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</si>
  <si>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</si>
  <si>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</si>
  <si>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</si>
  <si>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</si>
  <si>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</si>
  <si>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</si>
  <si>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</si>
  <si>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</si>
  <si>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</si>
  <si>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</si>
  <si>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</si>
  <si>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</si>
  <si>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</si>
  <si>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</si>
  <si>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</si>
  <si>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</si>
  <si>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</si>
  <si>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</si>
  <si>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</si>
  <si>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</si>
  <si>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</si>
  <si>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</si>
  <si>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</si>
  <si>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</si>
  <si>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</si>
  <si>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</si>
  <si>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</si>
  <si>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</si>
  <si>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</si>
  <si>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</si>
  <si>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</si>
  <si>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DATE &amp; TIME FORMULA TEST SUITE</t>
  </si>
  <si>
    <t>Regular Date</t>
  </si>
  <si>
    <t>Leap Year Date</t>
  </si>
  <si>
    <t>Year Start</t>
  </si>
  <si>
    <t>Year End</t>
  </si>
  <si>
    <t>Month Start</t>
  </si>
  <si>
    <t>Month End (30)</t>
  </si>
  <si>
    <t>Month End (31)</t>
  </si>
  <si>
    <t>Time Midnight</t>
  </si>
  <si>
    <t>Time Midday</t>
  </si>
  <si>
    <t>Time Full</t>
  </si>
  <si>
    <t>Date-Time Combo</t>
  </si>
  <si>
    <t>Far Past Date</t>
  </si>
  <si>
    <t>Far Future Date</t>
  </si>
  <si>
    <t>TODAY &amp; NOW</t>
  </si>
  <si>
    <t>Function</t>
  </si>
  <si>
    <t>Result</t>
  </si>
  <si>
    <t>TODAY()</t>
  </si>
  <si>
    <t>NOW()</t>
  </si>
  <si>
    <t>TODAY() + 1</t>
  </si>
  <si>
    <t>TODAY() - 1</t>
  </si>
  <si>
    <t>NOW() + 0.5</t>
  </si>
  <si>
    <t>NOW() - TODAY()</t>
  </si>
  <si>
    <t>YEAR(TODAY())</t>
  </si>
  <si>
    <t>MONTH(TODAY())</t>
  </si>
  <si>
    <t>DAY(TODAY())</t>
  </si>
  <si>
    <t>HOUR(NOW())</t>
  </si>
  <si>
    <t>MINUTE(NOW())</t>
  </si>
  <si>
    <t>SECOND(NOW())</t>
  </si>
  <si>
    <t>DATE(Year, Month, Day)</t>
  </si>
  <si>
    <t>Test cases with various Year, Month, Day combinations</t>
  </si>
  <si>
    <t>Description</t>
  </si>
  <si>
    <t>Year</t>
  </si>
  <si>
    <t>Month</t>
  </si>
  <si>
    <t>Day</t>
  </si>
  <si>
    <t>DATE Result</t>
  </si>
  <si>
    <t>Expected Serial</t>
  </si>
  <si>
    <t>Normal date</t>
  </si>
  <si>
    <t>Leap year Feb 29</t>
  </si>
  <si>
    <t>Non-leap year Feb 28</t>
  </si>
  <si>
    <t>Year start</t>
  </si>
  <si>
    <t>Year end</t>
  </si>
  <si>
    <t>Month overflow (13)</t>
  </si>
  <si>
    <t>Month underflow (0)</t>
  </si>
  <si>
    <t>Day overflow (32 Jan)</t>
  </si>
  <si>
    <t>Day underflow (0)</t>
  </si>
  <si>
    <t>Negative month (-1)</t>
  </si>
  <si>
    <t>Negative day (-1)</t>
  </si>
  <si>
    <t>Min date</t>
  </si>
  <si>
    <t>Max date</t>
  </si>
  <si>
    <t>Year 0 (Excel treats as 1900)</t>
  </si>
  <si>
    <t>Two-digit year 25</t>
  </si>
  <si>
    <t>Month=14, Day=45</t>
  </si>
  <si>
    <t>DATEVALUE(date_text)</t>
  </si>
  <si>
    <t>Date Text Input</t>
  </si>
  <si>
    <t>DATEVALUE Result</t>
  </si>
  <si>
    <t>"6/15/2025"</t>
  </si>
  <si>
    <t>"06/15/2025"</t>
  </si>
  <si>
    <t>"2025-06-15"</t>
  </si>
  <si>
    <t>"June 15, 2025"</t>
  </si>
  <si>
    <t>"15-Jun-2025"</t>
  </si>
  <si>
    <t>"2025/06/15"</t>
  </si>
  <si>
    <t>"6-15-2025"</t>
  </si>
  <si>
    <t>"1/1/1900"</t>
  </si>
  <si>
    <t>"12/31/9999"</t>
  </si>
  <si>
    <t>"2/29/2024"</t>
  </si>
  <si>
    <t>"2/29/2025"</t>
  </si>
  <si>
    <t>"not a date"</t>
  </si>
  <si>
    <t>YEAR, MONTH, DAY (Date Extraction)</t>
  </si>
  <si>
    <t>YEAR</t>
  </si>
  <si>
    <t>MONTH</t>
  </si>
  <si>
    <t>DAY</t>
  </si>
  <si>
    <t>HOUR, MINUTE, SECOND (Time Extraction)</t>
  </si>
  <si>
    <t>HOUR</t>
  </si>
  <si>
    <t>MINUTE</t>
  </si>
  <si>
    <t>SECOND</t>
  </si>
  <si>
    <t>WEEKDAY(date, return_type)</t>
  </si>
  <si>
    <t>Input \ return_type</t>
  </si>
  <si>
    <t>WEEKNUM(date, return_type)</t>
  </si>
  <si>
    <t>EDATE(start_date, months)</t>
  </si>
  <si>
    <t>Input \ Months</t>
  </si>
  <si>
    <t>EOMONTH(start_date, months)</t>
  </si>
  <si>
    <t>NETWORKDAYS(start_date, end_date)</t>
  </si>
  <si>
    <t>Start \ End</t>
  </si>
  <si>
    <t>WORKDAY(start_date, days)</t>
  </si>
  <si>
    <t>Input \ Days</t>
  </si>
  <si>
    <t>DATEDIF(start_date, end_date, unit)</t>
  </si>
  <si>
    <t>Start Date</t>
  </si>
  <si>
    <t>End Date</t>
  </si>
  <si>
    <t>Y</t>
  </si>
  <si>
    <t>M</t>
  </si>
  <si>
    <t>D</t>
  </si>
  <si>
    <t>MD</t>
  </si>
  <si>
    <t>YM</t>
  </si>
  <si>
    <t>YD</t>
  </si>
  <si>
    <t>DAYS(end_date, start_date)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</si>
</sst>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hh:mm:ss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11" fontId="5" fillId="0" borderId="0" xfId="0" applyNumberFormat="1" applyFont="1"/>
    <xf numFmtId="0" fontId="4" fillId="0" borderId="0" xfId="0" applyFont="1"/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11" fontId="7" fillId="3" borderId="2" xfId="0" applyNumberFormat="1" applyFont="1" applyFill="1" applyBorder="1" applyAlignment="1">
      <alignment horizontal="center"/>
    </xf>
    <xf numFmtId="0" fontId="7" fillId="2" borderId="0" xfId="0" applyFont="1" applyFill="1"/>
    <xf numFmtId="11" fontId="3" fillId="0" borderId="0" xfId="0" applyNumberFormat="1" applyFont="1" applyAlignment="1">
      <alignment horizontal="center"/>
    </xf>
    <xf numFmtId="11" fontId="7" fillId="2" borderId="0" xfId="0" applyNumberFormat="1" applyFont="1" applyFill="1"/>
    <xf numFmtId="0" fontId="7" fillId="3" borderId="3" xfId="0" applyFont="1" applyFill="1" applyBorder="1"/>
    <xf numFmtId="0" fontId="7" fillId="3" borderId="2" xfId="0" applyFont="1" applyFill="1" applyBorder="1"/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4" fillId="2" borderId="0" xfId="0" applyFont="1" applyFill="1"/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3" fillId="2" borderId="0" xfId="0" applyNumberFormat="1" applyFont="1" applyFill="1"/>
    <xf numFmtId="49" fontId="4" fillId="2" borderId="0" xfId="0" applyNumberFormat="1" applyFont="1" applyFill="1"/>
    <xf numFmtId="14" fontId="7" fillId="3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5E151-A914-3440-AD6B-7E4499C6592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9502-69A0-7642-A385-E304023AA8DC}">
  <dimension ref="B2:M223"/>
  <sheetViews>
    <sheetView tabSelected="1" topLeftCell="A199" workbookViewId="0">
      <selection activeCell="D56" sqref="D56"/>
    </sheetView>
  </sheetViews>
  <sheetFormatPr defaultColWidth="11.19921875" defaultRowHeight="15.6" x14ac:dyDescent="0.3"/>
  <cols>
    <col min="2" max="2" width="41.69921875" bestFit="1" customWidth="1"/>
    <col min="3" max="3" width="17.69921875" bestFit="1" customWidth="1"/>
    <col min="4" max="5" width="10.19921875" bestFit="1" customWidth="1"/>
    <col min="6" max="6" width="10.5" bestFit="1" customWidth="1"/>
    <col min="7" max="7" width="13.296875" bestFit="1" customWidth="1"/>
    <col min="8" max="13" width="10.19921875" bestFit="1" customWidth="1"/>
  </cols>
  <sheetData>
    <row r="2" spans="2:13" ht="18" x14ac:dyDescent="0.35">
      <c r="B2" s="1" t="s">
        <v>44</v>
      </c>
    </row>
    <row r="3" spans="2:13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3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3" x14ac:dyDescent="0.3">
      <c r="B5" s="4" t="s">
        <v>45</v>
      </c>
      <c r="C5" s="19">
        <f>DATE(2025,6,15)</f>
        <v>45823</v>
      </c>
    </row>
    <row r="6" spans="2:13" x14ac:dyDescent="0.3">
      <c r="B6" s="4" t="s">
        <v>46</v>
      </c>
      <c r="C6" s="19">
        <f>DATE(2024,2,29)</f>
        <v>45351</v>
      </c>
    </row>
    <row r="7" spans="2:13" x14ac:dyDescent="0.3">
      <c r="B7" s="4" t="s">
        <v>47</v>
      </c>
      <c r="C7" s="19">
        <f>DATE(2025,1,1)</f>
        <v>45658</v>
      </c>
    </row>
    <row r="8" spans="2:13" x14ac:dyDescent="0.3">
      <c r="B8" s="4" t="s">
        <v>48</v>
      </c>
      <c r="C8" s="19">
        <f>DATE(2025,12,31)</f>
        <v>46022</v>
      </c>
    </row>
    <row r="9" spans="2:13" x14ac:dyDescent="0.3">
      <c r="B9" s="4" t="s">
        <v>49</v>
      </c>
      <c r="C9" s="19">
        <f>DATE(2025,3,1)</f>
        <v>45717</v>
      </c>
    </row>
    <row r="10" spans="2:13" x14ac:dyDescent="0.3">
      <c r="B10" s="4" t="s">
        <v>50</v>
      </c>
      <c r="C10" s="19">
        <f>DATE(2025,4,30)</f>
        <v>45777</v>
      </c>
    </row>
    <row r="11" spans="2:13" x14ac:dyDescent="0.3">
      <c r="B11" s="4" t="s">
        <v>51</v>
      </c>
      <c r="C11" s="19">
        <f>DATE(2025,5,31)</f>
        <v>45808</v>
      </c>
    </row>
    <row r="12" spans="2:13" x14ac:dyDescent="0.3">
      <c r="B12" s="4" t="s">
        <v>52</v>
      </c>
      <c r="C12" s="20">
        <f>DATE(2025,6,15)+0</f>
        <v>45823</v>
      </c>
    </row>
    <row r="13" spans="2:13" x14ac:dyDescent="0.3">
      <c r="B13" s="4" t="s">
        <v>53</v>
      </c>
      <c r="C13" s="20">
        <f>DATE(2025,6,15)+0.5</f>
        <v>45823.5</v>
      </c>
    </row>
    <row r="14" spans="2:13" x14ac:dyDescent="0.3">
      <c r="B14" s="4" t="s">
        <v>54</v>
      </c>
      <c r="C14" s="20">
        <f>DATE(2025,6,15)+TIME(14,30,45)</f>
        <v>45823.604687500003</v>
      </c>
    </row>
    <row r="15" spans="2:13" x14ac:dyDescent="0.3">
      <c r="B15" s="4" t="s">
        <v>55</v>
      </c>
      <c r="C15" s="20">
        <f>DATE(2025,9,20)+TIME(8,15,30)</f>
        <v>45920.344097222223</v>
      </c>
    </row>
    <row r="16" spans="2:13" x14ac:dyDescent="0.3">
      <c r="B16" s="4" t="s">
        <v>56</v>
      </c>
      <c r="C16" s="19">
        <f>DATE(1900,1,1)</f>
        <v>1</v>
      </c>
    </row>
    <row r="17" spans="2:13" x14ac:dyDescent="0.3">
      <c r="B17" s="4" t="s">
        <v>57</v>
      </c>
      <c r="C17" s="19">
        <f>DATE(2099,12,31)</f>
        <v>73050</v>
      </c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">
      <c r="B19" s="21" t="s">
        <v>58</v>
      </c>
      <c r="C19" s="6"/>
      <c r="D19" s="6"/>
      <c r="E19" s="6"/>
      <c r="F19" s="6"/>
      <c r="G19" s="6"/>
      <c r="H19" s="6"/>
      <c r="I19" s="6"/>
      <c r="J19" s="6"/>
      <c r="K19" s="6"/>
    </row>
    <row r="20" spans="2:13" x14ac:dyDescent="0.3">
      <c r="B20" s="22" t="s">
        <v>59</v>
      </c>
      <c r="C20" s="22" t="s">
        <v>60</v>
      </c>
    </row>
    <row r="21" spans="2:13" x14ac:dyDescent="0.3">
      <c r="B21" s="4" t="s">
        <v>61</v>
      </c>
      <c r="C21" s="24">
        <f ca="1">TODAY()</f>
        <v>46275</v>
      </c>
    </row>
    <row r="22" spans="2:13" x14ac:dyDescent="0.3">
      <c r="B22" s="4" t="s">
        <v>62</v>
      </c>
      <c r="C22" s="25">
        <f ca="1">NOW()</f>
        <v>46275.595719444442</v>
      </c>
    </row>
    <row r="23" spans="2:13" x14ac:dyDescent="0.3">
      <c r="B23" s="4" t="s">
        <v>63</v>
      </c>
      <c r="C23" s="24">
        <f ca="1">TODAY()+1</f>
        <v>46276</v>
      </c>
    </row>
    <row r="24" spans="2:13" x14ac:dyDescent="0.3">
      <c r="B24" s="4" t="s">
        <v>64</v>
      </c>
      <c r="C24" s="24">
        <f ca="1">TODAY()-1</f>
        <v>46274</v>
      </c>
    </row>
    <row r="25" spans="2:13" x14ac:dyDescent="0.3">
      <c r="B25" s="4" t="s">
        <v>65</v>
      </c>
      <c r="C25" s="25">
        <f ca="1">NOW()+0.5</f>
        <v>46276.095719444442</v>
      </c>
    </row>
    <row r="26" spans="2:13" x14ac:dyDescent="0.3">
      <c r="B26" s="4" t="s">
        <v>66</v>
      </c>
      <c r="C26" s="26">
        <f ca="1">NOW()-TODAY()</f>
        <v>0.59571944444178371</v>
      </c>
    </row>
    <row r="27" spans="2:13" x14ac:dyDescent="0.3">
      <c r="B27" s="4" t="s">
        <v>67</v>
      </c>
      <c r="C27" s="27">
        <f ca="1">YEAR(TODAY())</f>
        <v>2026</v>
      </c>
    </row>
    <row r="28" spans="2:13" x14ac:dyDescent="0.3">
      <c r="B28" s="4" t="s">
        <v>68</v>
      </c>
      <c r="C28" s="27">
        <f ca="1">MONTH(TODAY())</f>
        <v>9</v>
      </c>
    </row>
    <row r="29" spans="2:13" x14ac:dyDescent="0.3">
      <c r="B29" s="4" t="s">
        <v>69</v>
      </c>
      <c r="C29" s="27">
        <f ca="1">DAY(TODAY())</f>
        <v>10</v>
      </c>
    </row>
    <row r="30" spans="2:13" x14ac:dyDescent="0.3">
      <c r="B30" s="4" t="s">
        <v>70</v>
      </c>
      <c r="C30" s="27">
        <f ca="1">HOUR(NOW())</f>
        <v>14</v>
      </c>
    </row>
    <row r="31" spans="2:13" x14ac:dyDescent="0.3">
      <c r="B31" s="4" t="s">
        <v>71</v>
      </c>
      <c r="C31" s="27">
        <f ca="1">MINUTE(NOW())</f>
        <v>17</v>
      </c>
    </row>
    <row r="32" spans="2:13" x14ac:dyDescent="0.3">
      <c r="B32" s="4" t="s">
        <v>72</v>
      </c>
      <c r="C32" s="27">
        <f ca="1">SECOND(NOW())</f>
        <v>50</v>
      </c>
    </row>
    <row r="33" spans="2:13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3">
      <c r="B35" s="21" t="s">
        <v>73</v>
      </c>
      <c r="C35" s="6"/>
      <c r="D35" s="6"/>
      <c r="E35" s="6"/>
      <c r="F35" s="6"/>
      <c r="G35" s="6"/>
      <c r="H35" s="6"/>
      <c r="I35" s="6"/>
      <c r="J35" s="6"/>
      <c r="K35" s="6"/>
    </row>
    <row r="36" spans="2:13" x14ac:dyDescent="0.3">
      <c r="B36" s="2" t="s">
        <v>74</v>
      </c>
      <c r="C36" s="2"/>
      <c r="D36" s="2"/>
      <c r="E36" s="2"/>
      <c r="F36" s="2"/>
      <c r="G36" s="2"/>
      <c r="H36" s="2"/>
      <c r="I36" s="2"/>
      <c r="J36" s="2"/>
      <c r="K36" s="2"/>
    </row>
    <row r="37" spans="2:13" x14ac:dyDescent="0.3">
      <c r="B37" s="22" t="s">
        <v>75</v>
      </c>
      <c r="C37" s="22" t="s">
        <v>76</v>
      </c>
      <c r="D37" s="22" t="s">
        <v>77</v>
      </c>
      <c r="E37" s="22" t="s">
        <v>78</v>
      </c>
      <c r="F37" s="22" t="s">
        <v>79</v>
      </c>
      <c r="G37" s="22" t="s">
        <v>80</v>
      </c>
    </row>
    <row r="38" spans="2:13" x14ac:dyDescent="0.3">
      <c r="B38" s="4" t="s">
        <v>81</v>
      </c>
      <c r="C38" s="28">
        <v>2025</v>
      </c>
      <c r="D38" s="28">
        <v>6</v>
      </c>
      <c r="E38" s="28">
        <v>15</v>
      </c>
      <c r="F38" s="24">
        <f t="shared" ref="F38:F53" si="0">DATE(C38,D38,E38)</f>
        <v>45823</v>
      </c>
      <c r="G38" s="23">
        <f t="shared" ref="G38:G53" si="1">IFERROR(INT(F38),"Error")</f>
        <v>45823</v>
      </c>
    </row>
    <row r="39" spans="2:13" x14ac:dyDescent="0.3">
      <c r="B39" s="4" t="s">
        <v>82</v>
      </c>
      <c r="C39" s="28">
        <v>2024</v>
      </c>
      <c r="D39" s="28">
        <v>2</v>
      </c>
      <c r="E39" s="28">
        <v>29</v>
      </c>
      <c r="F39" s="24">
        <f t="shared" si="0"/>
        <v>45351</v>
      </c>
      <c r="G39" s="23">
        <f t="shared" si="1"/>
        <v>45351</v>
      </c>
    </row>
    <row r="40" spans="2:13" x14ac:dyDescent="0.3">
      <c r="B40" s="4" t="s">
        <v>83</v>
      </c>
      <c r="C40" s="28">
        <v>2025</v>
      </c>
      <c r="D40" s="28">
        <v>2</v>
      </c>
      <c r="E40" s="28">
        <v>28</v>
      </c>
      <c r="F40" s="24">
        <f t="shared" si="0"/>
        <v>45716</v>
      </c>
      <c r="G40" s="23">
        <f t="shared" si="1"/>
        <v>45716</v>
      </c>
    </row>
    <row r="41" spans="2:13" x14ac:dyDescent="0.3">
      <c r="B41" s="4" t="s">
        <v>84</v>
      </c>
      <c r="C41" s="28">
        <v>2025</v>
      </c>
      <c r="D41" s="28">
        <v>1</v>
      </c>
      <c r="E41" s="28">
        <v>1</v>
      </c>
      <c r="F41" s="24">
        <f t="shared" si="0"/>
        <v>45658</v>
      </c>
      <c r="G41" s="23">
        <f t="shared" si="1"/>
        <v>45658</v>
      </c>
    </row>
    <row r="42" spans="2:13" x14ac:dyDescent="0.3">
      <c r="B42" s="4" t="s">
        <v>85</v>
      </c>
      <c r="C42" s="28">
        <v>2025</v>
      </c>
      <c r="D42" s="28">
        <v>12</v>
      </c>
      <c r="E42" s="28">
        <v>31</v>
      </c>
      <c r="F42" s="24">
        <f t="shared" si="0"/>
        <v>46022</v>
      </c>
      <c r="G42" s="23">
        <f t="shared" si="1"/>
        <v>46022</v>
      </c>
    </row>
    <row r="43" spans="2:13" x14ac:dyDescent="0.3">
      <c r="B43" s="4" t="s">
        <v>86</v>
      </c>
      <c r="C43" s="28">
        <v>2025</v>
      </c>
      <c r="D43" s="28">
        <v>13</v>
      </c>
      <c r="E43" s="28">
        <v>1</v>
      </c>
      <c r="F43" s="24">
        <f t="shared" si="0"/>
        <v>46023</v>
      </c>
      <c r="G43" s="23">
        <f t="shared" si="1"/>
        <v>46023</v>
      </c>
    </row>
    <row r="44" spans="2:13" x14ac:dyDescent="0.3">
      <c r="B44" s="4" t="s">
        <v>87</v>
      </c>
      <c r="C44" s="28">
        <v>2025</v>
      </c>
      <c r="D44" s="28">
        <v>0</v>
      </c>
      <c r="E44" s="28">
        <v>1</v>
      </c>
      <c r="F44" s="24">
        <f t="shared" si="0"/>
        <v>45627</v>
      </c>
      <c r="G44" s="23">
        <f t="shared" si="1"/>
        <v>45627</v>
      </c>
    </row>
    <row r="45" spans="2:13" x14ac:dyDescent="0.3">
      <c r="B45" s="4" t="s">
        <v>88</v>
      </c>
      <c r="C45" s="28">
        <v>2025</v>
      </c>
      <c r="D45" s="28">
        <v>1</v>
      </c>
      <c r="E45" s="28">
        <v>32</v>
      </c>
      <c r="F45" s="24">
        <f t="shared" si="0"/>
        <v>45689</v>
      </c>
      <c r="G45" s="23">
        <f t="shared" si="1"/>
        <v>45689</v>
      </c>
    </row>
    <row r="46" spans="2:13" x14ac:dyDescent="0.3">
      <c r="B46" s="4" t="s">
        <v>89</v>
      </c>
      <c r="C46" s="28">
        <v>2025</v>
      </c>
      <c r="D46" s="28">
        <v>1</v>
      </c>
      <c r="E46" s="28">
        <v>0</v>
      </c>
      <c r="F46" s="24">
        <f t="shared" si="0"/>
        <v>45657</v>
      </c>
      <c r="G46" s="23">
        <f t="shared" si="1"/>
        <v>45657</v>
      </c>
    </row>
    <row r="47" spans="2:13" x14ac:dyDescent="0.3">
      <c r="B47" s="4" t="s">
        <v>90</v>
      </c>
      <c r="C47" s="28">
        <v>2025</v>
      </c>
      <c r="D47" s="28">
        <v>-1</v>
      </c>
      <c r="E47" s="28">
        <v>1</v>
      </c>
      <c r="F47" s="24">
        <f t="shared" si="0"/>
        <v>45597</v>
      </c>
      <c r="G47" s="23">
        <f t="shared" si="1"/>
        <v>45597</v>
      </c>
    </row>
    <row r="48" spans="2:13" x14ac:dyDescent="0.3">
      <c r="B48" s="4" t="s">
        <v>91</v>
      </c>
      <c r="C48" s="28">
        <v>2025</v>
      </c>
      <c r="D48" s="28">
        <v>1</v>
      </c>
      <c r="E48" s="28">
        <v>-1</v>
      </c>
      <c r="F48" s="24">
        <f t="shared" si="0"/>
        <v>45656</v>
      </c>
      <c r="G48" s="23">
        <f t="shared" si="1"/>
        <v>45656</v>
      </c>
    </row>
    <row r="49" spans="2:13" x14ac:dyDescent="0.3">
      <c r="B49" s="4" t="s">
        <v>92</v>
      </c>
      <c r="C49" s="28">
        <v>1900</v>
      </c>
      <c r="D49" s="28">
        <v>1</v>
      </c>
      <c r="E49" s="28">
        <v>1</v>
      </c>
      <c r="F49" s="24">
        <f t="shared" si="0"/>
        <v>1</v>
      </c>
      <c r="G49" s="23">
        <f t="shared" si="1"/>
        <v>1</v>
      </c>
    </row>
    <row r="50" spans="2:13" x14ac:dyDescent="0.3">
      <c r="B50" s="4" t="s">
        <v>93</v>
      </c>
      <c r="C50" s="28">
        <v>9999</v>
      </c>
      <c r="D50" s="28">
        <v>12</v>
      </c>
      <c r="E50" s="28">
        <v>31</v>
      </c>
      <c r="F50" s="24">
        <f t="shared" si="0"/>
        <v>2958465</v>
      </c>
      <c r="G50" s="23">
        <f t="shared" si="1"/>
        <v>2958465</v>
      </c>
    </row>
    <row r="51" spans="2:13" x14ac:dyDescent="0.3">
      <c r="B51" s="4" t="s">
        <v>94</v>
      </c>
      <c r="C51" s="28">
        <v>0</v>
      </c>
      <c r="D51" s="28">
        <v>1</v>
      </c>
      <c r="E51" s="28">
        <v>1</v>
      </c>
      <c r="F51" s="24">
        <f t="shared" si="0"/>
        <v>1</v>
      </c>
      <c r="G51" s="23">
        <f t="shared" si="1"/>
        <v>1</v>
      </c>
    </row>
    <row r="52" spans="2:13" x14ac:dyDescent="0.3">
      <c r="B52" s="4" t="s">
        <v>95</v>
      </c>
      <c r="C52" s="28">
        <v>25</v>
      </c>
      <c r="D52" s="28">
        <v>6</v>
      </c>
      <c r="E52" s="28">
        <v>15</v>
      </c>
      <c r="F52" s="24">
        <f t="shared" si="0"/>
        <v>9298</v>
      </c>
      <c r="G52" s="23">
        <f t="shared" si="1"/>
        <v>9298</v>
      </c>
    </row>
    <row r="53" spans="2:13" x14ac:dyDescent="0.3">
      <c r="B53" s="4" t="s">
        <v>96</v>
      </c>
      <c r="C53" s="28">
        <v>2025</v>
      </c>
      <c r="D53" s="28">
        <v>14</v>
      </c>
      <c r="E53" s="28">
        <v>45</v>
      </c>
      <c r="F53" s="24">
        <f t="shared" si="0"/>
        <v>46098</v>
      </c>
      <c r="G53" s="23">
        <f t="shared" si="1"/>
        <v>46098</v>
      </c>
    </row>
    <row r="54" spans="2:13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3">
      <c r="B56" s="21" t="s">
        <v>97</v>
      </c>
      <c r="C56" s="6"/>
      <c r="D56" s="6"/>
      <c r="E56" s="6"/>
      <c r="F56" s="6"/>
      <c r="G56" s="6"/>
      <c r="H56" s="6"/>
      <c r="I56" s="6"/>
      <c r="J56" s="6"/>
      <c r="K56" s="6"/>
    </row>
    <row r="57" spans="2:13" x14ac:dyDescent="0.3">
      <c r="B57" s="22" t="s">
        <v>98</v>
      </c>
      <c r="C57" s="22" t="s">
        <v>99</v>
      </c>
    </row>
    <row r="58" spans="2:13" x14ac:dyDescent="0.3">
      <c r="B58" s="29" t="s">
        <v>100</v>
      </c>
      <c r="C58" s="23">
        <f>IFERROR(DATEVALUE("6/15/2025"),"Error")</f>
        <v>45823</v>
      </c>
    </row>
    <row r="59" spans="2:13" x14ac:dyDescent="0.3">
      <c r="B59" s="29" t="s">
        <v>101</v>
      </c>
      <c r="C59" s="23">
        <f>IFERROR(DATEVALUE("06/15/2025"),"Error")</f>
        <v>45823</v>
      </c>
    </row>
    <row r="60" spans="2:13" x14ac:dyDescent="0.3">
      <c r="B60" s="29" t="s">
        <v>102</v>
      </c>
      <c r="C60" s="23">
        <f>IFERROR(DATEVALUE("2025-06-15"),"Error")</f>
        <v>45823</v>
      </c>
    </row>
    <row r="61" spans="2:13" x14ac:dyDescent="0.3">
      <c r="B61" s="29" t="s">
        <v>103</v>
      </c>
      <c r="C61" s="23">
        <f>IFERROR(DATEVALUE("June 15, 2025"),"Error")</f>
        <v>45823</v>
      </c>
    </row>
    <row r="62" spans="2:13" x14ac:dyDescent="0.3">
      <c r="B62" s="29" t="s">
        <v>104</v>
      </c>
      <c r="C62" s="23">
        <f>IFERROR(DATEVALUE("15-Jun-2025"),"Error")</f>
        <v>45823</v>
      </c>
    </row>
    <row r="63" spans="2:13" x14ac:dyDescent="0.3">
      <c r="B63" s="29" t="s">
        <v>105</v>
      </c>
      <c r="C63" s="23">
        <f>IFERROR(DATEVALUE("2025/06/15"),"Error")</f>
        <v>45823</v>
      </c>
    </row>
    <row r="64" spans="2:13" x14ac:dyDescent="0.3">
      <c r="B64" s="29" t="s">
        <v>106</v>
      </c>
      <c r="C64" s="23">
        <f>IFERROR(DATEVALUE("6-15-2025"),"Error")</f>
        <v>45823</v>
      </c>
    </row>
    <row r="65" spans="2:13" x14ac:dyDescent="0.3">
      <c r="B65" s="29" t="s">
        <v>107</v>
      </c>
      <c r="C65" s="23">
        <f>IFERROR(DATEVALUE("1/1/1900"),"Error")</f>
        <v>1</v>
      </c>
    </row>
    <row r="66" spans="2:13" x14ac:dyDescent="0.3">
      <c r="B66" s="29" t="s">
        <v>108</v>
      </c>
      <c r="C66" s="23">
        <f>IFERROR(DATEVALUE("12/31/9999"),"Error")</f>
        <v>2958465</v>
      </c>
    </row>
    <row r="67" spans="2:13" x14ac:dyDescent="0.3">
      <c r="B67" s="29" t="s">
        <v>109</v>
      </c>
      <c r="C67" s="23">
        <f>IFERROR(DATEVALUE("2/29/2024"),"Error")</f>
        <v>45351</v>
      </c>
    </row>
    <row r="68" spans="2:13" x14ac:dyDescent="0.3">
      <c r="B68" s="29" t="s">
        <v>110</v>
      </c>
      <c r="C68" s="23" t="str">
        <f>IFERROR(DATEVALUE("2/29/2025"),"Error")</f>
        <v>Error</v>
      </c>
    </row>
    <row r="69" spans="2:13" x14ac:dyDescent="0.3">
      <c r="B69" s="29" t="s">
        <v>111</v>
      </c>
      <c r="C69" s="23" t="str">
        <f>IFERROR(DATEVALUE("not a date"),"Error")</f>
        <v>Error</v>
      </c>
    </row>
    <row r="70" spans="2:13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3">
      <c r="B72" s="30" t="s">
        <v>112</v>
      </c>
      <c r="C72" s="6"/>
      <c r="D72" s="6"/>
      <c r="E72" s="6"/>
      <c r="F72" s="6"/>
      <c r="G72" s="6"/>
      <c r="H72" s="6"/>
      <c r="I72" s="6"/>
      <c r="J72" s="6"/>
      <c r="K72" s="6"/>
    </row>
    <row r="73" spans="2:13" x14ac:dyDescent="0.3">
      <c r="B73" s="22" t="s">
        <v>20</v>
      </c>
      <c r="C73" s="22" t="s">
        <v>113</v>
      </c>
      <c r="D73" s="22" t="s">
        <v>114</v>
      </c>
      <c r="E73" s="22" t="s">
        <v>115</v>
      </c>
    </row>
    <row r="74" spans="2:13" x14ac:dyDescent="0.3">
      <c r="B74" s="4" t="str">
        <f t="shared" ref="B74:B86" si="2">B5</f>
        <v>Regular Date</v>
      </c>
      <c r="C74" s="23">
        <f>YEAR($C$5)</f>
        <v>2025</v>
      </c>
      <c r="D74" s="23">
        <f>MONTH($C$5)</f>
        <v>6</v>
      </c>
      <c r="E74" s="23">
        <f>DAY($C$5)</f>
        <v>15</v>
      </c>
    </row>
    <row r="75" spans="2:13" x14ac:dyDescent="0.3">
      <c r="B75" s="4" t="str">
        <f t="shared" si="2"/>
        <v>Leap Year Date</v>
      </c>
      <c r="C75" s="23">
        <f>YEAR($C$6)</f>
        <v>2024</v>
      </c>
      <c r="D75" s="23">
        <f>MONTH($C$6)</f>
        <v>2</v>
      </c>
      <c r="E75" s="23">
        <f>DAY($C$6)</f>
        <v>29</v>
      </c>
    </row>
    <row r="76" spans="2:13" x14ac:dyDescent="0.3">
      <c r="B76" s="4" t="str">
        <f t="shared" si="2"/>
        <v>Year Start</v>
      </c>
      <c r="C76" s="23">
        <f>YEAR($C$7)</f>
        <v>2025</v>
      </c>
      <c r="D76" s="23">
        <f>MONTH($C$7)</f>
        <v>1</v>
      </c>
      <c r="E76" s="23">
        <f>DAY($C$7)</f>
        <v>1</v>
      </c>
    </row>
    <row r="77" spans="2:13" x14ac:dyDescent="0.3">
      <c r="B77" s="4" t="str">
        <f t="shared" si="2"/>
        <v>Year End</v>
      </c>
      <c r="C77" s="23">
        <f>YEAR($C$8)</f>
        <v>2025</v>
      </c>
      <c r="D77" s="23">
        <f>MONTH($C$8)</f>
        <v>12</v>
      </c>
      <c r="E77" s="23">
        <f>DAY($C$8)</f>
        <v>31</v>
      </c>
    </row>
    <row r="78" spans="2:13" x14ac:dyDescent="0.3">
      <c r="B78" s="4" t="str">
        <f t="shared" si="2"/>
        <v>Month Start</v>
      </c>
      <c r="C78" s="23">
        <f>YEAR($C$9)</f>
        <v>2025</v>
      </c>
      <c r="D78" s="23">
        <f>MONTH($C$9)</f>
        <v>3</v>
      </c>
      <c r="E78" s="23">
        <f>DAY($C$9)</f>
        <v>1</v>
      </c>
    </row>
    <row r="79" spans="2:13" x14ac:dyDescent="0.3">
      <c r="B79" s="4" t="str">
        <f t="shared" si="2"/>
        <v>Month End (30)</v>
      </c>
      <c r="C79" s="23">
        <f>YEAR($C$10)</f>
        <v>2025</v>
      </c>
      <c r="D79" s="23">
        <f>MONTH($C$10)</f>
        <v>4</v>
      </c>
      <c r="E79" s="23">
        <f>DAY($C$10)</f>
        <v>30</v>
      </c>
    </row>
    <row r="80" spans="2:13" x14ac:dyDescent="0.3">
      <c r="B80" s="4" t="str">
        <f t="shared" si="2"/>
        <v>Month End (31)</v>
      </c>
      <c r="C80" s="23">
        <f>YEAR($C$11)</f>
        <v>2025</v>
      </c>
      <c r="D80" s="23">
        <f>MONTH($C$11)</f>
        <v>5</v>
      </c>
      <c r="E80" s="23">
        <f>DAY($C$11)</f>
        <v>31</v>
      </c>
    </row>
    <row r="81" spans="2:13" x14ac:dyDescent="0.3">
      <c r="B81" s="4" t="str">
        <f t="shared" si="2"/>
        <v>Time Midnight</v>
      </c>
      <c r="C81" s="23">
        <f>YEAR($C$12)</f>
        <v>2025</v>
      </c>
      <c r="D81" s="23">
        <f>MONTH($C$12)</f>
        <v>6</v>
      </c>
      <c r="E81" s="23">
        <f>DAY($C$12)</f>
        <v>15</v>
      </c>
    </row>
    <row r="82" spans="2:13" x14ac:dyDescent="0.3">
      <c r="B82" s="4" t="str">
        <f t="shared" si="2"/>
        <v>Time Midday</v>
      </c>
      <c r="C82" s="23">
        <f>YEAR($C$13)</f>
        <v>2025</v>
      </c>
      <c r="D82" s="23">
        <f>MONTH($C$13)</f>
        <v>6</v>
      </c>
      <c r="E82" s="23">
        <f>DAY($C$13)</f>
        <v>15</v>
      </c>
    </row>
    <row r="83" spans="2:13" x14ac:dyDescent="0.3">
      <c r="B83" s="4" t="str">
        <f t="shared" si="2"/>
        <v>Time Full</v>
      </c>
      <c r="C83" s="23">
        <f>YEAR($C$14)</f>
        <v>2025</v>
      </c>
      <c r="D83" s="23">
        <f>MONTH($C$14)</f>
        <v>6</v>
      </c>
      <c r="E83" s="23">
        <f>DAY($C$14)</f>
        <v>15</v>
      </c>
    </row>
    <row r="84" spans="2:13" x14ac:dyDescent="0.3">
      <c r="B84" s="4" t="str">
        <f t="shared" si="2"/>
        <v>Date-Time Combo</v>
      </c>
      <c r="C84" s="23">
        <f>YEAR($C$15)</f>
        <v>2025</v>
      </c>
      <c r="D84" s="23">
        <f>MONTH($C$15)</f>
        <v>9</v>
      </c>
      <c r="E84" s="23">
        <f>DAY($C$15)</f>
        <v>20</v>
      </c>
    </row>
    <row r="85" spans="2:13" x14ac:dyDescent="0.3">
      <c r="B85" s="4" t="str">
        <f t="shared" si="2"/>
        <v>Far Past Date</v>
      </c>
      <c r="C85" s="23">
        <f>YEAR($C$16)</f>
        <v>1900</v>
      </c>
      <c r="D85" s="23">
        <f>MONTH($C$16)</f>
        <v>1</v>
      </c>
      <c r="E85" s="23">
        <f>DAY($C$16)</f>
        <v>1</v>
      </c>
    </row>
    <row r="86" spans="2:13" x14ac:dyDescent="0.3">
      <c r="B86" s="4" t="str">
        <f t="shared" si="2"/>
        <v>Far Future Date</v>
      </c>
      <c r="C86" s="23">
        <f>YEAR($C$17)</f>
        <v>2099</v>
      </c>
      <c r="D86" s="23">
        <f>MONTH($C$17)</f>
        <v>12</v>
      </c>
      <c r="E86" s="23">
        <f>DAY($C$17)</f>
        <v>31</v>
      </c>
    </row>
    <row r="87" spans="2:13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3">
      <c r="B89" s="6" t="s">
        <v>116</v>
      </c>
      <c r="C89" s="6"/>
      <c r="D89" s="6"/>
      <c r="E89" s="6"/>
      <c r="F89" s="6"/>
      <c r="G89" s="6"/>
      <c r="H89" s="6"/>
      <c r="I89" s="6"/>
      <c r="J89" s="6"/>
      <c r="K89" s="6"/>
    </row>
    <row r="90" spans="2:13" x14ac:dyDescent="0.3">
      <c r="B90" s="22" t="s">
        <v>20</v>
      </c>
      <c r="C90" s="22" t="s">
        <v>117</v>
      </c>
      <c r="D90" s="22" t="s">
        <v>118</v>
      </c>
      <c r="E90" s="22" t="s">
        <v>119</v>
      </c>
    </row>
    <row r="91" spans="2:13" x14ac:dyDescent="0.3">
      <c r="B91" s="4" t="str">
        <f t="shared" ref="B91:B103" si="3">B5</f>
        <v>Regular Date</v>
      </c>
      <c r="C91" s="23">
        <f>HOUR($C$5)</f>
        <v>0</v>
      </c>
      <c r="D91" s="23">
        <f>MINUTE($C$5)</f>
        <v>0</v>
      </c>
      <c r="E91" s="23">
        <f>SECOND($C$5)</f>
        <v>0</v>
      </c>
    </row>
    <row r="92" spans="2:13" x14ac:dyDescent="0.3">
      <c r="B92" s="4" t="str">
        <f t="shared" si="3"/>
        <v>Leap Year Date</v>
      </c>
      <c r="C92" s="23">
        <f>HOUR($C$6)</f>
        <v>0</v>
      </c>
      <c r="D92" s="23">
        <f>MINUTE($C$6)</f>
        <v>0</v>
      </c>
      <c r="E92" s="23">
        <f>SECOND($C$6)</f>
        <v>0</v>
      </c>
    </row>
    <row r="93" spans="2:13" x14ac:dyDescent="0.3">
      <c r="B93" s="4" t="str">
        <f t="shared" si="3"/>
        <v>Year Start</v>
      </c>
      <c r="C93" s="23">
        <f>HOUR($C$7)</f>
        <v>0</v>
      </c>
      <c r="D93" s="23">
        <f>MINUTE($C$7)</f>
        <v>0</v>
      </c>
      <c r="E93" s="23">
        <f>SECOND($C$7)</f>
        <v>0</v>
      </c>
    </row>
    <row r="94" spans="2:13" x14ac:dyDescent="0.3">
      <c r="B94" s="4" t="str">
        <f t="shared" si="3"/>
        <v>Year End</v>
      </c>
      <c r="C94" s="23">
        <f>HOUR($C$8)</f>
        <v>0</v>
      </c>
      <c r="D94" s="23">
        <f>MINUTE($C$8)</f>
        <v>0</v>
      </c>
      <c r="E94" s="23">
        <f>SECOND($C$8)</f>
        <v>0</v>
      </c>
    </row>
    <row r="95" spans="2:13" x14ac:dyDescent="0.3">
      <c r="B95" s="4" t="str">
        <f t="shared" si="3"/>
        <v>Month Start</v>
      </c>
      <c r="C95" s="23">
        <f>HOUR($C$9)</f>
        <v>0</v>
      </c>
      <c r="D95" s="23">
        <f>MINUTE($C$9)</f>
        <v>0</v>
      </c>
      <c r="E95" s="23">
        <f>SECOND($C$9)</f>
        <v>0</v>
      </c>
    </row>
    <row r="96" spans="2:13" x14ac:dyDescent="0.3">
      <c r="B96" s="4" t="str">
        <f t="shared" si="3"/>
        <v>Month End (30)</v>
      </c>
      <c r="C96" s="23">
        <f>HOUR($C$10)</f>
        <v>0</v>
      </c>
      <c r="D96" s="23">
        <f>MINUTE($C$10)</f>
        <v>0</v>
      </c>
      <c r="E96" s="23">
        <f>SECOND($C$10)</f>
        <v>0</v>
      </c>
    </row>
    <row r="97" spans="2:13" x14ac:dyDescent="0.3">
      <c r="B97" s="4" t="str">
        <f t="shared" si="3"/>
        <v>Month End (31)</v>
      </c>
      <c r="C97" s="23">
        <f>HOUR($C$11)</f>
        <v>0</v>
      </c>
      <c r="D97" s="23">
        <f>MINUTE($C$11)</f>
        <v>0</v>
      </c>
      <c r="E97" s="23">
        <f>SECOND($C$11)</f>
        <v>0</v>
      </c>
    </row>
    <row r="98" spans="2:13" x14ac:dyDescent="0.3">
      <c r="B98" s="4" t="str">
        <f t="shared" si="3"/>
        <v>Time Midnight</v>
      </c>
      <c r="C98" s="23">
        <f>HOUR($C$12)</f>
        <v>0</v>
      </c>
      <c r="D98" s="23">
        <f>MINUTE($C$12)</f>
        <v>0</v>
      </c>
      <c r="E98" s="23">
        <f>SECOND($C$12)</f>
        <v>0</v>
      </c>
    </row>
    <row r="99" spans="2:13" x14ac:dyDescent="0.3">
      <c r="B99" s="4" t="str">
        <f t="shared" si="3"/>
        <v>Time Midday</v>
      </c>
      <c r="C99" s="23">
        <f>HOUR($C$13)</f>
        <v>12</v>
      </c>
      <c r="D99" s="23">
        <f>MINUTE($C$13)</f>
        <v>0</v>
      </c>
      <c r="E99" s="23">
        <f>SECOND($C$13)</f>
        <v>0</v>
      </c>
    </row>
    <row r="100" spans="2:13" x14ac:dyDescent="0.3">
      <c r="B100" s="4" t="str">
        <f t="shared" si="3"/>
        <v>Time Full</v>
      </c>
      <c r="C100" s="23">
        <f>HOUR($C$14)</f>
        <v>14</v>
      </c>
      <c r="D100" s="23">
        <f>MINUTE($C$14)</f>
        <v>30</v>
      </c>
      <c r="E100" s="23">
        <f>SECOND($C$14)</f>
        <v>45</v>
      </c>
    </row>
    <row r="101" spans="2:13" x14ac:dyDescent="0.3">
      <c r="B101" s="4" t="str">
        <f t="shared" si="3"/>
        <v>Date-Time Combo</v>
      </c>
      <c r="C101" s="23">
        <f>HOUR($C$15)</f>
        <v>8</v>
      </c>
      <c r="D101" s="23">
        <f>MINUTE($C$15)</f>
        <v>15</v>
      </c>
      <c r="E101" s="23">
        <f>SECOND($C$15)</f>
        <v>30</v>
      </c>
    </row>
    <row r="102" spans="2:13" x14ac:dyDescent="0.3">
      <c r="B102" s="4" t="str">
        <f t="shared" si="3"/>
        <v>Far Past Date</v>
      </c>
      <c r="C102" s="23">
        <f>HOUR($C$16)</f>
        <v>0</v>
      </c>
      <c r="D102" s="23">
        <f>MINUTE($C$16)</f>
        <v>0</v>
      </c>
      <c r="E102" s="23">
        <f>SECOND($C$16)</f>
        <v>0</v>
      </c>
    </row>
    <row r="103" spans="2:13" x14ac:dyDescent="0.3">
      <c r="B103" s="4" t="str">
        <f t="shared" si="3"/>
        <v>Far Future Date</v>
      </c>
      <c r="C103" s="23">
        <f>HOUR($C$17)</f>
        <v>0</v>
      </c>
      <c r="D103" s="23">
        <f>MINUTE($C$17)</f>
        <v>0</v>
      </c>
      <c r="E103" s="23">
        <f>SECOND($C$17)</f>
        <v>0</v>
      </c>
    </row>
    <row r="104" spans="2:13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3">
      <c r="B106" s="6" t="s">
        <v>120</v>
      </c>
      <c r="C106" s="6"/>
      <c r="D106" s="6"/>
      <c r="E106" s="6"/>
      <c r="F106" s="6"/>
      <c r="G106" s="6"/>
      <c r="H106" s="6"/>
      <c r="I106" s="6"/>
      <c r="J106" s="6"/>
      <c r="K106" s="6"/>
    </row>
    <row r="107" spans="2:13" x14ac:dyDescent="0.3">
      <c r="B107" s="22" t="s">
        <v>121</v>
      </c>
      <c r="C107" s="22">
        <v>1</v>
      </c>
      <c r="D107" s="22">
        <v>2</v>
      </c>
      <c r="E107" s="22">
        <v>3</v>
      </c>
      <c r="F107" s="22">
        <v>11</v>
      </c>
      <c r="G107" s="22">
        <v>12</v>
      </c>
      <c r="H107" s="22">
        <v>13</v>
      </c>
      <c r="I107" s="22">
        <v>14</v>
      </c>
      <c r="J107" s="22">
        <v>15</v>
      </c>
      <c r="K107" s="22">
        <v>16</v>
      </c>
      <c r="L107" s="22">
        <v>17</v>
      </c>
    </row>
    <row r="108" spans="2:13" x14ac:dyDescent="0.3">
      <c r="B108" s="4" t="str">
        <f t="shared" ref="B108:B120" si="4">B5</f>
        <v>Regular Date</v>
      </c>
      <c r="C108" s="23">
        <f>WEEKDAY($C$5,1)</f>
        <v>1</v>
      </c>
      <c r="D108" s="23">
        <f>WEEKDAY($C$5,2)</f>
        <v>7</v>
      </c>
      <c r="E108" s="23">
        <f>WEEKDAY($C$5,3)</f>
        <v>6</v>
      </c>
      <c r="F108" s="23">
        <f>WEEKDAY($C$5,11)</f>
        <v>7</v>
      </c>
      <c r="G108" s="23">
        <f>WEEKDAY($C$5,12)</f>
        <v>6</v>
      </c>
      <c r="H108" s="23">
        <f>WEEKDAY($C$5,13)</f>
        <v>5</v>
      </c>
      <c r="I108" s="23">
        <f>WEEKDAY($C$5,14)</f>
        <v>4</v>
      </c>
      <c r="J108" s="23">
        <f>WEEKDAY($C$5,15)</f>
        <v>3</v>
      </c>
      <c r="K108" s="23">
        <f>WEEKDAY($C$5,16)</f>
        <v>2</v>
      </c>
      <c r="L108" s="23">
        <f>WEEKDAY($C$5,17)</f>
        <v>1</v>
      </c>
    </row>
    <row r="109" spans="2:13" x14ac:dyDescent="0.3">
      <c r="B109" s="4" t="str">
        <f t="shared" si="4"/>
        <v>Leap Year Date</v>
      </c>
      <c r="C109" s="23">
        <f>WEEKDAY($C$6,1)</f>
        <v>5</v>
      </c>
      <c r="D109" s="23">
        <f>WEEKDAY($C$6,2)</f>
        <v>4</v>
      </c>
      <c r="E109" s="23">
        <f>WEEKDAY($C$6,3)</f>
        <v>3</v>
      </c>
      <c r="F109" s="23">
        <f>WEEKDAY($C$6,11)</f>
        <v>4</v>
      </c>
      <c r="G109" s="23">
        <f>WEEKDAY($C$6,12)</f>
        <v>3</v>
      </c>
      <c r="H109" s="23">
        <f>WEEKDAY($C$6,13)</f>
        <v>2</v>
      </c>
      <c r="I109" s="23">
        <f>WEEKDAY($C$6,14)</f>
        <v>1</v>
      </c>
      <c r="J109" s="23">
        <f>WEEKDAY($C$6,15)</f>
        <v>7</v>
      </c>
      <c r="K109" s="23">
        <f>WEEKDAY($C$6,16)</f>
        <v>6</v>
      </c>
      <c r="L109" s="23">
        <f>WEEKDAY($C$6,17)</f>
        <v>5</v>
      </c>
    </row>
    <row r="110" spans="2:13" x14ac:dyDescent="0.3">
      <c r="B110" s="4" t="str">
        <f t="shared" si="4"/>
        <v>Year Start</v>
      </c>
      <c r="C110" s="23">
        <f>WEEKDAY($C$7,1)</f>
        <v>4</v>
      </c>
      <c r="D110" s="23">
        <f>WEEKDAY($C$7,2)</f>
        <v>3</v>
      </c>
      <c r="E110" s="23">
        <f>WEEKDAY($C$7,3)</f>
        <v>2</v>
      </c>
      <c r="F110" s="23">
        <f>WEEKDAY($C$7,11)</f>
        <v>3</v>
      </c>
      <c r="G110" s="23">
        <f>WEEKDAY($C$7,12)</f>
        <v>2</v>
      </c>
      <c r="H110" s="23">
        <f>WEEKDAY($C$7,13)</f>
        <v>1</v>
      </c>
      <c r="I110" s="23">
        <f>WEEKDAY($C$7,14)</f>
        <v>7</v>
      </c>
      <c r="J110" s="23">
        <f>WEEKDAY($C$7,15)</f>
        <v>6</v>
      </c>
      <c r="K110" s="23">
        <f>WEEKDAY($C$7,16)</f>
        <v>5</v>
      </c>
      <c r="L110" s="23">
        <f>WEEKDAY($C$7,17)</f>
        <v>4</v>
      </c>
    </row>
    <row r="111" spans="2:13" x14ac:dyDescent="0.3">
      <c r="B111" s="4" t="str">
        <f t="shared" si="4"/>
        <v>Year End</v>
      </c>
      <c r="C111" s="23">
        <f>WEEKDAY($C$8,1)</f>
        <v>4</v>
      </c>
      <c r="D111" s="23">
        <f>WEEKDAY($C$8,2)</f>
        <v>3</v>
      </c>
      <c r="E111" s="23">
        <f>WEEKDAY($C$8,3)</f>
        <v>2</v>
      </c>
      <c r="F111" s="23">
        <f>WEEKDAY($C$8,11)</f>
        <v>3</v>
      </c>
      <c r="G111" s="23">
        <f>WEEKDAY($C$8,12)</f>
        <v>2</v>
      </c>
      <c r="H111" s="23">
        <f>WEEKDAY($C$8,13)</f>
        <v>1</v>
      </c>
      <c r="I111" s="23">
        <f>WEEKDAY($C$8,14)</f>
        <v>7</v>
      </c>
      <c r="J111" s="23">
        <f>WEEKDAY($C$8,15)</f>
        <v>6</v>
      </c>
      <c r="K111" s="23">
        <f>WEEKDAY($C$8,16)</f>
        <v>5</v>
      </c>
      <c r="L111" s="23">
        <f>WEEKDAY($C$8,17)</f>
        <v>4</v>
      </c>
    </row>
    <row r="112" spans="2:13" x14ac:dyDescent="0.3">
      <c r="B112" s="4" t="str">
        <f t="shared" si="4"/>
        <v>Month Start</v>
      </c>
      <c r="C112" s="23">
        <f>WEEKDAY($C$9,1)</f>
        <v>7</v>
      </c>
      <c r="D112" s="23">
        <f>WEEKDAY($C$9,2)</f>
        <v>6</v>
      </c>
      <c r="E112" s="23">
        <f>WEEKDAY($C$9,3)</f>
        <v>5</v>
      </c>
      <c r="F112" s="23">
        <f>WEEKDAY($C$9,11)</f>
        <v>6</v>
      </c>
      <c r="G112" s="23">
        <f>WEEKDAY($C$9,12)</f>
        <v>5</v>
      </c>
      <c r="H112" s="23">
        <f>WEEKDAY($C$9,13)</f>
        <v>4</v>
      </c>
      <c r="I112" s="23">
        <f>WEEKDAY($C$9,14)</f>
        <v>3</v>
      </c>
      <c r="J112" s="23">
        <f>WEEKDAY($C$9,15)</f>
        <v>2</v>
      </c>
      <c r="K112" s="23">
        <f>WEEKDAY($C$9,16)</f>
        <v>1</v>
      </c>
      <c r="L112" s="23">
        <f>WEEKDAY($C$9,17)</f>
        <v>7</v>
      </c>
    </row>
    <row r="113" spans="2:13" x14ac:dyDescent="0.3">
      <c r="B113" s="4" t="str">
        <f t="shared" si="4"/>
        <v>Month End (30)</v>
      </c>
      <c r="C113" s="23">
        <f>WEEKDAY($C$10,1)</f>
        <v>4</v>
      </c>
      <c r="D113" s="23">
        <f>WEEKDAY($C$10,2)</f>
        <v>3</v>
      </c>
      <c r="E113" s="23">
        <f>WEEKDAY($C$10,3)</f>
        <v>2</v>
      </c>
      <c r="F113" s="23">
        <f>WEEKDAY($C$10,11)</f>
        <v>3</v>
      </c>
      <c r="G113" s="23">
        <f>WEEKDAY($C$10,12)</f>
        <v>2</v>
      </c>
      <c r="H113" s="23">
        <f>WEEKDAY($C$10,13)</f>
        <v>1</v>
      </c>
      <c r="I113" s="23">
        <f>WEEKDAY($C$10,14)</f>
        <v>7</v>
      </c>
      <c r="J113" s="23">
        <f>WEEKDAY($C$10,15)</f>
        <v>6</v>
      </c>
      <c r="K113" s="23">
        <f>WEEKDAY($C$10,16)</f>
        <v>5</v>
      </c>
      <c r="L113" s="23">
        <f>WEEKDAY($C$10,17)</f>
        <v>4</v>
      </c>
    </row>
    <row r="114" spans="2:13" x14ac:dyDescent="0.3">
      <c r="B114" s="4" t="str">
        <f t="shared" si="4"/>
        <v>Month End (31)</v>
      </c>
      <c r="C114" s="23">
        <f>WEEKDAY($C$11,1)</f>
        <v>7</v>
      </c>
      <c r="D114" s="23">
        <f>WEEKDAY($C$11,2)</f>
        <v>6</v>
      </c>
      <c r="E114" s="23">
        <f>WEEKDAY($C$11,3)</f>
        <v>5</v>
      </c>
      <c r="F114" s="23">
        <f>WEEKDAY($C$11,11)</f>
        <v>6</v>
      </c>
      <c r="G114" s="23">
        <f>WEEKDAY($C$11,12)</f>
        <v>5</v>
      </c>
      <c r="H114" s="23">
        <f>WEEKDAY($C$11,13)</f>
        <v>4</v>
      </c>
      <c r="I114" s="23">
        <f>WEEKDAY($C$11,14)</f>
        <v>3</v>
      </c>
      <c r="J114" s="23">
        <f>WEEKDAY($C$11,15)</f>
        <v>2</v>
      </c>
      <c r="K114" s="23">
        <f>WEEKDAY($C$11,16)</f>
        <v>1</v>
      </c>
      <c r="L114" s="23">
        <f>WEEKDAY($C$11,17)</f>
        <v>7</v>
      </c>
    </row>
    <row r="115" spans="2:13" x14ac:dyDescent="0.3">
      <c r="B115" s="4" t="str">
        <f t="shared" si="4"/>
        <v>Time Midnight</v>
      </c>
      <c r="C115" s="23">
        <f>WEEKDAY($C$12,1)</f>
        <v>1</v>
      </c>
      <c r="D115" s="23">
        <f>WEEKDAY($C$12,2)</f>
        <v>7</v>
      </c>
      <c r="E115" s="23">
        <f>WEEKDAY($C$12,3)</f>
        <v>6</v>
      </c>
      <c r="F115" s="23">
        <f>WEEKDAY($C$12,11)</f>
        <v>7</v>
      </c>
      <c r="G115" s="23">
        <f>WEEKDAY($C$12,12)</f>
        <v>6</v>
      </c>
      <c r="H115" s="23">
        <f>WEEKDAY($C$12,13)</f>
        <v>5</v>
      </c>
      <c r="I115" s="23">
        <f>WEEKDAY($C$12,14)</f>
        <v>4</v>
      </c>
      <c r="J115" s="23">
        <f>WEEKDAY($C$12,15)</f>
        <v>3</v>
      </c>
      <c r="K115" s="23">
        <f>WEEKDAY($C$12,16)</f>
        <v>2</v>
      </c>
      <c r="L115" s="23">
        <f>WEEKDAY($C$12,17)</f>
        <v>1</v>
      </c>
    </row>
    <row r="116" spans="2:13" x14ac:dyDescent="0.3">
      <c r="B116" s="4" t="str">
        <f t="shared" si="4"/>
        <v>Time Midday</v>
      </c>
      <c r="C116" s="23">
        <f>WEEKDAY($C$13,1)</f>
        <v>1</v>
      </c>
      <c r="D116" s="23">
        <f>WEEKDAY($C$13,2)</f>
        <v>7</v>
      </c>
      <c r="E116" s="23">
        <f>WEEKDAY($C$13,3)</f>
        <v>6</v>
      </c>
      <c r="F116" s="23">
        <f>WEEKDAY($C$13,11)</f>
        <v>7</v>
      </c>
      <c r="G116" s="23">
        <f>WEEKDAY($C$13,12)</f>
        <v>6</v>
      </c>
      <c r="H116" s="23">
        <f>WEEKDAY($C$13,13)</f>
        <v>5</v>
      </c>
      <c r="I116" s="23">
        <f>WEEKDAY($C$13,14)</f>
        <v>4</v>
      </c>
      <c r="J116" s="23">
        <f>WEEKDAY($C$13,15)</f>
        <v>3</v>
      </c>
      <c r="K116" s="23">
        <f>WEEKDAY($C$13,16)</f>
        <v>2</v>
      </c>
      <c r="L116" s="23">
        <f>WEEKDAY($C$13,17)</f>
        <v>1</v>
      </c>
    </row>
    <row r="117" spans="2:13" x14ac:dyDescent="0.3">
      <c r="B117" s="4" t="str">
        <f t="shared" si="4"/>
        <v>Time Full</v>
      </c>
      <c r="C117" s="23">
        <f>WEEKDAY($C$14,1)</f>
        <v>1</v>
      </c>
      <c r="D117" s="23">
        <f>WEEKDAY($C$14,2)</f>
        <v>7</v>
      </c>
      <c r="E117" s="23">
        <f>WEEKDAY($C$14,3)</f>
        <v>6</v>
      </c>
      <c r="F117" s="23">
        <f>WEEKDAY($C$14,11)</f>
        <v>7</v>
      </c>
      <c r="G117" s="23">
        <f>WEEKDAY($C$14,12)</f>
        <v>6</v>
      </c>
      <c r="H117" s="23">
        <f>WEEKDAY($C$14,13)</f>
        <v>5</v>
      </c>
      <c r="I117" s="23">
        <f>WEEKDAY($C$14,14)</f>
        <v>4</v>
      </c>
      <c r="J117" s="23">
        <f>WEEKDAY($C$14,15)</f>
        <v>3</v>
      </c>
      <c r="K117" s="23">
        <f>WEEKDAY($C$14,16)</f>
        <v>2</v>
      </c>
      <c r="L117" s="23">
        <f>WEEKDAY($C$14,17)</f>
        <v>1</v>
      </c>
    </row>
    <row r="118" spans="2:13" x14ac:dyDescent="0.3">
      <c r="B118" s="4" t="str">
        <f t="shared" si="4"/>
        <v>Date-Time Combo</v>
      </c>
      <c r="C118" s="23">
        <f>WEEKDAY($C$15,1)</f>
        <v>7</v>
      </c>
      <c r="D118" s="23">
        <f>WEEKDAY($C$15,2)</f>
        <v>6</v>
      </c>
      <c r="E118" s="23">
        <f>WEEKDAY($C$15,3)</f>
        <v>5</v>
      </c>
      <c r="F118" s="23">
        <f>WEEKDAY($C$15,11)</f>
        <v>6</v>
      </c>
      <c r="G118" s="23">
        <f>WEEKDAY($C$15,12)</f>
        <v>5</v>
      </c>
      <c r="H118" s="23">
        <f>WEEKDAY($C$15,13)</f>
        <v>4</v>
      </c>
      <c r="I118" s="23">
        <f>WEEKDAY($C$15,14)</f>
        <v>3</v>
      </c>
      <c r="J118" s="23">
        <f>WEEKDAY($C$15,15)</f>
        <v>2</v>
      </c>
      <c r="K118" s="23">
        <f>WEEKDAY($C$15,16)</f>
        <v>1</v>
      </c>
      <c r="L118" s="23">
        <f>WEEKDAY($C$15,17)</f>
        <v>7</v>
      </c>
    </row>
    <row r="119" spans="2:13" x14ac:dyDescent="0.3">
      <c r="B119" s="4" t="str">
        <f t="shared" si="4"/>
        <v>Far Past Date</v>
      </c>
      <c r="C119" s="23">
        <f>WEEKDAY($C$16,1)</f>
        <v>1</v>
      </c>
      <c r="D119" s="23">
        <f>WEEKDAY($C$16,2)</f>
        <v>7</v>
      </c>
      <c r="E119" s="23">
        <f>WEEKDAY($C$16,3)</f>
        <v>6</v>
      </c>
      <c r="F119" s="23">
        <f>WEEKDAY($C$16,11)</f>
        <v>7</v>
      </c>
      <c r="G119" s="23">
        <f>WEEKDAY($C$16,12)</f>
        <v>6</v>
      </c>
      <c r="H119" s="23">
        <f>WEEKDAY($C$16,13)</f>
        <v>5</v>
      </c>
      <c r="I119" s="23">
        <f>WEEKDAY($C$16,14)</f>
        <v>4</v>
      </c>
      <c r="J119" s="23">
        <f>WEEKDAY($C$16,15)</f>
        <v>3</v>
      </c>
      <c r="K119" s="23">
        <f>WEEKDAY($C$16,16)</f>
        <v>2</v>
      </c>
      <c r="L119" s="23">
        <f>WEEKDAY($C$16,17)</f>
        <v>1</v>
      </c>
    </row>
    <row r="120" spans="2:13" x14ac:dyDescent="0.3">
      <c r="B120" s="4" t="str">
        <f t="shared" si="4"/>
        <v>Far Future Date</v>
      </c>
      <c r="C120" s="23">
        <f>WEEKDAY($C$17,1)</f>
        <v>5</v>
      </c>
      <c r="D120" s="23">
        <f>WEEKDAY($C$17,2)</f>
        <v>4</v>
      </c>
      <c r="E120" s="23">
        <f>WEEKDAY($C$17,3)</f>
        <v>3</v>
      </c>
      <c r="F120" s="23">
        <f>WEEKDAY($C$17,11)</f>
        <v>4</v>
      </c>
      <c r="G120" s="23">
        <f>WEEKDAY($C$17,12)</f>
        <v>3</v>
      </c>
      <c r="H120" s="23">
        <f>WEEKDAY($C$17,13)</f>
        <v>2</v>
      </c>
      <c r="I120" s="23">
        <f>WEEKDAY($C$17,14)</f>
        <v>1</v>
      </c>
      <c r="J120" s="23">
        <f>WEEKDAY($C$17,15)</f>
        <v>7</v>
      </c>
      <c r="K120" s="23">
        <f>WEEKDAY($C$17,16)</f>
        <v>6</v>
      </c>
      <c r="L120" s="23">
        <f>WEEKDAY($C$17,17)</f>
        <v>5</v>
      </c>
    </row>
    <row r="121" spans="2:13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3">
      <c r="B123" s="6" t="s">
        <v>122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3" x14ac:dyDescent="0.3">
      <c r="B124" s="22" t="s">
        <v>121</v>
      </c>
      <c r="C124" s="22">
        <v>1</v>
      </c>
      <c r="D124" s="22">
        <v>2</v>
      </c>
      <c r="E124" s="22">
        <v>11</v>
      </c>
      <c r="F124" s="22">
        <v>12</v>
      </c>
      <c r="G124" s="22">
        <v>13</v>
      </c>
      <c r="H124" s="22">
        <v>14</v>
      </c>
      <c r="I124" s="22">
        <v>15</v>
      </c>
      <c r="J124" s="22">
        <v>16</v>
      </c>
      <c r="K124" s="22">
        <v>17</v>
      </c>
      <c r="L124" s="22">
        <v>21</v>
      </c>
    </row>
    <row r="125" spans="2:13" x14ac:dyDescent="0.3">
      <c r="B125" s="4" t="str">
        <f t="shared" ref="B125:B137" si="5">B5</f>
        <v>Regular Date</v>
      </c>
      <c r="C125" s="23">
        <f>WEEKNUM($C$5,1)</f>
        <v>25</v>
      </c>
      <c r="D125" s="23">
        <f>WEEKNUM($C$5,2)</f>
        <v>24</v>
      </c>
      <c r="E125" s="23">
        <f>WEEKNUM($C$5,11)</f>
        <v>24</v>
      </c>
      <c r="F125" s="23">
        <f>WEEKNUM($C$5,12)</f>
        <v>24</v>
      </c>
      <c r="G125" s="23">
        <f>WEEKNUM($C$5,13)</f>
        <v>24</v>
      </c>
      <c r="H125" s="23">
        <f>WEEKNUM($C$5,14)</f>
        <v>25</v>
      </c>
      <c r="I125" s="23">
        <f>WEEKNUM($C$5,15)</f>
        <v>25</v>
      </c>
      <c r="J125" s="23">
        <f>WEEKNUM($C$5,16)</f>
        <v>25</v>
      </c>
      <c r="K125" s="23">
        <f>WEEKNUM($C$5,17)</f>
        <v>25</v>
      </c>
      <c r="L125" s="23">
        <f>WEEKNUM($C$5,21)</f>
        <v>24</v>
      </c>
    </row>
    <row r="126" spans="2:13" x14ac:dyDescent="0.3">
      <c r="B126" s="4" t="str">
        <f t="shared" si="5"/>
        <v>Leap Year Date</v>
      </c>
      <c r="C126" s="23">
        <f>WEEKNUM($C$6,1)</f>
        <v>9</v>
      </c>
      <c r="D126" s="23">
        <f>WEEKNUM($C$6,2)</f>
        <v>9</v>
      </c>
      <c r="E126" s="23">
        <f>WEEKNUM($C$6,11)</f>
        <v>9</v>
      </c>
      <c r="F126" s="23">
        <f>WEEKNUM($C$6,12)</f>
        <v>10</v>
      </c>
      <c r="G126" s="23">
        <f>WEEKNUM($C$6,13)</f>
        <v>10</v>
      </c>
      <c r="H126" s="23">
        <f>WEEKNUM($C$6,14)</f>
        <v>10</v>
      </c>
      <c r="I126" s="23">
        <f>WEEKNUM($C$6,15)</f>
        <v>9</v>
      </c>
      <c r="J126" s="23">
        <f>WEEKNUM($C$6,16)</f>
        <v>9</v>
      </c>
      <c r="K126" s="23">
        <f>WEEKNUM($C$6,17)</f>
        <v>9</v>
      </c>
      <c r="L126" s="23">
        <f>WEEKNUM($C$6,21)</f>
        <v>9</v>
      </c>
    </row>
    <row r="127" spans="2:13" x14ac:dyDescent="0.3">
      <c r="B127" s="4" t="str">
        <f t="shared" si="5"/>
        <v>Year Start</v>
      </c>
      <c r="C127" s="23">
        <f>WEEKNUM($C$7,1)</f>
        <v>1</v>
      </c>
      <c r="D127" s="23">
        <f>WEEKNUM($C$7,2)</f>
        <v>1</v>
      </c>
      <c r="E127" s="23">
        <f>WEEKNUM($C$7,11)</f>
        <v>1</v>
      </c>
      <c r="F127" s="23">
        <f>WEEKNUM($C$7,12)</f>
        <v>1</v>
      </c>
      <c r="G127" s="23">
        <f>WEEKNUM($C$7,13)</f>
        <v>1</v>
      </c>
      <c r="H127" s="23">
        <f>WEEKNUM($C$7,14)</f>
        <v>1</v>
      </c>
      <c r="I127" s="23">
        <f>WEEKNUM($C$7,15)</f>
        <v>1</v>
      </c>
      <c r="J127" s="23">
        <f>WEEKNUM($C$7,16)</f>
        <v>1</v>
      </c>
      <c r="K127" s="23">
        <f>WEEKNUM($C$7,17)</f>
        <v>1</v>
      </c>
      <c r="L127" s="23">
        <f>WEEKNUM($C$7,21)</f>
        <v>1</v>
      </c>
    </row>
    <row r="128" spans="2:13" x14ac:dyDescent="0.3">
      <c r="B128" s="4" t="str">
        <f t="shared" si="5"/>
        <v>Year End</v>
      </c>
      <c r="C128" s="23">
        <f>WEEKNUM($C$8,1)</f>
        <v>53</v>
      </c>
      <c r="D128" s="23">
        <f>WEEKNUM($C$8,2)</f>
        <v>53</v>
      </c>
      <c r="E128" s="23">
        <f>WEEKNUM($C$8,11)</f>
        <v>53</v>
      </c>
      <c r="F128" s="23">
        <f>WEEKNUM($C$8,12)</f>
        <v>53</v>
      </c>
      <c r="G128" s="23">
        <f>WEEKNUM($C$8,13)</f>
        <v>53</v>
      </c>
      <c r="H128" s="23">
        <f>WEEKNUM($C$8,14)</f>
        <v>53</v>
      </c>
      <c r="I128" s="23">
        <f>WEEKNUM($C$8,15)</f>
        <v>53</v>
      </c>
      <c r="J128" s="23">
        <f>WEEKNUM($C$8,16)</f>
        <v>53</v>
      </c>
      <c r="K128" s="23">
        <f>WEEKNUM($C$8,17)</f>
        <v>53</v>
      </c>
      <c r="L128" s="23">
        <f>WEEKNUM($C$8,21)</f>
        <v>1</v>
      </c>
    </row>
    <row r="129" spans="2:13" x14ac:dyDescent="0.3">
      <c r="B129" s="4" t="str">
        <f t="shared" si="5"/>
        <v>Month Start</v>
      </c>
      <c r="C129" s="23">
        <f>WEEKNUM($C$9,1)</f>
        <v>9</v>
      </c>
      <c r="D129" s="23">
        <f>WEEKNUM($C$9,2)</f>
        <v>9</v>
      </c>
      <c r="E129" s="23">
        <f>WEEKNUM($C$9,11)</f>
        <v>9</v>
      </c>
      <c r="F129" s="23">
        <f>WEEKNUM($C$9,12)</f>
        <v>9</v>
      </c>
      <c r="G129" s="23">
        <f>WEEKNUM($C$9,13)</f>
        <v>9</v>
      </c>
      <c r="H129" s="23">
        <f>WEEKNUM($C$9,14)</f>
        <v>10</v>
      </c>
      <c r="I129" s="23">
        <f>WEEKNUM($C$9,15)</f>
        <v>10</v>
      </c>
      <c r="J129" s="23">
        <f>WEEKNUM($C$9,16)</f>
        <v>10</v>
      </c>
      <c r="K129" s="23">
        <f>WEEKNUM($C$9,17)</f>
        <v>9</v>
      </c>
      <c r="L129" s="23">
        <f>WEEKNUM($C$9,21)</f>
        <v>9</v>
      </c>
    </row>
    <row r="130" spans="2:13" x14ac:dyDescent="0.3">
      <c r="B130" s="4" t="str">
        <f t="shared" si="5"/>
        <v>Month End (30)</v>
      </c>
      <c r="C130" s="23">
        <f>WEEKNUM($C$10,1)</f>
        <v>18</v>
      </c>
      <c r="D130" s="23">
        <f>WEEKNUM($C$10,2)</f>
        <v>18</v>
      </c>
      <c r="E130" s="23">
        <f>WEEKNUM($C$10,11)</f>
        <v>18</v>
      </c>
      <c r="F130" s="23">
        <f>WEEKNUM($C$10,12)</f>
        <v>18</v>
      </c>
      <c r="G130" s="23">
        <f>WEEKNUM($C$10,13)</f>
        <v>18</v>
      </c>
      <c r="H130" s="23">
        <f>WEEKNUM($C$10,14)</f>
        <v>18</v>
      </c>
      <c r="I130" s="23">
        <f>WEEKNUM($C$10,15)</f>
        <v>18</v>
      </c>
      <c r="J130" s="23">
        <f>WEEKNUM($C$10,16)</f>
        <v>18</v>
      </c>
      <c r="K130" s="23">
        <f>WEEKNUM($C$10,17)</f>
        <v>18</v>
      </c>
      <c r="L130" s="23">
        <f>WEEKNUM($C$10,21)</f>
        <v>18</v>
      </c>
    </row>
    <row r="131" spans="2:13" x14ac:dyDescent="0.3">
      <c r="B131" s="4" t="str">
        <f t="shared" si="5"/>
        <v>Month End (31)</v>
      </c>
      <c r="C131" s="23">
        <f>WEEKNUM($C$11,1)</f>
        <v>22</v>
      </c>
      <c r="D131" s="23">
        <f>WEEKNUM($C$11,2)</f>
        <v>22</v>
      </c>
      <c r="E131" s="23">
        <f>WEEKNUM($C$11,11)</f>
        <v>22</v>
      </c>
      <c r="F131" s="23">
        <f>WEEKNUM($C$11,12)</f>
        <v>22</v>
      </c>
      <c r="G131" s="23">
        <f>WEEKNUM($C$11,13)</f>
        <v>22</v>
      </c>
      <c r="H131" s="23">
        <f>WEEKNUM($C$11,14)</f>
        <v>23</v>
      </c>
      <c r="I131" s="23">
        <f>WEEKNUM($C$11,15)</f>
        <v>23</v>
      </c>
      <c r="J131" s="23">
        <f>WEEKNUM($C$11,16)</f>
        <v>23</v>
      </c>
      <c r="K131" s="23">
        <f>WEEKNUM($C$11,17)</f>
        <v>22</v>
      </c>
      <c r="L131" s="23">
        <f>WEEKNUM($C$11,21)</f>
        <v>22</v>
      </c>
    </row>
    <row r="132" spans="2:13" x14ac:dyDescent="0.3">
      <c r="B132" s="4" t="str">
        <f t="shared" si="5"/>
        <v>Time Midnight</v>
      </c>
      <c r="C132" s="23">
        <f>WEEKNUM($C$12,1)</f>
        <v>25</v>
      </c>
      <c r="D132" s="23">
        <f>WEEKNUM($C$12,2)</f>
        <v>24</v>
      </c>
      <c r="E132" s="23">
        <f>WEEKNUM($C$12,11)</f>
        <v>24</v>
      </c>
      <c r="F132" s="23">
        <f>WEEKNUM($C$12,12)</f>
        <v>24</v>
      </c>
      <c r="G132" s="23">
        <f>WEEKNUM($C$12,13)</f>
        <v>24</v>
      </c>
      <c r="H132" s="23">
        <f>WEEKNUM($C$12,14)</f>
        <v>25</v>
      </c>
      <c r="I132" s="23">
        <f>WEEKNUM($C$12,15)</f>
        <v>25</v>
      </c>
      <c r="J132" s="23">
        <f>WEEKNUM($C$12,16)</f>
        <v>25</v>
      </c>
      <c r="K132" s="23">
        <f>WEEKNUM($C$12,17)</f>
        <v>25</v>
      </c>
      <c r="L132" s="23">
        <f>WEEKNUM($C$12,21)</f>
        <v>24</v>
      </c>
    </row>
    <row r="133" spans="2:13" x14ac:dyDescent="0.3">
      <c r="B133" s="4" t="str">
        <f t="shared" si="5"/>
        <v>Time Midday</v>
      </c>
      <c r="C133" s="23">
        <f>WEEKNUM($C$13,1)</f>
        <v>25</v>
      </c>
      <c r="D133" s="23">
        <f>WEEKNUM($C$13,2)</f>
        <v>24</v>
      </c>
      <c r="E133" s="23">
        <f>WEEKNUM($C$13,11)</f>
        <v>24</v>
      </c>
      <c r="F133" s="23">
        <f>WEEKNUM($C$13,12)</f>
        <v>24</v>
      </c>
      <c r="G133" s="23">
        <f>WEEKNUM($C$13,13)</f>
        <v>24</v>
      </c>
      <c r="H133" s="23">
        <f>WEEKNUM($C$13,14)</f>
        <v>25</v>
      </c>
      <c r="I133" s="23">
        <f>WEEKNUM($C$13,15)</f>
        <v>25</v>
      </c>
      <c r="J133" s="23">
        <f>WEEKNUM($C$13,16)</f>
        <v>25</v>
      </c>
      <c r="K133" s="23">
        <f>WEEKNUM($C$13,17)</f>
        <v>25</v>
      </c>
      <c r="L133" s="23">
        <f>WEEKNUM($C$13,21)</f>
        <v>24</v>
      </c>
    </row>
    <row r="134" spans="2:13" x14ac:dyDescent="0.3">
      <c r="B134" s="4" t="str">
        <f t="shared" si="5"/>
        <v>Time Full</v>
      </c>
      <c r="C134" s="23">
        <f>WEEKNUM($C$14,1)</f>
        <v>25</v>
      </c>
      <c r="D134" s="23">
        <f>WEEKNUM($C$14,2)</f>
        <v>24</v>
      </c>
      <c r="E134" s="23">
        <f>WEEKNUM($C$14,11)</f>
        <v>24</v>
      </c>
      <c r="F134" s="23">
        <f>WEEKNUM($C$14,12)</f>
        <v>24</v>
      </c>
      <c r="G134" s="23">
        <f>WEEKNUM($C$14,13)</f>
        <v>24</v>
      </c>
      <c r="H134" s="23">
        <f>WEEKNUM($C$14,14)</f>
        <v>25</v>
      </c>
      <c r="I134" s="23">
        <f>WEEKNUM($C$14,15)</f>
        <v>25</v>
      </c>
      <c r="J134" s="23">
        <f>WEEKNUM($C$14,16)</f>
        <v>25</v>
      </c>
      <c r="K134" s="23">
        <f>WEEKNUM($C$14,17)</f>
        <v>25</v>
      </c>
      <c r="L134" s="23">
        <f>WEEKNUM($C$14,21)</f>
        <v>24</v>
      </c>
    </row>
    <row r="135" spans="2:13" x14ac:dyDescent="0.3">
      <c r="B135" s="4" t="str">
        <f t="shared" si="5"/>
        <v>Date-Time Combo</v>
      </c>
      <c r="C135" s="23">
        <f>WEEKNUM($C$15,1)</f>
        <v>38</v>
      </c>
      <c r="D135" s="23">
        <f>WEEKNUM($C$15,2)</f>
        <v>38</v>
      </c>
      <c r="E135" s="23">
        <f>WEEKNUM($C$15,11)</f>
        <v>38</v>
      </c>
      <c r="F135" s="23">
        <f>WEEKNUM($C$15,12)</f>
        <v>38</v>
      </c>
      <c r="G135" s="23">
        <f>WEEKNUM($C$15,13)</f>
        <v>38</v>
      </c>
      <c r="H135" s="23">
        <f>WEEKNUM($C$15,14)</f>
        <v>39</v>
      </c>
      <c r="I135" s="23">
        <f>WEEKNUM($C$15,15)</f>
        <v>39</v>
      </c>
      <c r="J135" s="23">
        <f>WEEKNUM($C$15,16)</f>
        <v>39</v>
      </c>
      <c r="K135" s="23">
        <f>WEEKNUM($C$15,17)</f>
        <v>38</v>
      </c>
      <c r="L135" s="23">
        <f>WEEKNUM($C$15,21)</f>
        <v>38</v>
      </c>
    </row>
    <row r="136" spans="2:13" x14ac:dyDescent="0.3">
      <c r="B136" s="4" t="str">
        <f t="shared" si="5"/>
        <v>Far Past Date</v>
      </c>
      <c r="C136" s="23">
        <f>WEEKNUM($C$16,1)</f>
        <v>1</v>
      </c>
      <c r="D136" s="23">
        <f>WEEKNUM($C$16,2)</f>
        <v>1</v>
      </c>
      <c r="E136" s="23">
        <f>WEEKNUM($C$16,11)</f>
        <v>1</v>
      </c>
      <c r="F136" s="23">
        <f>WEEKNUM($C$16,12)</f>
        <v>1</v>
      </c>
      <c r="G136" s="23">
        <f>WEEKNUM($C$16,13)</f>
        <v>1</v>
      </c>
      <c r="H136" s="23">
        <f>WEEKNUM($C$16,14)</f>
        <v>1</v>
      </c>
      <c r="I136" s="23">
        <f>WEEKNUM($C$16,15)</f>
        <v>1</v>
      </c>
      <c r="J136" s="23">
        <f>WEEKNUM($C$16,16)</f>
        <v>1</v>
      </c>
      <c r="K136" s="23">
        <f>WEEKNUM($C$16,17)</f>
        <v>1</v>
      </c>
      <c r="L136" s="23">
        <f>WEEKNUM($C$16,21)</f>
        <v>52</v>
      </c>
    </row>
    <row r="137" spans="2:13" x14ac:dyDescent="0.3">
      <c r="B137" s="4" t="str">
        <f t="shared" si="5"/>
        <v>Far Future Date</v>
      </c>
      <c r="C137" s="23">
        <f>WEEKNUM($C$17,1)</f>
        <v>53</v>
      </c>
      <c r="D137" s="23">
        <f>WEEKNUM($C$17,2)</f>
        <v>53</v>
      </c>
      <c r="E137" s="23">
        <f>WEEKNUM($C$17,11)</f>
        <v>53</v>
      </c>
      <c r="F137" s="23">
        <f>WEEKNUM($C$17,12)</f>
        <v>53</v>
      </c>
      <c r="G137" s="23">
        <f>WEEKNUM($C$17,13)</f>
        <v>53</v>
      </c>
      <c r="H137" s="23">
        <f>WEEKNUM($C$17,14)</f>
        <v>53</v>
      </c>
      <c r="I137" s="23">
        <f>WEEKNUM($C$17,15)</f>
        <v>53</v>
      </c>
      <c r="J137" s="23">
        <f>WEEKNUM($C$17,16)</f>
        <v>53</v>
      </c>
      <c r="K137" s="23">
        <f>WEEKNUM($C$17,17)</f>
        <v>53</v>
      </c>
      <c r="L137" s="23">
        <f>WEEKNUM($C$17,21)</f>
        <v>53</v>
      </c>
    </row>
    <row r="138" spans="2:13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3">
      <c r="B140" s="6" t="s">
        <v>123</v>
      </c>
      <c r="C140" s="6"/>
      <c r="D140" s="6"/>
      <c r="E140" s="6"/>
      <c r="F140" s="6"/>
      <c r="G140" s="6"/>
      <c r="H140" s="6"/>
      <c r="I140" s="6"/>
      <c r="J140" s="6"/>
      <c r="K140" s="6"/>
    </row>
    <row r="141" spans="2:13" x14ac:dyDescent="0.3">
      <c r="B141" s="22" t="s">
        <v>124</v>
      </c>
      <c r="C141" s="22">
        <v>-12</v>
      </c>
      <c r="D141" s="22">
        <v>-6</v>
      </c>
      <c r="E141" s="22">
        <v>-3</v>
      </c>
      <c r="F141" s="22">
        <v>-1</v>
      </c>
      <c r="G141" s="22">
        <v>0</v>
      </c>
      <c r="H141" s="22">
        <v>1</v>
      </c>
      <c r="I141" s="22">
        <v>3</v>
      </c>
      <c r="J141" s="22">
        <v>6</v>
      </c>
      <c r="K141" s="22">
        <v>12</v>
      </c>
      <c r="L141" s="22">
        <v>24</v>
      </c>
    </row>
    <row r="142" spans="2:13" x14ac:dyDescent="0.3">
      <c r="B142" s="4" t="str">
        <f t="shared" ref="B142:B154" si="6">B5</f>
        <v>Regular Date</v>
      </c>
      <c r="C142" s="24">
        <f>IFERROR(EDATE($C$5,-12),"Error")</f>
        <v>45458</v>
      </c>
      <c r="D142" s="24">
        <f>IFERROR(EDATE($C$5,-6),"Error")</f>
        <v>45641</v>
      </c>
      <c r="E142" s="24">
        <f>IFERROR(EDATE($C$5,-3),"Error")</f>
        <v>45731</v>
      </c>
      <c r="F142" s="24">
        <f>IFERROR(EDATE($C$5,-1),"Error")</f>
        <v>45792</v>
      </c>
      <c r="G142" s="24">
        <f>IFERROR(EDATE($C$5,0),"Error")</f>
        <v>45823</v>
      </c>
      <c r="H142" s="24">
        <f>IFERROR(EDATE($C$5,1),"Error")</f>
        <v>45853</v>
      </c>
      <c r="I142" s="24">
        <f>IFERROR(EDATE($C$5,3),"Error")</f>
        <v>45915</v>
      </c>
      <c r="J142" s="24">
        <f>IFERROR(EDATE($C$5,6),"Error")</f>
        <v>46006</v>
      </c>
      <c r="K142" s="24">
        <f>IFERROR(EDATE($C$5,12),"Error")</f>
        <v>46188</v>
      </c>
      <c r="L142" s="24">
        <f>IFERROR(EDATE($C$5,24),"Error")</f>
        <v>46553</v>
      </c>
    </row>
    <row r="143" spans="2:13" x14ac:dyDescent="0.3">
      <c r="B143" s="4" t="str">
        <f t="shared" si="6"/>
        <v>Leap Year Date</v>
      </c>
      <c r="C143" s="24">
        <f>IFERROR(EDATE($C$6,-12),"Error")</f>
        <v>44985</v>
      </c>
      <c r="D143" s="24">
        <f>IFERROR(EDATE($C$6,-6),"Error")</f>
        <v>45167</v>
      </c>
      <c r="E143" s="24">
        <f>IFERROR(EDATE($C$6,-3),"Error")</f>
        <v>45259</v>
      </c>
      <c r="F143" s="24">
        <f>IFERROR(EDATE($C$6,-1),"Error")</f>
        <v>45320</v>
      </c>
      <c r="G143" s="24">
        <f>IFERROR(EDATE($C$6,0),"Error")</f>
        <v>45351</v>
      </c>
      <c r="H143" s="24">
        <f>IFERROR(EDATE($C$6,1),"Error")</f>
        <v>45380</v>
      </c>
      <c r="I143" s="24">
        <f>IFERROR(EDATE($C$6,3),"Error")</f>
        <v>45441</v>
      </c>
      <c r="J143" s="24">
        <f>IFERROR(EDATE($C$6,6),"Error")</f>
        <v>45533</v>
      </c>
      <c r="K143" s="24">
        <f>IFERROR(EDATE($C$6,12),"Error")</f>
        <v>45716</v>
      </c>
      <c r="L143" s="24">
        <f>IFERROR(EDATE($C$6,24),"Error")</f>
        <v>46081</v>
      </c>
    </row>
    <row r="144" spans="2:13" x14ac:dyDescent="0.3">
      <c r="B144" s="4" t="str">
        <f t="shared" si="6"/>
        <v>Year Start</v>
      </c>
      <c r="C144" s="24">
        <f>IFERROR(EDATE($C$7,-12),"Error")</f>
        <v>45292</v>
      </c>
      <c r="D144" s="24">
        <f>IFERROR(EDATE($C$7,-6),"Error")</f>
        <v>45474</v>
      </c>
      <c r="E144" s="24">
        <f>IFERROR(EDATE($C$7,-3),"Error")</f>
        <v>45566</v>
      </c>
      <c r="F144" s="24">
        <f>IFERROR(EDATE($C$7,-1),"Error")</f>
        <v>45627</v>
      </c>
      <c r="G144" s="24">
        <f>IFERROR(EDATE($C$7,0),"Error")</f>
        <v>45658</v>
      </c>
      <c r="H144" s="24">
        <f>IFERROR(EDATE($C$7,1),"Error")</f>
        <v>45689</v>
      </c>
      <c r="I144" s="24">
        <f>IFERROR(EDATE($C$7,3),"Error")</f>
        <v>45748</v>
      </c>
      <c r="J144" s="24">
        <f>IFERROR(EDATE($C$7,6),"Error")</f>
        <v>45839</v>
      </c>
      <c r="K144" s="24">
        <f>IFERROR(EDATE($C$7,12),"Error")</f>
        <v>46023</v>
      </c>
      <c r="L144" s="24">
        <f>IFERROR(EDATE($C$7,24),"Error")</f>
        <v>46388</v>
      </c>
    </row>
    <row r="145" spans="2:13" x14ac:dyDescent="0.3">
      <c r="B145" s="4" t="str">
        <f t="shared" si="6"/>
        <v>Year End</v>
      </c>
      <c r="C145" s="24">
        <f>IFERROR(EDATE($C$8,-12),"Error")</f>
        <v>45657</v>
      </c>
      <c r="D145" s="24">
        <f>IFERROR(EDATE($C$8,-6),"Error")</f>
        <v>45838</v>
      </c>
      <c r="E145" s="24">
        <f>IFERROR(EDATE($C$8,-3),"Error")</f>
        <v>45930</v>
      </c>
      <c r="F145" s="24">
        <f>IFERROR(EDATE($C$8,-1),"Error")</f>
        <v>45991</v>
      </c>
      <c r="G145" s="24">
        <f>IFERROR(EDATE($C$8,0),"Error")</f>
        <v>46022</v>
      </c>
      <c r="H145" s="24">
        <f>IFERROR(EDATE($C$8,1),"Error")</f>
        <v>46053</v>
      </c>
      <c r="I145" s="24">
        <f>IFERROR(EDATE($C$8,3),"Error")</f>
        <v>46112</v>
      </c>
      <c r="J145" s="24">
        <f>IFERROR(EDATE($C$8,6),"Error")</f>
        <v>46203</v>
      </c>
      <c r="K145" s="24">
        <f>IFERROR(EDATE($C$8,12),"Error")</f>
        <v>46387</v>
      </c>
      <c r="L145" s="24">
        <f>IFERROR(EDATE($C$8,24),"Error")</f>
        <v>46752</v>
      </c>
    </row>
    <row r="146" spans="2:13" x14ac:dyDescent="0.3">
      <c r="B146" s="4" t="str">
        <f t="shared" si="6"/>
        <v>Month Start</v>
      </c>
      <c r="C146" s="24">
        <f>IFERROR(EDATE($C$9,-12),"Error")</f>
        <v>45352</v>
      </c>
      <c r="D146" s="24">
        <f>IFERROR(EDATE($C$9,-6),"Error")</f>
        <v>45536</v>
      </c>
      <c r="E146" s="24">
        <f>IFERROR(EDATE($C$9,-3),"Error")</f>
        <v>45627</v>
      </c>
      <c r="F146" s="24">
        <f>IFERROR(EDATE($C$9,-1),"Error")</f>
        <v>45689</v>
      </c>
      <c r="G146" s="24">
        <f>IFERROR(EDATE($C$9,0),"Error")</f>
        <v>45717</v>
      </c>
      <c r="H146" s="24">
        <f>IFERROR(EDATE($C$9,1),"Error")</f>
        <v>45748</v>
      </c>
      <c r="I146" s="24">
        <f>IFERROR(EDATE($C$9,3),"Error")</f>
        <v>45809</v>
      </c>
      <c r="J146" s="24">
        <f>IFERROR(EDATE($C$9,6),"Error")</f>
        <v>45901</v>
      </c>
      <c r="K146" s="24">
        <f>IFERROR(EDATE($C$9,12),"Error")</f>
        <v>46082</v>
      </c>
      <c r="L146" s="24">
        <f>IFERROR(EDATE($C$9,24),"Error")</f>
        <v>46447</v>
      </c>
    </row>
    <row r="147" spans="2:13" x14ac:dyDescent="0.3">
      <c r="B147" s="4" t="str">
        <f t="shared" si="6"/>
        <v>Month End (30)</v>
      </c>
      <c r="C147" s="24">
        <f>IFERROR(EDATE($C$10,-12),"Error")</f>
        <v>45412</v>
      </c>
      <c r="D147" s="24">
        <f>IFERROR(EDATE($C$10,-6),"Error")</f>
        <v>45595</v>
      </c>
      <c r="E147" s="24">
        <f>IFERROR(EDATE($C$10,-3),"Error")</f>
        <v>45687</v>
      </c>
      <c r="F147" s="24">
        <f>IFERROR(EDATE($C$10,-1),"Error")</f>
        <v>45746</v>
      </c>
      <c r="G147" s="24">
        <f>IFERROR(EDATE($C$10,0),"Error")</f>
        <v>45777</v>
      </c>
      <c r="H147" s="24">
        <f>IFERROR(EDATE($C$10,1),"Error")</f>
        <v>45807</v>
      </c>
      <c r="I147" s="24">
        <f>IFERROR(EDATE($C$10,3),"Error")</f>
        <v>45868</v>
      </c>
      <c r="J147" s="24">
        <f>IFERROR(EDATE($C$10,6),"Error")</f>
        <v>45960</v>
      </c>
      <c r="K147" s="24">
        <f>IFERROR(EDATE($C$10,12),"Error")</f>
        <v>46142</v>
      </c>
      <c r="L147" s="24">
        <f>IFERROR(EDATE($C$10,24),"Error")</f>
        <v>46507</v>
      </c>
    </row>
    <row r="148" spans="2:13" x14ac:dyDescent="0.3">
      <c r="B148" s="4" t="str">
        <f t="shared" si="6"/>
        <v>Month End (31)</v>
      </c>
      <c r="C148" s="24">
        <f>IFERROR(EDATE($C$11,-12),"Error")</f>
        <v>45443</v>
      </c>
      <c r="D148" s="24">
        <f>IFERROR(EDATE($C$11,-6),"Error")</f>
        <v>45626</v>
      </c>
      <c r="E148" s="24">
        <f>IFERROR(EDATE($C$11,-3),"Error")</f>
        <v>45716</v>
      </c>
      <c r="F148" s="24">
        <f>IFERROR(EDATE($C$11,-1),"Error")</f>
        <v>45777</v>
      </c>
      <c r="G148" s="24">
        <f>IFERROR(EDATE($C$11,0),"Error")</f>
        <v>45808</v>
      </c>
      <c r="H148" s="24">
        <f>IFERROR(EDATE($C$11,1),"Error")</f>
        <v>45838</v>
      </c>
      <c r="I148" s="24">
        <f>IFERROR(EDATE($C$11,3),"Error")</f>
        <v>45900</v>
      </c>
      <c r="J148" s="24">
        <f>IFERROR(EDATE($C$11,6),"Error")</f>
        <v>45991</v>
      </c>
      <c r="K148" s="24">
        <f>IFERROR(EDATE($C$11,12),"Error")</f>
        <v>46173</v>
      </c>
      <c r="L148" s="24">
        <f>IFERROR(EDATE($C$11,24),"Error")</f>
        <v>46538</v>
      </c>
    </row>
    <row r="149" spans="2:13" x14ac:dyDescent="0.3">
      <c r="B149" s="4" t="str">
        <f t="shared" si="6"/>
        <v>Time Midnight</v>
      </c>
      <c r="C149" s="24">
        <f>IFERROR(EDATE($C$12,-12),"Error")</f>
        <v>45458</v>
      </c>
      <c r="D149" s="24">
        <f>IFERROR(EDATE($C$12,-6),"Error")</f>
        <v>45641</v>
      </c>
      <c r="E149" s="24">
        <f>IFERROR(EDATE($C$12,-3),"Error")</f>
        <v>45731</v>
      </c>
      <c r="F149" s="24">
        <f>IFERROR(EDATE($C$12,-1),"Error")</f>
        <v>45792</v>
      </c>
      <c r="G149" s="24">
        <f>IFERROR(EDATE($C$12,0),"Error")</f>
        <v>45823</v>
      </c>
      <c r="H149" s="24">
        <f>IFERROR(EDATE($C$12,1),"Error")</f>
        <v>45853</v>
      </c>
      <c r="I149" s="24">
        <f>IFERROR(EDATE($C$12,3),"Error")</f>
        <v>45915</v>
      </c>
      <c r="J149" s="24">
        <f>IFERROR(EDATE($C$12,6),"Error")</f>
        <v>46006</v>
      </c>
      <c r="K149" s="24">
        <f>IFERROR(EDATE($C$12,12),"Error")</f>
        <v>46188</v>
      </c>
      <c r="L149" s="24">
        <f>IFERROR(EDATE($C$12,24),"Error")</f>
        <v>46553</v>
      </c>
    </row>
    <row r="150" spans="2:13" x14ac:dyDescent="0.3">
      <c r="B150" s="4" t="str">
        <f t="shared" si="6"/>
        <v>Time Midday</v>
      </c>
      <c r="C150" s="24">
        <f>IFERROR(EDATE($C$13,-12),"Error")</f>
        <v>45458</v>
      </c>
      <c r="D150" s="24">
        <f>IFERROR(EDATE($C$13,-6),"Error")</f>
        <v>45641</v>
      </c>
      <c r="E150" s="24">
        <f>IFERROR(EDATE($C$13,-3),"Error")</f>
        <v>45731</v>
      </c>
      <c r="F150" s="24">
        <f>IFERROR(EDATE($C$13,-1),"Error")</f>
        <v>45792</v>
      </c>
      <c r="G150" s="24">
        <f>IFERROR(EDATE($C$13,0),"Error")</f>
        <v>45823</v>
      </c>
      <c r="H150" s="24">
        <f>IFERROR(EDATE($C$13,1),"Error")</f>
        <v>45853</v>
      </c>
      <c r="I150" s="24">
        <f>IFERROR(EDATE($C$13,3),"Error")</f>
        <v>45915</v>
      </c>
      <c r="J150" s="24">
        <f>IFERROR(EDATE($C$13,6),"Error")</f>
        <v>46006</v>
      </c>
      <c r="K150" s="24">
        <f>IFERROR(EDATE($C$13,12),"Error")</f>
        <v>46188</v>
      </c>
      <c r="L150" s="24">
        <f>IFERROR(EDATE($C$13,24),"Error")</f>
        <v>46553</v>
      </c>
    </row>
    <row r="151" spans="2:13" x14ac:dyDescent="0.3">
      <c r="B151" s="4" t="str">
        <f t="shared" si="6"/>
        <v>Time Full</v>
      </c>
      <c r="C151" s="24">
        <f>IFERROR(EDATE($C$14,-12),"Error")</f>
        <v>45458</v>
      </c>
      <c r="D151" s="24">
        <f>IFERROR(EDATE($C$14,-6),"Error")</f>
        <v>45641</v>
      </c>
      <c r="E151" s="24">
        <f>IFERROR(EDATE($C$14,-3),"Error")</f>
        <v>45731</v>
      </c>
      <c r="F151" s="24">
        <f>IFERROR(EDATE($C$14,-1),"Error")</f>
        <v>45792</v>
      </c>
      <c r="G151" s="24">
        <f>IFERROR(EDATE($C$14,0),"Error")</f>
        <v>45823</v>
      </c>
      <c r="H151" s="24">
        <f>IFERROR(EDATE($C$14,1),"Error")</f>
        <v>45853</v>
      </c>
      <c r="I151" s="24">
        <f>IFERROR(EDATE($C$14,3),"Error")</f>
        <v>45915</v>
      </c>
      <c r="J151" s="24">
        <f>IFERROR(EDATE($C$14,6),"Error")</f>
        <v>46006</v>
      </c>
      <c r="K151" s="24">
        <f>IFERROR(EDATE($C$14,12),"Error")</f>
        <v>46188</v>
      </c>
      <c r="L151" s="24">
        <f>IFERROR(EDATE($C$14,24),"Error")</f>
        <v>46553</v>
      </c>
    </row>
    <row r="152" spans="2:13" x14ac:dyDescent="0.3">
      <c r="B152" s="4" t="str">
        <f t="shared" si="6"/>
        <v>Date-Time Combo</v>
      </c>
      <c r="C152" s="24">
        <f>IFERROR(EDATE($C$15,-12),"Error")</f>
        <v>45555</v>
      </c>
      <c r="D152" s="24">
        <f>IFERROR(EDATE($C$15,-6),"Error")</f>
        <v>45736</v>
      </c>
      <c r="E152" s="24">
        <f>IFERROR(EDATE($C$15,-3),"Error")</f>
        <v>45828</v>
      </c>
      <c r="F152" s="24">
        <f>IFERROR(EDATE($C$15,-1),"Error")</f>
        <v>45889</v>
      </c>
      <c r="G152" s="24">
        <f>IFERROR(EDATE($C$15,0),"Error")</f>
        <v>45920</v>
      </c>
      <c r="H152" s="24">
        <f>IFERROR(EDATE($C$15,1),"Error")</f>
        <v>45950</v>
      </c>
      <c r="I152" s="24">
        <f>IFERROR(EDATE($C$15,3),"Error")</f>
        <v>46011</v>
      </c>
      <c r="J152" s="24">
        <f>IFERROR(EDATE($C$15,6),"Error")</f>
        <v>46101</v>
      </c>
      <c r="K152" s="24">
        <f>IFERROR(EDATE($C$15,12),"Error")</f>
        <v>46285</v>
      </c>
      <c r="L152" s="24">
        <f>IFERROR(EDATE($C$15,24),"Error")</f>
        <v>46650</v>
      </c>
    </row>
    <row r="153" spans="2:13" x14ac:dyDescent="0.3">
      <c r="B153" s="4" t="str">
        <f t="shared" si="6"/>
        <v>Far Past Date</v>
      </c>
      <c r="C153" s="24" t="str">
        <f>IFERROR(EDATE($C$16,-12),"Error")</f>
        <v>Error</v>
      </c>
      <c r="D153" s="24" t="str">
        <f>IFERROR(EDATE($C$16,-6),"Error")</f>
        <v>Error</v>
      </c>
      <c r="E153" s="24" t="str">
        <f>IFERROR(EDATE($C$16,-3),"Error")</f>
        <v>Error</v>
      </c>
      <c r="F153" s="24" t="str">
        <f>IFERROR(EDATE($C$16,-1),"Error")</f>
        <v>Error</v>
      </c>
      <c r="G153" s="24">
        <f>IFERROR(EDATE($C$16,0),"Error")</f>
        <v>1</v>
      </c>
      <c r="H153" s="24">
        <f>IFERROR(EDATE($C$16,1),"Error")</f>
        <v>32</v>
      </c>
      <c r="I153" s="24">
        <f>IFERROR(EDATE($C$16,3),"Error")</f>
        <v>92</v>
      </c>
      <c r="J153" s="24">
        <f>IFERROR(EDATE($C$16,6),"Error")</f>
        <v>183</v>
      </c>
      <c r="K153" s="24">
        <f>IFERROR(EDATE($C$16,12),"Error")</f>
        <v>367</v>
      </c>
      <c r="L153" s="24">
        <f>IFERROR(EDATE($C$16,24),"Error")</f>
        <v>732</v>
      </c>
    </row>
    <row r="154" spans="2:13" x14ac:dyDescent="0.3">
      <c r="B154" s="4" t="str">
        <f t="shared" si="6"/>
        <v>Far Future Date</v>
      </c>
      <c r="C154" s="24">
        <f>IFERROR(EDATE($C$17,-12),"Error")</f>
        <v>72685</v>
      </c>
      <c r="D154" s="24">
        <f>IFERROR(EDATE($C$17,-6),"Error")</f>
        <v>72866</v>
      </c>
      <c r="E154" s="24">
        <f>IFERROR(EDATE($C$17,-3),"Error")</f>
        <v>72958</v>
      </c>
      <c r="F154" s="24">
        <f>IFERROR(EDATE($C$17,-1),"Error")</f>
        <v>73019</v>
      </c>
      <c r="G154" s="24">
        <f>IFERROR(EDATE($C$17,0),"Error")</f>
        <v>73050</v>
      </c>
      <c r="H154" s="24">
        <f>IFERROR(EDATE($C$17,1),"Error")</f>
        <v>73081</v>
      </c>
      <c r="I154" s="24">
        <f>IFERROR(EDATE($C$17,3),"Error")</f>
        <v>73140</v>
      </c>
      <c r="J154" s="24">
        <f>IFERROR(EDATE($C$17,6),"Error")</f>
        <v>73231</v>
      </c>
      <c r="K154" s="24">
        <f>IFERROR(EDATE($C$17,12),"Error")</f>
        <v>73415</v>
      </c>
      <c r="L154" s="24">
        <f>IFERROR(EDATE($C$17,24),"Error")</f>
        <v>73780</v>
      </c>
    </row>
    <row r="155" spans="2:13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3">
      <c r="B157" s="6" t="s">
        <v>125</v>
      </c>
      <c r="C157" s="6"/>
      <c r="D157" s="6"/>
      <c r="E157" s="6"/>
      <c r="F157" s="6"/>
      <c r="G157" s="6"/>
      <c r="H157" s="6"/>
      <c r="I157" s="6"/>
      <c r="J157" s="6"/>
      <c r="K157" s="6"/>
    </row>
    <row r="158" spans="2:13" x14ac:dyDescent="0.3">
      <c r="B158" s="22" t="s">
        <v>124</v>
      </c>
      <c r="C158" s="22">
        <v>-12</v>
      </c>
      <c r="D158" s="22">
        <v>-6</v>
      </c>
      <c r="E158" s="22">
        <v>-3</v>
      </c>
      <c r="F158" s="22">
        <v>-1</v>
      </c>
      <c r="G158" s="22">
        <v>0</v>
      </c>
      <c r="H158" s="22">
        <v>1</v>
      </c>
      <c r="I158" s="22">
        <v>3</v>
      </c>
      <c r="J158" s="22">
        <v>6</v>
      </c>
      <c r="K158" s="22">
        <v>12</v>
      </c>
      <c r="L158" s="22">
        <v>24</v>
      </c>
    </row>
    <row r="159" spans="2:13" x14ac:dyDescent="0.3">
      <c r="B159" s="4" t="str">
        <f t="shared" ref="B159:B171" si="7">B5</f>
        <v>Regular Date</v>
      </c>
      <c r="C159" s="24">
        <f>IFERROR(EOMONTH($C$5,-12),"Error")</f>
        <v>45473</v>
      </c>
      <c r="D159" s="24">
        <f>IFERROR(EOMONTH($C$5,-6),"Error")</f>
        <v>45657</v>
      </c>
      <c r="E159" s="24">
        <f>IFERROR(EOMONTH($C$5,-3),"Error")</f>
        <v>45747</v>
      </c>
      <c r="F159" s="24">
        <f>IFERROR(EOMONTH($C$5,-1),"Error")</f>
        <v>45808</v>
      </c>
      <c r="G159" s="24">
        <f>IFERROR(EOMONTH($C$5,0),"Error")</f>
        <v>45838</v>
      </c>
      <c r="H159" s="24">
        <f>IFERROR(EOMONTH($C$5,1),"Error")</f>
        <v>45869</v>
      </c>
      <c r="I159" s="24">
        <f>IFERROR(EOMONTH($C$5,3),"Error")</f>
        <v>45930</v>
      </c>
      <c r="J159" s="24">
        <f>IFERROR(EOMONTH($C$5,6),"Error")</f>
        <v>46022</v>
      </c>
      <c r="K159" s="24">
        <f>IFERROR(EOMONTH($C$5,12),"Error")</f>
        <v>46203</v>
      </c>
      <c r="L159" s="24">
        <f>IFERROR(EOMONTH($C$5,24),"Error")</f>
        <v>46568</v>
      </c>
    </row>
    <row r="160" spans="2:13" x14ac:dyDescent="0.3">
      <c r="B160" s="4" t="str">
        <f t="shared" si="7"/>
        <v>Leap Year Date</v>
      </c>
      <c r="C160" s="24">
        <f>IFERROR(EOMONTH($C$6,-12),"Error")</f>
        <v>44985</v>
      </c>
      <c r="D160" s="24">
        <f>IFERROR(EOMONTH($C$6,-6),"Error")</f>
        <v>45169</v>
      </c>
      <c r="E160" s="24">
        <f>IFERROR(EOMONTH($C$6,-3),"Error")</f>
        <v>45260</v>
      </c>
      <c r="F160" s="24">
        <f>IFERROR(EOMONTH($C$6,-1),"Error")</f>
        <v>45322</v>
      </c>
      <c r="G160" s="24">
        <f>IFERROR(EOMONTH($C$6,0),"Error")</f>
        <v>45351</v>
      </c>
      <c r="H160" s="24">
        <f>IFERROR(EOMONTH($C$6,1),"Error")</f>
        <v>45382</v>
      </c>
      <c r="I160" s="24">
        <f>IFERROR(EOMONTH($C$6,3),"Error")</f>
        <v>45443</v>
      </c>
      <c r="J160" s="24">
        <f>IFERROR(EOMONTH($C$6,6),"Error")</f>
        <v>45535</v>
      </c>
      <c r="K160" s="24">
        <f>IFERROR(EOMONTH($C$6,12),"Error")</f>
        <v>45716</v>
      </c>
      <c r="L160" s="24">
        <f>IFERROR(EOMONTH($C$6,24),"Error")</f>
        <v>46081</v>
      </c>
    </row>
    <row r="161" spans="2:13" x14ac:dyDescent="0.3">
      <c r="B161" s="4" t="str">
        <f t="shared" si="7"/>
        <v>Year Start</v>
      </c>
      <c r="C161" s="24">
        <f>IFERROR(EOMONTH($C$7,-12),"Error")</f>
        <v>45322</v>
      </c>
      <c r="D161" s="24">
        <f>IFERROR(EOMONTH($C$7,-6),"Error")</f>
        <v>45504</v>
      </c>
      <c r="E161" s="24">
        <f>IFERROR(EOMONTH($C$7,-3),"Error")</f>
        <v>45596</v>
      </c>
      <c r="F161" s="24">
        <f>IFERROR(EOMONTH($C$7,-1),"Error")</f>
        <v>45657</v>
      </c>
      <c r="G161" s="24">
        <f>IFERROR(EOMONTH($C$7,0),"Error")</f>
        <v>45688</v>
      </c>
      <c r="H161" s="24">
        <f>IFERROR(EOMONTH($C$7,1),"Error")</f>
        <v>45716</v>
      </c>
      <c r="I161" s="24">
        <f>IFERROR(EOMONTH($C$7,3),"Error")</f>
        <v>45777</v>
      </c>
      <c r="J161" s="24">
        <f>IFERROR(EOMONTH($C$7,6),"Error")</f>
        <v>45869</v>
      </c>
      <c r="K161" s="24">
        <f>IFERROR(EOMONTH($C$7,12),"Error")</f>
        <v>46053</v>
      </c>
      <c r="L161" s="24">
        <f>IFERROR(EOMONTH($C$7,24),"Error")</f>
        <v>46418</v>
      </c>
    </row>
    <row r="162" spans="2:13" x14ac:dyDescent="0.3">
      <c r="B162" s="4" t="str">
        <f t="shared" si="7"/>
        <v>Year End</v>
      </c>
      <c r="C162" s="24">
        <f>IFERROR(EOMONTH($C$8,-12),"Error")</f>
        <v>45657</v>
      </c>
      <c r="D162" s="24">
        <f>IFERROR(EOMONTH($C$8,-6),"Error")</f>
        <v>45838</v>
      </c>
      <c r="E162" s="24">
        <f>IFERROR(EOMONTH($C$8,-3),"Error")</f>
        <v>45930</v>
      </c>
      <c r="F162" s="24">
        <f>IFERROR(EOMONTH($C$8,-1),"Error")</f>
        <v>45991</v>
      </c>
      <c r="G162" s="24">
        <f>IFERROR(EOMONTH($C$8,0),"Error")</f>
        <v>46022</v>
      </c>
      <c r="H162" s="24">
        <f>IFERROR(EOMONTH($C$8,1),"Error")</f>
        <v>46053</v>
      </c>
      <c r="I162" s="24">
        <f>IFERROR(EOMONTH($C$8,3),"Error")</f>
        <v>46112</v>
      </c>
      <c r="J162" s="24">
        <f>IFERROR(EOMONTH($C$8,6),"Error")</f>
        <v>46203</v>
      </c>
      <c r="K162" s="24">
        <f>IFERROR(EOMONTH($C$8,12),"Error")</f>
        <v>46387</v>
      </c>
      <c r="L162" s="24">
        <f>IFERROR(EOMONTH($C$8,24),"Error")</f>
        <v>46752</v>
      </c>
    </row>
    <row r="163" spans="2:13" x14ac:dyDescent="0.3">
      <c r="B163" s="4" t="str">
        <f t="shared" si="7"/>
        <v>Month Start</v>
      </c>
      <c r="C163" s="24">
        <f>IFERROR(EOMONTH($C$9,-12),"Error")</f>
        <v>45382</v>
      </c>
      <c r="D163" s="24">
        <f>IFERROR(EOMONTH($C$9,-6),"Error")</f>
        <v>45565</v>
      </c>
      <c r="E163" s="24">
        <f>IFERROR(EOMONTH($C$9,-3),"Error")</f>
        <v>45657</v>
      </c>
      <c r="F163" s="24">
        <f>IFERROR(EOMONTH($C$9,-1),"Error")</f>
        <v>45716</v>
      </c>
      <c r="G163" s="24">
        <f>IFERROR(EOMONTH($C$9,0),"Error")</f>
        <v>45747</v>
      </c>
      <c r="H163" s="24">
        <f>IFERROR(EOMONTH($C$9,1),"Error")</f>
        <v>45777</v>
      </c>
      <c r="I163" s="24">
        <f>IFERROR(EOMONTH($C$9,3),"Error")</f>
        <v>45838</v>
      </c>
      <c r="J163" s="24">
        <f>IFERROR(EOMONTH($C$9,6),"Error")</f>
        <v>45930</v>
      </c>
      <c r="K163" s="24">
        <f>IFERROR(EOMONTH($C$9,12),"Error")</f>
        <v>46112</v>
      </c>
      <c r="L163" s="24">
        <f>IFERROR(EOMONTH($C$9,24),"Error")</f>
        <v>46477</v>
      </c>
    </row>
    <row r="164" spans="2:13" x14ac:dyDescent="0.3">
      <c r="B164" s="4" t="str">
        <f t="shared" si="7"/>
        <v>Month End (30)</v>
      </c>
      <c r="C164" s="24">
        <f>IFERROR(EOMONTH($C$10,-12),"Error")</f>
        <v>45412</v>
      </c>
      <c r="D164" s="24">
        <f>IFERROR(EOMONTH($C$10,-6),"Error")</f>
        <v>45596</v>
      </c>
      <c r="E164" s="24">
        <f>IFERROR(EOMONTH($C$10,-3),"Error")</f>
        <v>45688</v>
      </c>
      <c r="F164" s="24">
        <f>IFERROR(EOMONTH($C$10,-1),"Error")</f>
        <v>45747</v>
      </c>
      <c r="G164" s="24">
        <f>IFERROR(EOMONTH($C$10,0),"Error")</f>
        <v>45777</v>
      </c>
      <c r="H164" s="24">
        <f>IFERROR(EOMONTH($C$10,1),"Error")</f>
        <v>45808</v>
      </c>
      <c r="I164" s="24">
        <f>IFERROR(EOMONTH($C$10,3),"Error")</f>
        <v>45869</v>
      </c>
      <c r="J164" s="24">
        <f>IFERROR(EOMONTH($C$10,6),"Error")</f>
        <v>45961</v>
      </c>
      <c r="K164" s="24">
        <f>IFERROR(EOMONTH($C$10,12),"Error")</f>
        <v>46142</v>
      </c>
      <c r="L164" s="24">
        <f>IFERROR(EOMONTH($C$10,24),"Error")</f>
        <v>46507</v>
      </c>
    </row>
    <row r="165" spans="2:13" x14ac:dyDescent="0.3">
      <c r="B165" s="4" t="str">
        <f t="shared" si="7"/>
        <v>Month End (31)</v>
      </c>
      <c r="C165" s="24">
        <f>IFERROR(EOMONTH($C$11,-12),"Error")</f>
        <v>45443</v>
      </c>
      <c r="D165" s="24">
        <f>IFERROR(EOMONTH($C$11,-6),"Error")</f>
        <v>45626</v>
      </c>
      <c r="E165" s="24">
        <f>IFERROR(EOMONTH($C$11,-3),"Error")</f>
        <v>45716</v>
      </c>
      <c r="F165" s="24">
        <f>IFERROR(EOMONTH($C$11,-1),"Error")</f>
        <v>45777</v>
      </c>
      <c r="G165" s="24">
        <f>IFERROR(EOMONTH($C$11,0),"Error")</f>
        <v>45808</v>
      </c>
      <c r="H165" s="24">
        <f>IFERROR(EOMONTH($C$11,1),"Error")</f>
        <v>45838</v>
      </c>
      <c r="I165" s="24">
        <f>IFERROR(EOMONTH($C$11,3),"Error")</f>
        <v>45900</v>
      </c>
      <c r="J165" s="24">
        <f>IFERROR(EOMONTH($C$11,6),"Error")</f>
        <v>45991</v>
      </c>
      <c r="K165" s="24">
        <f>IFERROR(EOMONTH($C$11,12),"Error")</f>
        <v>46173</v>
      </c>
      <c r="L165" s="24">
        <f>IFERROR(EOMONTH($C$11,24),"Error")</f>
        <v>46538</v>
      </c>
    </row>
    <row r="166" spans="2:13" x14ac:dyDescent="0.3">
      <c r="B166" s="4" t="str">
        <f t="shared" si="7"/>
        <v>Time Midnight</v>
      </c>
      <c r="C166" s="24">
        <f>IFERROR(EOMONTH($C$12,-12),"Error")</f>
        <v>45473</v>
      </c>
      <c r="D166" s="24">
        <f>IFERROR(EOMONTH($C$12,-6),"Error")</f>
        <v>45657</v>
      </c>
      <c r="E166" s="24">
        <f>IFERROR(EOMONTH($C$12,-3),"Error")</f>
        <v>45747</v>
      </c>
      <c r="F166" s="24">
        <f>IFERROR(EOMONTH($C$12,-1),"Error")</f>
        <v>45808</v>
      </c>
      <c r="G166" s="24">
        <f>IFERROR(EOMONTH($C$12,0),"Error")</f>
        <v>45838</v>
      </c>
      <c r="H166" s="24">
        <f>IFERROR(EOMONTH($C$12,1),"Error")</f>
        <v>45869</v>
      </c>
      <c r="I166" s="24">
        <f>IFERROR(EOMONTH($C$12,3),"Error")</f>
        <v>45930</v>
      </c>
      <c r="J166" s="24">
        <f>IFERROR(EOMONTH($C$12,6),"Error")</f>
        <v>46022</v>
      </c>
      <c r="K166" s="24">
        <f>IFERROR(EOMONTH($C$12,12),"Error")</f>
        <v>46203</v>
      </c>
      <c r="L166" s="24">
        <f>IFERROR(EOMONTH($C$12,24),"Error")</f>
        <v>46568</v>
      </c>
    </row>
    <row r="167" spans="2:13" x14ac:dyDescent="0.3">
      <c r="B167" s="4" t="str">
        <f t="shared" si="7"/>
        <v>Time Midday</v>
      </c>
      <c r="C167" s="24">
        <f>IFERROR(EOMONTH($C$13,-12),"Error")</f>
        <v>45473</v>
      </c>
      <c r="D167" s="24">
        <f>IFERROR(EOMONTH($C$13,-6),"Error")</f>
        <v>45657</v>
      </c>
      <c r="E167" s="24">
        <f>IFERROR(EOMONTH($C$13,-3),"Error")</f>
        <v>45747</v>
      </c>
      <c r="F167" s="24">
        <f>IFERROR(EOMONTH($C$13,-1),"Error")</f>
        <v>45808</v>
      </c>
      <c r="G167" s="24">
        <f>IFERROR(EOMONTH($C$13,0),"Error")</f>
        <v>45838</v>
      </c>
      <c r="H167" s="24">
        <f>IFERROR(EOMONTH($C$13,1),"Error")</f>
        <v>45869</v>
      </c>
      <c r="I167" s="24">
        <f>IFERROR(EOMONTH($C$13,3),"Error")</f>
        <v>45930</v>
      </c>
      <c r="J167" s="24">
        <f>IFERROR(EOMONTH($C$13,6),"Error")</f>
        <v>46022</v>
      </c>
      <c r="K167" s="24">
        <f>IFERROR(EOMONTH($C$13,12),"Error")</f>
        <v>46203</v>
      </c>
      <c r="L167" s="24">
        <f>IFERROR(EOMONTH($C$13,24),"Error")</f>
        <v>46568</v>
      </c>
    </row>
    <row r="168" spans="2:13" x14ac:dyDescent="0.3">
      <c r="B168" s="4" t="str">
        <f t="shared" si="7"/>
        <v>Time Full</v>
      </c>
      <c r="C168" s="24">
        <f>IFERROR(EOMONTH($C$14,-12),"Error")</f>
        <v>45473</v>
      </c>
      <c r="D168" s="24">
        <f>IFERROR(EOMONTH($C$14,-6),"Error")</f>
        <v>45657</v>
      </c>
      <c r="E168" s="24">
        <f>IFERROR(EOMONTH($C$14,-3),"Error")</f>
        <v>45747</v>
      </c>
      <c r="F168" s="24">
        <f>IFERROR(EOMONTH($C$14,-1),"Error")</f>
        <v>45808</v>
      </c>
      <c r="G168" s="24">
        <f>IFERROR(EOMONTH($C$14,0),"Error")</f>
        <v>45838</v>
      </c>
      <c r="H168" s="24">
        <f>IFERROR(EOMONTH($C$14,1),"Error")</f>
        <v>45869</v>
      </c>
      <c r="I168" s="24">
        <f>IFERROR(EOMONTH($C$14,3),"Error")</f>
        <v>45930</v>
      </c>
      <c r="J168" s="24">
        <f>IFERROR(EOMONTH($C$14,6),"Error")</f>
        <v>46022</v>
      </c>
      <c r="K168" s="24">
        <f>IFERROR(EOMONTH($C$14,12),"Error")</f>
        <v>46203</v>
      </c>
      <c r="L168" s="24">
        <f>IFERROR(EOMONTH($C$14,24),"Error")</f>
        <v>46568</v>
      </c>
    </row>
    <row r="169" spans="2:13" x14ac:dyDescent="0.3">
      <c r="B169" s="4" t="str">
        <f t="shared" si="7"/>
        <v>Date-Time Combo</v>
      </c>
      <c r="C169" s="24">
        <f>IFERROR(EOMONTH($C$15,-12),"Error")</f>
        <v>45565</v>
      </c>
      <c r="D169" s="24">
        <f>IFERROR(EOMONTH($C$15,-6),"Error")</f>
        <v>45747</v>
      </c>
      <c r="E169" s="24">
        <f>IFERROR(EOMONTH($C$15,-3),"Error")</f>
        <v>45838</v>
      </c>
      <c r="F169" s="24">
        <f>IFERROR(EOMONTH($C$15,-1),"Error")</f>
        <v>45900</v>
      </c>
      <c r="G169" s="24">
        <f>IFERROR(EOMONTH($C$15,0),"Error")</f>
        <v>45930</v>
      </c>
      <c r="H169" s="24">
        <f>IFERROR(EOMONTH($C$15,1),"Error")</f>
        <v>45961</v>
      </c>
      <c r="I169" s="24">
        <f>IFERROR(EOMONTH($C$15,3),"Error")</f>
        <v>46022</v>
      </c>
      <c r="J169" s="24">
        <f>IFERROR(EOMONTH($C$15,6),"Error")</f>
        <v>46112</v>
      </c>
      <c r="K169" s="24">
        <f>IFERROR(EOMONTH($C$15,12),"Error")</f>
        <v>46295</v>
      </c>
      <c r="L169" s="24">
        <f>IFERROR(EOMONTH($C$15,24),"Error")</f>
        <v>46660</v>
      </c>
    </row>
    <row r="170" spans="2:13" x14ac:dyDescent="0.3">
      <c r="B170" s="4" t="str">
        <f t="shared" si="7"/>
        <v>Far Past Date</v>
      </c>
      <c r="C170" s="24" t="str">
        <f>IFERROR(EOMONTH($C$16,-12),"Error")</f>
        <v>Error</v>
      </c>
      <c r="D170" s="24" t="str">
        <f>IFERROR(EOMONTH($C$16,-6),"Error")</f>
        <v>Error</v>
      </c>
      <c r="E170" s="24" t="str">
        <f>IFERROR(EOMONTH($C$16,-3),"Error")</f>
        <v>Error</v>
      </c>
      <c r="F170" s="24" t="str">
        <f>IFERROR(EOMONTH($C$16,-1),"Error")</f>
        <v>Error</v>
      </c>
      <c r="G170" s="24">
        <f>IFERROR(EOMONTH($C$16,0),"Error")</f>
        <v>31</v>
      </c>
      <c r="H170" s="24">
        <f>IFERROR(EOMONTH($C$16,1),"Error")</f>
        <v>59</v>
      </c>
      <c r="I170" s="24">
        <f>IFERROR(EOMONTH($C$16,3),"Error")</f>
        <v>121</v>
      </c>
      <c r="J170" s="24">
        <f>IFERROR(EOMONTH($C$16,6),"Error")</f>
        <v>213</v>
      </c>
      <c r="K170" s="24">
        <f>IFERROR(EOMONTH($C$16,12),"Error")</f>
        <v>397</v>
      </c>
      <c r="L170" s="24">
        <f>IFERROR(EOMONTH($C$16,24),"Error")</f>
        <v>762</v>
      </c>
    </row>
    <row r="171" spans="2:13" x14ac:dyDescent="0.3">
      <c r="B171" s="4" t="str">
        <f t="shared" si="7"/>
        <v>Far Future Date</v>
      </c>
      <c r="C171" s="24">
        <f>IFERROR(EOMONTH($C$17,-12),"Error")</f>
        <v>72685</v>
      </c>
      <c r="D171" s="24">
        <f>IFERROR(EOMONTH($C$17,-6),"Error")</f>
        <v>72866</v>
      </c>
      <c r="E171" s="24">
        <f>IFERROR(EOMONTH($C$17,-3),"Error")</f>
        <v>72958</v>
      </c>
      <c r="F171" s="24">
        <f>IFERROR(EOMONTH($C$17,-1),"Error")</f>
        <v>73019</v>
      </c>
      <c r="G171" s="24">
        <f>IFERROR(EOMONTH($C$17,0),"Error")</f>
        <v>73050</v>
      </c>
      <c r="H171" s="24">
        <f>IFERROR(EOMONTH($C$17,1),"Error")</f>
        <v>73081</v>
      </c>
      <c r="I171" s="24">
        <f>IFERROR(EOMONTH($C$17,3),"Error")</f>
        <v>73140</v>
      </c>
      <c r="J171" s="24">
        <f>IFERROR(EOMONTH($C$17,6),"Error")</f>
        <v>73231</v>
      </c>
      <c r="K171" s="24">
        <f>IFERROR(EOMONTH($C$17,12),"Error")</f>
        <v>73415</v>
      </c>
      <c r="L171" s="24">
        <f>IFERROR(EOMONTH($C$17,24),"Error")</f>
        <v>73780</v>
      </c>
    </row>
    <row r="172" spans="2:13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3">
      <c r="B174" s="6" t="s">
        <v>126</v>
      </c>
      <c r="C174" s="6"/>
      <c r="D174" s="6"/>
      <c r="E174" s="6"/>
      <c r="F174" s="6"/>
      <c r="G174" s="6"/>
      <c r="H174" s="6"/>
      <c r="I174" s="6"/>
      <c r="J174" s="6"/>
      <c r="K174" s="6"/>
    </row>
    <row r="175" spans="2:13" x14ac:dyDescent="0.3">
      <c r="B175" s="22" t="s">
        <v>127</v>
      </c>
      <c r="C175" s="31">
        <v>45823</v>
      </c>
      <c r="D175" s="31">
        <v>45351</v>
      </c>
      <c r="E175" s="31">
        <v>45658</v>
      </c>
      <c r="F175" s="31">
        <v>46022</v>
      </c>
      <c r="G175" s="31">
        <v>45717</v>
      </c>
      <c r="H175" s="31">
        <v>45777</v>
      </c>
      <c r="I175" s="31">
        <v>45808</v>
      </c>
      <c r="J175" s="31">
        <v>1</v>
      </c>
      <c r="K175" s="31">
        <v>73050</v>
      </c>
    </row>
    <row r="176" spans="2:13" x14ac:dyDescent="0.3">
      <c r="B176" s="4" t="str">
        <f t="shared" ref="B176:B182" si="8">B5</f>
        <v>Regular Date</v>
      </c>
      <c r="C176" s="23">
        <f>IFERROR(NETWORKDAYS($C$5,$C$5),"Error")</f>
        <v>0</v>
      </c>
      <c r="D176" s="23">
        <f>IFERROR(NETWORKDAYS($C$5,$C$6),"Error")</f>
        <v>-337</v>
      </c>
      <c r="E176" s="23">
        <f>IFERROR(NETWORKDAYS($C$5,$C$7),"Error")</f>
        <v>-118</v>
      </c>
      <c r="F176" s="23">
        <f>IFERROR(NETWORKDAYS($C$5,$C$8),"Error")</f>
        <v>143</v>
      </c>
      <c r="G176" s="23">
        <f>IFERROR(NETWORKDAYS($C$5,$C$9),"Error")</f>
        <v>-75</v>
      </c>
      <c r="H176" s="23">
        <f>IFERROR(NETWORKDAYS($C$5,$C$10),"Error")</f>
        <v>-33</v>
      </c>
      <c r="I176" s="23">
        <f>IFERROR(NETWORKDAYS($C$5,$C$11),"Error")</f>
        <v>-10</v>
      </c>
      <c r="J176" s="23">
        <f>IFERROR(NETWORKDAYS($C$5,$C$16),"Error")</f>
        <v>-32730</v>
      </c>
      <c r="K176" s="23">
        <f>IFERROR(NETWORKDAYS($C$5,$C$17),"Error")</f>
        <v>19449</v>
      </c>
    </row>
    <row r="177" spans="2:13" x14ac:dyDescent="0.3">
      <c r="B177" s="4" t="str">
        <f t="shared" si="8"/>
        <v>Leap Year Date</v>
      </c>
      <c r="C177" s="23">
        <f>IFERROR(NETWORKDAYS($C$6,$C$5),"Error")</f>
        <v>337</v>
      </c>
      <c r="D177" s="23">
        <f>IFERROR(NETWORKDAYS($C$6,$C$6),"Error")</f>
        <v>1</v>
      </c>
      <c r="E177" s="23">
        <f>IFERROR(NETWORKDAYS($C$6,$C$7),"Error")</f>
        <v>220</v>
      </c>
      <c r="F177" s="23">
        <f>IFERROR(NETWORKDAYS($C$6,$C$8),"Error")</f>
        <v>480</v>
      </c>
      <c r="G177" s="23">
        <f>IFERROR(NETWORKDAYS($C$6,$C$9),"Error")</f>
        <v>262</v>
      </c>
      <c r="H177" s="23">
        <f>IFERROR(NETWORKDAYS($C$6,$C$10),"Error")</f>
        <v>305</v>
      </c>
      <c r="I177" s="23">
        <f>IFERROR(NETWORKDAYS($C$6,$C$11),"Error")</f>
        <v>327</v>
      </c>
      <c r="J177" s="23">
        <f>IFERROR(NETWORKDAYS($C$6,$C$16),"Error")</f>
        <v>-32394</v>
      </c>
      <c r="K177" s="23">
        <f>IFERROR(NETWORKDAYS($C$6,$C$17),"Error")</f>
        <v>19786</v>
      </c>
    </row>
    <row r="178" spans="2:13" x14ac:dyDescent="0.3">
      <c r="B178" s="4" t="str">
        <f t="shared" si="8"/>
        <v>Year Start</v>
      </c>
      <c r="C178" s="23">
        <f>IFERROR(NETWORKDAYS($C$7,$C$5),"Error")</f>
        <v>118</v>
      </c>
      <c r="D178" s="23">
        <f>IFERROR(NETWORKDAYS($C$7,$C$6),"Error")</f>
        <v>-220</v>
      </c>
      <c r="E178" s="23">
        <f>IFERROR(NETWORKDAYS($C$7,$C$7),"Error")</f>
        <v>1</v>
      </c>
      <c r="F178" s="23">
        <f>IFERROR(NETWORKDAYS($C$7,$C$8),"Error")</f>
        <v>261</v>
      </c>
      <c r="G178" s="23">
        <f>IFERROR(NETWORKDAYS($C$7,$C$9),"Error")</f>
        <v>43</v>
      </c>
      <c r="H178" s="23">
        <f>IFERROR(NETWORKDAYS($C$7,$C$10),"Error")</f>
        <v>86</v>
      </c>
      <c r="I178" s="23">
        <f>IFERROR(NETWORKDAYS($C$7,$C$11),"Error")</f>
        <v>108</v>
      </c>
      <c r="J178" s="23">
        <f>IFERROR(NETWORKDAYS($C$7,$C$16),"Error")</f>
        <v>-32613</v>
      </c>
      <c r="K178" s="23">
        <f>IFERROR(NETWORKDAYS($C$7,$C$17),"Error")</f>
        <v>19567</v>
      </c>
    </row>
    <row r="179" spans="2:13" x14ac:dyDescent="0.3">
      <c r="B179" s="4" t="str">
        <f t="shared" si="8"/>
        <v>Year End</v>
      </c>
      <c r="C179" s="23">
        <f>IFERROR(NETWORKDAYS($C$8,$C$5),"Error")</f>
        <v>-143</v>
      </c>
      <c r="D179" s="23">
        <f>IFERROR(NETWORKDAYS($C$8,$C$6),"Error")</f>
        <v>-480</v>
      </c>
      <c r="E179" s="23">
        <f>IFERROR(NETWORKDAYS($C$8,$C$7),"Error")</f>
        <v>-261</v>
      </c>
      <c r="F179" s="23">
        <f>IFERROR(NETWORKDAYS($C$8,$C$8),"Error")</f>
        <v>1</v>
      </c>
      <c r="G179" s="23">
        <f>IFERROR(NETWORKDAYS($C$8,$C$9),"Error")</f>
        <v>-218</v>
      </c>
      <c r="H179" s="23">
        <f>IFERROR(NETWORKDAYS($C$8,$C$10),"Error")</f>
        <v>-176</v>
      </c>
      <c r="I179" s="23">
        <f>IFERROR(NETWORKDAYS($C$8,$C$11),"Error")</f>
        <v>-153</v>
      </c>
      <c r="J179" s="23">
        <f>IFERROR(NETWORKDAYS($C$8,$C$16),"Error")</f>
        <v>-32873</v>
      </c>
      <c r="K179" s="23">
        <f>IFERROR(NETWORKDAYS($C$8,$C$17),"Error")</f>
        <v>19307</v>
      </c>
    </row>
    <row r="180" spans="2:13" x14ac:dyDescent="0.3">
      <c r="B180" s="4" t="str">
        <f t="shared" si="8"/>
        <v>Month Start</v>
      </c>
      <c r="C180" s="23">
        <f>IFERROR(NETWORKDAYS($C$9,$C$5),"Error")</f>
        <v>75</v>
      </c>
      <c r="D180" s="23">
        <f>IFERROR(NETWORKDAYS($C$9,$C$6),"Error")</f>
        <v>-262</v>
      </c>
      <c r="E180" s="23">
        <f>IFERROR(NETWORKDAYS($C$9,$C$7),"Error")</f>
        <v>-43</v>
      </c>
      <c r="F180" s="23">
        <f>IFERROR(NETWORKDAYS($C$9,$C$8),"Error")</f>
        <v>218</v>
      </c>
      <c r="G180" s="23">
        <f>IFERROR(NETWORKDAYS($C$9,$C$9),"Error")</f>
        <v>0</v>
      </c>
      <c r="H180" s="23">
        <f>IFERROR(NETWORKDAYS($C$9,$C$10),"Error")</f>
        <v>43</v>
      </c>
      <c r="I180" s="23">
        <f>IFERROR(NETWORKDAYS($C$9,$C$11),"Error")</f>
        <v>65</v>
      </c>
      <c r="J180" s="23">
        <f>IFERROR(NETWORKDAYS($C$9,$C$16),"Error")</f>
        <v>-32655</v>
      </c>
      <c r="K180" s="23">
        <f>IFERROR(NETWORKDAYS($C$9,$C$17),"Error")</f>
        <v>19524</v>
      </c>
    </row>
    <row r="181" spans="2:13" x14ac:dyDescent="0.3">
      <c r="B181" s="4" t="str">
        <f t="shared" si="8"/>
        <v>Month End (30)</v>
      </c>
      <c r="C181" s="23">
        <f>IFERROR(NETWORKDAYS($C$10,$C$5),"Error")</f>
        <v>33</v>
      </c>
      <c r="D181" s="23">
        <f>IFERROR(NETWORKDAYS($C$10,$C$6),"Error")</f>
        <v>-305</v>
      </c>
      <c r="E181" s="23">
        <f>IFERROR(NETWORKDAYS($C$10,$C$7),"Error")</f>
        <v>-86</v>
      </c>
      <c r="F181" s="23">
        <f>IFERROR(NETWORKDAYS($C$10,$C$8),"Error")</f>
        <v>176</v>
      </c>
      <c r="G181" s="23">
        <f>IFERROR(NETWORKDAYS($C$10,$C$9),"Error")</f>
        <v>-43</v>
      </c>
      <c r="H181" s="23">
        <f>IFERROR(NETWORKDAYS($C$10,$C$10),"Error")</f>
        <v>1</v>
      </c>
      <c r="I181" s="23">
        <f>IFERROR(NETWORKDAYS($C$10,$C$11),"Error")</f>
        <v>23</v>
      </c>
      <c r="J181" s="23">
        <f>IFERROR(NETWORKDAYS($C$10,$C$16),"Error")</f>
        <v>-32698</v>
      </c>
      <c r="K181" s="23">
        <f>IFERROR(NETWORKDAYS($C$10,$C$17),"Error")</f>
        <v>19482</v>
      </c>
    </row>
    <row r="182" spans="2:13" x14ac:dyDescent="0.3">
      <c r="B182" s="4" t="str">
        <f t="shared" si="8"/>
        <v>Month End (31)</v>
      </c>
      <c r="C182" s="23">
        <f>IFERROR(NETWORKDAYS($C$11,$C$5),"Error")</f>
        <v>10</v>
      </c>
      <c r="D182" s="23">
        <f>IFERROR(NETWORKDAYS($C$11,$C$6),"Error")</f>
        <v>-327</v>
      </c>
      <c r="E182" s="23">
        <f>IFERROR(NETWORKDAYS($C$11,$C$7),"Error")</f>
        <v>-108</v>
      </c>
      <c r="F182" s="23">
        <f>IFERROR(NETWORKDAYS($C$11,$C$8),"Error")</f>
        <v>153</v>
      </c>
      <c r="G182" s="23">
        <f>IFERROR(NETWORKDAYS($C$11,$C$9),"Error")</f>
        <v>-65</v>
      </c>
      <c r="H182" s="23">
        <f>IFERROR(NETWORKDAYS($C$11,$C$10),"Error")</f>
        <v>-23</v>
      </c>
      <c r="I182" s="23">
        <f>IFERROR(NETWORKDAYS($C$11,$C$11),"Error")</f>
        <v>0</v>
      </c>
      <c r="J182" s="23">
        <f>IFERROR(NETWORKDAYS($C$11,$C$16),"Error")</f>
        <v>-32720</v>
      </c>
      <c r="K182" s="23">
        <f>IFERROR(NETWORKDAYS($C$11,$C$17),"Error")</f>
        <v>19459</v>
      </c>
    </row>
    <row r="183" spans="2:13" x14ac:dyDescent="0.3">
      <c r="B183" s="4" t="str">
        <f>B16</f>
        <v>Far Past Date</v>
      </c>
      <c r="C183" s="23">
        <f>IFERROR(NETWORKDAYS($C$16,$C$5),"Error")</f>
        <v>32730</v>
      </c>
      <c r="D183" s="23">
        <f>IFERROR(NETWORKDAYS($C$16,$C$6),"Error")</f>
        <v>32394</v>
      </c>
      <c r="E183" s="23">
        <f>IFERROR(NETWORKDAYS($C$16,$C$7),"Error")</f>
        <v>32613</v>
      </c>
      <c r="F183" s="23">
        <f>IFERROR(NETWORKDAYS($C$16,$C$8),"Error")</f>
        <v>32873</v>
      </c>
      <c r="G183" s="23">
        <f>IFERROR(NETWORKDAYS($C$16,$C$9),"Error")</f>
        <v>32655</v>
      </c>
      <c r="H183" s="23">
        <f>IFERROR(NETWORKDAYS($C$16,$C$10),"Error")</f>
        <v>32698</v>
      </c>
      <c r="I183" s="23">
        <f>IFERROR(NETWORKDAYS($C$16,$C$11),"Error")</f>
        <v>32720</v>
      </c>
      <c r="J183" s="23">
        <f>IFERROR(NETWORKDAYS($C$16,$C$16),"Error")</f>
        <v>0</v>
      </c>
      <c r="K183" s="23">
        <f>IFERROR(NETWORKDAYS($C$16,$C$17),"Error")</f>
        <v>52179</v>
      </c>
    </row>
    <row r="184" spans="2:13" x14ac:dyDescent="0.3">
      <c r="B184" s="4" t="str">
        <f>B17</f>
        <v>Far Future Date</v>
      </c>
      <c r="C184" s="23">
        <f>IFERROR(NETWORKDAYS($C$17,$C$5),"Error")</f>
        <v>-19449</v>
      </c>
      <c r="D184" s="23">
        <f>IFERROR(NETWORKDAYS($C$17,$C$6),"Error")</f>
        <v>-19786</v>
      </c>
      <c r="E184" s="23">
        <f>IFERROR(NETWORKDAYS($C$17,$C$7),"Error")</f>
        <v>-19567</v>
      </c>
      <c r="F184" s="23">
        <f>IFERROR(NETWORKDAYS($C$17,$C$8),"Error")</f>
        <v>-19307</v>
      </c>
      <c r="G184" s="23">
        <f>IFERROR(NETWORKDAYS($C$17,$C$9),"Error")</f>
        <v>-19524</v>
      </c>
      <c r="H184" s="23">
        <f>IFERROR(NETWORKDAYS($C$17,$C$10),"Error")</f>
        <v>-19482</v>
      </c>
      <c r="I184" s="23">
        <f>IFERROR(NETWORKDAYS($C$17,$C$11),"Error")</f>
        <v>-19459</v>
      </c>
      <c r="J184" s="23">
        <f>IFERROR(NETWORKDAYS($C$17,$C$16),"Error")</f>
        <v>-52179</v>
      </c>
      <c r="K184" s="23">
        <f>IFERROR(NETWORKDAYS($C$17,$C$17),"Error")</f>
        <v>1</v>
      </c>
    </row>
    <row r="185" spans="2:13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3">
      <c r="B187" s="6" t="s">
        <v>128</v>
      </c>
      <c r="C187" s="6"/>
      <c r="D187" s="6"/>
      <c r="E187" s="6"/>
      <c r="F187" s="6"/>
      <c r="G187" s="6"/>
      <c r="H187" s="6"/>
      <c r="I187" s="6"/>
      <c r="J187" s="6"/>
      <c r="K187" s="6"/>
    </row>
    <row r="188" spans="2:13" x14ac:dyDescent="0.3">
      <c r="B188" s="22" t="s">
        <v>129</v>
      </c>
      <c r="C188" s="22">
        <v>-252</v>
      </c>
      <c r="D188" s="22">
        <v>-60</v>
      </c>
      <c r="E188" s="22">
        <v>-20</v>
      </c>
      <c r="F188" s="22">
        <v>-5</v>
      </c>
      <c r="G188" s="22">
        <v>-1</v>
      </c>
      <c r="H188" s="22">
        <v>0</v>
      </c>
      <c r="I188" s="22">
        <v>1</v>
      </c>
      <c r="J188" s="22">
        <v>5</v>
      </c>
      <c r="K188" s="22">
        <v>20</v>
      </c>
      <c r="L188" s="22">
        <v>60</v>
      </c>
      <c r="M188" s="22">
        <v>252</v>
      </c>
    </row>
    <row r="189" spans="2:13" x14ac:dyDescent="0.3">
      <c r="B189" s="4" t="str">
        <f t="shared" ref="B189:B195" si="9">B5</f>
        <v>Regular Date</v>
      </c>
      <c r="C189" s="24">
        <f>IFERROR(WORKDAY($C$5,-252),"Error")</f>
        <v>45470</v>
      </c>
      <c r="D189" s="24">
        <f>IFERROR(WORKDAY($C$5,-60),"Error")</f>
        <v>45740</v>
      </c>
      <c r="E189" s="24">
        <f>IFERROR(WORKDAY($C$5,-20),"Error")</f>
        <v>45796</v>
      </c>
      <c r="F189" s="24">
        <f>IFERROR(WORKDAY($C$5,-5),"Error")</f>
        <v>45817</v>
      </c>
      <c r="G189" s="24">
        <f>IFERROR(WORKDAY($C$5,-1),"Error")</f>
        <v>45821</v>
      </c>
      <c r="H189" s="24">
        <f>IFERROR(WORKDAY($C$5,0),"Error")</f>
        <v>45823</v>
      </c>
      <c r="I189" s="24">
        <f>IFERROR(WORKDAY($C$5,1),"Error")</f>
        <v>45824</v>
      </c>
      <c r="J189" s="24">
        <f>IFERROR(WORKDAY($C$5,5),"Error")</f>
        <v>45828</v>
      </c>
      <c r="K189" s="24">
        <f>IFERROR(WORKDAY($C$5,20),"Error")</f>
        <v>45849</v>
      </c>
      <c r="L189" s="24">
        <f>IFERROR(WORKDAY($C$5,60),"Error")</f>
        <v>45905</v>
      </c>
      <c r="M189" s="24">
        <f>IFERROR(WORKDAY($C$5,252),"Error")</f>
        <v>46175</v>
      </c>
    </row>
    <row r="190" spans="2:13" x14ac:dyDescent="0.3">
      <c r="B190" s="4" t="str">
        <f t="shared" si="9"/>
        <v>Leap Year Date</v>
      </c>
      <c r="C190" s="24">
        <f>IFERROR(WORKDAY($C$6,-252),"Error")</f>
        <v>44999</v>
      </c>
      <c r="D190" s="24">
        <f>IFERROR(WORKDAY($C$6,-60),"Error")</f>
        <v>45267</v>
      </c>
      <c r="E190" s="24">
        <f>IFERROR(WORKDAY($C$6,-20),"Error")</f>
        <v>45323</v>
      </c>
      <c r="F190" s="24">
        <f>IFERROR(WORKDAY($C$6,-5),"Error")</f>
        <v>45344</v>
      </c>
      <c r="G190" s="24">
        <f>IFERROR(WORKDAY($C$6,-1),"Error")</f>
        <v>45350</v>
      </c>
      <c r="H190" s="24">
        <f>IFERROR(WORKDAY($C$6,0),"Error")</f>
        <v>45351</v>
      </c>
      <c r="I190" s="24">
        <f>IFERROR(WORKDAY($C$6,1),"Error")</f>
        <v>45352</v>
      </c>
      <c r="J190" s="24">
        <f>IFERROR(WORKDAY($C$6,5),"Error")</f>
        <v>45358</v>
      </c>
      <c r="K190" s="24">
        <f>IFERROR(WORKDAY($C$6,20),"Error")</f>
        <v>45379</v>
      </c>
      <c r="L190" s="24">
        <f>IFERROR(WORKDAY($C$6,60),"Error")</f>
        <v>45435</v>
      </c>
      <c r="M190" s="24">
        <f>IFERROR(WORKDAY($C$6,252),"Error")</f>
        <v>45705</v>
      </c>
    </row>
    <row r="191" spans="2:13" x14ac:dyDescent="0.3">
      <c r="B191" s="4" t="str">
        <f t="shared" si="9"/>
        <v>Year Start</v>
      </c>
      <c r="C191" s="24">
        <f>IFERROR(WORKDAY($C$7,-252),"Error")</f>
        <v>45306</v>
      </c>
      <c r="D191" s="24">
        <f>IFERROR(WORKDAY($C$7,-60),"Error")</f>
        <v>45574</v>
      </c>
      <c r="E191" s="24">
        <f>IFERROR(WORKDAY($C$7,-20),"Error")</f>
        <v>45630</v>
      </c>
      <c r="F191" s="24">
        <f>IFERROR(WORKDAY($C$7,-5),"Error")</f>
        <v>45651</v>
      </c>
      <c r="G191" s="24">
        <f>IFERROR(WORKDAY($C$7,-1),"Error")</f>
        <v>45657</v>
      </c>
      <c r="H191" s="24">
        <f>IFERROR(WORKDAY($C$7,0),"Error")</f>
        <v>45658</v>
      </c>
      <c r="I191" s="24">
        <f>IFERROR(WORKDAY($C$7,1),"Error")</f>
        <v>45659</v>
      </c>
      <c r="J191" s="24">
        <f>IFERROR(WORKDAY($C$7,5),"Error")</f>
        <v>45665</v>
      </c>
      <c r="K191" s="24">
        <f>IFERROR(WORKDAY($C$7,20),"Error")</f>
        <v>45686</v>
      </c>
      <c r="L191" s="24">
        <f>IFERROR(WORKDAY($C$7,60),"Error")</f>
        <v>45742</v>
      </c>
      <c r="M191" s="24">
        <f>IFERROR(WORKDAY($C$7,252),"Error")</f>
        <v>46010</v>
      </c>
    </row>
    <row r="192" spans="2:13" x14ac:dyDescent="0.3">
      <c r="B192" s="4" t="str">
        <f t="shared" si="9"/>
        <v>Year End</v>
      </c>
      <c r="C192" s="24">
        <f>IFERROR(WORKDAY($C$8,-252),"Error")</f>
        <v>45670</v>
      </c>
      <c r="D192" s="24">
        <f>IFERROR(WORKDAY($C$8,-60),"Error")</f>
        <v>45938</v>
      </c>
      <c r="E192" s="24">
        <f>IFERROR(WORKDAY($C$8,-20),"Error")</f>
        <v>45994</v>
      </c>
      <c r="F192" s="24">
        <f>IFERROR(WORKDAY($C$8,-5),"Error")</f>
        <v>46015</v>
      </c>
      <c r="G192" s="24">
        <f>IFERROR(WORKDAY($C$8,-1),"Error")</f>
        <v>46021</v>
      </c>
      <c r="H192" s="24">
        <f>IFERROR(WORKDAY($C$8,0),"Error")</f>
        <v>46022</v>
      </c>
      <c r="I192" s="24">
        <f>IFERROR(WORKDAY($C$8,1),"Error")</f>
        <v>46023</v>
      </c>
      <c r="J192" s="24">
        <f>IFERROR(WORKDAY($C$8,5),"Error")</f>
        <v>46029</v>
      </c>
      <c r="K192" s="24">
        <f>IFERROR(WORKDAY($C$8,20),"Error")</f>
        <v>46050</v>
      </c>
      <c r="L192" s="24">
        <f>IFERROR(WORKDAY($C$8,60),"Error")</f>
        <v>46106</v>
      </c>
      <c r="M192" s="24">
        <f>IFERROR(WORKDAY($C$8,252),"Error")</f>
        <v>46374</v>
      </c>
    </row>
    <row r="193" spans="2:13" x14ac:dyDescent="0.3">
      <c r="B193" s="4" t="str">
        <f t="shared" si="9"/>
        <v>Month Start</v>
      </c>
      <c r="C193" s="24">
        <f>IFERROR(WORKDAY($C$9,-252),"Error")</f>
        <v>45365</v>
      </c>
      <c r="D193" s="24">
        <f>IFERROR(WORKDAY($C$9,-60),"Error")</f>
        <v>45635</v>
      </c>
      <c r="E193" s="24">
        <f>IFERROR(WORKDAY($C$9,-20),"Error")</f>
        <v>45691</v>
      </c>
      <c r="F193" s="24">
        <f>IFERROR(WORKDAY($C$9,-5),"Error")</f>
        <v>45712</v>
      </c>
      <c r="G193" s="24">
        <f>IFERROR(WORKDAY($C$9,-1),"Error")</f>
        <v>45716</v>
      </c>
      <c r="H193" s="24">
        <f>IFERROR(WORKDAY($C$9,0),"Error")</f>
        <v>45717</v>
      </c>
      <c r="I193" s="24">
        <f>IFERROR(WORKDAY($C$9,1),"Error")</f>
        <v>45719</v>
      </c>
      <c r="J193" s="24">
        <f>IFERROR(WORKDAY($C$9,5),"Error")</f>
        <v>45723</v>
      </c>
      <c r="K193" s="24">
        <f>IFERROR(WORKDAY($C$9,20),"Error")</f>
        <v>45744</v>
      </c>
      <c r="L193" s="24">
        <f>IFERROR(WORKDAY($C$9,60),"Error")</f>
        <v>45800</v>
      </c>
      <c r="M193" s="24">
        <f>IFERROR(WORKDAY($C$9,252),"Error")</f>
        <v>46070</v>
      </c>
    </row>
    <row r="194" spans="2:13" x14ac:dyDescent="0.3">
      <c r="B194" s="4" t="str">
        <f t="shared" si="9"/>
        <v>Month End (30)</v>
      </c>
      <c r="C194" s="24">
        <f>IFERROR(WORKDAY($C$10,-252),"Error")</f>
        <v>45425</v>
      </c>
      <c r="D194" s="24">
        <f>IFERROR(WORKDAY($C$10,-60),"Error")</f>
        <v>45693</v>
      </c>
      <c r="E194" s="24">
        <f>IFERROR(WORKDAY($C$10,-20),"Error")</f>
        <v>45749</v>
      </c>
      <c r="F194" s="24">
        <f>IFERROR(WORKDAY($C$10,-5),"Error")</f>
        <v>45770</v>
      </c>
      <c r="G194" s="24">
        <f>IFERROR(WORKDAY($C$10,-1),"Error")</f>
        <v>45776</v>
      </c>
      <c r="H194" s="24">
        <f>IFERROR(WORKDAY($C$10,0),"Error")</f>
        <v>45777</v>
      </c>
      <c r="I194" s="24">
        <f>IFERROR(WORKDAY($C$10,1),"Error")</f>
        <v>45778</v>
      </c>
      <c r="J194" s="24">
        <f>IFERROR(WORKDAY($C$10,5),"Error")</f>
        <v>45784</v>
      </c>
      <c r="K194" s="24">
        <f>IFERROR(WORKDAY($C$10,20),"Error")</f>
        <v>45805</v>
      </c>
      <c r="L194" s="24">
        <f>IFERROR(WORKDAY($C$10,60),"Error")</f>
        <v>45861</v>
      </c>
      <c r="M194" s="24">
        <f>IFERROR(WORKDAY($C$10,252),"Error")</f>
        <v>46129</v>
      </c>
    </row>
    <row r="195" spans="2:13" x14ac:dyDescent="0.3">
      <c r="B195" s="4" t="str">
        <f t="shared" si="9"/>
        <v>Month End (31)</v>
      </c>
      <c r="C195" s="24">
        <f>IFERROR(WORKDAY($C$11,-252),"Error")</f>
        <v>45456</v>
      </c>
      <c r="D195" s="24">
        <f>IFERROR(WORKDAY($C$11,-60),"Error")</f>
        <v>45726</v>
      </c>
      <c r="E195" s="24">
        <f>IFERROR(WORKDAY($C$11,-20),"Error")</f>
        <v>45782</v>
      </c>
      <c r="F195" s="24">
        <f>IFERROR(WORKDAY($C$11,-5),"Error")</f>
        <v>45803</v>
      </c>
      <c r="G195" s="24">
        <f>IFERROR(WORKDAY($C$11,-1),"Error")</f>
        <v>45807</v>
      </c>
      <c r="H195" s="24">
        <f>IFERROR(WORKDAY($C$11,0),"Error")</f>
        <v>45808</v>
      </c>
      <c r="I195" s="24">
        <f>IFERROR(WORKDAY($C$11,1),"Error")</f>
        <v>45810</v>
      </c>
      <c r="J195" s="24">
        <f>IFERROR(WORKDAY($C$11,5),"Error")</f>
        <v>45814</v>
      </c>
      <c r="K195" s="24">
        <f>IFERROR(WORKDAY($C$11,20),"Error")</f>
        <v>45835</v>
      </c>
      <c r="L195" s="24">
        <f>IFERROR(WORKDAY($C$11,60),"Error")</f>
        <v>45891</v>
      </c>
      <c r="M195" s="24">
        <f>IFERROR(WORKDAY($C$11,252),"Error")</f>
        <v>46161</v>
      </c>
    </row>
    <row r="196" spans="2:13" x14ac:dyDescent="0.3">
      <c r="B196" s="4" t="str">
        <f>B16</f>
        <v>Far Past Date</v>
      </c>
      <c r="C196" s="24" t="str">
        <f>IFERROR(WORKDAY($C$16,-252),"Error")</f>
        <v>Error</v>
      </c>
      <c r="D196" s="24" t="str">
        <f>IFERROR(WORKDAY($C$16,-60),"Error")</f>
        <v>Error</v>
      </c>
      <c r="E196" s="24" t="str">
        <f>IFERROR(WORKDAY($C$16,-20),"Error")</f>
        <v>Error</v>
      </c>
      <c r="F196" s="24" t="str">
        <f>IFERROR(WORKDAY($C$16,-5),"Error")</f>
        <v>Error</v>
      </c>
      <c r="G196" s="24" t="str">
        <f>IFERROR(WORKDAY($C$16,-1),"Error")</f>
        <v>Error</v>
      </c>
      <c r="H196" s="24">
        <f>IFERROR(WORKDAY($C$16,0),"Error")</f>
        <v>1</v>
      </c>
      <c r="I196" s="24">
        <f>IFERROR(WORKDAY($C$16,1),"Error")</f>
        <v>2</v>
      </c>
      <c r="J196" s="24">
        <f>IFERROR(WORKDAY($C$16,5),"Error")</f>
        <v>6</v>
      </c>
      <c r="K196" s="24">
        <f>IFERROR(WORKDAY($C$16,20),"Error")</f>
        <v>27</v>
      </c>
      <c r="L196" s="24">
        <f>IFERROR(WORKDAY($C$16,60),"Error")</f>
        <v>83</v>
      </c>
      <c r="M196" s="24">
        <f>IFERROR(WORKDAY($C$16,252),"Error")</f>
        <v>353</v>
      </c>
    </row>
    <row r="197" spans="2:13" x14ac:dyDescent="0.3">
      <c r="B197" s="4" t="str">
        <f>B17</f>
        <v>Far Future Date</v>
      </c>
      <c r="C197" s="24">
        <f>IFERROR(WORKDAY($C$17,-252),"Error")</f>
        <v>72698</v>
      </c>
      <c r="D197" s="24">
        <f>IFERROR(WORKDAY($C$17,-60),"Error")</f>
        <v>72966</v>
      </c>
      <c r="E197" s="24">
        <f>IFERROR(WORKDAY($C$17,-20),"Error")</f>
        <v>73022</v>
      </c>
      <c r="F197" s="24">
        <f>IFERROR(WORKDAY($C$17,-5),"Error")</f>
        <v>73043</v>
      </c>
      <c r="G197" s="24">
        <f>IFERROR(WORKDAY($C$17,-1),"Error")</f>
        <v>73049</v>
      </c>
      <c r="H197" s="24">
        <f>IFERROR(WORKDAY($C$17,0),"Error")</f>
        <v>73050</v>
      </c>
      <c r="I197" s="24">
        <f>IFERROR(WORKDAY($C$17,1),"Error")</f>
        <v>73051</v>
      </c>
      <c r="J197" s="24">
        <f>IFERROR(WORKDAY($C$17,5),"Error")</f>
        <v>73057</v>
      </c>
      <c r="K197" s="24">
        <f>IFERROR(WORKDAY($C$17,20),"Error")</f>
        <v>73078</v>
      </c>
      <c r="L197" s="24">
        <f>IFERROR(WORKDAY($C$17,60),"Error")</f>
        <v>73134</v>
      </c>
      <c r="M197" s="24">
        <f>IFERROR(WORKDAY($C$17,252),"Error")</f>
        <v>73404</v>
      </c>
    </row>
    <row r="198" spans="2:13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3">
      <c r="B200" s="6" t="s">
        <v>130</v>
      </c>
      <c r="C200" s="6"/>
      <c r="D200" s="6"/>
      <c r="E200" s="6"/>
      <c r="F200" s="6"/>
      <c r="G200" s="6"/>
      <c r="H200" s="6"/>
      <c r="I200" s="6"/>
      <c r="J200" s="6"/>
      <c r="K200" s="6"/>
    </row>
    <row r="201" spans="2:13" x14ac:dyDescent="0.3">
      <c r="B201" s="22" t="s">
        <v>131</v>
      </c>
      <c r="C201" s="22" t="s">
        <v>132</v>
      </c>
      <c r="D201" s="22" t="s">
        <v>133</v>
      </c>
      <c r="E201" s="22" t="s">
        <v>134</v>
      </c>
      <c r="F201" s="22" t="s">
        <v>135</v>
      </c>
      <c r="G201" s="22" t="s">
        <v>136</v>
      </c>
      <c r="H201" s="22" t="s">
        <v>137</v>
      </c>
      <c r="I201" s="22" t="s">
        <v>138</v>
      </c>
    </row>
    <row r="202" spans="2:13" x14ac:dyDescent="0.3">
      <c r="B202" s="32">
        <f>C5</f>
        <v>45823</v>
      </c>
      <c r="C202" s="32">
        <f>C7</f>
        <v>45658</v>
      </c>
      <c r="D202" s="23" t="str">
        <f>IFERROR(DATEDIF($C$5,$C$7,"Y"),"Error")</f>
        <v>Error</v>
      </c>
      <c r="E202" s="23" t="str">
        <f>IFERROR(DATEDIF($C$5,$C$7,"M"),"Error")</f>
        <v>Error</v>
      </c>
      <c r="F202" s="23" t="str">
        <f>IFERROR(DATEDIF($C$5,$C$7,"D"),"Error")</f>
        <v>Error</v>
      </c>
      <c r="G202" s="23" t="str">
        <f>IFERROR(DATEDIF($C$5,$C$7,"MD"),"Error")</f>
        <v>Error</v>
      </c>
      <c r="H202" s="23" t="str">
        <f>IFERROR(DATEDIF($C$5,$C$7,"YM"),"Error")</f>
        <v>Error</v>
      </c>
      <c r="I202" s="23" t="str">
        <f>IFERROR(DATEDIF($C$5,$C$7,"YD"),"Error")</f>
        <v>Error</v>
      </c>
    </row>
    <row r="203" spans="2:13" x14ac:dyDescent="0.3">
      <c r="B203" s="32">
        <f>C7</f>
        <v>45658</v>
      </c>
      <c r="C203" s="32">
        <f>C5</f>
        <v>45823</v>
      </c>
      <c r="D203" s="23">
        <f>IFERROR(DATEDIF($C$7,$C$5,"Y"),"Error")</f>
        <v>0</v>
      </c>
      <c r="E203" s="23">
        <f>IFERROR(DATEDIF($C$7,$C$5,"M"),"Error")</f>
        <v>5</v>
      </c>
      <c r="F203" s="23">
        <f>IFERROR(DATEDIF($C$7,$C$5,"D"),"Error")</f>
        <v>165</v>
      </c>
      <c r="G203" s="23">
        <f>IFERROR(DATEDIF($C$7,$C$5,"MD"),"Error")</f>
        <v>14</v>
      </c>
      <c r="H203" s="23">
        <f>IFERROR(DATEDIF($C$7,$C$5,"YM"),"Error")</f>
        <v>5</v>
      </c>
      <c r="I203" s="23">
        <f>IFERROR(DATEDIF($C$7,$C$5,"YD"),"Error")</f>
        <v>165</v>
      </c>
    </row>
    <row r="204" spans="2:13" x14ac:dyDescent="0.3">
      <c r="B204" s="32">
        <f>C7</f>
        <v>45658</v>
      </c>
      <c r="C204" s="32">
        <f>C8</f>
        <v>46022</v>
      </c>
      <c r="D204" s="23">
        <f>IFERROR(DATEDIF($C$7,$C$8,"Y"),"Error")</f>
        <v>0</v>
      </c>
      <c r="E204" s="23">
        <f>IFERROR(DATEDIF($C$7,$C$8,"M"),"Error")</f>
        <v>11</v>
      </c>
      <c r="F204" s="23">
        <f>IFERROR(DATEDIF($C$7,$C$8,"D"),"Error")</f>
        <v>364</v>
      </c>
      <c r="G204" s="23">
        <f>IFERROR(DATEDIF($C$7,$C$8,"MD"),"Error")</f>
        <v>30</v>
      </c>
      <c r="H204" s="23">
        <f>IFERROR(DATEDIF($C$7,$C$8,"YM"),"Error")</f>
        <v>11</v>
      </c>
      <c r="I204" s="23">
        <f>IFERROR(DATEDIF($C$7,$C$8,"YD"),"Error")</f>
        <v>364</v>
      </c>
    </row>
    <row r="205" spans="2:13" x14ac:dyDescent="0.3">
      <c r="B205" s="32">
        <f>C6</f>
        <v>45351</v>
      </c>
      <c r="C205" s="32">
        <f>C5</f>
        <v>45823</v>
      </c>
      <c r="D205" s="23">
        <f>IFERROR(DATEDIF($C$6,$C$5,"Y"),"Error")</f>
        <v>1</v>
      </c>
      <c r="E205" s="23">
        <f>IFERROR(DATEDIF($C$6,$C$5,"M"),"Error")</f>
        <v>15</v>
      </c>
      <c r="F205" s="23">
        <f>IFERROR(DATEDIF($C$6,$C$5,"D"),"Error")</f>
        <v>472</v>
      </c>
      <c r="G205" s="23">
        <f>IFERROR(DATEDIF($C$6,$C$5,"MD"),"Error")</f>
        <v>17</v>
      </c>
      <c r="H205" s="23">
        <f>IFERROR(DATEDIF($C$6,$C$5,"YM"),"Error")</f>
        <v>3</v>
      </c>
      <c r="I205" s="23">
        <f>IFERROR(DATEDIF($C$6,$C$5,"YD"),"Error")</f>
        <v>107</v>
      </c>
    </row>
    <row r="206" spans="2:13" x14ac:dyDescent="0.3">
      <c r="B206" s="32">
        <f>C16</f>
        <v>1</v>
      </c>
      <c r="C206" s="32">
        <f>C17</f>
        <v>73050</v>
      </c>
      <c r="D206" s="23">
        <f>IFERROR(DATEDIF($C$16,$C$17,"Y"),"Error")</f>
        <v>199</v>
      </c>
      <c r="E206" s="23">
        <f>IFERROR(DATEDIF($C$16,$C$17,"M"),"Error")</f>
        <v>2399</v>
      </c>
      <c r="F206" s="23">
        <f>IFERROR(DATEDIF($C$16,$C$17,"D"),"Error")</f>
        <v>73049</v>
      </c>
      <c r="G206" s="23">
        <f>IFERROR(DATEDIF($C$16,$C$17,"MD"),"Error")</f>
        <v>30</v>
      </c>
      <c r="H206" s="23">
        <f>IFERROR(DATEDIF($C$16,$C$17,"YM"),"Error")</f>
        <v>11</v>
      </c>
      <c r="I206" s="23">
        <f>IFERROR(DATEDIF($C$16,$C$17,"YD"),"Error")</f>
        <v>365</v>
      </c>
    </row>
    <row r="207" spans="2:13" x14ac:dyDescent="0.3">
      <c r="B207" s="32">
        <f>C7</f>
        <v>45658</v>
      </c>
      <c r="C207" s="32">
        <f>C9</f>
        <v>45717</v>
      </c>
      <c r="D207" s="23">
        <f>IFERROR(DATEDIF($C$7,$C$9,"Y"),"Error")</f>
        <v>0</v>
      </c>
      <c r="E207" s="23">
        <f>IFERROR(DATEDIF($C$7,$C$9,"M"),"Error")</f>
        <v>2</v>
      </c>
      <c r="F207" s="23">
        <f>IFERROR(DATEDIF($C$7,$C$9,"D"),"Error")</f>
        <v>59</v>
      </c>
      <c r="G207" s="23">
        <f>IFERROR(DATEDIF($C$7,$C$9,"MD"),"Error")</f>
        <v>0</v>
      </c>
      <c r="H207" s="23">
        <f>IFERROR(DATEDIF($C$7,$C$9,"YM"),"Error")</f>
        <v>2</v>
      </c>
      <c r="I207" s="23">
        <f>IFERROR(DATEDIF($C$7,$C$9,"YD"),"Error")</f>
        <v>59</v>
      </c>
    </row>
    <row r="208" spans="2:13" x14ac:dyDescent="0.3">
      <c r="B208" s="32">
        <f>C9</f>
        <v>45717</v>
      </c>
      <c r="C208" s="32">
        <f>C10</f>
        <v>45777</v>
      </c>
      <c r="D208" s="23">
        <f>IFERROR(DATEDIF($C$9,$C$10,"Y"),"Error")</f>
        <v>0</v>
      </c>
      <c r="E208" s="23">
        <f>IFERROR(DATEDIF($C$9,$C$10,"M"),"Error")</f>
        <v>1</v>
      </c>
      <c r="F208" s="23">
        <f>IFERROR(DATEDIF($C$9,$C$10,"D"),"Error")</f>
        <v>60</v>
      </c>
      <c r="G208" s="23">
        <f>IFERROR(DATEDIF($C$9,$C$10,"MD"),"Error")</f>
        <v>29</v>
      </c>
      <c r="H208" s="23">
        <f>IFERROR(DATEDIF($C$9,$C$10,"YM"),"Error")</f>
        <v>1</v>
      </c>
      <c r="I208" s="23">
        <f>IFERROR(DATEDIF($C$9,$C$10,"YD"),"Error")</f>
        <v>60</v>
      </c>
    </row>
    <row r="209" spans="2:13" x14ac:dyDescent="0.3">
      <c r="B209" s="32">
        <f>C10</f>
        <v>45777</v>
      </c>
      <c r="C209" s="32">
        <f>C11</f>
        <v>45808</v>
      </c>
      <c r="D209" s="23">
        <f>IFERROR(DATEDIF($C$10,$C$11,"Y"),"Error")</f>
        <v>0</v>
      </c>
      <c r="E209" s="23">
        <f>IFERROR(DATEDIF($C$10,$C$11,"M"),"Error")</f>
        <v>1</v>
      </c>
      <c r="F209" s="23">
        <f>IFERROR(DATEDIF($C$10,$C$11,"D"),"Error")</f>
        <v>31</v>
      </c>
      <c r="G209" s="23">
        <f>IFERROR(DATEDIF($C$10,$C$11,"MD"),"Error")</f>
        <v>1</v>
      </c>
      <c r="H209" s="23">
        <f>IFERROR(DATEDIF($C$10,$C$11,"YM"),"Error")</f>
        <v>1</v>
      </c>
      <c r="I209" s="23">
        <f>IFERROR(DATEDIF($C$10,$C$11,"YD"),"Error")</f>
        <v>31</v>
      </c>
    </row>
    <row r="210" spans="2:13" x14ac:dyDescent="0.3">
      <c r="B210" s="32">
        <f>C5</f>
        <v>45823</v>
      </c>
      <c r="C210" s="32">
        <f>C5</f>
        <v>45823</v>
      </c>
      <c r="D210" s="23">
        <f>IFERROR(DATEDIF($C$5,$C$5,"Y"),"Error")</f>
        <v>0</v>
      </c>
      <c r="E210" s="23">
        <f>IFERROR(DATEDIF($C$5,$C$5,"M"),"Error")</f>
        <v>0</v>
      </c>
      <c r="F210" s="23">
        <f>IFERROR(DATEDIF($C$5,$C$5,"D"),"Error")</f>
        <v>0</v>
      </c>
      <c r="G210" s="23">
        <f>IFERROR(DATEDIF($C$5,$C$5,"MD"),"Error")</f>
        <v>0</v>
      </c>
      <c r="H210" s="23">
        <f>IFERROR(DATEDIF($C$5,$C$5,"YM"),"Error")</f>
        <v>0</v>
      </c>
      <c r="I210" s="23">
        <f>IFERROR(DATEDIF($C$5,$C$5,"YD"),"Error")</f>
        <v>0</v>
      </c>
    </row>
    <row r="211" spans="2:13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3">
      <c r="B213" s="6" t="s">
        <v>139</v>
      </c>
      <c r="C213" s="6"/>
      <c r="D213" s="6"/>
      <c r="E213" s="6"/>
      <c r="F213" s="6"/>
      <c r="G213" s="6"/>
      <c r="H213" s="6"/>
      <c r="I213" s="6"/>
      <c r="J213" s="6"/>
      <c r="K213" s="6"/>
    </row>
    <row r="214" spans="2:13" x14ac:dyDescent="0.3">
      <c r="B214" s="22" t="s">
        <v>127</v>
      </c>
      <c r="C214" s="31">
        <v>45823</v>
      </c>
      <c r="D214" s="31">
        <v>45351</v>
      </c>
      <c r="E214" s="31">
        <v>45658</v>
      </c>
      <c r="F214" s="31">
        <v>46022</v>
      </c>
      <c r="G214" s="31">
        <v>45717</v>
      </c>
      <c r="H214" s="31">
        <v>45777</v>
      </c>
      <c r="I214" s="31">
        <v>45808</v>
      </c>
      <c r="J214" s="31">
        <v>1</v>
      </c>
      <c r="K214" s="31">
        <v>73050</v>
      </c>
    </row>
    <row r="215" spans="2:13" x14ac:dyDescent="0.3">
      <c r="B215" s="4" t="str">
        <f t="shared" ref="B215:B221" si="10">B5</f>
        <v>Regular Date</v>
      </c>
      <c r="C215" s="23">
        <f>_xlfn.DAYS($C$5,$C$5)</f>
        <v>0</v>
      </c>
      <c r="D215" s="23">
        <f>_xlfn.DAYS($C$6,$C$5)</f>
        <v>-472</v>
      </c>
      <c r="E215" s="23">
        <f>_xlfn.DAYS($C$7,$C$5)</f>
        <v>-165</v>
      </c>
      <c r="F215" s="23">
        <f>_xlfn.DAYS($C$8,$C$5)</f>
        <v>199</v>
      </c>
      <c r="G215" s="23">
        <f>_xlfn.DAYS($C$9,$C$5)</f>
        <v>-106</v>
      </c>
      <c r="H215" s="23">
        <f>_xlfn.DAYS($C$10,$C$5)</f>
        <v>-46</v>
      </c>
      <c r="I215" s="23">
        <f>_xlfn.DAYS($C$11,$C$5)</f>
        <v>-15</v>
      </c>
      <c r="J215" s="23">
        <f>_xlfn.DAYS($C$16,$C$5)</f>
        <v>-45822</v>
      </c>
      <c r="K215" s="23">
        <f>_xlfn.DAYS($C$17,$C$5)</f>
        <v>27227</v>
      </c>
    </row>
    <row r="216" spans="2:13" x14ac:dyDescent="0.3">
      <c r="B216" s="4" t="str">
        <f t="shared" si="10"/>
        <v>Leap Year Date</v>
      </c>
      <c r="C216" s="23">
        <f>_xlfn.DAYS($C$5,$C$6)</f>
        <v>472</v>
      </c>
      <c r="D216" s="23">
        <f>_xlfn.DAYS($C$6,$C$6)</f>
        <v>0</v>
      </c>
      <c r="E216" s="23">
        <f>_xlfn.DAYS($C$7,$C$6)</f>
        <v>307</v>
      </c>
      <c r="F216" s="23">
        <f>_xlfn.DAYS($C$8,$C$6)</f>
        <v>671</v>
      </c>
      <c r="G216" s="23">
        <f>_xlfn.DAYS($C$9,$C$6)</f>
        <v>366</v>
      </c>
      <c r="H216" s="23">
        <f>_xlfn.DAYS($C$10,$C$6)</f>
        <v>426</v>
      </c>
      <c r="I216" s="23">
        <f>_xlfn.DAYS($C$11,$C$6)</f>
        <v>457</v>
      </c>
      <c r="J216" s="23">
        <f>_xlfn.DAYS($C$16,$C$6)</f>
        <v>-45350</v>
      </c>
      <c r="K216" s="23">
        <f>_xlfn.DAYS($C$17,$C$6)</f>
        <v>27699</v>
      </c>
    </row>
    <row r="217" spans="2:13" x14ac:dyDescent="0.3">
      <c r="B217" s="4" t="str">
        <f t="shared" si="10"/>
        <v>Year Start</v>
      </c>
      <c r="C217" s="23">
        <f>_xlfn.DAYS($C$5,$C$7)</f>
        <v>165</v>
      </c>
      <c r="D217" s="23">
        <f>_xlfn.DAYS($C$6,$C$7)</f>
        <v>-307</v>
      </c>
      <c r="E217" s="23">
        <f>_xlfn.DAYS($C$7,$C$7)</f>
        <v>0</v>
      </c>
      <c r="F217" s="23">
        <f>_xlfn.DAYS($C$8,$C$7)</f>
        <v>364</v>
      </c>
      <c r="G217" s="23">
        <f>_xlfn.DAYS($C$9,$C$7)</f>
        <v>59</v>
      </c>
      <c r="H217" s="23">
        <f>_xlfn.DAYS($C$10,$C$7)</f>
        <v>119</v>
      </c>
      <c r="I217" s="23">
        <f>_xlfn.DAYS($C$11,$C$7)</f>
        <v>150</v>
      </c>
      <c r="J217" s="23">
        <f>_xlfn.DAYS($C$16,$C$7)</f>
        <v>-45657</v>
      </c>
      <c r="K217" s="23">
        <f>_xlfn.DAYS($C$17,$C$7)</f>
        <v>27392</v>
      </c>
    </row>
    <row r="218" spans="2:13" x14ac:dyDescent="0.3">
      <c r="B218" s="4" t="str">
        <f t="shared" si="10"/>
        <v>Year End</v>
      </c>
      <c r="C218" s="23">
        <f>_xlfn.DAYS($C$5,$C$8)</f>
        <v>-199</v>
      </c>
      <c r="D218" s="23">
        <f>_xlfn.DAYS($C$6,$C$8)</f>
        <v>-671</v>
      </c>
      <c r="E218" s="23">
        <f>_xlfn.DAYS($C$7,$C$8)</f>
        <v>-364</v>
      </c>
      <c r="F218" s="23">
        <f>_xlfn.DAYS($C$8,$C$8)</f>
        <v>0</v>
      </c>
      <c r="G218" s="23">
        <f>_xlfn.DAYS($C$9,$C$8)</f>
        <v>-305</v>
      </c>
      <c r="H218" s="23">
        <f>_xlfn.DAYS($C$10,$C$8)</f>
        <v>-245</v>
      </c>
      <c r="I218" s="23">
        <f>_xlfn.DAYS($C$11,$C$8)</f>
        <v>-214</v>
      </c>
      <c r="J218" s="23">
        <f>_xlfn.DAYS($C$16,$C$8)</f>
        <v>-46021</v>
      </c>
      <c r="K218" s="23">
        <f>_xlfn.DAYS($C$17,$C$8)</f>
        <v>27028</v>
      </c>
    </row>
    <row r="219" spans="2:13" x14ac:dyDescent="0.3">
      <c r="B219" s="4" t="str">
        <f t="shared" si="10"/>
        <v>Month Start</v>
      </c>
      <c r="C219" s="23">
        <f>_xlfn.DAYS($C$5,$C$9)</f>
        <v>106</v>
      </c>
      <c r="D219" s="23">
        <f>_xlfn.DAYS($C$6,$C$9)</f>
        <v>-366</v>
      </c>
      <c r="E219" s="23">
        <f>_xlfn.DAYS($C$7,$C$9)</f>
        <v>-59</v>
      </c>
      <c r="F219" s="23">
        <f>_xlfn.DAYS($C$8,$C$9)</f>
        <v>305</v>
      </c>
      <c r="G219" s="23">
        <f>_xlfn.DAYS($C$9,$C$9)</f>
        <v>0</v>
      </c>
      <c r="H219" s="23">
        <f>_xlfn.DAYS($C$10,$C$9)</f>
        <v>60</v>
      </c>
      <c r="I219" s="23">
        <f>_xlfn.DAYS($C$11,$C$9)</f>
        <v>91</v>
      </c>
      <c r="J219" s="23">
        <f>_xlfn.DAYS($C$16,$C$9)</f>
        <v>-45716</v>
      </c>
      <c r="K219" s="23">
        <f>_xlfn.DAYS($C$17,$C$9)</f>
        <v>27333</v>
      </c>
    </row>
    <row r="220" spans="2:13" x14ac:dyDescent="0.3">
      <c r="B220" s="4" t="str">
        <f t="shared" si="10"/>
        <v>Month End (30)</v>
      </c>
      <c r="C220" s="23">
        <f>_xlfn.DAYS($C$5,$C$10)</f>
        <v>46</v>
      </c>
      <c r="D220" s="23">
        <f>_xlfn.DAYS($C$6,$C$10)</f>
        <v>-426</v>
      </c>
      <c r="E220" s="23">
        <f>_xlfn.DAYS($C$7,$C$10)</f>
        <v>-119</v>
      </c>
      <c r="F220" s="23">
        <f>_xlfn.DAYS($C$8,$C$10)</f>
        <v>245</v>
      </c>
      <c r="G220" s="23">
        <f>_xlfn.DAYS($C$9,$C$10)</f>
        <v>-60</v>
      </c>
      <c r="H220" s="23">
        <f>_xlfn.DAYS($C$10,$C$10)</f>
        <v>0</v>
      </c>
      <c r="I220" s="23">
        <f>_xlfn.DAYS($C$11,$C$10)</f>
        <v>31</v>
      </c>
      <c r="J220" s="23">
        <f>_xlfn.DAYS($C$16,$C$10)</f>
        <v>-45776</v>
      </c>
      <c r="K220" s="23">
        <f>_xlfn.DAYS($C$17,$C$10)</f>
        <v>27273</v>
      </c>
    </row>
    <row r="221" spans="2:13" x14ac:dyDescent="0.3">
      <c r="B221" s="4" t="str">
        <f t="shared" si="10"/>
        <v>Month End (31)</v>
      </c>
      <c r="C221" s="23">
        <f>_xlfn.DAYS($C$5,$C$11)</f>
        <v>15</v>
      </c>
      <c r="D221" s="23">
        <f>_xlfn.DAYS($C$6,$C$11)</f>
        <v>-457</v>
      </c>
      <c r="E221" s="23">
        <f>_xlfn.DAYS($C$7,$C$11)</f>
        <v>-150</v>
      </c>
      <c r="F221" s="23">
        <f>_xlfn.DAYS($C$8,$C$11)</f>
        <v>214</v>
      </c>
      <c r="G221" s="23">
        <f>_xlfn.DAYS($C$9,$C$11)</f>
        <v>-91</v>
      </c>
      <c r="H221" s="23">
        <f>_xlfn.DAYS($C$10,$C$11)</f>
        <v>-31</v>
      </c>
      <c r="I221" s="23">
        <f>_xlfn.DAYS($C$11,$C$11)</f>
        <v>0</v>
      </c>
      <c r="J221" s="23">
        <f>_xlfn.DAYS($C$16,$C$11)</f>
        <v>-45807</v>
      </c>
      <c r="K221" s="23">
        <f>_xlfn.DAYS($C$17,$C$11)</f>
        <v>27242</v>
      </c>
    </row>
    <row r="222" spans="2:13" x14ac:dyDescent="0.3">
      <c r="B222" s="4" t="str">
        <f>B16</f>
        <v>Far Past Date</v>
      </c>
      <c r="C222" s="23">
        <f>_xlfn.DAYS($C$5,$C$16)</f>
        <v>45822</v>
      </c>
      <c r="D222" s="23">
        <f>_xlfn.DAYS($C$6,$C$16)</f>
        <v>45350</v>
      </c>
      <c r="E222" s="23">
        <f>_xlfn.DAYS($C$7,$C$16)</f>
        <v>45657</v>
      </c>
      <c r="F222" s="23">
        <f>_xlfn.DAYS($C$8,$C$16)</f>
        <v>46021</v>
      </c>
      <c r="G222" s="23">
        <f>_xlfn.DAYS($C$9,$C$16)</f>
        <v>45716</v>
      </c>
      <c r="H222" s="23">
        <f>_xlfn.DAYS($C$10,$C$16)</f>
        <v>45776</v>
      </c>
      <c r="I222" s="23">
        <f>_xlfn.DAYS($C$11,$C$16)</f>
        <v>45807</v>
      </c>
      <c r="J222" s="23">
        <f>_xlfn.DAYS($C$16,$C$16)</f>
        <v>0</v>
      </c>
      <c r="K222" s="23">
        <f>_xlfn.DAYS($C$17,$C$16)</f>
        <v>73049</v>
      </c>
    </row>
    <row r="223" spans="2:13" x14ac:dyDescent="0.3">
      <c r="B223" s="4" t="str">
        <f>B17</f>
        <v>Far Future Date</v>
      </c>
      <c r="C223" s="23">
        <f>_xlfn.DAYS($C$5,$C$17)</f>
        <v>-27227</v>
      </c>
      <c r="D223" s="23">
        <f>_xlfn.DAYS($C$6,$C$17)</f>
        <v>-27699</v>
      </c>
      <c r="E223" s="23">
        <f>_xlfn.DAYS($C$7,$C$17)</f>
        <v>-27392</v>
      </c>
      <c r="F223" s="23">
        <f>_xlfn.DAYS($C$8,$C$17)</f>
        <v>-27028</v>
      </c>
      <c r="G223" s="23">
        <f>_xlfn.DAYS($C$9,$C$17)</f>
        <v>-27333</v>
      </c>
      <c r="H223" s="23">
        <f>_xlfn.DAYS($C$10,$C$17)</f>
        <v>-27273</v>
      </c>
      <c r="I223" s="23">
        <f>_xlfn.DAYS($C$11,$C$17)</f>
        <v>-27242</v>
      </c>
      <c r="J223" s="23">
        <f>_xlfn.DAYS($C$16,$C$17)</f>
        <v>-73049</v>
      </c>
      <c r="K223" s="23">
        <f>_xlfn.DAYS($C$17,$C$17)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25B9-F50B-AE40-BD47-907F981C9C3C}">
  <dimension ref="B2:K1176"/>
  <sheetViews>
    <sheetView workbookViewId="0">
      <selection activeCell="F3" sqref="F3"/>
    </sheetView>
  </sheetViews>
  <sheetFormatPr defaultColWidth="11.19921875" defaultRowHeight="15.6" x14ac:dyDescent="0.3"/>
  <cols>
    <col min="2" max="2" width="25" customWidth="1"/>
    <col min="3" max="11" width="10.19921875" bestFit="1" customWidth="1"/>
  </cols>
  <sheetData>
    <row r="2" spans="2:11" ht="18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6.2" thickBot="1" x14ac:dyDescent="0.35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3">
      <c r="B5" s="4" t="s">
        <v>2</v>
      </c>
      <c r="C5" s="5">
        <v>0</v>
      </c>
      <c r="D5" s="2"/>
      <c r="E5" s="2"/>
      <c r="F5" s="2"/>
      <c r="G5" s="2"/>
      <c r="H5" s="2"/>
      <c r="I5" s="2"/>
      <c r="J5" s="2"/>
      <c r="K5" s="2"/>
    </row>
    <row r="6" spans="2:11" x14ac:dyDescent="0.3">
      <c r="B6" s="4" t="s">
        <v>3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1" x14ac:dyDescent="0.3">
      <c r="B7" s="4" t="s">
        <v>4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1" x14ac:dyDescent="0.3">
      <c r="B8" s="4" t="s">
        <v>5</v>
      </c>
      <c r="C8" s="5">
        <v>42.5</v>
      </c>
      <c r="D8" s="2"/>
      <c r="E8" s="2"/>
      <c r="F8" s="2"/>
      <c r="G8" s="2"/>
      <c r="H8" s="2"/>
      <c r="I8" s="2"/>
      <c r="J8" s="2"/>
      <c r="K8" s="2"/>
    </row>
    <row r="9" spans="2:11" x14ac:dyDescent="0.3">
      <c r="B9" s="4" t="s">
        <v>6</v>
      </c>
      <c r="C9" s="5">
        <v>-42.5</v>
      </c>
      <c r="D9" s="2"/>
      <c r="E9" s="2"/>
      <c r="F9" s="2"/>
      <c r="G9" s="2"/>
      <c r="H9" s="2"/>
      <c r="I9" s="2"/>
      <c r="J9" s="2"/>
      <c r="K9" s="2"/>
    </row>
    <row r="10" spans="2:11" x14ac:dyDescent="0.3">
      <c r="B10" s="4" t="s">
        <v>7</v>
      </c>
      <c r="C10" s="5">
        <f>10^(-307)</f>
        <v>1.0000000000000001E-307</v>
      </c>
      <c r="D10" s="2"/>
      <c r="E10" s="2"/>
      <c r="F10" s="2"/>
      <c r="G10" s="2"/>
      <c r="H10" s="2"/>
      <c r="I10" s="2"/>
      <c r="J10" s="2"/>
      <c r="K10" s="2"/>
    </row>
    <row r="11" spans="2:11" x14ac:dyDescent="0.3">
      <c r="B11" s="4" t="s">
        <v>8</v>
      </c>
      <c r="C11" s="5">
        <f>-10^(-307)</f>
        <v>-9.9999999999999951E-308</v>
      </c>
      <c r="D11" s="2"/>
      <c r="E11" s="2"/>
      <c r="F11" s="2"/>
      <c r="G11" s="2"/>
      <c r="H11" s="2"/>
      <c r="I11" s="2"/>
      <c r="J11" s="2"/>
      <c r="K11" s="2"/>
    </row>
    <row r="12" spans="2:11" x14ac:dyDescent="0.3">
      <c r="B12" s="4" t="s">
        <v>9</v>
      </c>
      <c r="C12" s="5">
        <f>9.99999999999999E+307</f>
        <v>9.9999999999999901E+307</v>
      </c>
      <c r="D12" s="2"/>
      <c r="E12" s="2"/>
      <c r="F12" s="2"/>
      <c r="G12" s="2"/>
      <c r="H12" s="2"/>
      <c r="I12" s="2"/>
      <c r="J12" s="2"/>
      <c r="K12" s="2"/>
    </row>
    <row r="13" spans="2:11" x14ac:dyDescent="0.3">
      <c r="B13" s="4" t="s">
        <v>10</v>
      </c>
      <c r="C13" s="5">
        <f>-9.99999999999999E+307</f>
        <v>-9.9999999999999901E+307</v>
      </c>
      <c r="D13" s="2"/>
      <c r="E13" s="2"/>
      <c r="F13" s="2"/>
      <c r="G13" s="2"/>
      <c r="H13" s="2"/>
      <c r="I13" s="2"/>
      <c r="J13" s="2"/>
      <c r="K13" s="2"/>
    </row>
    <row r="14" spans="2:1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6.2" thickBot="1" x14ac:dyDescent="0.35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3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 x14ac:dyDescent="0.3">
      <c r="B18" s="10">
        <v>0</v>
      </c>
      <c r="C18" s="11">
        <f>$C$5+$C$5</f>
        <v>0</v>
      </c>
      <c r="D18" s="11">
        <f>$C$5+$C$6</f>
        <v>1</v>
      </c>
      <c r="E18" s="11">
        <f>$C$5+$C$7</f>
        <v>-1</v>
      </c>
      <c r="F18" s="11">
        <f>$C$5+$C$8</f>
        <v>42.5</v>
      </c>
      <c r="G18" s="11">
        <f>$C$5+$C$9</f>
        <v>-42.5</v>
      </c>
      <c r="H18" s="11">
        <f>$C$5+$C$10</f>
        <v>1.0000000000000001E-307</v>
      </c>
      <c r="I18" s="11">
        <f>$C$5+$C$11</f>
        <v>-9.9999999999999951E-308</v>
      </c>
      <c r="J18" s="11">
        <f>$C$5+$C$12</f>
        <v>9.9999999999999901E+307</v>
      </c>
      <c r="K18" s="11">
        <f>$C$5+$C$13</f>
        <v>-9.9999999999999901E+307</v>
      </c>
    </row>
    <row r="19" spans="2:11" x14ac:dyDescent="0.3">
      <c r="B19" s="10">
        <v>1</v>
      </c>
      <c r="C19" s="11">
        <f>$C$6+$C$5</f>
        <v>1</v>
      </c>
      <c r="D19" s="11">
        <f>$C$6+$C$6</f>
        <v>2</v>
      </c>
      <c r="E19" s="11">
        <f>$C$6+$C$7</f>
        <v>0</v>
      </c>
      <c r="F19" s="11">
        <f>$C$6+$C$8</f>
        <v>43.5</v>
      </c>
      <c r="G19" s="11">
        <f>$C$6+$C$9</f>
        <v>-41.5</v>
      </c>
      <c r="H19" s="11">
        <f>$C$6+$C$10</f>
        <v>1</v>
      </c>
      <c r="I19" s="11">
        <f>$C$6+$C$11</f>
        <v>1</v>
      </c>
      <c r="J19" s="11">
        <f>$C$6+$C$12</f>
        <v>9.9999999999999901E+307</v>
      </c>
      <c r="K19" s="11">
        <f>$C$6+$C$13</f>
        <v>-9.9999999999999901E+307</v>
      </c>
    </row>
    <row r="20" spans="2:11" x14ac:dyDescent="0.3">
      <c r="B20" s="10">
        <v>-1</v>
      </c>
      <c r="C20" s="11">
        <f>$C$7+$C$5</f>
        <v>-1</v>
      </c>
      <c r="D20" s="11">
        <f>$C$7+$C$6</f>
        <v>0</v>
      </c>
      <c r="E20" s="11">
        <f>$C$7+$C$7</f>
        <v>-2</v>
      </c>
      <c r="F20" s="11">
        <f>$C$7+$C$8</f>
        <v>41.5</v>
      </c>
      <c r="G20" s="11">
        <f>$C$7+$C$9</f>
        <v>-43.5</v>
      </c>
      <c r="H20" s="11">
        <f>$C$7+$C$10</f>
        <v>-1</v>
      </c>
      <c r="I20" s="11">
        <f>$C$7+$C$11</f>
        <v>-1</v>
      </c>
      <c r="J20" s="11">
        <f>$C$7+$C$12</f>
        <v>9.9999999999999901E+307</v>
      </c>
      <c r="K20" s="11">
        <f>$C$7+$C$13</f>
        <v>-9.9999999999999901E+307</v>
      </c>
    </row>
    <row r="21" spans="2:11" x14ac:dyDescent="0.3">
      <c r="B21" s="10">
        <v>42.5</v>
      </c>
      <c r="C21" s="11">
        <f>$C$8+$C$5</f>
        <v>42.5</v>
      </c>
      <c r="D21" s="11">
        <f>$C$8+$C$6</f>
        <v>43.5</v>
      </c>
      <c r="E21" s="11">
        <f>$C$8+$C$7</f>
        <v>41.5</v>
      </c>
      <c r="F21" s="11">
        <f>$C$8+$C$8</f>
        <v>85</v>
      </c>
      <c r="G21" s="11">
        <f>$C$8+$C$9</f>
        <v>0</v>
      </c>
      <c r="H21" s="11">
        <f>$C$8+$C$10</f>
        <v>42.5</v>
      </c>
      <c r="I21" s="11">
        <f>$C$8+$C$11</f>
        <v>42.5</v>
      </c>
      <c r="J21" s="11">
        <f>$C$8+$C$12</f>
        <v>9.9999999999999901E+307</v>
      </c>
      <c r="K21" s="11">
        <f>$C$8+$C$13</f>
        <v>-9.9999999999999901E+307</v>
      </c>
    </row>
    <row r="22" spans="2:11" x14ac:dyDescent="0.3">
      <c r="B22" s="10">
        <v>-42.5</v>
      </c>
      <c r="C22" s="11">
        <f>$C$9+$C$5</f>
        <v>-42.5</v>
      </c>
      <c r="D22" s="11">
        <f>$C$9+$C$6</f>
        <v>-41.5</v>
      </c>
      <c r="E22" s="11">
        <f>$C$9+$C$7</f>
        <v>-43.5</v>
      </c>
      <c r="F22" s="11">
        <f>$C$9+$C$8</f>
        <v>0</v>
      </c>
      <c r="G22" s="11">
        <f>$C$9+$C$9</f>
        <v>-85</v>
      </c>
      <c r="H22" s="11">
        <f>$C$9+$C$10</f>
        <v>-42.5</v>
      </c>
      <c r="I22" s="11">
        <f>$C$9+$C$11</f>
        <v>-42.5</v>
      </c>
      <c r="J22" s="11">
        <f>$C$9+$C$12</f>
        <v>9.9999999999999901E+307</v>
      </c>
      <c r="K22" s="11">
        <f>$C$9+$C$13</f>
        <v>-9.9999999999999901E+307</v>
      </c>
    </row>
    <row r="23" spans="2:11" x14ac:dyDescent="0.3">
      <c r="B23" s="12">
        <v>9.9999999999999991E-308</v>
      </c>
      <c r="C23" s="11">
        <f>$C$10+$C$5</f>
        <v>1.0000000000000001E-307</v>
      </c>
      <c r="D23" s="11">
        <f>$C$10+$C$6</f>
        <v>1</v>
      </c>
      <c r="E23" s="11">
        <f>$C$10+$C$7</f>
        <v>-1</v>
      </c>
      <c r="F23" s="11">
        <f>$C$10+$C$8</f>
        <v>42.5</v>
      </c>
      <c r="G23" s="11">
        <f>$C$10+$C$9</f>
        <v>-42.5</v>
      </c>
      <c r="H23" s="11">
        <f>$C$10+$C$10</f>
        <v>2.0000000000000002E-307</v>
      </c>
      <c r="I23" s="11">
        <f>$C$10+$C$11</f>
        <v>0</v>
      </c>
      <c r="J23" s="11">
        <f>$C$10+$C$12</f>
        <v>9.9999999999999901E+307</v>
      </c>
      <c r="K23" s="11">
        <f>$C$10+$C$13</f>
        <v>-9.9999999999999901E+307</v>
      </c>
    </row>
    <row r="24" spans="2:11" x14ac:dyDescent="0.3">
      <c r="B24" s="12">
        <v>-9.9999999999999991E-308</v>
      </c>
      <c r="C24" s="11">
        <f>$C$11+$C$5</f>
        <v>-9.9999999999999951E-308</v>
      </c>
      <c r="D24" s="11">
        <f>$C$11+$C$6</f>
        <v>1</v>
      </c>
      <c r="E24" s="11">
        <f>$C$11+$C$7</f>
        <v>-1</v>
      </c>
      <c r="F24" s="11">
        <f>$C$11+$C$8</f>
        <v>42.5</v>
      </c>
      <c r="G24" s="11">
        <f>$C$11+$C$9</f>
        <v>-42.5</v>
      </c>
      <c r="H24" s="11">
        <f>$C$11+$C$10</f>
        <v>0</v>
      </c>
      <c r="I24" s="11">
        <f>$C$11+$C$11</f>
        <v>-1.999999999999999E-307</v>
      </c>
      <c r="J24" s="11">
        <f>$C$11+$C$12</f>
        <v>9.9999999999999901E+307</v>
      </c>
      <c r="K24" s="11">
        <f>$C$11+$C$13</f>
        <v>-9.9999999999999901E+307</v>
      </c>
    </row>
    <row r="25" spans="2:11" x14ac:dyDescent="0.3">
      <c r="B25" s="12">
        <v>9.990000000000001E+307</v>
      </c>
      <c r="C25" s="11">
        <f>$C$12+$C$5</f>
        <v>9.9999999999999901E+307</v>
      </c>
      <c r="D25" s="11">
        <f>$C$12+$C$6</f>
        <v>9.9999999999999901E+307</v>
      </c>
      <c r="E25" s="11">
        <f>$C$12+$C$7</f>
        <v>9.9999999999999901E+307</v>
      </c>
      <c r="F25" s="11">
        <f>$C$12+$C$8</f>
        <v>9.9999999999999901E+307</v>
      </c>
      <c r="G25" s="11">
        <f>$C$12+$C$9</f>
        <v>9.9999999999999901E+307</v>
      </c>
      <c r="H25" s="11">
        <f>$C$12+$C$10</f>
        <v>9.9999999999999901E+307</v>
      </c>
      <c r="I25" s="11">
        <f>$C$12+$C$11</f>
        <v>9.9999999999999901E+307</v>
      </c>
      <c r="J25" s="11" t="e">
        <f>$C$12+$C$12</f>
        <v>#NUM!</v>
      </c>
      <c r="K25" s="11">
        <f>$C$12+$C$13</f>
        <v>0</v>
      </c>
    </row>
    <row r="26" spans="2:11" x14ac:dyDescent="0.3">
      <c r="B26" s="12">
        <v>-9.990000000000001E+307</v>
      </c>
      <c r="C26" s="11">
        <f>$C$13+$C$5</f>
        <v>-9.9999999999999901E+307</v>
      </c>
      <c r="D26" s="11">
        <f>$C$13+$C$6</f>
        <v>-9.9999999999999901E+307</v>
      </c>
      <c r="E26" s="11">
        <f>$C$13+$C$7</f>
        <v>-9.9999999999999901E+307</v>
      </c>
      <c r="F26" s="11">
        <f>$C$13+$C$8</f>
        <v>-9.9999999999999901E+307</v>
      </c>
      <c r="G26" s="11">
        <f>$C$13+$C$9</f>
        <v>-9.9999999999999901E+307</v>
      </c>
      <c r="H26" s="11">
        <f>$C$13+$C$10</f>
        <v>-9.9999999999999901E+307</v>
      </c>
      <c r="I26" s="11">
        <f>$C$13+$C$11</f>
        <v>-9.9999999999999901E+307</v>
      </c>
      <c r="J26" s="11">
        <f>$C$13+$C$12</f>
        <v>0</v>
      </c>
      <c r="K26" s="11" t="e">
        <f>$C$13+$C$13</f>
        <v>#NUM!</v>
      </c>
    </row>
    <row r="27" spans="2:1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ht="16.2" thickBot="1" x14ac:dyDescent="0.35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 x14ac:dyDescent="0.3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 x14ac:dyDescent="0.3">
      <c r="B31" s="10">
        <v>0</v>
      </c>
      <c r="C31" s="11">
        <f>$C$5-$C$5</f>
        <v>0</v>
      </c>
      <c r="D31" s="11">
        <f>$C$5-$C$6</f>
        <v>-1</v>
      </c>
      <c r="E31" s="11">
        <f>$C$5-$C$7</f>
        <v>1</v>
      </c>
      <c r="F31" s="11">
        <f>$C$5-$C$8</f>
        <v>-42.5</v>
      </c>
      <c r="G31" s="11">
        <f>$C$5-$C$9</f>
        <v>42.5</v>
      </c>
      <c r="H31" s="11">
        <f>$C$5-$C$10</f>
        <v>-1.0000000000000001E-307</v>
      </c>
      <c r="I31" s="11">
        <f>$C$5-$C$11</f>
        <v>9.9999999999999951E-308</v>
      </c>
      <c r="J31" s="11">
        <f>$C$5-$C$12</f>
        <v>-9.9999999999999901E+307</v>
      </c>
      <c r="K31" s="11">
        <f>$C$5-$C$13</f>
        <v>9.9999999999999901E+307</v>
      </c>
    </row>
    <row r="32" spans="2:11" x14ac:dyDescent="0.3">
      <c r="B32" s="10">
        <v>1</v>
      </c>
      <c r="C32" s="11">
        <f>$C$6-$C$5</f>
        <v>1</v>
      </c>
      <c r="D32" s="11">
        <f>$C$6-$C$6</f>
        <v>0</v>
      </c>
      <c r="E32" s="11">
        <f>$C$6-$C$7</f>
        <v>2</v>
      </c>
      <c r="F32" s="11">
        <f>$C$6-$C$8</f>
        <v>-41.5</v>
      </c>
      <c r="G32" s="11">
        <f>$C$6-$C$9</f>
        <v>43.5</v>
      </c>
      <c r="H32" s="11">
        <f>$C$6-$C$10</f>
        <v>1</v>
      </c>
      <c r="I32" s="11">
        <f>$C$6-$C$11</f>
        <v>1</v>
      </c>
      <c r="J32" s="11">
        <f>$C$6-$C$12</f>
        <v>-9.9999999999999901E+307</v>
      </c>
      <c r="K32" s="11">
        <f>$C$6-$C$13</f>
        <v>9.9999999999999901E+307</v>
      </c>
    </row>
    <row r="33" spans="2:11" x14ac:dyDescent="0.3">
      <c r="B33" s="10">
        <v>-1</v>
      </c>
      <c r="C33" s="11">
        <f>$C$7-$C$5</f>
        <v>-1</v>
      </c>
      <c r="D33" s="11">
        <f>$C$7-$C$6</f>
        <v>-2</v>
      </c>
      <c r="E33" s="11">
        <f>$C$7-$C$7</f>
        <v>0</v>
      </c>
      <c r="F33" s="11">
        <f>$C$7-$C$8</f>
        <v>-43.5</v>
      </c>
      <c r="G33" s="11">
        <f>$C$7-$C$9</f>
        <v>41.5</v>
      </c>
      <c r="H33" s="11">
        <f>$C$7-$C$10</f>
        <v>-1</v>
      </c>
      <c r="I33" s="11">
        <f>$C$7-$C$11</f>
        <v>-1</v>
      </c>
      <c r="J33" s="11">
        <f>$C$7-$C$12</f>
        <v>-9.9999999999999901E+307</v>
      </c>
      <c r="K33" s="11">
        <f>$C$7-$C$13</f>
        <v>9.9999999999999901E+307</v>
      </c>
    </row>
    <row r="34" spans="2:11" x14ac:dyDescent="0.3">
      <c r="B34" s="10">
        <v>42.5</v>
      </c>
      <c r="C34" s="11">
        <f>$C$8-$C$5</f>
        <v>42.5</v>
      </c>
      <c r="D34" s="11">
        <f>$C$8-$C$6</f>
        <v>41.5</v>
      </c>
      <c r="E34" s="11">
        <f>$C$8-$C$7</f>
        <v>43.5</v>
      </c>
      <c r="F34" s="11">
        <f>$C$8-$C$8</f>
        <v>0</v>
      </c>
      <c r="G34" s="11">
        <f>$C$8-$C$9</f>
        <v>85</v>
      </c>
      <c r="H34" s="11">
        <f>$C$8-$C$10</f>
        <v>42.5</v>
      </c>
      <c r="I34" s="11">
        <f>$C$8-$C$11</f>
        <v>42.5</v>
      </c>
      <c r="J34" s="11">
        <f>$C$8-$C$12</f>
        <v>-9.9999999999999901E+307</v>
      </c>
      <c r="K34" s="11">
        <f>$C$8-$C$13</f>
        <v>9.9999999999999901E+307</v>
      </c>
    </row>
    <row r="35" spans="2:11" x14ac:dyDescent="0.3">
      <c r="B35" s="10">
        <v>-42.5</v>
      </c>
      <c r="C35" s="11">
        <f>$C$9-$C$5</f>
        <v>-42.5</v>
      </c>
      <c r="D35" s="11">
        <f>$C$9-$C$6</f>
        <v>-43.5</v>
      </c>
      <c r="E35" s="11">
        <f>$C$9-$C$7</f>
        <v>-41.5</v>
      </c>
      <c r="F35" s="11">
        <f>$C$9-$C$8</f>
        <v>-85</v>
      </c>
      <c r="G35" s="11">
        <f>$C$9-$C$9</f>
        <v>0</v>
      </c>
      <c r="H35" s="11">
        <f>$C$9-$C$10</f>
        <v>-42.5</v>
      </c>
      <c r="I35" s="11">
        <f>$C$9-$C$11</f>
        <v>-42.5</v>
      </c>
      <c r="J35" s="11">
        <f>$C$9-$C$12</f>
        <v>-9.9999999999999901E+307</v>
      </c>
      <c r="K35" s="11">
        <f>$C$9-$C$13</f>
        <v>9.9999999999999901E+307</v>
      </c>
    </row>
    <row r="36" spans="2:11" x14ac:dyDescent="0.3">
      <c r="B36" s="12">
        <v>9.9999999999999991E-308</v>
      </c>
      <c r="C36" s="11">
        <f>$C$10-$C$5</f>
        <v>1.0000000000000001E-307</v>
      </c>
      <c r="D36" s="11">
        <f>$C$10-$C$6</f>
        <v>-1</v>
      </c>
      <c r="E36" s="11">
        <f>$C$10-$C$7</f>
        <v>1</v>
      </c>
      <c r="F36" s="11">
        <f>$C$10-$C$8</f>
        <v>-42.5</v>
      </c>
      <c r="G36" s="11">
        <f>$C$10-$C$9</f>
        <v>42.5</v>
      </c>
      <c r="H36" s="11">
        <f>$C$10-$C$10</f>
        <v>0</v>
      </c>
      <c r="I36" s="11">
        <f>$C$10-$C$11</f>
        <v>1.9999999999999994E-307</v>
      </c>
      <c r="J36" s="11">
        <f>$C$10-$C$12</f>
        <v>-9.9999999999999901E+307</v>
      </c>
      <c r="K36" s="11">
        <f>$C$10-$C$13</f>
        <v>9.9999999999999901E+307</v>
      </c>
    </row>
    <row r="37" spans="2:11" x14ac:dyDescent="0.3">
      <c r="B37" s="12">
        <v>-9.9999999999999991E-308</v>
      </c>
      <c r="C37" s="11">
        <f>$C$11-$C$5</f>
        <v>-9.9999999999999951E-308</v>
      </c>
      <c r="D37" s="11">
        <f>$C$11-$C$6</f>
        <v>-1</v>
      </c>
      <c r="E37" s="11">
        <f>$C$11-$C$7</f>
        <v>1</v>
      </c>
      <c r="F37" s="11">
        <f>$C$11-$C$8</f>
        <v>-42.5</v>
      </c>
      <c r="G37" s="11">
        <f>$C$11-$C$9</f>
        <v>42.5</v>
      </c>
      <c r="H37" s="11">
        <f>$C$11-$C$10</f>
        <v>-1.9999999999999994E-307</v>
      </c>
      <c r="I37" s="11">
        <f>$C$11-$C$11</f>
        <v>0</v>
      </c>
      <c r="J37" s="11">
        <f>$C$11-$C$12</f>
        <v>-9.9999999999999901E+307</v>
      </c>
      <c r="K37" s="11">
        <f>$C$11-$C$13</f>
        <v>9.9999999999999901E+307</v>
      </c>
    </row>
    <row r="38" spans="2:11" x14ac:dyDescent="0.3">
      <c r="B38" s="12">
        <v>9.990000000000001E+307</v>
      </c>
      <c r="C38" s="11">
        <f>$C$12-$C$5</f>
        <v>9.9999999999999901E+307</v>
      </c>
      <c r="D38" s="11">
        <f>$C$12-$C$6</f>
        <v>9.9999999999999901E+307</v>
      </c>
      <c r="E38" s="11">
        <f>$C$12-$C$7</f>
        <v>9.9999999999999901E+307</v>
      </c>
      <c r="F38" s="11">
        <f>$C$12-$C$8</f>
        <v>9.9999999999999901E+307</v>
      </c>
      <c r="G38" s="11">
        <f>$C$12-$C$9</f>
        <v>9.9999999999999901E+307</v>
      </c>
      <c r="H38" s="11">
        <f>$C$12-$C$10</f>
        <v>9.9999999999999901E+307</v>
      </c>
      <c r="I38" s="11">
        <f>$C$12-$C$11</f>
        <v>9.9999999999999901E+307</v>
      </c>
      <c r="J38" s="11">
        <f>$C$12-$C$12</f>
        <v>0</v>
      </c>
      <c r="K38" s="11" t="e">
        <f>$C$12-$C$13</f>
        <v>#NUM!</v>
      </c>
    </row>
    <row r="39" spans="2:11" x14ac:dyDescent="0.3">
      <c r="B39" s="12">
        <v>-9.990000000000001E+307</v>
      </c>
      <c r="C39" s="11">
        <f>$C$13-$C$5</f>
        <v>-9.9999999999999901E+307</v>
      </c>
      <c r="D39" s="11">
        <f>$C$13-$C$6</f>
        <v>-9.9999999999999901E+307</v>
      </c>
      <c r="E39" s="11">
        <f>$C$13-$C$7</f>
        <v>-9.9999999999999901E+307</v>
      </c>
      <c r="F39" s="11">
        <f>$C$13-$C$8</f>
        <v>-9.9999999999999901E+307</v>
      </c>
      <c r="G39" s="11">
        <f>$C$13-$C$9</f>
        <v>-9.9999999999999901E+307</v>
      </c>
      <c r="H39" s="11">
        <f>$C$13-$C$10</f>
        <v>-9.9999999999999901E+307</v>
      </c>
      <c r="I39" s="11">
        <f>$C$13-$C$11</f>
        <v>-9.9999999999999901E+307</v>
      </c>
      <c r="J39" s="11" t="e">
        <f>$C$13-$C$12</f>
        <v>#NUM!</v>
      </c>
      <c r="K39" s="11">
        <f>$C$13-$C$13</f>
        <v>0</v>
      </c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ht="16.2" thickBot="1" x14ac:dyDescent="0.35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3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 x14ac:dyDescent="0.3">
      <c r="B44" s="10">
        <v>0</v>
      </c>
      <c r="C44" s="11">
        <f>$C$5*$C$5</f>
        <v>0</v>
      </c>
      <c r="D44" s="11">
        <f>$C$5*$C$6</f>
        <v>0</v>
      </c>
      <c r="E44" s="11">
        <f>$C$5*$C$7</f>
        <v>0</v>
      </c>
      <c r="F44" s="11">
        <f>$C$5*$C$8</f>
        <v>0</v>
      </c>
      <c r="G44" s="11">
        <f>$C$5*$C$9</f>
        <v>0</v>
      </c>
      <c r="H44" s="11">
        <f>$C$5*$C$10</f>
        <v>0</v>
      </c>
      <c r="I44" s="11">
        <f>$C$5*$C$11</f>
        <v>0</v>
      </c>
      <c r="J44" s="11">
        <f>$C$5*$C$12</f>
        <v>0</v>
      </c>
      <c r="K44" s="11">
        <f>$C$5*$C$13</f>
        <v>0</v>
      </c>
    </row>
    <row r="45" spans="2:11" x14ac:dyDescent="0.3">
      <c r="B45" s="10">
        <v>1</v>
      </c>
      <c r="C45" s="11">
        <f>$C$6*$C$5</f>
        <v>0</v>
      </c>
      <c r="D45" s="11">
        <f>$C$6*$C$6</f>
        <v>1</v>
      </c>
      <c r="E45" s="11">
        <f>$C$6*$C$7</f>
        <v>-1</v>
      </c>
      <c r="F45" s="11">
        <f>$C$6*$C$8</f>
        <v>42.5</v>
      </c>
      <c r="G45" s="11">
        <f>$C$6*$C$9</f>
        <v>-42.5</v>
      </c>
      <c r="H45" s="11">
        <f>$C$6*$C$10</f>
        <v>1.0000000000000001E-307</v>
      </c>
      <c r="I45" s="11">
        <f>$C$6*$C$11</f>
        <v>-9.9999999999999951E-308</v>
      </c>
      <c r="J45" s="11">
        <f>$C$6*$C$12</f>
        <v>9.9999999999999901E+307</v>
      </c>
      <c r="K45" s="11">
        <f>$C$6*$C$13</f>
        <v>-9.9999999999999901E+307</v>
      </c>
    </row>
    <row r="46" spans="2:11" x14ac:dyDescent="0.3">
      <c r="B46" s="10">
        <v>-1</v>
      </c>
      <c r="C46" s="11">
        <f>$C$7*$C$5</f>
        <v>0</v>
      </c>
      <c r="D46" s="11">
        <f>$C$7*$C$6</f>
        <v>-1</v>
      </c>
      <c r="E46" s="11">
        <f>$C$7*$C$7</f>
        <v>1</v>
      </c>
      <c r="F46" s="11">
        <f>$C$7*$C$8</f>
        <v>-42.5</v>
      </c>
      <c r="G46" s="11">
        <f>$C$7*$C$9</f>
        <v>42.5</v>
      </c>
      <c r="H46" s="11">
        <f>$C$7*$C$10</f>
        <v>-1.0000000000000001E-307</v>
      </c>
      <c r="I46" s="11">
        <f>$C$7*$C$11</f>
        <v>9.9999999999999951E-308</v>
      </c>
      <c r="J46" s="11">
        <f>$C$7*$C$12</f>
        <v>-9.9999999999999901E+307</v>
      </c>
      <c r="K46" s="11">
        <f>$C$7*$C$13</f>
        <v>9.9999999999999901E+307</v>
      </c>
    </row>
    <row r="47" spans="2:11" x14ac:dyDescent="0.3">
      <c r="B47" s="10">
        <v>42.5</v>
      </c>
      <c r="C47" s="11">
        <f>$C$8*$C$5</f>
        <v>0</v>
      </c>
      <c r="D47" s="11">
        <f>$C$8*$C$6</f>
        <v>42.5</v>
      </c>
      <c r="E47" s="11">
        <f>$C$8*$C$7</f>
        <v>-42.5</v>
      </c>
      <c r="F47" s="11">
        <f>$C$8*$C$8</f>
        <v>1806.25</v>
      </c>
      <c r="G47" s="11">
        <f>$C$8*$C$9</f>
        <v>-1806.25</v>
      </c>
      <c r="H47" s="11">
        <f>$C$8*$C$10</f>
        <v>4.2500000000000007E-306</v>
      </c>
      <c r="I47" s="11">
        <f>$C$8*$C$11</f>
        <v>-4.2499999999999982E-306</v>
      </c>
      <c r="J47" s="11" t="e">
        <f>$C$8*$C$12</f>
        <v>#NUM!</v>
      </c>
      <c r="K47" s="11" t="e">
        <f>$C$8*$C$13</f>
        <v>#NUM!</v>
      </c>
    </row>
    <row r="48" spans="2:11" x14ac:dyDescent="0.3">
      <c r="B48" s="10">
        <v>-42.5</v>
      </c>
      <c r="C48" s="11">
        <f>$C$9*$C$5</f>
        <v>0</v>
      </c>
      <c r="D48" s="11">
        <f>$C$9*$C$6</f>
        <v>-42.5</v>
      </c>
      <c r="E48" s="11">
        <f>$C$9*$C$7</f>
        <v>42.5</v>
      </c>
      <c r="F48" s="11">
        <f>$C$9*$C$8</f>
        <v>-1806.25</v>
      </c>
      <c r="G48" s="11">
        <f>$C$9*$C$9</f>
        <v>1806.25</v>
      </c>
      <c r="H48" s="11">
        <f>$C$9*$C$10</f>
        <v>-4.2500000000000007E-306</v>
      </c>
      <c r="I48" s="11">
        <f>$C$9*$C$11</f>
        <v>4.2499999999999982E-306</v>
      </c>
      <c r="J48" s="11" t="e">
        <f>$C$9*$C$12</f>
        <v>#NUM!</v>
      </c>
      <c r="K48" s="11" t="e">
        <f>$C$9*$C$13</f>
        <v>#NUM!</v>
      </c>
    </row>
    <row r="49" spans="2:11" x14ac:dyDescent="0.3">
      <c r="B49" s="12">
        <v>9.9999999999999991E-308</v>
      </c>
      <c r="C49" s="11">
        <f>$C$10*$C$5</f>
        <v>0</v>
      </c>
      <c r="D49" s="11">
        <f>$C$10*$C$6</f>
        <v>1.0000000000000001E-307</v>
      </c>
      <c r="E49" s="11">
        <f>$C$10*$C$7</f>
        <v>-1.0000000000000001E-307</v>
      </c>
      <c r="F49" s="11">
        <f>$C$10*$C$8</f>
        <v>4.2500000000000007E-306</v>
      </c>
      <c r="G49" s="11">
        <f>$C$10*$C$9</f>
        <v>-4.2500000000000007E-306</v>
      </c>
      <c r="H49" s="11">
        <f>$C$10*$C$10</f>
        <v>0</v>
      </c>
      <c r="I49" s="11">
        <f>$C$10*$C$11</f>
        <v>0</v>
      </c>
      <c r="J49" s="11">
        <f>$C$10*$C$12</f>
        <v>9.9999999999999911</v>
      </c>
      <c r="K49" s="11">
        <f>$C$10*$C$13</f>
        <v>-9.9999999999999911</v>
      </c>
    </row>
    <row r="50" spans="2:11" x14ac:dyDescent="0.3">
      <c r="B50" s="12">
        <v>-9.9999999999999991E-308</v>
      </c>
      <c r="C50" s="11">
        <f>$C$11*$C$5</f>
        <v>0</v>
      </c>
      <c r="D50" s="11">
        <f>$C$11*$C$6</f>
        <v>-9.9999999999999951E-308</v>
      </c>
      <c r="E50" s="11">
        <f>$C$11*$C$7</f>
        <v>9.9999999999999951E-308</v>
      </c>
      <c r="F50" s="11">
        <f>$C$11*$C$8</f>
        <v>-4.2499999999999982E-306</v>
      </c>
      <c r="G50" s="11">
        <f>$C$11*$C$9</f>
        <v>4.2499999999999982E-306</v>
      </c>
      <c r="H50" s="11">
        <f>$C$11*$C$10</f>
        <v>0</v>
      </c>
      <c r="I50" s="11">
        <f>$C$11*$C$11</f>
        <v>0</v>
      </c>
      <c r="J50" s="11">
        <f>$C$11*$C$12</f>
        <v>-9.9999999999999858</v>
      </c>
      <c r="K50" s="11">
        <f>$C$11*$C$13</f>
        <v>9.9999999999999858</v>
      </c>
    </row>
    <row r="51" spans="2:11" x14ac:dyDescent="0.3">
      <c r="B51" s="12">
        <v>9.990000000000001E+307</v>
      </c>
      <c r="C51" s="11">
        <f>$C$12*$C$5</f>
        <v>0</v>
      </c>
      <c r="D51" s="11">
        <f>$C$12*$C$6</f>
        <v>9.9999999999999901E+307</v>
      </c>
      <c r="E51" s="11">
        <f>$C$12*$C$7</f>
        <v>-9.9999999999999901E+307</v>
      </c>
      <c r="F51" s="11" t="e">
        <f>$C$12*$C$8</f>
        <v>#NUM!</v>
      </c>
      <c r="G51" s="11" t="e">
        <f>$C$12*$C$9</f>
        <v>#NUM!</v>
      </c>
      <c r="H51" s="11">
        <f>$C$12*$C$10</f>
        <v>9.9999999999999911</v>
      </c>
      <c r="I51" s="11">
        <f>$C$12*$C$11</f>
        <v>-9.9999999999999858</v>
      </c>
      <c r="J51" s="11" t="e">
        <f>$C$12*$C$12</f>
        <v>#NUM!</v>
      </c>
      <c r="K51" s="11" t="e">
        <f>$C$12*$C$13</f>
        <v>#NUM!</v>
      </c>
    </row>
    <row r="52" spans="2:11" x14ac:dyDescent="0.3">
      <c r="B52" s="12">
        <v>-9.990000000000001E+307</v>
      </c>
      <c r="C52" s="11">
        <f>$C$13*$C$5</f>
        <v>0</v>
      </c>
      <c r="D52" s="11">
        <f>$C$13*$C$6</f>
        <v>-9.9999999999999901E+307</v>
      </c>
      <c r="E52" s="11">
        <f>$C$13*$C$7</f>
        <v>9.9999999999999901E+307</v>
      </c>
      <c r="F52" s="11" t="e">
        <f>$C$13*$C$8</f>
        <v>#NUM!</v>
      </c>
      <c r="G52" s="11" t="e">
        <f>$C$13*$C$9</f>
        <v>#NUM!</v>
      </c>
      <c r="H52" s="11">
        <f>$C$13*$C$10</f>
        <v>-9.9999999999999911</v>
      </c>
      <c r="I52" s="11">
        <f>$C$13*$C$11</f>
        <v>9.9999999999999858</v>
      </c>
      <c r="J52" s="11" t="e">
        <f>$C$13*$C$12</f>
        <v>#NUM!</v>
      </c>
      <c r="K52" s="11" t="e">
        <f>$C$13*$C$13</f>
        <v>#NUM!</v>
      </c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ht="16.2" thickBot="1" x14ac:dyDescent="0.35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x14ac:dyDescent="0.3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 x14ac:dyDescent="0.3">
      <c r="B57" s="10">
        <v>0</v>
      </c>
      <c r="C57" s="11" t="e">
        <f>$C$5/$C$5</f>
        <v>#DIV/0!</v>
      </c>
      <c r="D57" s="11">
        <f>$C$5/$C$6</f>
        <v>0</v>
      </c>
      <c r="E57" s="11">
        <f>$C$5/$C$7</f>
        <v>0</v>
      </c>
      <c r="F57" s="11">
        <f>$C$5/$C$8</f>
        <v>0</v>
      </c>
      <c r="G57" s="11">
        <f>$C$5/$C$9</f>
        <v>0</v>
      </c>
      <c r="H57" s="11">
        <f>$C$5/$C$10</f>
        <v>0</v>
      </c>
      <c r="I57" s="11">
        <f>$C$5/$C$11</f>
        <v>0</v>
      </c>
      <c r="J57" s="11">
        <f>$C$5/$C$12</f>
        <v>0</v>
      </c>
      <c r="K57" s="11">
        <f>$C$5/$C$13</f>
        <v>0</v>
      </c>
    </row>
    <row r="58" spans="2:11" x14ac:dyDescent="0.3">
      <c r="B58" s="10">
        <v>1</v>
      </c>
      <c r="C58" s="11" t="e">
        <f>$C$6/$C$5</f>
        <v>#DIV/0!</v>
      </c>
      <c r="D58" s="11">
        <f>$C$6/$C$6</f>
        <v>1</v>
      </c>
      <c r="E58" s="11">
        <f>$C$6/$C$7</f>
        <v>-1</v>
      </c>
      <c r="F58" s="11">
        <f>$C$6/$C$8</f>
        <v>2.3529411764705882E-2</v>
      </c>
      <c r="G58" s="11">
        <f>$C$6/$C$9</f>
        <v>-2.3529411764705882E-2</v>
      </c>
      <c r="H58" s="11">
        <f>$C$6/$C$10</f>
        <v>9.9999999999999986E+306</v>
      </c>
      <c r="I58" s="11">
        <f>$C$6/$C$11</f>
        <v>-1.0000000000000005E+307</v>
      </c>
      <c r="J58" s="11">
        <f>$C$6/$C$12</f>
        <v>0</v>
      </c>
      <c r="K58" s="11">
        <f>$C$6/$C$13</f>
        <v>0</v>
      </c>
    </row>
    <row r="59" spans="2:11" x14ac:dyDescent="0.3">
      <c r="B59" s="10">
        <v>-1</v>
      </c>
      <c r="C59" s="11" t="e">
        <f>$C$7/$C$5</f>
        <v>#DIV/0!</v>
      </c>
      <c r="D59" s="11">
        <f>$C$7/$C$6</f>
        <v>-1</v>
      </c>
      <c r="E59" s="11">
        <f>$C$7/$C$7</f>
        <v>1</v>
      </c>
      <c r="F59" s="11">
        <f>$C$7/$C$8</f>
        <v>-2.3529411764705882E-2</v>
      </c>
      <c r="G59" s="11">
        <f>$C$7/$C$9</f>
        <v>2.3529411764705882E-2</v>
      </c>
      <c r="H59" s="11">
        <f>$C$7/$C$10</f>
        <v>-9.9999999999999986E+306</v>
      </c>
      <c r="I59" s="11">
        <f>$C$7/$C$11</f>
        <v>1.0000000000000005E+307</v>
      </c>
      <c r="J59" s="11">
        <f>$C$7/$C$12</f>
        <v>0</v>
      </c>
      <c r="K59" s="11">
        <f>$C$7/$C$13</f>
        <v>0</v>
      </c>
    </row>
    <row r="60" spans="2:11" x14ac:dyDescent="0.3">
      <c r="B60" s="10">
        <v>42.5</v>
      </c>
      <c r="C60" s="11" t="e">
        <f>$C$8/$C$5</f>
        <v>#DIV/0!</v>
      </c>
      <c r="D60" s="11">
        <f>$C$8/$C$6</f>
        <v>42.5</v>
      </c>
      <c r="E60" s="11">
        <f>$C$8/$C$7</f>
        <v>-42.5</v>
      </c>
      <c r="F60" s="11">
        <f>$C$8/$C$8</f>
        <v>1</v>
      </c>
      <c r="G60" s="11">
        <f>$C$8/$C$9</f>
        <v>-1</v>
      </c>
      <c r="H60" s="11" t="e">
        <f>$C$8/$C$10</f>
        <v>#NUM!</v>
      </c>
      <c r="I60" s="11" t="e">
        <f>$C$8/$C$11</f>
        <v>#NUM!</v>
      </c>
      <c r="J60" s="11">
        <f>$C$8/$C$12</f>
        <v>4.2500000000000045E-307</v>
      </c>
      <c r="K60" s="11">
        <f>$C$8/$C$13</f>
        <v>-4.2500000000000045E-307</v>
      </c>
    </row>
    <row r="61" spans="2:11" x14ac:dyDescent="0.3">
      <c r="B61" s="10">
        <v>-42.5</v>
      </c>
      <c r="C61" s="11" t="e">
        <f>$C$9/$C$5</f>
        <v>#DIV/0!</v>
      </c>
      <c r="D61" s="11">
        <f>$C$9/$C$6</f>
        <v>-42.5</v>
      </c>
      <c r="E61" s="11">
        <f>$C$9/$C$7</f>
        <v>42.5</v>
      </c>
      <c r="F61" s="11">
        <f>$C$9/$C$8</f>
        <v>-1</v>
      </c>
      <c r="G61" s="11">
        <f>$C$9/$C$9</f>
        <v>1</v>
      </c>
      <c r="H61" s="11" t="e">
        <f>$C$9/$C$10</f>
        <v>#NUM!</v>
      </c>
      <c r="I61" s="11" t="e">
        <f>$C$9/$C$11</f>
        <v>#NUM!</v>
      </c>
      <c r="J61" s="11">
        <f>$C$9/$C$12</f>
        <v>-4.2500000000000045E-307</v>
      </c>
      <c r="K61" s="11">
        <f>$C$9/$C$13</f>
        <v>4.2500000000000045E-307</v>
      </c>
    </row>
    <row r="62" spans="2:11" x14ac:dyDescent="0.3">
      <c r="B62" s="12">
        <v>9.9999999999999991E-308</v>
      </c>
      <c r="C62" s="11" t="e">
        <f>$C$10/$C$5</f>
        <v>#DIV/0!</v>
      </c>
      <c r="D62" s="11">
        <f>$C$10/$C$6</f>
        <v>1.0000000000000001E-307</v>
      </c>
      <c r="E62" s="11">
        <f>$C$10/$C$7</f>
        <v>-1.0000000000000001E-307</v>
      </c>
      <c r="F62" s="11">
        <f>$C$10/$C$8</f>
        <v>0</v>
      </c>
      <c r="G62" s="11">
        <f>$C$10/$C$9</f>
        <v>0</v>
      </c>
      <c r="H62" s="11">
        <f>$C$10/$C$10</f>
        <v>1</v>
      </c>
      <c r="I62" s="11">
        <f>$C$10/$C$11</f>
        <v>-1.0000000000000007</v>
      </c>
      <c r="J62" s="11">
        <f>$C$10/$C$12</f>
        <v>0</v>
      </c>
      <c r="K62" s="11">
        <f>$C$10/$C$13</f>
        <v>0</v>
      </c>
    </row>
    <row r="63" spans="2:11" x14ac:dyDescent="0.3">
      <c r="B63" s="12">
        <v>-9.9999999999999991E-308</v>
      </c>
      <c r="C63" s="11" t="e">
        <f>$C$11/$C$5</f>
        <v>#DIV/0!</v>
      </c>
      <c r="D63" s="11">
        <f>$C$11/$C$6</f>
        <v>-9.9999999999999951E-308</v>
      </c>
      <c r="E63" s="11">
        <f>$C$11/$C$7</f>
        <v>9.9999999999999951E-308</v>
      </c>
      <c r="F63" s="11">
        <f>$C$11/$C$8</f>
        <v>0</v>
      </c>
      <c r="G63" s="11">
        <f>$C$11/$C$9</f>
        <v>0</v>
      </c>
      <c r="H63" s="11">
        <f>$C$11/$C$10</f>
        <v>-0.99999999999999944</v>
      </c>
      <c r="I63" s="11">
        <f>$C$11/$C$11</f>
        <v>1</v>
      </c>
      <c r="J63" s="11">
        <f>$C$11/$C$12</f>
        <v>0</v>
      </c>
      <c r="K63" s="11">
        <f>$C$11/$C$13</f>
        <v>0</v>
      </c>
    </row>
    <row r="64" spans="2:11" x14ac:dyDescent="0.3">
      <c r="B64" s="12">
        <v>9.990000000000001E+307</v>
      </c>
      <c r="C64" s="11" t="e">
        <f>$C$12/$C$5</f>
        <v>#DIV/0!</v>
      </c>
      <c r="D64" s="11">
        <f>$C$12/$C$6</f>
        <v>9.9999999999999901E+307</v>
      </c>
      <c r="E64" s="11">
        <f>$C$12/$C$7</f>
        <v>-9.9999999999999901E+307</v>
      </c>
      <c r="F64" s="11">
        <f>$C$12/$C$8</f>
        <v>2.3529411764705858E+306</v>
      </c>
      <c r="G64" s="11">
        <f>$C$12/$C$9</f>
        <v>-2.3529411764705858E+306</v>
      </c>
      <c r="H64" s="11" t="e">
        <f>$C$12/$C$10</f>
        <v>#NUM!</v>
      </c>
      <c r="I64" s="11" t="e">
        <f>$C$12/$C$11</f>
        <v>#NUM!</v>
      </c>
      <c r="J64" s="11">
        <f>$C$12/$C$12</f>
        <v>1</v>
      </c>
      <c r="K64" s="11">
        <f>$C$12/$C$13</f>
        <v>-1</v>
      </c>
    </row>
    <row r="65" spans="2:11" x14ac:dyDescent="0.3">
      <c r="B65" s="12">
        <v>-9.990000000000001E+307</v>
      </c>
      <c r="C65" s="11" t="e">
        <f>$C$13/$C$5</f>
        <v>#DIV/0!</v>
      </c>
      <c r="D65" s="11">
        <f>$C$13/$C$6</f>
        <v>-9.9999999999999901E+307</v>
      </c>
      <c r="E65" s="11">
        <f>$C$13/$C$7</f>
        <v>9.9999999999999901E+307</v>
      </c>
      <c r="F65" s="11">
        <f>$C$13/$C$8</f>
        <v>-2.3529411764705858E+306</v>
      </c>
      <c r="G65" s="11">
        <f>$C$13/$C$9</f>
        <v>2.3529411764705858E+306</v>
      </c>
      <c r="H65" s="11" t="e">
        <f>$C$13/$C$10</f>
        <v>#NUM!</v>
      </c>
      <c r="I65" s="11" t="e">
        <f>$C$13/$C$11</f>
        <v>#NUM!</v>
      </c>
      <c r="J65" s="11">
        <f>$C$13/$C$12</f>
        <v>-1</v>
      </c>
      <c r="K65" s="11">
        <f>$C$13/$C$13</f>
        <v>1</v>
      </c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ht="16.2" thickBot="1" x14ac:dyDescent="0.35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 x14ac:dyDescent="0.3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 x14ac:dyDescent="0.3">
      <c r="B70" s="10">
        <v>0</v>
      </c>
      <c r="C70" s="11" t="e">
        <f>POWER($C$5,$C$5)</f>
        <v>#NUM!</v>
      </c>
      <c r="D70" s="11">
        <f>POWER($C$5,$C$6)</f>
        <v>0</v>
      </c>
      <c r="E70" s="11" t="e">
        <f>POWER($C$5,$C$7)</f>
        <v>#DIV/0!</v>
      </c>
      <c r="F70" s="11">
        <f>POWER($C$5,$C$8)</f>
        <v>0</v>
      </c>
      <c r="G70" s="11" t="e">
        <f>POWER($C$5,$C$9)</f>
        <v>#DIV/0!</v>
      </c>
      <c r="H70" s="11">
        <f>POWER($C$5,$C$10)</f>
        <v>0</v>
      </c>
      <c r="I70" s="11" t="e">
        <f>POWER($C$5,$C$11)</f>
        <v>#DIV/0!</v>
      </c>
      <c r="J70" s="11">
        <f>POWER($C$5,$C$12)</f>
        <v>0</v>
      </c>
      <c r="K70" s="11" t="e">
        <f>POWER($C$5,$C$13)</f>
        <v>#DIV/0!</v>
      </c>
    </row>
    <row r="71" spans="2:11" x14ac:dyDescent="0.3">
      <c r="B71" s="10">
        <v>1</v>
      </c>
      <c r="C71" s="11">
        <f>POWER($C$6,$C$5)</f>
        <v>1</v>
      </c>
      <c r="D71" s="11">
        <f>POWER($C$6,$C$6)</f>
        <v>1</v>
      </c>
      <c r="E71" s="11">
        <f>POWER($C$6,$C$7)</f>
        <v>1</v>
      </c>
      <c r="F71" s="11">
        <f>POWER($C$6,$C$8)</f>
        <v>1</v>
      </c>
      <c r="G71" s="11">
        <f>POWER($C$6,$C$9)</f>
        <v>1</v>
      </c>
      <c r="H71" s="11">
        <f>POWER($C$6,$C$10)</f>
        <v>1</v>
      </c>
      <c r="I71" s="11">
        <f>POWER($C$6,$C$11)</f>
        <v>1</v>
      </c>
      <c r="J71" s="11">
        <f>POWER($C$6,$C$12)</f>
        <v>1</v>
      </c>
      <c r="K71" s="11">
        <f>POWER($C$6,$C$13)</f>
        <v>1</v>
      </c>
    </row>
    <row r="72" spans="2:11" x14ac:dyDescent="0.3">
      <c r="B72" s="10">
        <v>-1</v>
      </c>
      <c r="C72" s="11">
        <f>POWER($C$7,$C$5)</f>
        <v>1</v>
      </c>
      <c r="D72" s="11">
        <f>POWER($C$7,$C$6)</f>
        <v>-1</v>
      </c>
      <c r="E72" s="11">
        <f>POWER($C$7,$C$7)</f>
        <v>-1</v>
      </c>
      <c r="F72" s="11" t="e">
        <f>POWER($C$7,$C$8)</f>
        <v>#NUM!</v>
      </c>
      <c r="G72" s="11" t="e">
        <f>POWER($C$7,$C$9)</f>
        <v>#NUM!</v>
      </c>
      <c r="H72" s="11" t="e">
        <f>POWER($C$7,$C$10)</f>
        <v>#NUM!</v>
      </c>
      <c r="I72" s="11" t="e">
        <f>POWER($C$7,$C$11)</f>
        <v>#NUM!</v>
      </c>
      <c r="J72" s="11" t="e">
        <f>POWER($C$7,$C$12)</f>
        <v>#NUM!</v>
      </c>
      <c r="K72" s="11" t="e">
        <f>POWER($C$7,$C$13)</f>
        <v>#NUM!</v>
      </c>
    </row>
    <row r="73" spans="2:11" x14ac:dyDescent="0.3">
      <c r="B73" s="10">
        <v>42.5</v>
      </c>
      <c r="C73" s="11">
        <f>POWER($C$8,$C$5)</f>
        <v>1</v>
      </c>
      <c r="D73" s="11">
        <f>POWER($C$8,$C$6)</f>
        <v>42.5</v>
      </c>
      <c r="E73" s="11">
        <f>POWER($C$8,$C$7)</f>
        <v>2.3529411764705882E-2</v>
      </c>
      <c r="F73" s="11">
        <f>POWER($C$8,$C$8)</f>
        <v>1.6089017613873198E+69</v>
      </c>
      <c r="G73" s="11">
        <f>POWER($C$8,$C$9)</f>
        <v>6.2154198845411321E-70</v>
      </c>
      <c r="H73" s="11">
        <f>POWER($C$8,$C$10)</f>
        <v>1</v>
      </c>
      <c r="I73" s="11">
        <f>POWER($C$8,$C$11)</f>
        <v>1</v>
      </c>
      <c r="J73" s="11" t="e">
        <f>POWER($C$8,$C$12)</f>
        <v>#NUM!</v>
      </c>
      <c r="K73" s="11">
        <f>POWER($C$8,$C$13)</f>
        <v>0</v>
      </c>
    </row>
    <row r="74" spans="2:11" x14ac:dyDescent="0.3">
      <c r="B74" s="10">
        <v>-42.5</v>
      </c>
      <c r="C74" s="11">
        <f>POWER($C$9,$C$5)</f>
        <v>1</v>
      </c>
      <c r="D74" s="11">
        <f>POWER($C$9,$C$6)</f>
        <v>-42.5</v>
      </c>
      <c r="E74" s="11">
        <f>POWER($C$9,$C$7)</f>
        <v>-2.3529411764705882E-2</v>
      </c>
      <c r="F74" s="11" t="e">
        <f>POWER($C$9,$C$8)</f>
        <v>#NUM!</v>
      </c>
      <c r="G74" s="11" t="e">
        <f>POWER($C$9,$C$9)</f>
        <v>#NUM!</v>
      </c>
      <c r="H74" s="11" t="e">
        <f>POWER($C$9,$C$10)</f>
        <v>#NUM!</v>
      </c>
      <c r="I74" s="11" t="e">
        <f>POWER($C$9,$C$11)</f>
        <v>#NUM!</v>
      </c>
      <c r="J74" s="11" t="e">
        <f>POWER($C$9,$C$12)</f>
        <v>#NUM!</v>
      </c>
      <c r="K74" s="11" t="e">
        <f>POWER($C$9,$C$13)</f>
        <v>#NUM!</v>
      </c>
    </row>
    <row r="75" spans="2:11" x14ac:dyDescent="0.3">
      <c r="B75" s="12">
        <v>9.9999999999999991E-308</v>
      </c>
      <c r="C75" s="11">
        <f>POWER($C$10,$C$5)</f>
        <v>1</v>
      </c>
      <c r="D75" s="11">
        <f>POWER($C$10,$C$6)</f>
        <v>1.0000000000000001E-307</v>
      </c>
      <c r="E75" s="11">
        <f>POWER($C$10,$C$7)</f>
        <v>9.9999999999999986E+306</v>
      </c>
      <c r="F75" s="11">
        <f>POWER($C$10,$C$8)</f>
        <v>0</v>
      </c>
      <c r="G75" s="11" t="e">
        <f>POWER($C$10,$C$9)</f>
        <v>#DIV/0!</v>
      </c>
      <c r="H75" s="11">
        <f>POWER($C$10,$C$10)</f>
        <v>1</v>
      </c>
      <c r="I75" s="11">
        <f>POWER($C$10,$C$11)</f>
        <v>1</v>
      </c>
      <c r="J75" s="11" t="e">
        <f>POWER($C$10,$C$12)</f>
        <v>#NUM!</v>
      </c>
      <c r="K75" s="11">
        <f>POWER($C$10,$C$13)</f>
        <v>0</v>
      </c>
    </row>
    <row r="76" spans="2:11" x14ac:dyDescent="0.3">
      <c r="B76" s="12">
        <v>-9.9999999999999991E-308</v>
      </c>
      <c r="C76" s="11">
        <f>POWER($C$11,$C$5)</f>
        <v>1</v>
      </c>
      <c r="D76" s="11">
        <f>POWER($C$11,$C$6)</f>
        <v>-9.9999999999999951E-308</v>
      </c>
      <c r="E76" s="11">
        <f>POWER($C$11,$C$7)</f>
        <v>-1.0000000000000005E+307</v>
      </c>
      <c r="F76" s="11" t="e">
        <f>POWER($C$11,$C$8)</f>
        <v>#NUM!</v>
      </c>
      <c r="G76" s="11" t="e">
        <f>POWER($C$11,$C$9)</f>
        <v>#NUM!</v>
      </c>
      <c r="H76" s="11" t="e">
        <f>POWER($C$11,$C$10)</f>
        <v>#NUM!</v>
      </c>
      <c r="I76" s="11" t="e">
        <f>POWER($C$11,$C$11)</f>
        <v>#NUM!</v>
      </c>
      <c r="J76" s="11" t="e">
        <f>POWER($C$11,$C$12)</f>
        <v>#NUM!</v>
      </c>
      <c r="K76" s="11" t="e">
        <f>POWER($C$11,$C$13)</f>
        <v>#NUM!</v>
      </c>
    </row>
    <row r="77" spans="2:11" x14ac:dyDescent="0.3">
      <c r="B77" s="12">
        <v>9.990000000000001E+307</v>
      </c>
      <c r="C77" s="11">
        <f>POWER($C$12,$C$5)</f>
        <v>1</v>
      </c>
      <c r="D77" s="11">
        <f>POWER($C$12,$C$6)</f>
        <v>9.9999999999999901E+307</v>
      </c>
      <c r="E77" s="11">
        <f>POWER($C$12,$C$7)</f>
        <v>0</v>
      </c>
      <c r="F77" s="11" t="e">
        <f>POWER($C$12,$C$8)</f>
        <v>#NUM!</v>
      </c>
      <c r="G77" s="11">
        <f>POWER($C$12,$C$9)</f>
        <v>0</v>
      </c>
      <c r="H77" s="11">
        <f>POWER($C$12,$C$10)</f>
        <v>1</v>
      </c>
      <c r="I77" s="11">
        <f>POWER($C$12,$C$11)</f>
        <v>1</v>
      </c>
      <c r="J77" s="11" t="e">
        <f>POWER($C$12,$C$12)</f>
        <v>#NUM!</v>
      </c>
      <c r="K77" s="11">
        <f>POWER($C$12,$C$13)</f>
        <v>0</v>
      </c>
    </row>
    <row r="78" spans="2:11" x14ac:dyDescent="0.3">
      <c r="B78" s="12">
        <v>-9.990000000000001E+307</v>
      </c>
      <c r="C78" s="11">
        <f>POWER($C$13,$C$5)</f>
        <v>1</v>
      </c>
      <c r="D78" s="11">
        <f>POWER($C$13,$C$6)</f>
        <v>-9.9999999999999901E+307</v>
      </c>
      <c r="E78" s="11">
        <f>POWER($C$13,$C$7)</f>
        <v>0</v>
      </c>
      <c r="F78" s="11" t="e">
        <f>POWER($C$13,$C$8)</f>
        <v>#NUM!</v>
      </c>
      <c r="G78" s="11" t="e">
        <f>POWER($C$13,$C$9)</f>
        <v>#NUM!</v>
      </c>
      <c r="H78" s="11" t="e">
        <f>POWER($C$13,$C$10)</f>
        <v>#NUM!</v>
      </c>
      <c r="I78" s="11" t="e">
        <f>POWER($C$13,$C$11)</f>
        <v>#NUM!</v>
      </c>
      <c r="J78" s="11" t="e">
        <f>POWER($C$13,$C$12)</f>
        <v>#NUM!</v>
      </c>
      <c r="K78" s="11" t="e">
        <f>POWER($C$13,$C$13)</f>
        <v>#NUM!</v>
      </c>
    </row>
    <row r="79" spans="2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ht="16.2" thickBot="1" x14ac:dyDescent="0.35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 x14ac:dyDescent="0.3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 x14ac:dyDescent="0.3">
      <c r="B83" s="10">
        <v>0</v>
      </c>
      <c r="C83" s="11" t="e">
        <f>MOD($C$5,$C$5)</f>
        <v>#DIV/0!</v>
      </c>
      <c r="D83" s="11">
        <f>MOD($C$5,$C$6)</f>
        <v>0</v>
      </c>
      <c r="E83" s="11">
        <f>MOD($C$5,$C$7)</f>
        <v>0</v>
      </c>
      <c r="F83" s="11">
        <f>MOD($C$5,$C$8)</f>
        <v>0</v>
      </c>
      <c r="G83" s="11">
        <f>MOD($C$5,$C$9)</f>
        <v>0</v>
      </c>
      <c r="H83" s="11">
        <f>MOD($C$5,$C$10)</f>
        <v>0</v>
      </c>
      <c r="I83" s="11">
        <f>MOD($C$5,$C$11)</f>
        <v>0</v>
      </c>
      <c r="J83" s="11">
        <f>MOD($C$5,$C$12)</f>
        <v>0</v>
      </c>
      <c r="K83" s="11">
        <f>MOD($C$5,$C$13)</f>
        <v>0</v>
      </c>
    </row>
    <row r="84" spans="2:11" x14ac:dyDescent="0.3">
      <c r="B84" s="10">
        <v>1</v>
      </c>
      <c r="C84" s="11" t="e">
        <f>MOD($C$6,$C$5)</f>
        <v>#DIV/0!</v>
      </c>
      <c r="D84" s="11">
        <f>MOD($C$6,$C$6)</f>
        <v>0</v>
      </c>
      <c r="E84" s="11">
        <f>MOD($C$6,$C$7)</f>
        <v>0</v>
      </c>
      <c r="F84" s="11">
        <f>MOD($C$6,$C$8)</f>
        <v>1</v>
      </c>
      <c r="G84" s="11">
        <f>MOD($C$6,$C$9)</f>
        <v>-41.5</v>
      </c>
      <c r="H84" s="11" t="e">
        <f>MOD($C$6,$C$10)</f>
        <v>#NUM!</v>
      </c>
      <c r="I84" s="11" t="e">
        <f>MOD($C$6,$C$11)</f>
        <v>#NUM!</v>
      </c>
      <c r="J84" s="11">
        <f>MOD($C$6,$C$12)</f>
        <v>1</v>
      </c>
      <c r="K84" s="11">
        <f>MOD($C$6,$C$13)</f>
        <v>0</v>
      </c>
    </row>
    <row r="85" spans="2:11" x14ac:dyDescent="0.3">
      <c r="B85" s="10">
        <v>-1</v>
      </c>
      <c r="C85" s="11" t="e">
        <f>MOD($C$7,$C$5)</f>
        <v>#DIV/0!</v>
      </c>
      <c r="D85" s="11">
        <f>MOD($C$7,$C$6)</f>
        <v>0</v>
      </c>
      <c r="E85" s="11">
        <f>MOD($C$7,$C$7)</f>
        <v>0</v>
      </c>
      <c r="F85" s="11">
        <f>MOD($C$7,$C$8)</f>
        <v>41.5</v>
      </c>
      <c r="G85" s="11">
        <f>MOD($C$7,$C$9)</f>
        <v>-1</v>
      </c>
      <c r="H85" s="11" t="e">
        <f>MOD($C$7,$C$10)</f>
        <v>#NUM!</v>
      </c>
      <c r="I85" s="11" t="e">
        <f>MOD($C$7,$C$11)</f>
        <v>#NUM!</v>
      </c>
      <c r="J85" s="11">
        <f>MOD($C$7,$C$12)</f>
        <v>0</v>
      </c>
      <c r="K85" s="11">
        <f>MOD($C$7,$C$13)</f>
        <v>-1</v>
      </c>
    </row>
    <row r="86" spans="2:11" x14ac:dyDescent="0.3">
      <c r="B86" s="10">
        <v>42.5</v>
      </c>
      <c r="C86" s="11" t="e">
        <f>MOD($C$8,$C$5)</f>
        <v>#DIV/0!</v>
      </c>
      <c r="D86" s="11">
        <f>MOD($C$8,$C$6)</f>
        <v>0.5</v>
      </c>
      <c r="E86" s="11">
        <f>MOD($C$8,$C$7)</f>
        <v>-0.5</v>
      </c>
      <c r="F86" s="11">
        <f>MOD($C$8,$C$8)</f>
        <v>0</v>
      </c>
      <c r="G86" s="11">
        <f>MOD($C$8,$C$9)</f>
        <v>0</v>
      </c>
      <c r="H86" s="11" t="e">
        <f>MOD($C$8,$C$10)</f>
        <v>#NUM!</v>
      </c>
      <c r="I86" s="11" t="e">
        <f>MOD($C$8,$C$11)</f>
        <v>#NUM!</v>
      </c>
      <c r="J86" s="11">
        <f>MOD($C$8,$C$12)</f>
        <v>42.5</v>
      </c>
      <c r="K86" s="11">
        <f>MOD($C$8,$C$13)</f>
        <v>0</v>
      </c>
    </row>
    <row r="87" spans="2:11" x14ac:dyDescent="0.3">
      <c r="B87" s="10">
        <v>-42.5</v>
      </c>
      <c r="C87" s="11" t="e">
        <f>MOD($C$9,$C$5)</f>
        <v>#DIV/0!</v>
      </c>
      <c r="D87" s="11">
        <f>MOD($C$9,$C$6)</f>
        <v>0.5</v>
      </c>
      <c r="E87" s="11">
        <f>MOD($C$9,$C$7)</f>
        <v>-0.5</v>
      </c>
      <c r="F87" s="11">
        <f>MOD($C$9,$C$8)</f>
        <v>0</v>
      </c>
      <c r="G87" s="11">
        <f>MOD($C$9,$C$9)</f>
        <v>0</v>
      </c>
      <c r="H87" s="11" t="e">
        <f>MOD($C$9,$C$10)</f>
        <v>#NUM!</v>
      </c>
      <c r="I87" s="11" t="e">
        <f>MOD($C$9,$C$11)</f>
        <v>#NUM!</v>
      </c>
      <c r="J87" s="11">
        <f>MOD($C$9,$C$12)</f>
        <v>0</v>
      </c>
      <c r="K87" s="11">
        <f>MOD($C$9,$C$13)</f>
        <v>-42.5</v>
      </c>
    </row>
    <row r="88" spans="2:11" x14ac:dyDescent="0.3">
      <c r="B88" s="12">
        <v>9.9999999999999991E-308</v>
      </c>
      <c r="C88" s="11" t="e">
        <f>MOD($C$10,$C$5)</f>
        <v>#DIV/0!</v>
      </c>
      <c r="D88" s="11">
        <f>MOD($C$10,$C$6)</f>
        <v>1.0000000000000001E-307</v>
      </c>
      <c r="E88" s="11">
        <f>MOD($C$10,$C$7)</f>
        <v>0</v>
      </c>
      <c r="F88" s="11">
        <f>MOD($C$10,$C$8)</f>
        <v>1.0000000000000001E-307</v>
      </c>
      <c r="G88" s="11">
        <f>MOD($C$10,$C$9)</f>
        <v>0</v>
      </c>
      <c r="H88" s="11">
        <f>MOD($C$10,$C$10)</f>
        <v>0</v>
      </c>
      <c r="I88" s="11" t="e">
        <f>MOD($C$10,$C$11)</f>
        <v>#NUM!</v>
      </c>
      <c r="J88" s="11">
        <f>MOD($C$10,$C$12)</f>
        <v>1.0000000000000001E-307</v>
      </c>
      <c r="K88" s="11">
        <f>MOD($C$10,$C$13)</f>
        <v>0</v>
      </c>
    </row>
    <row r="89" spans="2:11" x14ac:dyDescent="0.3">
      <c r="B89" s="12">
        <v>-9.9999999999999991E-308</v>
      </c>
      <c r="C89" s="11" t="e">
        <f>MOD($C$11,$C$5)</f>
        <v>#DIV/0!</v>
      </c>
      <c r="D89" s="11">
        <f>MOD($C$11,$C$6)</f>
        <v>0</v>
      </c>
      <c r="E89" s="11">
        <f>MOD($C$11,$C$7)</f>
        <v>-9.9999999999999951E-308</v>
      </c>
      <c r="F89" s="11">
        <f>MOD($C$11,$C$8)</f>
        <v>0</v>
      </c>
      <c r="G89" s="11">
        <f>MOD($C$11,$C$9)</f>
        <v>-9.9999999999999951E-308</v>
      </c>
      <c r="H89" s="11" t="e">
        <f>MOD($C$11,$C$10)</f>
        <v>#NUM!</v>
      </c>
      <c r="I89" s="11">
        <f>MOD($C$11,$C$11)</f>
        <v>0</v>
      </c>
      <c r="J89" s="11">
        <f>MOD($C$11,$C$12)</f>
        <v>0</v>
      </c>
      <c r="K89" s="11">
        <f>MOD($C$11,$C$13)</f>
        <v>-9.9999999999999951E-308</v>
      </c>
    </row>
    <row r="90" spans="2:11" x14ac:dyDescent="0.3">
      <c r="B90" s="12">
        <v>9.990000000000001E+307</v>
      </c>
      <c r="C90" s="11" t="e">
        <f>MOD($C$12,$C$5)</f>
        <v>#DIV/0!</v>
      </c>
      <c r="D90" s="11" t="e">
        <f>MOD($C$12,$C$6)</f>
        <v>#NUM!</v>
      </c>
      <c r="E90" s="11" t="e">
        <f>MOD($C$12,$C$7)</f>
        <v>#NUM!</v>
      </c>
      <c r="F90" s="11" t="e">
        <f>MOD($C$12,$C$8)</f>
        <v>#NUM!</v>
      </c>
      <c r="G90" s="11" t="e">
        <f>MOD($C$12,$C$9)</f>
        <v>#NUM!</v>
      </c>
      <c r="H90" s="11" t="e">
        <f>MOD($C$12,$C$10)</f>
        <v>#NUM!</v>
      </c>
      <c r="I90" s="11" t="e">
        <f>MOD($C$12,$C$11)</f>
        <v>#NUM!</v>
      </c>
      <c r="J90" s="11">
        <f>MOD($C$12,$C$12)</f>
        <v>0</v>
      </c>
      <c r="K90" s="11">
        <f>MOD($C$12,$C$13)</f>
        <v>0</v>
      </c>
    </row>
    <row r="91" spans="2:11" x14ac:dyDescent="0.3">
      <c r="B91" s="12">
        <v>-9.990000000000001E+307</v>
      </c>
      <c r="C91" s="11" t="e">
        <f>MOD($C$13,$C$5)</f>
        <v>#DIV/0!</v>
      </c>
      <c r="D91" s="11" t="e">
        <f>MOD($C$13,$C$6)</f>
        <v>#NUM!</v>
      </c>
      <c r="E91" s="11" t="e">
        <f>MOD($C$13,$C$7)</f>
        <v>#NUM!</v>
      </c>
      <c r="F91" s="11" t="e">
        <f>MOD($C$13,$C$8)</f>
        <v>#NUM!</v>
      </c>
      <c r="G91" s="11" t="e">
        <f>MOD($C$13,$C$9)</f>
        <v>#NUM!</v>
      </c>
      <c r="H91" s="11" t="e">
        <f>MOD($C$13,$C$10)</f>
        <v>#NUM!</v>
      </c>
      <c r="I91" s="11" t="e">
        <f>MOD($C$13,$C$11)</f>
        <v>#NUM!</v>
      </c>
      <c r="J91" s="11">
        <f>MOD($C$13,$C$12)</f>
        <v>0</v>
      </c>
      <c r="K91" s="11">
        <f>MOD($C$13,$C$13)</f>
        <v>0</v>
      </c>
    </row>
    <row r="92" spans="2:1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ht="16.2" thickBot="1" x14ac:dyDescent="0.35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 x14ac:dyDescent="0.3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 x14ac:dyDescent="0.3">
      <c r="B96" s="10">
        <v>0</v>
      </c>
      <c r="C96" s="11" t="e">
        <f>QUOTIENT($C$5,$C$5)</f>
        <v>#DIV/0!</v>
      </c>
      <c r="D96" s="11">
        <f>QUOTIENT($C$5,$C$6)</f>
        <v>0</v>
      </c>
      <c r="E96" s="11">
        <f>QUOTIENT($C$5,$C$7)</f>
        <v>0</v>
      </c>
      <c r="F96" s="11">
        <f>QUOTIENT($C$5,$C$8)</f>
        <v>0</v>
      </c>
      <c r="G96" s="11">
        <f>QUOTIENT($C$5,$C$9)</f>
        <v>0</v>
      </c>
      <c r="H96" s="11">
        <f>QUOTIENT($C$5,$C$10)</f>
        <v>0</v>
      </c>
      <c r="I96" s="11">
        <f>QUOTIENT($C$5,$C$11)</f>
        <v>0</v>
      </c>
      <c r="J96" s="11">
        <f>QUOTIENT($C$5,$C$12)</f>
        <v>0</v>
      </c>
      <c r="K96" s="11">
        <f>QUOTIENT($C$5,$C$13)</f>
        <v>0</v>
      </c>
    </row>
    <row r="97" spans="2:11" x14ac:dyDescent="0.3">
      <c r="B97" s="10">
        <v>1</v>
      </c>
      <c r="C97" s="11" t="e">
        <f>QUOTIENT($C$6,$C$5)</f>
        <v>#DIV/0!</v>
      </c>
      <c r="D97" s="11">
        <f>QUOTIENT($C$6,$C$6)</f>
        <v>1</v>
      </c>
      <c r="E97" s="11">
        <f>QUOTIENT($C$6,$C$7)</f>
        <v>-1</v>
      </c>
      <c r="F97" s="11">
        <f>QUOTIENT($C$6,$C$8)</f>
        <v>0</v>
      </c>
      <c r="G97" s="11">
        <f>QUOTIENT($C$6,$C$9)</f>
        <v>0</v>
      </c>
      <c r="H97" s="11">
        <f>QUOTIENT($C$6,$C$10)</f>
        <v>9.9999999999999986E+306</v>
      </c>
      <c r="I97" s="11">
        <f>QUOTIENT($C$6,$C$11)</f>
        <v>-1.0000000000000005E+307</v>
      </c>
      <c r="J97" s="11">
        <f>QUOTIENT($C$6,$C$12)</f>
        <v>0</v>
      </c>
      <c r="K97" s="11">
        <f>QUOTIENT($C$6,$C$13)</f>
        <v>0</v>
      </c>
    </row>
    <row r="98" spans="2:11" x14ac:dyDescent="0.3">
      <c r="B98" s="10">
        <v>-1</v>
      </c>
      <c r="C98" s="11" t="e">
        <f>QUOTIENT($C$7,$C$5)</f>
        <v>#DIV/0!</v>
      </c>
      <c r="D98" s="11">
        <f>QUOTIENT($C$7,$C$6)</f>
        <v>-1</v>
      </c>
      <c r="E98" s="11">
        <f>QUOTIENT($C$7,$C$7)</f>
        <v>1</v>
      </c>
      <c r="F98" s="11">
        <f>QUOTIENT($C$7,$C$8)</f>
        <v>0</v>
      </c>
      <c r="G98" s="11">
        <f>QUOTIENT($C$7,$C$9)</f>
        <v>0</v>
      </c>
      <c r="H98" s="11">
        <f>QUOTIENT($C$7,$C$10)</f>
        <v>-9.9999999999999986E+306</v>
      </c>
      <c r="I98" s="11">
        <f>QUOTIENT($C$7,$C$11)</f>
        <v>1.0000000000000005E+307</v>
      </c>
      <c r="J98" s="11">
        <f>QUOTIENT($C$7,$C$12)</f>
        <v>0</v>
      </c>
      <c r="K98" s="11">
        <f>QUOTIENT($C$7,$C$13)</f>
        <v>0</v>
      </c>
    </row>
    <row r="99" spans="2:11" x14ac:dyDescent="0.3">
      <c r="B99" s="10">
        <v>42.5</v>
      </c>
      <c r="C99" s="11" t="e">
        <f>QUOTIENT($C$8,$C$5)</f>
        <v>#DIV/0!</v>
      </c>
      <c r="D99" s="11">
        <f>QUOTIENT($C$8,$C$6)</f>
        <v>42</v>
      </c>
      <c r="E99" s="11">
        <f>QUOTIENT($C$8,$C$7)</f>
        <v>-42</v>
      </c>
      <c r="F99" s="11">
        <f>QUOTIENT($C$8,$C$8)</f>
        <v>1</v>
      </c>
      <c r="G99" s="11">
        <f>QUOTIENT($C$8,$C$9)</f>
        <v>-1</v>
      </c>
      <c r="H99" s="11" t="e">
        <f>QUOTIENT($C$8,$C$10)</f>
        <v>#NUM!</v>
      </c>
      <c r="I99" s="11" t="e">
        <f>QUOTIENT($C$8,$C$11)</f>
        <v>#NUM!</v>
      </c>
      <c r="J99" s="11">
        <f>QUOTIENT($C$8,$C$12)</f>
        <v>0</v>
      </c>
      <c r="K99" s="11">
        <f>QUOTIENT($C$8,$C$13)</f>
        <v>0</v>
      </c>
    </row>
    <row r="100" spans="2:11" x14ac:dyDescent="0.3">
      <c r="B100" s="10">
        <v>-42.5</v>
      </c>
      <c r="C100" s="11" t="e">
        <f>QUOTIENT($C$9,$C$5)</f>
        <v>#DIV/0!</v>
      </c>
      <c r="D100" s="11">
        <f>QUOTIENT($C$9,$C$6)</f>
        <v>-42</v>
      </c>
      <c r="E100" s="11">
        <f>QUOTIENT($C$9,$C$7)</f>
        <v>42</v>
      </c>
      <c r="F100" s="11">
        <f>QUOTIENT($C$9,$C$8)</f>
        <v>-1</v>
      </c>
      <c r="G100" s="11">
        <f>QUOTIENT($C$9,$C$9)</f>
        <v>1</v>
      </c>
      <c r="H100" s="11" t="e">
        <f>QUOTIENT($C$9,$C$10)</f>
        <v>#NUM!</v>
      </c>
      <c r="I100" s="11" t="e">
        <f>QUOTIENT($C$9,$C$11)</f>
        <v>#NUM!</v>
      </c>
      <c r="J100" s="11">
        <f>QUOTIENT($C$9,$C$12)</f>
        <v>0</v>
      </c>
      <c r="K100" s="11">
        <f>QUOTIENT($C$9,$C$13)</f>
        <v>0</v>
      </c>
    </row>
    <row r="101" spans="2:11" x14ac:dyDescent="0.3">
      <c r="B101" s="12">
        <v>9.9999999999999991E-308</v>
      </c>
      <c r="C101" s="11" t="e">
        <f>QUOTIENT($C$10,$C$5)</f>
        <v>#DIV/0!</v>
      </c>
      <c r="D101" s="11">
        <f>QUOTIENT($C$10,$C$6)</f>
        <v>0</v>
      </c>
      <c r="E101" s="11">
        <f>QUOTIENT($C$10,$C$7)</f>
        <v>0</v>
      </c>
      <c r="F101" s="11">
        <f>QUOTIENT($C$10,$C$8)</f>
        <v>0</v>
      </c>
      <c r="G101" s="11">
        <f>QUOTIENT($C$10,$C$9)</f>
        <v>0</v>
      </c>
      <c r="H101" s="11">
        <f>QUOTIENT($C$10,$C$10)</f>
        <v>1</v>
      </c>
      <c r="I101" s="11">
        <f>QUOTIENT($C$10,$C$11)</f>
        <v>-1</v>
      </c>
      <c r="J101" s="11">
        <f>QUOTIENT($C$10,$C$12)</f>
        <v>0</v>
      </c>
      <c r="K101" s="11">
        <f>QUOTIENT($C$10,$C$13)</f>
        <v>0</v>
      </c>
    </row>
    <row r="102" spans="2:11" x14ac:dyDescent="0.3">
      <c r="B102" s="12">
        <v>-9.9999999999999991E-308</v>
      </c>
      <c r="C102" s="11" t="e">
        <f>QUOTIENT($C$11,$C$5)</f>
        <v>#DIV/0!</v>
      </c>
      <c r="D102" s="11">
        <f>QUOTIENT($C$11,$C$6)</f>
        <v>0</v>
      </c>
      <c r="E102" s="11">
        <f>QUOTIENT($C$11,$C$7)</f>
        <v>0</v>
      </c>
      <c r="F102" s="11">
        <f>QUOTIENT($C$11,$C$8)</f>
        <v>0</v>
      </c>
      <c r="G102" s="11">
        <f>QUOTIENT($C$11,$C$9)</f>
        <v>0</v>
      </c>
      <c r="H102" s="11">
        <f>QUOTIENT($C$11,$C$10)</f>
        <v>0</v>
      </c>
      <c r="I102" s="11">
        <f>QUOTIENT($C$11,$C$11)</f>
        <v>1</v>
      </c>
      <c r="J102" s="11">
        <f>QUOTIENT($C$11,$C$12)</f>
        <v>0</v>
      </c>
      <c r="K102" s="11">
        <f>QUOTIENT($C$11,$C$13)</f>
        <v>0</v>
      </c>
    </row>
    <row r="103" spans="2:11" x14ac:dyDescent="0.3">
      <c r="B103" s="12">
        <v>9.990000000000001E+307</v>
      </c>
      <c r="C103" s="11" t="e">
        <f>QUOTIENT($C$12,$C$5)</f>
        <v>#DIV/0!</v>
      </c>
      <c r="D103" s="11">
        <f>QUOTIENT($C$12,$C$6)</f>
        <v>9.9999999999999901E+307</v>
      </c>
      <c r="E103" s="11">
        <f>QUOTIENT($C$12,$C$7)</f>
        <v>-9.9999999999999901E+307</v>
      </c>
      <c r="F103" s="11">
        <f>QUOTIENT($C$12,$C$8)</f>
        <v>2.3529411764705858E+306</v>
      </c>
      <c r="G103" s="11">
        <f>QUOTIENT($C$12,$C$9)</f>
        <v>-2.3529411764705858E+306</v>
      </c>
      <c r="H103" s="11" t="e">
        <f>QUOTIENT($C$12,$C$10)</f>
        <v>#NUM!</v>
      </c>
      <c r="I103" s="11" t="e">
        <f>QUOTIENT($C$12,$C$11)</f>
        <v>#NUM!</v>
      </c>
      <c r="J103" s="11">
        <f>QUOTIENT($C$12,$C$12)</f>
        <v>1</v>
      </c>
      <c r="K103" s="11">
        <f>QUOTIENT($C$12,$C$13)</f>
        <v>-1</v>
      </c>
    </row>
    <row r="104" spans="2:11" x14ac:dyDescent="0.3">
      <c r="B104" s="12">
        <v>-9.990000000000001E+307</v>
      </c>
      <c r="C104" s="11" t="e">
        <f>QUOTIENT($C$13,$C$5)</f>
        <v>#DIV/0!</v>
      </c>
      <c r="D104" s="11">
        <f>QUOTIENT($C$13,$C$6)</f>
        <v>-9.9999999999999901E+307</v>
      </c>
      <c r="E104" s="11">
        <f>QUOTIENT($C$13,$C$7)</f>
        <v>9.9999999999999901E+307</v>
      </c>
      <c r="F104" s="11">
        <f>QUOTIENT($C$13,$C$8)</f>
        <v>-2.3529411764705858E+306</v>
      </c>
      <c r="G104" s="11">
        <f>QUOTIENT($C$13,$C$9)</f>
        <v>2.3529411764705858E+306</v>
      </c>
      <c r="H104" s="11" t="e">
        <f>QUOTIENT($C$13,$C$10)</f>
        <v>#NUM!</v>
      </c>
      <c r="I104" s="11" t="e">
        <f>QUOTIENT($C$13,$C$11)</f>
        <v>#NUM!</v>
      </c>
      <c r="J104" s="11">
        <f>QUOTIENT($C$13,$C$12)</f>
        <v>-1</v>
      </c>
      <c r="K104" s="11">
        <f>QUOTIENT($C$13,$C$13)</f>
        <v>1</v>
      </c>
    </row>
    <row r="105" spans="2:1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ht="16.2" thickBot="1" x14ac:dyDescent="0.35">
      <c r="B107" s="3" t="s">
        <v>19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2:1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 x14ac:dyDescent="0.3">
      <c r="B109" s="13" t="s">
        <v>20</v>
      </c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2:11" x14ac:dyDescent="0.3">
      <c r="B110" s="10">
        <v>0</v>
      </c>
      <c r="C110" s="11">
        <f>ABS($C$5)</f>
        <v>0</v>
      </c>
      <c r="D110" s="11">
        <f>SIGN($C$5)</f>
        <v>0</v>
      </c>
      <c r="E110" s="11">
        <f>SQRT($C$5)</f>
        <v>0</v>
      </c>
      <c r="F110" s="11">
        <f>INT($C$5)</f>
        <v>0</v>
      </c>
      <c r="G110" s="11">
        <f>TRUNC($C$5)</f>
        <v>0</v>
      </c>
      <c r="H110" s="11">
        <f>EXP($C$5)</f>
        <v>1</v>
      </c>
      <c r="I110" s="11" t="e">
        <f>LN($C$5)</f>
        <v>#NUM!</v>
      </c>
      <c r="J110" s="11" t="e">
        <f>LOG10($C$5)</f>
        <v>#NUM!</v>
      </c>
      <c r="K110" s="11">
        <f>FACT($C$5)</f>
        <v>1</v>
      </c>
    </row>
    <row r="111" spans="2:11" x14ac:dyDescent="0.3">
      <c r="B111" s="10">
        <v>1</v>
      </c>
      <c r="C111" s="11">
        <f>ABS($C$6)</f>
        <v>1</v>
      </c>
      <c r="D111" s="11">
        <f>SIGN($C$6)</f>
        <v>1</v>
      </c>
      <c r="E111" s="11">
        <f>SQRT($C$6)</f>
        <v>1</v>
      </c>
      <c r="F111" s="11">
        <f>INT($C$6)</f>
        <v>1</v>
      </c>
      <c r="G111" s="11">
        <f>TRUNC($C$6)</f>
        <v>1</v>
      </c>
      <c r="H111" s="11">
        <f>EXP($C$6)</f>
        <v>2.7182818284590451</v>
      </c>
      <c r="I111" s="11">
        <f>LN($C$6)</f>
        <v>0</v>
      </c>
      <c r="J111" s="11">
        <f>LOG10($C$6)</f>
        <v>0</v>
      </c>
      <c r="K111" s="11">
        <f>FACT($C$6)</f>
        <v>1</v>
      </c>
    </row>
    <row r="112" spans="2:11" x14ac:dyDescent="0.3">
      <c r="B112" s="10">
        <v>-1</v>
      </c>
      <c r="C112" s="11">
        <f>ABS($C$7)</f>
        <v>1</v>
      </c>
      <c r="D112" s="11">
        <f>SIGN($C$7)</f>
        <v>-1</v>
      </c>
      <c r="E112" s="11" t="e">
        <f>SQRT($C$7)</f>
        <v>#NUM!</v>
      </c>
      <c r="F112" s="11">
        <f>INT($C$7)</f>
        <v>-1</v>
      </c>
      <c r="G112" s="11">
        <f>TRUNC($C$7)</f>
        <v>-1</v>
      </c>
      <c r="H112" s="11">
        <f>EXP($C$7)</f>
        <v>0.36787944117144233</v>
      </c>
      <c r="I112" s="11" t="e">
        <f>LN($C$7)</f>
        <v>#NUM!</v>
      </c>
      <c r="J112" s="11" t="e">
        <f>LOG10($C$7)</f>
        <v>#NUM!</v>
      </c>
      <c r="K112" s="11" t="e">
        <f>FACT($C$7)</f>
        <v>#NUM!</v>
      </c>
    </row>
    <row r="113" spans="2:11" x14ac:dyDescent="0.3">
      <c r="B113" s="10">
        <v>42.5</v>
      </c>
      <c r="C113" s="11">
        <f>ABS($C$8)</f>
        <v>42.5</v>
      </c>
      <c r="D113" s="11">
        <f>SIGN($C$8)</f>
        <v>1</v>
      </c>
      <c r="E113" s="11">
        <f>SQRT($C$8)</f>
        <v>6.5192024052026492</v>
      </c>
      <c r="F113" s="11">
        <f>INT($C$8)</f>
        <v>42</v>
      </c>
      <c r="G113" s="11">
        <f>TRUNC($C$8)</f>
        <v>42</v>
      </c>
      <c r="H113" s="11">
        <f>EXP($C$8)</f>
        <v>2.8675795916805714E+18</v>
      </c>
      <c r="I113" s="11">
        <f>LN($C$8)</f>
        <v>3.7495040759303713</v>
      </c>
      <c r="J113" s="11">
        <f>LOG10($C$8)</f>
        <v>1.6283889300503116</v>
      </c>
      <c r="K113" s="11">
        <f>FACT($C$8)</f>
        <v>1.4050061177528801E+51</v>
      </c>
    </row>
    <row r="114" spans="2:11" x14ac:dyDescent="0.3">
      <c r="B114" s="10">
        <v>-42.5</v>
      </c>
      <c r="C114" s="11">
        <f>ABS($C$9)</f>
        <v>42.5</v>
      </c>
      <c r="D114" s="11">
        <f>SIGN($C$9)</f>
        <v>-1</v>
      </c>
      <c r="E114" s="11" t="e">
        <f>SQRT($C$9)</f>
        <v>#NUM!</v>
      </c>
      <c r="F114" s="11">
        <f>INT($C$9)</f>
        <v>-43</v>
      </c>
      <c r="G114" s="11">
        <f>TRUNC($C$9)</f>
        <v>-42</v>
      </c>
      <c r="H114" s="11">
        <f>EXP($C$9)</f>
        <v>3.4872615319944465E-19</v>
      </c>
      <c r="I114" s="11" t="e">
        <f>LN($C$9)</f>
        <v>#NUM!</v>
      </c>
      <c r="J114" s="11" t="e">
        <f>LOG10($C$9)</f>
        <v>#NUM!</v>
      </c>
      <c r="K114" s="11" t="e">
        <f>FACT($C$9)</f>
        <v>#NUM!</v>
      </c>
    </row>
    <row r="115" spans="2:11" x14ac:dyDescent="0.3">
      <c r="B115" s="12">
        <v>9.9999999999999991E-308</v>
      </c>
      <c r="C115" s="11">
        <f>ABS($C$10)</f>
        <v>1.0000000000000001E-307</v>
      </c>
      <c r="D115" s="11">
        <f>SIGN($C$10)</f>
        <v>1</v>
      </c>
      <c r="E115" s="11">
        <f>SQRT($C$10)</f>
        <v>3.1622776601683795E-154</v>
      </c>
      <c r="F115" s="11">
        <f>INT($C$10)</f>
        <v>0</v>
      </c>
      <c r="G115" s="11">
        <f>TRUNC($C$10)</f>
        <v>0</v>
      </c>
      <c r="H115" s="11">
        <f>EXP($C$10)</f>
        <v>1</v>
      </c>
      <c r="I115" s="11">
        <f>LN($C$10)</f>
        <v>-706.89362354917205</v>
      </c>
      <c r="J115" s="11">
        <f>LOG10($C$10)</f>
        <v>-307</v>
      </c>
      <c r="K115" s="11">
        <f>FACT($C$10)</f>
        <v>1</v>
      </c>
    </row>
    <row r="116" spans="2:11" x14ac:dyDescent="0.3">
      <c r="B116" s="12">
        <v>-9.9999999999999991E-308</v>
      </c>
      <c r="C116" s="11">
        <f>ABS($C$11)</f>
        <v>9.9999999999999951E-308</v>
      </c>
      <c r="D116" s="11">
        <f>SIGN($C$11)</f>
        <v>-1</v>
      </c>
      <c r="E116" s="11" t="e">
        <f>SQRT($C$11)</f>
        <v>#NUM!</v>
      </c>
      <c r="F116" s="11">
        <f>INT($C$11)</f>
        <v>-1</v>
      </c>
      <c r="G116" s="11">
        <f>TRUNC($C$11)</f>
        <v>0</v>
      </c>
      <c r="H116" s="11">
        <f>EXP($C$11)</f>
        <v>1</v>
      </c>
      <c r="I116" s="11" t="e">
        <f>LN($C$11)</f>
        <v>#NUM!</v>
      </c>
      <c r="J116" s="11" t="e">
        <f>LOG10($C$11)</f>
        <v>#NUM!</v>
      </c>
      <c r="K116" s="11" t="e">
        <f>FACT($C$11)</f>
        <v>#NUM!</v>
      </c>
    </row>
    <row r="117" spans="2:11" x14ac:dyDescent="0.3">
      <c r="B117" s="12">
        <v>9.990000000000001E+307</v>
      </c>
      <c r="C117" s="11">
        <f>ABS($C$12)</f>
        <v>9.9999999999999901E+307</v>
      </c>
      <c r="D117" s="11">
        <f>SIGN($C$12)</f>
        <v>1</v>
      </c>
      <c r="E117" s="11">
        <f>SQRT($C$12)</f>
        <v>9.9999999999999944E+153</v>
      </c>
      <c r="F117" s="11">
        <f>INT($C$12)</f>
        <v>9.9999999999999901E+307</v>
      </c>
      <c r="G117" s="11">
        <f>TRUNC($C$12)</f>
        <v>9.9999999999999901E+307</v>
      </c>
      <c r="H117" s="11" t="e">
        <f>EXP($C$12)</f>
        <v>#NUM!</v>
      </c>
      <c r="I117" s="11">
        <f>LN($C$12)</f>
        <v>709.19620864216608</v>
      </c>
      <c r="J117" s="11">
        <f>LOG10($C$12)</f>
        <v>308</v>
      </c>
      <c r="K117" s="11" t="e">
        <f>FACT($C$12)</f>
        <v>#NUM!</v>
      </c>
    </row>
    <row r="118" spans="2:11" x14ac:dyDescent="0.3">
      <c r="B118" s="12">
        <v>-9.990000000000001E+307</v>
      </c>
      <c r="C118" s="11">
        <f>ABS($C$13)</f>
        <v>9.9999999999999901E+307</v>
      </c>
      <c r="D118" s="11">
        <f>SIGN($C$13)</f>
        <v>-1</v>
      </c>
      <c r="E118" s="11" t="e">
        <f>SQRT($C$13)</f>
        <v>#NUM!</v>
      </c>
      <c r="F118" s="11">
        <f>INT($C$13)</f>
        <v>-9.9999999999999901E+307</v>
      </c>
      <c r="G118" s="11">
        <f>TRUNC($C$13)</f>
        <v>-9.9999999999999901E+307</v>
      </c>
      <c r="H118" s="11">
        <f>EXP($C$13)</f>
        <v>0</v>
      </c>
      <c r="I118" s="11" t="e">
        <f>LN($C$13)</f>
        <v>#NUM!</v>
      </c>
      <c r="J118" s="11" t="e">
        <f>LOG10($C$13)</f>
        <v>#NUM!</v>
      </c>
      <c r="K118" s="11" t="e">
        <f>FACT($C$13)</f>
        <v>#NUM!</v>
      </c>
    </row>
    <row r="119" spans="2:1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ht="16.2" thickBot="1" x14ac:dyDescent="0.35">
      <c r="B121" s="3" t="s">
        <v>21</v>
      </c>
      <c r="C121" s="3"/>
      <c r="D121" s="3"/>
      <c r="E121" s="3"/>
      <c r="F121" s="3"/>
      <c r="G121" s="3"/>
      <c r="H121" s="3"/>
      <c r="I121" s="3"/>
      <c r="J121" s="3"/>
      <c r="K121" s="3"/>
    </row>
    <row r="122" spans="2:1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ht="16.2" thickBot="1" x14ac:dyDescent="0.35">
      <c r="B123" s="6" t="s">
        <v>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 x14ac:dyDescent="0.3">
      <c r="B124" s="7" t="s">
        <v>23</v>
      </c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2:11" x14ac:dyDescent="0.3">
      <c r="B125" s="10">
        <v>0</v>
      </c>
      <c r="C125" s="11">
        <f>ROUND($C$5,-2)</f>
        <v>0</v>
      </c>
      <c r="D125" s="11">
        <f>ROUND($C$5,0)</f>
        <v>0</v>
      </c>
      <c r="E125" s="11">
        <f>ROUND($C$5,2)</f>
        <v>0</v>
      </c>
      <c r="F125" s="11">
        <f>ROUND($C$5,5)</f>
        <v>0</v>
      </c>
      <c r="G125" s="11">
        <f>ROUND($C$5,10)</f>
        <v>0</v>
      </c>
      <c r="H125" s="2"/>
      <c r="I125" s="2"/>
      <c r="J125" s="2"/>
      <c r="K125" s="2"/>
    </row>
    <row r="126" spans="2:11" x14ac:dyDescent="0.3">
      <c r="B126" s="10">
        <v>1</v>
      </c>
      <c r="C126" s="11">
        <f>ROUND($C$6,-2)</f>
        <v>0</v>
      </c>
      <c r="D126" s="11">
        <f>ROUND($C$6,0)</f>
        <v>1</v>
      </c>
      <c r="E126" s="11">
        <f>ROUND($C$6,2)</f>
        <v>1</v>
      </c>
      <c r="F126" s="11">
        <f>ROUND($C$6,5)</f>
        <v>1</v>
      </c>
      <c r="G126" s="11">
        <f>ROUND($C$6,10)</f>
        <v>1</v>
      </c>
      <c r="H126" s="2"/>
      <c r="I126" s="2"/>
      <c r="J126" s="2"/>
      <c r="K126" s="2"/>
    </row>
    <row r="127" spans="2:11" x14ac:dyDescent="0.3">
      <c r="B127" s="10">
        <v>-1</v>
      </c>
      <c r="C127" s="11">
        <f>ROUND($C$7,-2)</f>
        <v>0</v>
      </c>
      <c r="D127" s="11">
        <f>ROUND($C$7,0)</f>
        <v>-1</v>
      </c>
      <c r="E127" s="11">
        <f>ROUND($C$7,2)</f>
        <v>-1</v>
      </c>
      <c r="F127" s="11">
        <f>ROUND($C$7,5)</f>
        <v>-1</v>
      </c>
      <c r="G127" s="11">
        <f>ROUND($C$7,10)</f>
        <v>-1</v>
      </c>
      <c r="H127" s="2"/>
      <c r="I127" s="2"/>
      <c r="J127" s="2"/>
      <c r="K127" s="2"/>
    </row>
    <row r="128" spans="2:11" x14ac:dyDescent="0.3">
      <c r="B128" s="10">
        <v>42.5</v>
      </c>
      <c r="C128" s="11">
        <f>ROUND($C$8,-2)</f>
        <v>0</v>
      </c>
      <c r="D128" s="11">
        <f>ROUND($C$8,0)</f>
        <v>43</v>
      </c>
      <c r="E128" s="11">
        <f>ROUND($C$8,2)</f>
        <v>42.5</v>
      </c>
      <c r="F128" s="11">
        <f>ROUND($C$8,5)</f>
        <v>42.5</v>
      </c>
      <c r="G128" s="11">
        <f>ROUND($C$8,10)</f>
        <v>42.5</v>
      </c>
      <c r="H128" s="2"/>
      <c r="I128" s="2"/>
      <c r="J128" s="2"/>
      <c r="K128" s="2"/>
    </row>
    <row r="129" spans="2:11" x14ac:dyDescent="0.3">
      <c r="B129" s="10">
        <v>-42.5</v>
      </c>
      <c r="C129" s="11">
        <f>ROUND($C$9,-2)</f>
        <v>0</v>
      </c>
      <c r="D129" s="11">
        <f>ROUND($C$9,0)</f>
        <v>-43</v>
      </c>
      <c r="E129" s="11">
        <f>ROUND($C$9,2)</f>
        <v>-42.5</v>
      </c>
      <c r="F129" s="11">
        <f>ROUND($C$9,5)</f>
        <v>-42.5</v>
      </c>
      <c r="G129" s="11">
        <f>ROUND($C$9,10)</f>
        <v>-42.5</v>
      </c>
      <c r="H129" s="2"/>
      <c r="I129" s="2"/>
      <c r="J129" s="2"/>
      <c r="K129" s="2"/>
    </row>
    <row r="130" spans="2:11" x14ac:dyDescent="0.3">
      <c r="B130" s="12">
        <v>9.9999999999999991E-308</v>
      </c>
      <c r="C130" s="11">
        <f>ROUND($C$10,-2)</f>
        <v>0</v>
      </c>
      <c r="D130" s="11">
        <f>ROUND($C$10,0)</f>
        <v>0</v>
      </c>
      <c r="E130" s="11">
        <f>ROUND($C$10,2)</f>
        <v>0</v>
      </c>
      <c r="F130" s="11">
        <f>ROUND($C$10,5)</f>
        <v>0</v>
      </c>
      <c r="G130" s="11">
        <f>ROUND($C$10,10)</f>
        <v>0</v>
      </c>
      <c r="H130" s="2"/>
      <c r="I130" s="2"/>
      <c r="J130" s="2"/>
      <c r="K130" s="2"/>
    </row>
    <row r="131" spans="2:11" x14ac:dyDescent="0.3">
      <c r="B131" s="12">
        <v>-9.9999999999999991E-308</v>
      </c>
      <c r="C131" s="11">
        <f>ROUND($C$11,-2)</f>
        <v>0</v>
      </c>
      <c r="D131" s="11">
        <f>ROUND($C$11,0)</f>
        <v>0</v>
      </c>
      <c r="E131" s="11">
        <f>ROUND($C$11,2)</f>
        <v>0</v>
      </c>
      <c r="F131" s="11">
        <f>ROUND($C$11,5)</f>
        <v>0</v>
      </c>
      <c r="G131" s="11">
        <f>ROUND($C$11,10)</f>
        <v>0</v>
      </c>
      <c r="H131" s="2"/>
      <c r="I131" s="2"/>
      <c r="J131" s="2"/>
      <c r="K131" s="2"/>
    </row>
    <row r="132" spans="2:11" x14ac:dyDescent="0.3">
      <c r="B132" s="12">
        <v>9.990000000000001E+307</v>
      </c>
      <c r="C132" s="11">
        <f>ROUND($C$12,-2)</f>
        <v>9.9999999999999901E+307</v>
      </c>
      <c r="D132" s="11">
        <f>ROUND($C$12,0)</f>
        <v>9.9999999999999901E+307</v>
      </c>
      <c r="E132" s="11">
        <f>ROUND($C$12,2)</f>
        <v>9.9999999999999901E+307</v>
      </c>
      <c r="F132" s="11">
        <f>ROUND($C$12,5)</f>
        <v>9.9999999999999901E+307</v>
      </c>
      <c r="G132" s="11">
        <f>ROUND($C$12,10)</f>
        <v>9.9999999999999901E+307</v>
      </c>
      <c r="H132" s="2"/>
      <c r="I132" s="2"/>
      <c r="J132" s="2"/>
      <c r="K132" s="2"/>
    </row>
    <row r="133" spans="2:11" x14ac:dyDescent="0.3">
      <c r="B133" s="12">
        <v>-9.990000000000001E+307</v>
      </c>
      <c r="C133" s="11">
        <f>ROUND($C$13,-2)</f>
        <v>-9.9999999999999901E+307</v>
      </c>
      <c r="D133" s="11">
        <f>ROUND($C$13,0)</f>
        <v>-9.9999999999999901E+307</v>
      </c>
      <c r="E133" s="11">
        <f>ROUND($C$13,2)</f>
        <v>-9.9999999999999901E+307</v>
      </c>
      <c r="F133" s="11">
        <f>ROUND($C$13,5)</f>
        <v>-9.9999999999999901E+307</v>
      </c>
      <c r="G133" s="11">
        <f>ROUND($C$13,10)</f>
        <v>-9.9999999999999901E+307</v>
      </c>
      <c r="H133" s="2"/>
      <c r="I133" s="2"/>
      <c r="J133" s="2"/>
      <c r="K133" s="2"/>
    </row>
    <row r="134" spans="2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ht="16.2" thickBot="1" x14ac:dyDescent="0.35">
      <c r="B136" s="6" t="s">
        <v>24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 x14ac:dyDescent="0.3">
      <c r="B137" s="7" t="s">
        <v>23</v>
      </c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2:11" x14ac:dyDescent="0.3">
      <c r="B138" s="10">
        <v>0</v>
      </c>
      <c r="C138" s="11">
        <f>ROUNDUP($C$5,-2)</f>
        <v>0</v>
      </c>
      <c r="D138" s="11">
        <f>ROUNDUP($C$5,0)</f>
        <v>0</v>
      </c>
      <c r="E138" s="11">
        <f>ROUNDUP($C$5,2)</f>
        <v>0</v>
      </c>
      <c r="F138" s="11">
        <f>ROUNDUP($C$5,5)</f>
        <v>0</v>
      </c>
      <c r="G138" s="11">
        <f>ROUNDUP($C$5,10)</f>
        <v>0</v>
      </c>
      <c r="H138" s="2"/>
      <c r="I138" s="2"/>
      <c r="J138" s="2"/>
      <c r="K138" s="2"/>
    </row>
    <row r="139" spans="2:11" x14ac:dyDescent="0.3">
      <c r="B139" s="10">
        <v>1</v>
      </c>
      <c r="C139" s="11">
        <f>ROUNDUP($C$6,-2)</f>
        <v>100</v>
      </c>
      <c r="D139" s="11">
        <f>ROUNDUP($C$6,0)</f>
        <v>1</v>
      </c>
      <c r="E139" s="11">
        <f>ROUNDUP($C$6,2)</f>
        <v>1</v>
      </c>
      <c r="F139" s="11">
        <f>ROUNDUP($C$6,5)</f>
        <v>1</v>
      </c>
      <c r="G139" s="11">
        <f>ROUNDUP($C$6,10)</f>
        <v>1</v>
      </c>
      <c r="H139" s="2"/>
      <c r="I139" s="2"/>
      <c r="J139" s="2"/>
      <c r="K139" s="2"/>
    </row>
    <row r="140" spans="2:11" x14ac:dyDescent="0.3">
      <c r="B140" s="10">
        <v>-1</v>
      </c>
      <c r="C140" s="11">
        <f>ROUNDUP($C$7,-2)</f>
        <v>-100</v>
      </c>
      <c r="D140" s="11">
        <f>ROUNDUP($C$7,0)</f>
        <v>-1</v>
      </c>
      <c r="E140" s="11">
        <f>ROUNDUP($C$7,2)</f>
        <v>-1</v>
      </c>
      <c r="F140" s="11">
        <f>ROUNDUP($C$7,5)</f>
        <v>-1</v>
      </c>
      <c r="G140" s="11">
        <f>ROUNDUP($C$7,10)</f>
        <v>-1</v>
      </c>
      <c r="H140" s="2"/>
      <c r="I140" s="2"/>
      <c r="J140" s="2"/>
      <c r="K140" s="2"/>
    </row>
    <row r="141" spans="2:11" x14ac:dyDescent="0.3">
      <c r="B141" s="10">
        <v>42.5</v>
      </c>
      <c r="C141" s="11">
        <f>ROUNDUP($C$8,-2)</f>
        <v>100</v>
      </c>
      <c r="D141" s="11">
        <f>ROUNDUP($C$8,0)</f>
        <v>43</v>
      </c>
      <c r="E141" s="11">
        <f>ROUNDUP($C$8,2)</f>
        <v>42.5</v>
      </c>
      <c r="F141" s="11">
        <f>ROUNDUP($C$8,5)</f>
        <v>42.5</v>
      </c>
      <c r="G141" s="11">
        <f>ROUNDUP($C$8,10)</f>
        <v>42.5</v>
      </c>
      <c r="H141" s="2"/>
      <c r="I141" s="2"/>
      <c r="J141" s="2"/>
      <c r="K141" s="2"/>
    </row>
    <row r="142" spans="2:11" x14ac:dyDescent="0.3">
      <c r="B142" s="10">
        <v>-42.5</v>
      </c>
      <c r="C142" s="11">
        <f>ROUNDUP($C$9,-2)</f>
        <v>-100</v>
      </c>
      <c r="D142" s="11">
        <f>ROUNDUP($C$9,0)</f>
        <v>-43</v>
      </c>
      <c r="E142" s="11">
        <f>ROUNDUP($C$9,2)</f>
        <v>-42.5</v>
      </c>
      <c r="F142" s="11">
        <f>ROUNDUP($C$9,5)</f>
        <v>-42.5</v>
      </c>
      <c r="G142" s="11">
        <f>ROUNDUP($C$9,10)</f>
        <v>-42.5</v>
      </c>
      <c r="H142" s="2"/>
      <c r="I142" s="2"/>
      <c r="J142" s="2"/>
      <c r="K142" s="2"/>
    </row>
    <row r="143" spans="2:11" x14ac:dyDescent="0.3">
      <c r="B143" s="12">
        <v>9.9999999999999991E-308</v>
      </c>
      <c r="C143" s="11">
        <f>ROUNDUP($C$10,-2)</f>
        <v>100</v>
      </c>
      <c r="D143" s="11">
        <f>ROUNDUP($C$10,0)</f>
        <v>1</v>
      </c>
      <c r="E143" s="11">
        <f>ROUNDUP($C$10,2)</f>
        <v>0.01</v>
      </c>
      <c r="F143" s="11">
        <f>ROUNDUP($C$10,5)</f>
        <v>1.0000000000000001E-5</v>
      </c>
      <c r="G143" s="11">
        <f>ROUNDUP($C$10,10)</f>
        <v>1E-10</v>
      </c>
      <c r="H143" s="2"/>
      <c r="I143" s="2"/>
      <c r="J143" s="2"/>
      <c r="K143" s="2"/>
    </row>
    <row r="144" spans="2:11" x14ac:dyDescent="0.3">
      <c r="B144" s="12">
        <v>-9.9999999999999991E-308</v>
      </c>
      <c r="C144" s="11">
        <f>ROUNDUP($C$11,-2)</f>
        <v>-100</v>
      </c>
      <c r="D144" s="11">
        <f>ROUNDUP($C$11,0)</f>
        <v>-1</v>
      </c>
      <c r="E144" s="11">
        <f>ROUNDUP($C$11,2)</f>
        <v>-0.01</v>
      </c>
      <c r="F144" s="11">
        <f>ROUNDUP($C$11,5)</f>
        <v>-1.0000000000000001E-5</v>
      </c>
      <c r="G144" s="11">
        <f>ROUNDUP($C$11,10)</f>
        <v>-1E-10</v>
      </c>
      <c r="H144" s="2"/>
      <c r="I144" s="2"/>
      <c r="J144" s="2"/>
      <c r="K144" s="2"/>
    </row>
    <row r="145" spans="2:11" x14ac:dyDescent="0.3">
      <c r="B145" s="12">
        <v>9.990000000000001E+307</v>
      </c>
      <c r="C145" s="11">
        <f>ROUNDUP($C$12,-2)</f>
        <v>9.9999999999999901E+307</v>
      </c>
      <c r="D145" s="11">
        <f>ROUNDUP($C$12,0)</f>
        <v>9.9999999999999901E+307</v>
      </c>
      <c r="E145" s="11">
        <f>ROUNDUP($C$12,2)</f>
        <v>9.9999999999999901E+307</v>
      </c>
      <c r="F145" s="11">
        <f>ROUNDUP($C$12,5)</f>
        <v>9.9999999999999901E+307</v>
      </c>
      <c r="G145" s="11">
        <f>ROUNDUP($C$12,10)</f>
        <v>9.9999999999999901E+307</v>
      </c>
      <c r="H145" s="2"/>
      <c r="I145" s="2"/>
      <c r="J145" s="2"/>
      <c r="K145" s="2"/>
    </row>
    <row r="146" spans="2:11" x14ac:dyDescent="0.3">
      <c r="B146" s="12">
        <v>-9.990000000000001E+307</v>
      </c>
      <c r="C146" s="11">
        <f>ROUNDUP($C$13,-2)</f>
        <v>-9.9999999999999901E+307</v>
      </c>
      <c r="D146" s="11">
        <f>ROUNDUP($C$13,0)</f>
        <v>-9.9999999999999901E+307</v>
      </c>
      <c r="E146" s="11">
        <f>ROUNDUP($C$13,2)</f>
        <v>-9.9999999999999901E+307</v>
      </c>
      <c r="F146" s="11">
        <f>ROUNDUP($C$13,5)</f>
        <v>-9.9999999999999901E+307</v>
      </c>
      <c r="G146" s="11">
        <f>ROUNDUP($C$13,10)</f>
        <v>-9.9999999999999901E+307</v>
      </c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ht="16.2" thickBot="1" x14ac:dyDescent="0.35">
      <c r="B149" s="6" t="s">
        <v>25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 x14ac:dyDescent="0.3">
      <c r="B150" s="7" t="s">
        <v>23</v>
      </c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2:11" x14ac:dyDescent="0.3">
      <c r="B151" s="10">
        <v>0</v>
      </c>
      <c r="C151" s="11">
        <f>ROUNDDOWN($C$5,-2)</f>
        <v>0</v>
      </c>
      <c r="D151" s="11">
        <f>ROUNDDOWN($C$5,0)</f>
        <v>0</v>
      </c>
      <c r="E151" s="11">
        <f>ROUNDDOWN($C$5,2)</f>
        <v>0</v>
      </c>
      <c r="F151" s="11">
        <f>ROUNDDOWN($C$5,5)</f>
        <v>0</v>
      </c>
      <c r="G151" s="11">
        <f>ROUNDDOWN($C$5,10)</f>
        <v>0</v>
      </c>
      <c r="H151" s="2"/>
      <c r="I151" s="2"/>
      <c r="J151" s="2"/>
      <c r="K151" s="2"/>
    </row>
    <row r="152" spans="2:11" x14ac:dyDescent="0.3">
      <c r="B152" s="10">
        <v>1</v>
      </c>
      <c r="C152" s="11">
        <f>ROUNDDOWN($C$6,-2)</f>
        <v>0</v>
      </c>
      <c r="D152" s="11">
        <f>ROUNDDOWN($C$6,0)</f>
        <v>1</v>
      </c>
      <c r="E152" s="11">
        <f>ROUNDDOWN($C$6,2)</f>
        <v>1</v>
      </c>
      <c r="F152" s="11">
        <f>ROUNDDOWN($C$6,5)</f>
        <v>1</v>
      </c>
      <c r="G152" s="11">
        <f>ROUNDDOWN($C$6,10)</f>
        <v>1</v>
      </c>
      <c r="H152" s="2"/>
      <c r="I152" s="2"/>
      <c r="J152" s="2"/>
      <c r="K152" s="2"/>
    </row>
    <row r="153" spans="2:11" x14ac:dyDescent="0.3">
      <c r="B153" s="10">
        <v>-1</v>
      </c>
      <c r="C153" s="11">
        <f>ROUNDDOWN($C$7,-2)</f>
        <v>0</v>
      </c>
      <c r="D153" s="11">
        <f>ROUNDDOWN($C$7,0)</f>
        <v>-1</v>
      </c>
      <c r="E153" s="11">
        <f>ROUNDDOWN($C$7,2)</f>
        <v>-1</v>
      </c>
      <c r="F153" s="11">
        <f>ROUNDDOWN($C$7,5)</f>
        <v>-1</v>
      </c>
      <c r="G153" s="11">
        <f>ROUNDDOWN($C$7,10)</f>
        <v>-1</v>
      </c>
      <c r="H153" s="2"/>
      <c r="I153" s="2"/>
      <c r="J153" s="2"/>
      <c r="K153" s="2"/>
    </row>
    <row r="154" spans="2:11" x14ac:dyDescent="0.3">
      <c r="B154" s="10">
        <v>42.5</v>
      </c>
      <c r="C154" s="11">
        <f>ROUNDDOWN($C$8,-2)</f>
        <v>0</v>
      </c>
      <c r="D154" s="11">
        <f>ROUNDDOWN($C$8,0)</f>
        <v>42</v>
      </c>
      <c r="E154" s="11">
        <f>ROUNDDOWN($C$8,2)</f>
        <v>42.5</v>
      </c>
      <c r="F154" s="11">
        <f>ROUNDDOWN($C$8,5)</f>
        <v>42.5</v>
      </c>
      <c r="G154" s="11">
        <f>ROUNDDOWN($C$8,10)</f>
        <v>42.5</v>
      </c>
      <c r="H154" s="2"/>
      <c r="I154" s="2"/>
      <c r="J154" s="2"/>
      <c r="K154" s="2"/>
    </row>
    <row r="155" spans="2:11" x14ac:dyDescent="0.3">
      <c r="B155" s="10">
        <v>-42.5</v>
      </c>
      <c r="C155" s="11">
        <f>ROUNDDOWN($C$9,-2)</f>
        <v>0</v>
      </c>
      <c r="D155" s="11">
        <f>ROUNDDOWN($C$9,0)</f>
        <v>-42</v>
      </c>
      <c r="E155" s="11">
        <f>ROUNDDOWN($C$9,2)</f>
        <v>-42.5</v>
      </c>
      <c r="F155" s="11">
        <f>ROUNDDOWN($C$9,5)</f>
        <v>-42.5</v>
      </c>
      <c r="G155" s="11">
        <f>ROUNDDOWN($C$9,10)</f>
        <v>-42.5</v>
      </c>
      <c r="H155" s="2"/>
      <c r="I155" s="2"/>
      <c r="J155" s="2"/>
      <c r="K155" s="2"/>
    </row>
    <row r="156" spans="2:11" x14ac:dyDescent="0.3">
      <c r="B156" s="12">
        <v>9.9999999999999991E-308</v>
      </c>
      <c r="C156" s="11">
        <f>ROUNDDOWN($C$10,-2)</f>
        <v>0</v>
      </c>
      <c r="D156" s="11">
        <f>ROUNDDOWN($C$10,0)</f>
        <v>0</v>
      </c>
      <c r="E156" s="11">
        <f>ROUNDDOWN($C$10,2)</f>
        <v>0</v>
      </c>
      <c r="F156" s="11">
        <f>ROUNDDOWN($C$10,5)</f>
        <v>0</v>
      </c>
      <c r="G156" s="11">
        <f>ROUNDDOWN($C$10,10)</f>
        <v>0</v>
      </c>
      <c r="H156" s="2"/>
      <c r="I156" s="2"/>
      <c r="J156" s="2"/>
      <c r="K156" s="2"/>
    </row>
    <row r="157" spans="2:11" x14ac:dyDescent="0.3">
      <c r="B157" s="12">
        <v>-9.9999999999999991E-308</v>
      </c>
      <c r="C157" s="11">
        <f>ROUNDDOWN($C$11,-2)</f>
        <v>0</v>
      </c>
      <c r="D157" s="11">
        <f>ROUNDDOWN($C$11,0)</f>
        <v>0</v>
      </c>
      <c r="E157" s="11">
        <f>ROUNDDOWN($C$11,2)</f>
        <v>0</v>
      </c>
      <c r="F157" s="11">
        <f>ROUNDDOWN($C$11,5)</f>
        <v>0</v>
      </c>
      <c r="G157" s="11">
        <f>ROUNDDOWN($C$11,10)</f>
        <v>0</v>
      </c>
      <c r="H157" s="2"/>
      <c r="I157" s="2"/>
      <c r="J157" s="2"/>
      <c r="K157" s="2"/>
    </row>
    <row r="158" spans="2:11" x14ac:dyDescent="0.3">
      <c r="B158" s="12">
        <v>9.990000000000001E+307</v>
      </c>
      <c r="C158" s="11">
        <f>ROUNDDOWN($C$12,-2)</f>
        <v>9.9999999999999901E+307</v>
      </c>
      <c r="D158" s="11">
        <f>ROUNDDOWN($C$12,0)</f>
        <v>9.9999999999999901E+307</v>
      </c>
      <c r="E158" s="11">
        <f>ROUNDDOWN($C$12,2)</f>
        <v>9.9999999999999901E+307</v>
      </c>
      <c r="F158" s="11">
        <f>ROUNDDOWN($C$12,5)</f>
        <v>9.9999999999999901E+307</v>
      </c>
      <c r="G158" s="11">
        <f>ROUNDDOWN($C$12,10)</f>
        <v>9.9999999999999901E+307</v>
      </c>
      <c r="H158" s="2"/>
      <c r="I158" s="2"/>
      <c r="J158" s="2"/>
      <c r="K158" s="2"/>
    </row>
    <row r="159" spans="2:11" x14ac:dyDescent="0.3">
      <c r="B159" s="12">
        <v>-9.990000000000001E+307</v>
      </c>
      <c r="C159" s="11">
        <f>ROUNDDOWN($C$13,-2)</f>
        <v>-9.9999999999999901E+307</v>
      </c>
      <c r="D159" s="11">
        <f>ROUNDDOWN($C$13,0)</f>
        <v>-9.9999999999999901E+307</v>
      </c>
      <c r="E159" s="11">
        <f>ROUNDDOWN($C$13,2)</f>
        <v>-9.9999999999999901E+307</v>
      </c>
      <c r="F159" s="11">
        <f>ROUNDDOWN($C$13,5)</f>
        <v>-9.9999999999999901E+307</v>
      </c>
      <c r="G159" s="11">
        <f>ROUNDDOWN($C$13,10)</f>
        <v>-9.9999999999999901E+307</v>
      </c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ht="16.2" thickBot="1" x14ac:dyDescent="0.35">
      <c r="B162" s="6" t="s">
        <v>26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 x14ac:dyDescent="0.3">
      <c r="B163" s="7" t="s">
        <v>27</v>
      </c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2:11" x14ac:dyDescent="0.3">
      <c r="B164" s="10">
        <v>0</v>
      </c>
      <c r="C164" s="11">
        <f>_xlfn.CEILING.MATH($C$5,1)</f>
        <v>0</v>
      </c>
      <c r="D164" s="11">
        <f>_xlfn.CEILING.MATH($C$5,0.01)</f>
        <v>0</v>
      </c>
      <c r="E164" s="11">
        <f>_xlfn.CEILING.MATH($C$5,10)</f>
        <v>0</v>
      </c>
      <c r="F164" s="11">
        <f>_xlfn.CEILING.MATH($C$5,100)</f>
        <v>0</v>
      </c>
      <c r="G164" s="11">
        <f>_xlfn.CEILING.MATH($C$5,-1)</f>
        <v>0</v>
      </c>
      <c r="H164" s="2"/>
      <c r="I164" s="2"/>
      <c r="J164" s="2"/>
      <c r="K164" s="2"/>
    </row>
    <row r="165" spans="2:11" x14ac:dyDescent="0.3">
      <c r="B165" s="10">
        <v>1</v>
      </c>
      <c r="C165" s="11">
        <f>_xlfn.CEILING.MATH($C$6,1)</f>
        <v>1</v>
      </c>
      <c r="D165" s="11">
        <f>_xlfn.CEILING.MATH($C$6,0.01)</f>
        <v>1</v>
      </c>
      <c r="E165" s="11">
        <f>_xlfn.CEILING.MATH($C$6,10)</f>
        <v>10</v>
      </c>
      <c r="F165" s="11">
        <f>_xlfn.CEILING.MATH($C$6,100)</f>
        <v>100</v>
      </c>
      <c r="G165" s="11">
        <f>_xlfn.CEILING.MATH($C$6,-1)</f>
        <v>1</v>
      </c>
      <c r="H165" s="2"/>
      <c r="I165" s="2"/>
      <c r="J165" s="2"/>
      <c r="K165" s="2"/>
    </row>
    <row r="166" spans="2:11" x14ac:dyDescent="0.3">
      <c r="B166" s="10">
        <v>-1</v>
      </c>
      <c r="C166" s="11">
        <f>_xlfn.CEILING.MATH($C$7,1)</f>
        <v>-1</v>
      </c>
      <c r="D166" s="11">
        <f>_xlfn.CEILING.MATH($C$7,0.01)</f>
        <v>-1</v>
      </c>
      <c r="E166" s="11">
        <f>_xlfn.CEILING.MATH($C$7,10)</f>
        <v>0</v>
      </c>
      <c r="F166" s="11">
        <f>_xlfn.CEILING.MATH($C$7,100)</f>
        <v>0</v>
      </c>
      <c r="G166" s="11">
        <f>_xlfn.CEILING.MATH($C$7,-1)</f>
        <v>-1</v>
      </c>
      <c r="H166" s="2"/>
      <c r="I166" s="2"/>
      <c r="J166" s="2"/>
      <c r="K166" s="2"/>
    </row>
    <row r="167" spans="2:11" x14ac:dyDescent="0.3">
      <c r="B167" s="10">
        <v>42.5</v>
      </c>
      <c r="C167" s="11">
        <f>_xlfn.CEILING.MATH($C$8,1)</f>
        <v>43</v>
      </c>
      <c r="D167" s="11">
        <f>_xlfn.CEILING.MATH($C$8,0.01)</f>
        <v>42.5</v>
      </c>
      <c r="E167" s="11">
        <f>_xlfn.CEILING.MATH($C$8,10)</f>
        <v>50</v>
      </c>
      <c r="F167" s="11">
        <f>_xlfn.CEILING.MATH($C$8,100)</f>
        <v>100</v>
      </c>
      <c r="G167" s="11">
        <f>_xlfn.CEILING.MATH($C$8,-1)</f>
        <v>43</v>
      </c>
      <c r="H167" s="2"/>
      <c r="I167" s="2"/>
      <c r="J167" s="2"/>
      <c r="K167" s="2"/>
    </row>
    <row r="168" spans="2:11" x14ac:dyDescent="0.3">
      <c r="B168" s="10">
        <v>-42.5</v>
      </c>
      <c r="C168" s="11">
        <f>_xlfn.CEILING.MATH($C$9,1)</f>
        <v>-42</v>
      </c>
      <c r="D168" s="11">
        <f>_xlfn.CEILING.MATH($C$9,0.01)</f>
        <v>-42.5</v>
      </c>
      <c r="E168" s="11">
        <f>_xlfn.CEILING.MATH($C$9,10)</f>
        <v>-40</v>
      </c>
      <c r="F168" s="11">
        <f>_xlfn.CEILING.MATH($C$9,100)</f>
        <v>0</v>
      </c>
      <c r="G168" s="11">
        <f>_xlfn.CEILING.MATH($C$9,-1)</f>
        <v>-42</v>
      </c>
      <c r="H168" s="2"/>
      <c r="I168" s="2"/>
      <c r="J168" s="2"/>
      <c r="K168" s="2"/>
    </row>
    <row r="169" spans="2:11" x14ac:dyDescent="0.3">
      <c r="B169" s="12">
        <v>9.9999999999999991E-308</v>
      </c>
      <c r="C169" s="11">
        <f>_xlfn.CEILING.MATH($C$10,1)</f>
        <v>1</v>
      </c>
      <c r="D169" s="11">
        <f>_xlfn.CEILING.MATH($C$10,0.01)</f>
        <v>0.01</v>
      </c>
      <c r="E169" s="11">
        <f>_xlfn.CEILING.MATH($C$10,10)</f>
        <v>0</v>
      </c>
      <c r="F169" s="11">
        <f>_xlfn.CEILING.MATH($C$10,100)</f>
        <v>0</v>
      </c>
      <c r="G169" s="11">
        <f>_xlfn.CEILING.MATH($C$10,-1)</f>
        <v>1</v>
      </c>
      <c r="H169" s="2"/>
      <c r="I169" s="2"/>
      <c r="J169" s="2"/>
      <c r="K169" s="2"/>
    </row>
    <row r="170" spans="2:11" x14ac:dyDescent="0.3">
      <c r="B170" s="12">
        <v>-9.9999999999999991E-308</v>
      </c>
      <c r="C170" s="11">
        <f>_xlfn.CEILING.MATH($C$11,1)</f>
        <v>0</v>
      </c>
      <c r="D170" s="11">
        <f>_xlfn.CEILING.MATH($C$11,0.01)</f>
        <v>0</v>
      </c>
      <c r="E170" s="11">
        <f>_xlfn.CEILING.MATH($C$11,10)</f>
        <v>0</v>
      </c>
      <c r="F170" s="11">
        <f>_xlfn.CEILING.MATH($C$11,100)</f>
        <v>0</v>
      </c>
      <c r="G170" s="11">
        <f>_xlfn.CEILING.MATH($C$11,-1)</f>
        <v>0</v>
      </c>
      <c r="H170" s="2"/>
      <c r="I170" s="2"/>
      <c r="J170" s="2"/>
      <c r="K170" s="2"/>
    </row>
    <row r="171" spans="2:11" x14ac:dyDescent="0.3">
      <c r="B171" s="12">
        <v>9.990000000000001E+307</v>
      </c>
      <c r="C171" s="11">
        <f>_xlfn.CEILING.MATH($C$12,1)</f>
        <v>9.9999999999999901E+307</v>
      </c>
      <c r="D171" s="11" t="e">
        <f>_xlfn.CEILING.MATH($C$12,0.01)</f>
        <v>#NUM!</v>
      </c>
      <c r="E171" s="11">
        <f>_xlfn.CEILING.MATH($C$12,10)</f>
        <v>9.9999999999999901E+307</v>
      </c>
      <c r="F171" s="11">
        <f>_xlfn.CEILING.MATH($C$12,100)</f>
        <v>9.9999999999999901E+307</v>
      </c>
      <c r="G171" s="11">
        <f>_xlfn.CEILING.MATH($C$12,-1)</f>
        <v>9.9999999999999901E+307</v>
      </c>
      <c r="H171" s="2"/>
      <c r="I171" s="2"/>
      <c r="J171" s="2"/>
      <c r="K171" s="2"/>
    </row>
    <row r="172" spans="2:11" x14ac:dyDescent="0.3">
      <c r="B172" s="12">
        <v>-9.990000000000001E+307</v>
      </c>
      <c r="C172" s="11">
        <f>_xlfn.CEILING.MATH($C$13,1)</f>
        <v>-9.9999999999999901E+307</v>
      </c>
      <c r="D172" s="11" t="e">
        <f>_xlfn.CEILING.MATH($C$13,0.01)</f>
        <v>#NUM!</v>
      </c>
      <c r="E172" s="11">
        <f>_xlfn.CEILING.MATH($C$13,10)</f>
        <v>-9.9999999999999901E+307</v>
      </c>
      <c r="F172" s="11">
        <f>_xlfn.CEILING.MATH($C$13,100)</f>
        <v>-9.9999999999999901E+307</v>
      </c>
      <c r="G172" s="11">
        <f>_xlfn.CEILING.MATH($C$13,-1)</f>
        <v>-9.9999999999999901E+307</v>
      </c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ht="16.2" thickBot="1" x14ac:dyDescent="0.35">
      <c r="B175" s="6" t="s">
        <v>28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 x14ac:dyDescent="0.3">
      <c r="B176" s="7" t="s">
        <v>27</v>
      </c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2:11" x14ac:dyDescent="0.3">
      <c r="B177" s="10">
        <v>0</v>
      </c>
      <c r="C177" s="11">
        <f>_xlfn.FLOOR.MATH($C$5,1)</f>
        <v>0</v>
      </c>
      <c r="D177" s="11">
        <f>_xlfn.FLOOR.MATH($C$5,0.01)</f>
        <v>0</v>
      </c>
      <c r="E177" s="11">
        <f>_xlfn.FLOOR.MATH($C$5,10)</f>
        <v>0</v>
      </c>
      <c r="F177" s="11">
        <f>_xlfn.FLOOR.MATH($C$5,100)</f>
        <v>0</v>
      </c>
      <c r="G177" s="11">
        <f>_xlfn.FLOOR.MATH($C$5,-1)</f>
        <v>0</v>
      </c>
      <c r="H177" s="2"/>
      <c r="I177" s="2"/>
      <c r="J177" s="2"/>
      <c r="K177" s="2"/>
    </row>
    <row r="178" spans="2:11" x14ac:dyDescent="0.3">
      <c r="B178" s="10">
        <v>1</v>
      </c>
      <c r="C178" s="11">
        <f>_xlfn.FLOOR.MATH($C$6,1)</f>
        <v>1</v>
      </c>
      <c r="D178" s="11">
        <f>_xlfn.FLOOR.MATH($C$6,0.01)</f>
        <v>1</v>
      </c>
      <c r="E178" s="11">
        <f>_xlfn.FLOOR.MATH($C$6,10)</f>
        <v>0</v>
      </c>
      <c r="F178" s="11">
        <f>_xlfn.FLOOR.MATH($C$6,100)</f>
        <v>0</v>
      </c>
      <c r="G178" s="11">
        <f>_xlfn.FLOOR.MATH($C$6,-1)</f>
        <v>1</v>
      </c>
      <c r="H178" s="2"/>
      <c r="I178" s="2"/>
      <c r="J178" s="2"/>
      <c r="K178" s="2"/>
    </row>
    <row r="179" spans="2:11" x14ac:dyDescent="0.3">
      <c r="B179" s="10">
        <v>-1</v>
      </c>
      <c r="C179" s="11">
        <f>_xlfn.FLOOR.MATH($C$7,1)</f>
        <v>-1</v>
      </c>
      <c r="D179" s="11">
        <f>_xlfn.FLOOR.MATH($C$7,0.01)</f>
        <v>-1</v>
      </c>
      <c r="E179" s="11">
        <f>_xlfn.FLOOR.MATH($C$7,10)</f>
        <v>-10</v>
      </c>
      <c r="F179" s="11">
        <f>_xlfn.FLOOR.MATH($C$7,100)</f>
        <v>-100</v>
      </c>
      <c r="G179" s="11">
        <f>_xlfn.FLOOR.MATH($C$7,-1)</f>
        <v>-1</v>
      </c>
      <c r="H179" s="2"/>
      <c r="I179" s="2"/>
      <c r="J179" s="2"/>
      <c r="K179" s="2"/>
    </row>
    <row r="180" spans="2:11" x14ac:dyDescent="0.3">
      <c r="B180" s="10">
        <v>42.5</v>
      </c>
      <c r="C180" s="11">
        <f>_xlfn.FLOOR.MATH($C$8,1)</f>
        <v>42</v>
      </c>
      <c r="D180" s="11">
        <f>_xlfn.FLOOR.MATH($C$8,0.01)</f>
        <v>42.5</v>
      </c>
      <c r="E180" s="11">
        <f>_xlfn.FLOOR.MATH($C$8,10)</f>
        <v>40</v>
      </c>
      <c r="F180" s="11">
        <f>_xlfn.FLOOR.MATH($C$8,100)</f>
        <v>0</v>
      </c>
      <c r="G180" s="11">
        <f>_xlfn.FLOOR.MATH($C$8,-1)</f>
        <v>42</v>
      </c>
      <c r="H180" s="2"/>
      <c r="I180" s="2"/>
      <c r="J180" s="2"/>
      <c r="K180" s="2"/>
    </row>
    <row r="181" spans="2:11" x14ac:dyDescent="0.3">
      <c r="B181" s="10">
        <v>-42.5</v>
      </c>
      <c r="C181" s="11">
        <f>_xlfn.FLOOR.MATH($C$9,1)</f>
        <v>-43</v>
      </c>
      <c r="D181" s="11">
        <f>_xlfn.FLOOR.MATH($C$9,0.01)</f>
        <v>-42.5</v>
      </c>
      <c r="E181" s="11">
        <f>_xlfn.FLOOR.MATH($C$9,10)</f>
        <v>-50</v>
      </c>
      <c r="F181" s="11">
        <f>_xlfn.FLOOR.MATH($C$9,100)</f>
        <v>-100</v>
      </c>
      <c r="G181" s="11">
        <f>_xlfn.FLOOR.MATH($C$9,-1)</f>
        <v>-43</v>
      </c>
      <c r="H181" s="2"/>
      <c r="I181" s="2"/>
      <c r="J181" s="2"/>
      <c r="K181" s="2"/>
    </row>
    <row r="182" spans="2:11" x14ac:dyDescent="0.3">
      <c r="B182" s="12">
        <v>9.9999999999999991E-308</v>
      </c>
      <c r="C182" s="11">
        <f>_xlfn.FLOOR.MATH($C$10,1)</f>
        <v>0</v>
      </c>
      <c r="D182" s="11">
        <f>_xlfn.FLOOR.MATH($C$10,0.01)</f>
        <v>0</v>
      </c>
      <c r="E182" s="11">
        <f>_xlfn.FLOOR.MATH($C$10,10)</f>
        <v>0</v>
      </c>
      <c r="F182" s="11">
        <f>_xlfn.FLOOR.MATH($C$10,100)</f>
        <v>0</v>
      </c>
      <c r="G182" s="11">
        <f>_xlfn.FLOOR.MATH($C$10,-1)</f>
        <v>0</v>
      </c>
      <c r="H182" s="2"/>
      <c r="I182" s="2"/>
      <c r="J182" s="2"/>
      <c r="K182" s="2"/>
    </row>
    <row r="183" spans="2:11" x14ac:dyDescent="0.3">
      <c r="B183" s="12">
        <v>-9.9999999999999991E-308</v>
      </c>
      <c r="C183" s="11">
        <f>_xlfn.FLOOR.MATH($C$11,1)</f>
        <v>-1</v>
      </c>
      <c r="D183" s="11">
        <f>_xlfn.FLOOR.MATH($C$11,0.01)</f>
        <v>-0.01</v>
      </c>
      <c r="E183" s="11">
        <f>_xlfn.FLOOR.MATH($C$11,10)</f>
        <v>0</v>
      </c>
      <c r="F183" s="11">
        <f>_xlfn.FLOOR.MATH($C$11,100)</f>
        <v>0</v>
      </c>
      <c r="G183" s="11">
        <f>_xlfn.FLOOR.MATH($C$11,-1)</f>
        <v>-1</v>
      </c>
      <c r="H183" s="2"/>
      <c r="I183" s="2"/>
      <c r="J183" s="2"/>
      <c r="K183" s="2"/>
    </row>
    <row r="184" spans="2:11" x14ac:dyDescent="0.3">
      <c r="B184" s="12">
        <v>9.990000000000001E+307</v>
      </c>
      <c r="C184" s="11">
        <f>_xlfn.FLOOR.MATH($C$12,1)</f>
        <v>9.9999999999999901E+307</v>
      </c>
      <c r="D184" s="11" t="e">
        <f>_xlfn.FLOOR.MATH($C$12,0.01)</f>
        <v>#NUM!</v>
      </c>
      <c r="E184" s="11">
        <f>_xlfn.FLOOR.MATH($C$12,10)</f>
        <v>9.9999999999999901E+307</v>
      </c>
      <c r="F184" s="11">
        <f>_xlfn.FLOOR.MATH($C$12,100)</f>
        <v>9.9999999999999901E+307</v>
      </c>
      <c r="G184" s="11">
        <f>_xlfn.FLOOR.MATH($C$12,-1)</f>
        <v>9.9999999999999901E+307</v>
      </c>
      <c r="H184" s="2"/>
      <c r="I184" s="2"/>
      <c r="J184" s="2"/>
      <c r="K184" s="2"/>
    </row>
    <row r="185" spans="2:11" x14ac:dyDescent="0.3">
      <c r="B185" s="12">
        <v>-9.990000000000001E+307</v>
      </c>
      <c r="C185" s="11">
        <f>_xlfn.FLOOR.MATH($C$13,1)</f>
        <v>-9.9999999999999901E+307</v>
      </c>
      <c r="D185" s="11" t="e">
        <f>_xlfn.FLOOR.MATH($C$13,0.01)</f>
        <v>#NUM!</v>
      </c>
      <c r="E185" s="11">
        <f>_xlfn.FLOOR.MATH($C$13,10)</f>
        <v>-9.9999999999999901E+307</v>
      </c>
      <c r="F185" s="11">
        <f>_xlfn.FLOOR.MATH($C$13,100)</f>
        <v>-9.9999999999999901E+307</v>
      </c>
      <c r="G185" s="11">
        <f>_xlfn.FLOOR.MATH($C$13,-1)</f>
        <v>-9.9999999999999901E+307</v>
      </c>
      <c r="H185" s="2"/>
      <c r="I185" s="2"/>
      <c r="J185" s="2"/>
      <c r="K185" s="2"/>
    </row>
    <row r="186" spans="2:1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90" spans="2:11" ht="16.2" thickBot="1" x14ac:dyDescent="0.35">
      <c r="B190" s="15" t="s">
        <v>29</v>
      </c>
    </row>
    <row r="191" spans="2:11" x14ac:dyDescent="0.3">
      <c r="B191" s="16" t="e">
        <v>#DIV/0!</v>
      </c>
      <c r="C191" s="17" t="s">
        <v>30</v>
      </c>
    </row>
    <row r="192" spans="2:11" x14ac:dyDescent="0.3">
      <c r="B192" s="16" t="e">
        <v>#NUM!</v>
      </c>
      <c r="C192" s="17" t="s">
        <v>31</v>
      </c>
    </row>
    <row r="193" spans="2:3" x14ac:dyDescent="0.3">
      <c r="B193" s="16" t="e">
        <v>#VALUE!</v>
      </c>
      <c r="C193" s="17" t="s">
        <v>32</v>
      </c>
    </row>
    <row r="194" spans="2:3" x14ac:dyDescent="0.3">
      <c r="B194" s="16" t="s">
        <v>33</v>
      </c>
      <c r="C194" s="17" t="s">
        <v>34</v>
      </c>
    </row>
    <row r="1109" spans="3:11" x14ac:dyDescent="0.3">
      <c r="C1109" s="18" t="s">
        <v>35</v>
      </c>
      <c r="D1109" s="18" t="s">
        <v>36</v>
      </c>
      <c r="E1109" s="18" t="s">
        <v>37</v>
      </c>
      <c r="F1109" s="18" t="s">
        <v>38</v>
      </c>
      <c r="G1109" s="18" t="s">
        <v>39</v>
      </c>
      <c r="H1109" s="18" t="s">
        <v>40</v>
      </c>
      <c r="I1109" s="18" t="s">
        <v>41</v>
      </c>
      <c r="J1109" s="18" t="s">
        <v>42</v>
      </c>
      <c r="K1109" s="18" t="s">
        <v>43</v>
      </c>
    </row>
    <row r="1124" spans="3:7" x14ac:dyDescent="0.3">
      <c r="C1124" s="18">
        <v>-2</v>
      </c>
      <c r="D1124" s="18">
        <v>0</v>
      </c>
      <c r="E1124" s="18">
        <v>2</v>
      </c>
      <c r="F1124" s="18">
        <v>5</v>
      </c>
      <c r="G1124" s="18">
        <v>10</v>
      </c>
    </row>
    <row r="1137" spans="3:7" x14ac:dyDescent="0.3">
      <c r="C1137" s="18">
        <v>-2</v>
      </c>
      <c r="D1137" s="18">
        <v>0</v>
      </c>
      <c r="E1137" s="18">
        <v>2</v>
      </c>
      <c r="F1137" s="18">
        <v>5</v>
      </c>
      <c r="G1137" s="18">
        <v>10</v>
      </c>
    </row>
    <row r="1150" spans="3:7" x14ac:dyDescent="0.3">
      <c r="C1150" s="18">
        <v>-2</v>
      </c>
      <c r="D1150" s="18">
        <v>0</v>
      </c>
      <c r="E1150" s="18">
        <v>2</v>
      </c>
      <c r="F1150" s="18">
        <v>5</v>
      </c>
      <c r="G1150" s="18">
        <v>10</v>
      </c>
    </row>
    <row r="1163" spans="3:7" x14ac:dyDescent="0.3">
      <c r="C1163" s="18">
        <v>1</v>
      </c>
      <c r="D1163" s="18">
        <v>0.01</v>
      </c>
      <c r="E1163" s="18">
        <v>10</v>
      </c>
      <c r="F1163" s="18">
        <v>100</v>
      </c>
      <c r="G1163" s="18">
        <v>-1</v>
      </c>
    </row>
    <row r="1176" spans="3:7" x14ac:dyDescent="0.3">
      <c r="C1176" s="18">
        <v>1</v>
      </c>
      <c r="D1176" s="18">
        <v>0.01</v>
      </c>
      <c r="E1176" s="18">
        <v>10</v>
      </c>
      <c r="F1176" s="18">
        <v>100</v>
      </c>
      <c r="G1176" s="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2026-02-09T23:57:54Z</dcterms:created>
  <dcterms:modified xsi:type="dcterms:W3CDTF">2026-09-10T21:17:50Z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e8c2c9d0-7b26-41e7-9d61-eb20d8f009d7</vt:lpwstr>
  </property>
</Properties>
</file>