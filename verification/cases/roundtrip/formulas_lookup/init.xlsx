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10A4E7C3-FD65-42DC-BB89-59CDACA1D446}" xr6:coauthVersionLast="47" xr6:coauthVersionMax="47" xr10:uidLastSave="{00000000-0000-0000-0000-000000000000}"/>
  <bookViews>
    <workbookView xWindow="-108" yWindow="-108" windowWidth="23256" windowHeight="13896" xr2:uid="{C02FE269-2A1B-7842-BBB4-51E2A7D7A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3" i="1" l="1" a="1"/>
  <c r="D233" i="1" a="1"/>
  <c r="C234" i="1" a="1"/>
  <c r="D234" i="1" a="1"/>
  <c r="C235" i="1" a="1"/>
  <c r="D235" i="1" a="1"/>
  <c r="C236" i="1" a="1"/>
  <c r="D236" i="1" a="1"/>
  <c r="C237" i="1" a="1"/>
  <c r="D237" i="1" a="1"/>
  <c r="C238" i="1" a="1"/>
  <c r="D238" i="1" a="1"/>
  <c r="C239" i="1" a="1"/>
  <c r="D239" i="1" a="1"/>
  <c r="C240" i="1" a="1"/>
  <c r="D240" i="1" a="1"/>
  <c r="C218" i="1"/>
  <c r="D218" i="1"/>
  <c r="C219" i="1"/>
  <c r="D219" i="1"/>
  <c r="C220" i="1"/>
  <c r="D220" i="1"/>
  <c r="C221" i="1"/>
  <c r="D221" i="1"/>
  <c r="C222" i="1"/>
  <c r="D222" i="1"/>
  <c r="C224" i="1"/>
  <c r="D224" i="1"/>
  <c r="C225" i="1"/>
  <c r="D225" i="1"/>
  <c r="C226" i="1"/>
  <c r="D226" i="1"/>
  <c r="C228" i="1"/>
  <c r="D228" i="1"/>
  <c r="C229" i="1"/>
  <c r="D229" i="1"/>
  <c r="C210" i="1"/>
  <c r="D210" i="1"/>
  <c r="C211" i="1"/>
  <c r="D211" i="1"/>
  <c r="C212" i="1"/>
  <c r="D212" i="1"/>
  <c r="C213" i="1"/>
  <c r="D213" i="1"/>
  <c r="C214" i="1"/>
  <c r="D214" i="1"/>
  <c r="C202" i="1"/>
  <c r="D202" i="1"/>
  <c r="C203" i="1"/>
  <c r="D203" i="1"/>
  <c r="C204" i="1"/>
  <c r="D204" i="1"/>
  <c r="C205" i="1"/>
  <c r="D205" i="1"/>
  <c r="C206" i="1"/>
  <c r="D206" i="1"/>
  <c r="C192" i="1"/>
  <c r="D192" i="1"/>
  <c r="C193" i="1"/>
  <c r="D193" i="1"/>
  <c r="C194" i="1" a="1"/>
  <c r="D194" i="1" a="1"/>
  <c r="C195" i="1"/>
  <c r="D195" i="1"/>
  <c r="C196" i="1"/>
  <c r="D196" i="1"/>
  <c r="C198" i="1"/>
  <c r="D198" i="1"/>
  <c r="C182" i="1"/>
  <c r="D182" i="1"/>
  <c r="C183" i="1"/>
  <c r="D183" i="1"/>
  <c r="C184" i="1" a="1"/>
  <c r="D184" i="1" a="1"/>
  <c r="C185" i="1"/>
  <c r="D185" i="1"/>
  <c r="C186" i="1"/>
  <c r="D186" i="1"/>
  <c r="C187" i="1"/>
  <c r="D18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 a="1"/>
  <c r="D178" i="1" a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37" i="1"/>
  <c r="D137" i="1"/>
  <c r="E137" i="1"/>
  <c r="C138" i="1"/>
  <c r="D138" i="1"/>
  <c r="E138" i="1"/>
  <c r="C139" i="1"/>
  <c r="D139" i="1"/>
  <c r="E139" i="1"/>
  <c r="C129" i="1"/>
  <c r="D129" i="1"/>
  <c r="E129" i="1"/>
  <c r="F129" i="1"/>
  <c r="C130" i="1"/>
  <c r="D130" i="1"/>
  <c r="E130" i="1"/>
  <c r="F130" i="1"/>
  <c r="C131" i="1"/>
  <c r="D131" i="1"/>
  <c r="E131" i="1"/>
  <c r="F131" i="1"/>
  <c r="C132" i="1"/>
  <c r="D132" i="1"/>
  <c r="E132" i="1"/>
  <c r="F132" i="1"/>
  <c r="C133" i="1"/>
  <c r="D133" i="1"/>
  <c r="E133" i="1"/>
  <c r="F133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09" i="1"/>
  <c r="D109" i="1"/>
  <c r="E109" i="1"/>
  <c r="C110" i="1"/>
  <c r="D110" i="1"/>
  <c r="E110" i="1"/>
  <c r="C111" i="1"/>
  <c r="D111" i="1"/>
  <c r="E111" i="1"/>
  <c r="C112" i="1"/>
  <c r="D112" i="1"/>
  <c r="E112" i="1"/>
  <c r="C113" i="1"/>
  <c r="D113" i="1"/>
  <c r="E113" i="1"/>
  <c r="C114" i="1"/>
  <c r="D114" i="1"/>
  <c r="E114" i="1"/>
  <c r="C115" i="1"/>
  <c r="D115" i="1"/>
  <c r="E115" i="1"/>
  <c r="C116" i="1"/>
  <c r="D116" i="1"/>
  <c r="E116" i="1"/>
  <c r="C97" i="1"/>
  <c r="E97" i="1"/>
  <c r="C98" i="1"/>
  <c r="E98" i="1"/>
  <c r="C99" i="1"/>
  <c r="E99" i="1"/>
  <c r="C100" i="1"/>
  <c r="E100" i="1"/>
  <c r="C101" i="1" a="1"/>
  <c r="E101" i="1" a="1"/>
  <c r="C102" i="1" a="1"/>
  <c r="E102" i="1" a="1"/>
  <c r="C103" i="1"/>
  <c r="E103" i="1"/>
  <c r="C104" i="1"/>
  <c r="E104" i="1"/>
  <c r="C105" i="1"/>
  <c r="E105" i="1"/>
  <c r="C93" i="1" a="1"/>
  <c r="C92" i="1" a="1"/>
  <c r="C91" i="1" a="1"/>
  <c r="C85" i="1"/>
  <c r="D85" i="1"/>
  <c r="E85" i="1"/>
  <c r="F85" i="1"/>
  <c r="C86" i="1"/>
  <c r="D86" i="1"/>
  <c r="E86" i="1"/>
  <c r="F86" i="1"/>
  <c r="C87" i="1"/>
  <c r="D87" i="1"/>
  <c r="E87" i="1"/>
  <c r="F8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64" i="1"/>
  <c r="D64" i="1"/>
  <c r="C65" i="1"/>
  <c r="D65" i="1"/>
  <c r="C66" i="1"/>
  <c r="D66" i="1"/>
  <c r="C67" i="1"/>
  <c r="D67" i="1"/>
  <c r="C57" i="1"/>
  <c r="D57" i="1"/>
  <c r="F57" i="1"/>
  <c r="G57" i="1"/>
  <c r="C58" i="1"/>
  <c r="D58" i="1"/>
  <c r="E58" i="1"/>
  <c r="F58" i="1"/>
  <c r="G58" i="1"/>
  <c r="D59" i="1"/>
  <c r="F59" i="1"/>
  <c r="G59" i="1"/>
  <c r="C60" i="1"/>
  <c r="D60" i="1"/>
  <c r="E60" i="1"/>
  <c r="F60" i="1"/>
  <c r="C47" i="1"/>
  <c r="E47" i="1"/>
  <c r="C48" i="1"/>
  <c r="E48" i="1"/>
  <c r="C49" i="1"/>
  <c r="E49" i="1"/>
  <c r="C50" i="1"/>
  <c r="E50" i="1"/>
  <c r="C51" i="1"/>
  <c r="E51" i="1"/>
  <c r="C52" i="1"/>
  <c r="E52" i="1"/>
  <c r="C53" i="1"/>
  <c r="E53" i="1"/>
  <c r="C41" i="1"/>
  <c r="D41" i="1"/>
  <c r="E41" i="1"/>
  <c r="F41" i="1"/>
  <c r="C42" i="1"/>
  <c r="D42" i="1"/>
  <c r="E42" i="1"/>
  <c r="F42" i="1"/>
  <c r="C43" i="1"/>
  <c r="D43" i="1"/>
  <c r="E43" i="1"/>
  <c r="F4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G17" i="1"/>
  <c r="H17" i="1"/>
  <c r="G60" i="1" s="1"/>
  <c r="G18" i="1"/>
  <c r="H18" i="1"/>
  <c r="I18" i="1" s="1"/>
  <c r="C19" i="1"/>
  <c r="E57" i="1" s="1"/>
  <c r="D19" i="1"/>
  <c r="E19" i="1"/>
  <c r="F19" i="1"/>
  <c r="G19" i="1"/>
  <c r="H19" i="1"/>
  <c r="C215" i="1"/>
  <c r="C207" i="1"/>
  <c r="D188" i="1" a="1"/>
  <c r="D215" i="1"/>
  <c r="D207" i="1"/>
  <c r="C197" i="1" a="1"/>
  <c r="D197" i="1" a="1"/>
  <c r="C227" i="1" a="1"/>
  <c r="D227" i="1" a="1"/>
  <c r="C188" i="1" a="1"/>
  <c r="C223" i="1"/>
  <c r="D223" i="1"/>
  <c r="C155" i="1" a="1"/>
  <c r="C158" i="1" a="1"/>
  <c r="D161" i="1" a="1"/>
  <c r="C156" i="1" a="1"/>
  <c r="D155" i="1" a="1"/>
  <c r="D158" i="1" a="1"/>
  <c r="C162" i="1" a="1"/>
  <c r="D162" i="1" a="1"/>
  <c r="C163" i="1" a="1"/>
  <c r="D160" i="1"/>
  <c r="C159" i="1" a="1"/>
  <c r="D156" i="1" a="1"/>
  <c r="D159" i="1" a="1"/>
  <c r="C157" i="1" a="1"/>
  <c r="C160" i="1"/>
  <c r="D163" i="1" a="1"/>
  <c r="D157" i="1" a="1"/>
  <c r="C161" i="1" a="1"/>
  <c r="C164" i="1"/>
  <c r="D164" i="1"/>
  <c r="I17" i="1" l="1"/>
  <c r="I19" i="1" l="1"/>
  <c r="E59" i="1" s="1"/>
  <c r="C5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cellMetadata count="1">
    <bk>
      <rc t="1" v="0"/>
    </bk>
  </cellMetadata>
  <valueMetadata count="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</valueMetadata>
</metadata>
</file>

<file path=xl/sharedStrings.xml><?xml version="1.0" encoding="utf-8"?>
<sst xmlns="http://schemas.openxmlformats.org/spreadsheetml/2006/main" count="307" uniqueCount="206">
  <si>
    <t>NOTES</t>
  </si>
  <si>
    <t>Inputs</t>
  </si>
  <si>
    <t>LOOKUP &amp; REFERENCE FORMULA TEST SUITE</t>
  </si>
  <si>
    <t>Vertical Lookup Table</t>
  </si>
  <si>
    <t>ID</t>
  </si>
  <si>
    <t>Name</t>
  </si>
  <si>
    <t>Dept</t>
  </si>
  <si>
    <t>Salary</t>
  </si>
  <si>
    <t>Rating</t>
  </si>
  <si>
    <t>Alice</t>
  </si>
  <si>
    <t>Sales</t>
  </si>
  <si>
    <t>Bob</t>
  </si>
  <si>
    <t>Engineering</t>
  </si>
  <si>
    <t>Charlie</t>
  </si>
  <si>
    <t>Marketing</t>
  </si>
  <si>
    <t>Diana</t>
  </si>
  <si>
    <t>Eve</t>
  </si>
  <si>
    <t>Frank</t>
  </si>
  <si>
    <t>HR</t>
  </si>
  <si>
    <t>Grace</t>
  </si>
  <si>
    <t>Hank</t>
  </si>
  <si>
    <t>Horizontal Lookup Table</t>
  </si>
  <si>
    <t>Metric</t>
  </si>
  <si>
    <t>Q1</t>
  </si>
  <si>
    <t>Q2</t>
  </si>
  <si>
    <t>Q3</t>
  </si>
  <si>
    <t>Q4</t>
  </si>
  <si>
    <t>H1</t>
  </si>
  <si>
    <t>H2</t>
  </si>
  <si>
    <t>FY</t>
  </si>
  <si>
    <t>Budget</t>
  </si>
  <si>
    <t>Revenue</t>
  </si>
  <si>
    <t>Expenses</t>
  </si>
  <si>
    <t>Profit</t>
  </si>
  <si>
    <t>Test Lookup Values</t>
  </si>
  <si>
    <t>Exact ID</t>
  </si>
  <si>
    <t>Non-exact ID</t>
  </si>
  <si>
    <t>First ID</t>
  </si>
  <si>
    <t>Last ID</t>
  </si>
  <si>
    <t>Below range</t>
  </si>
  <si>
    <t>Above range</t>
  </si>
  <si>
    <t>Text lookup</t>
  </si>
  <si>
    <t>Metric lookup</t>
  </si>
  <si>
    <t>Quarter lookup</t>
  </si>
  <si>
    <t>VLOOKUP — Exact Match (match_type=0)</t>
  </si>
  <si>
    <t>Lookup Value</t>
  </si>
  <si>
    <t>Col 2 (Name)</t>
  </si>
  <si>
    <t>Col 3 (Dept)</t>
  </si>
  <si>
    <t>Col 4 (Salary)</t>
  </si>
  <si>
    <t>Col 5 (Rating)</t>
  </si>
  <si>
    <t>Not Found</t>
  </si>
  <si>
    <t>VLOOKUP — Approximate Match (match_type=1, data sorted ascending)</t>
  </si>
  <si>
    <t>Below Range (50)</t>
  </si>
  <si>
    <t>Above Range (999)</t>
  </si>
  <si>
    <t>VLOOKUP — Edge Cases &amp; Errors</t>
  </si>
  <si>
    <t>Test Case</t>
  </si>
  <si>
    <t>Formula</t>
  </si>
  <si>
    <t>Expected</t>
  </si>
  <si>
    <t>Result</t>
  </si>
  <si>
    <t>Col index &lt; 1</t>
  </si>
  <si>
    <t>#REF! error</t>
  </si>
  <si>
    <t>Col index &gt; cols</t>
  </si>
  <si>
    <t>Lookup in single col</t>
  </si>
  <si>
    <t>Text exact match</t>
  </si>
  <si>
    <t>Case insensitive</t>
  </si>
  <si>
    <t>Wildcard *</t>
  </si>
  <si>
    <t>Wildcard ?</t>
  </si>
  <si>
    <t>#N/A (no wildcards in VLOOKUP exact)</t>
  </si>
  <si>
    <t>HLOOKUP — Exact Match (match_type=0)</t>
  </si>
  <si>
    <t>Row 2 (Revenue)</t>
  </si>
  <si>
    <t>Row 3 (Expenses)</t>
  </si>
  <si>
    <t>Row 4 (Profit)</t>
  </si>
  <si>
    <t>First Col</t>
  </si>
  <si>
    <t>HLOOKUP — Edge Cases &amp; Errors</t>
  </si>
  <si>
    <t>Formula Result</t>
  </si>
  <si>
    <t>Direct Result</t>
  </si>
  <si>
    <t>Row index &lt; 1</t>
  </si>
  <si>
    <t>Row index &gt; rows</t>
  </si>
  <si>
    <t>Approx match</t>
  </si>
  <si>
    <t>XLOOKUP — Exact Match (match_mode=0, default)</t>
  </si>
  <si>
    <t>Return Name</t>
  </si>
  <si>
    <t>Return Salary</t>
  </si>
  <si>
    <t>Return Rating</t>
  </si>
  <si>
    <t>if_not_found</t>
  </si>
  <si>
    <t>Reverse Search</t>
  </si>
  <si>
    <t>XLOOKUP — Match Modes</t>
  </si>
  <si>
    <t>Exact (0)</t>
  </si>
  <si>
    <t>Next Smaller (-1)</t>
  </si>
  <si>
    <t>Next Larger (1)</t>
  </si>
  <si>
    <t>Wildcard (2)</t>
  </si>
  <si>
    <t>XLOOKUP — Search Modes</t>
  </si>
  <si>
    <t>First-to-Last (1)</t>
  </si>
  <si>
    <t>Last-to-First (-1)</t>
  </si>
  <si>
    <t>Binary Asc (2)</t>
  </si>
  <si>
    <t>Binary Desc (-2)</t>
  </si>
  <si>
    <t>XLOOKUP — Return Multiple Columns</t>
  </si>
  <si>
    <t>INDEX(array, row_num, col_num)</t>
  </si>
  <si>
    <t>Notes</t>
  </si>
  <si>
    <t>Row 1, Col 1</t>
  </si>
  <si>
    <t>First cell</t>
  </si>
  <si>
    <t>Row 3, Col 2</t>
  </si>
  <si>
    <t>Name of 3rd row</t>
  </si>
  <si>
    <t>Row 8, Col 4</t>
  </si>
  <si>
    <t>Last row, Salary</t>
  </si>
  <si>
    <t>Row 5, Col 5</t>
  </si>
  <si>
    <t>Rating of Eve</t>
  </si>
  <si>
    <t>Row 0 (entire col 2)</t>
  </si>
  <si>
    <t>Returns array, shows first</t>
  </si>
  <si>
    <t>Col 0 (entire row 1)</t>
  </si>
  <si>
    <t>Row out of range</t>
  </si>
  <si>
    <t>ERROR</t>
  </si>
  <si>
    <t>Single column</t>
  </si>
  <si>
    <t>1D array, row only</t>
  </si>
  <si>
    <t>Single row</t>
  </si>
  <si>
    <t>1D row array</t>
  </si>
  <si>
    <t>MATCH(lookup_value, lookup_array, match_type)</t>
  </si>
  <si>
    <t>Less Than (1)</t>
  </si>
  <si>
    <t>Greater Than (-1)</t>
  </si>
  <si>
    <t>INDEX + MATCH Combinations</t>
  </si>
  <si>
    <t>Salary of Charlie</t>
  </si>
  <si>
    <t>Dept of ID 500</t>
  </si>
  <si>
    <t>ID of name Grace</t>
  </si>
  <si>
    <t>2D INDEX+MATCH</t>
  </si>
  <si>
    <t>Nested: Rating of HR</t>
  </si>
  <si>
    <t>Approx match combo</t>
  </si>
  <si>
    <t>XMATCH(lookup_value, lookup_array, match_mode, search_mode)</t>
  </si>
  <si>
    <t>XMATCH — Search Modes</t>
  </si>
  <si>
    <t>CHOOSE(index_num, value1, value2, ...)</t>
  </si>
  <si>
    <t>Index 1 of 3</t>
  </si>
  <si>
    <t>Index 3 of 3</t>
  </si>
  <si>
    <t>Index from cell</t>
  </si>
  <si>
    <t>Numeric values</t>
  </si>
  <si>
    <t>Cell references</t>
  </si>
  <si>
    <t>Index 0 (error)</t>
  </si>
  <si>
    <t>Index &gt; count (error)</t>
  </si>
  <si>
    <t>SUM with CHOOSE</t>
  </si>
  <si>
    <t>Nested CHOOSE</t>
  </si>
  <si>
    <t>INDIRECT(ref_text, [a1])</t>
  </si>
  <si>
    <t>A1-style ref</t>
  </si>
  <si>
    <t>Concatenated ref</t>
  </si>
  <si>
    <t>R1C1 style</t>
  </si>
  <si>
    <t>Sheet reference</t>
  </si>
  <si>
    <t>Dynamic row</t>
  </si>
  <si>
    <t>Range via INDIRECT</t>
  </si>
  <si>
    <t>Invalid ref</t>
  </si>
  <si>
    <t>Empty string</t>
  </si>
  <si>
    <t>Cross-sheet</t>
  </si>
  <si>
    <t>INDIRECT + INDEX</t>
  </si>
  <si>
    <t>OFFSET(reference, rows, cols, [height], [width])</t>
  </si>
  <si>
    <t>0 offset</t>
  </si>
  <si>
    <t>Down 2, Right 1</t>
  </si>
  <si>
    <t>Down 4, Right 3</t>
  </si>
  <si>
    <t>Negative row</t>
  </si>
  <si>
    <t>SUM with height</t>
  </si>
  <si>
    <t>SUM with h+w</t>
  </si>
  <si>
    <t>AVERAGE with OFFSET</t>
  </si>
  <si>
    <t>Dynamic range</t>
  </si>
  <si>
    <t>OFFSET + INDEX</t>
  </si>
  <si>
    <t>Negative offset OOB</t>
  </si>
  <si>
    <t>Zero height</t>
  </si>
  <si>
    <t>ROW([reference])</t>
  </si>
  <si>
    <t>No argument</t>
  </si>
  <si>
    <t>Specific cell</t>
  </si>
  <si>
    <t>Range (first row)</t>
  </si>
  <si>
    <t>Row 1</t>
  </si>
  <si>
    <t>Different sheet</t>
  </si>
  <si>
    <t>In formula</t>
  </si>
  <si>
    <t>INDIRECT + ROW</t>
  </si>
  <si>
    <t>COLUMN([reference])</t>
  </si>
  <si>
    <t>Range (first col)</t>
  </si>
  <si>
    <t>Column A</t>
  </si>
  <si>
    <t>INDIRECT + COLUMN</t>
  </si>
  <si>
    <t>ROWS(array)</t>
  </si>
  <si>
    <t>Single cell</t>
  </si>
  <si>
    <t>Data range</t>
  </si>
  <si>
    <t>Lookup table</t>
  </si>
  <si>
    <t>INDIRECT range</t>
  </si>
  <si>
    <t>COLUMNS(array)</t>
  </si>
  <si>
    <t>ADDRESS(row_num, col_num, [abs_num], [a1], [sheet])</t>
  </si>
  <si>
    <t>Absolute (default)</t>
  </si>
  <si>
    <t>Abs row, rel col</t>
  </si>
  <si>
    <t>Rel row, abs col</t>
  </si>
  <si>
    <t>Relative</t>
  </si>
  <si>
    <t>With sheet name</t>
  </si>
  <si>
    <t>Row 6, Col 5</t>
  </si>
  <si>
    <t>Large col number</t>
  </si>
  <si>
    <t>Dynamic via ROW/COL</t>
  </si>
  <si>
    <t>INDIRECT+ADDRESS</t>
  </si>
  <si>
    <t>R1C1 abs</t>
  </si>
  <si>
    <t>R1C1 relative</t>
  </si>
  <si>
    <t>TRANSPOSE(array)</t>
  </si>
  <si>
    <t>1D column to row</t>
  </si>
  <si>
    <t>1D row to column</t>
  </si>
  <si>
    <t>2x3 matrix</t>
  </si>
  <si>
    <t>3x2 matrix</t>
  </si>
  <si>
    <t>Full data table</t>
  </si>
  <si>
    <t>With formulas</t>
  </si>
  <si>
    <t>TRANSPOSE + INDEX</t>
  </si>
  <si>
    <t>Lookup value not found in the search range</t>
  </si>
  <si>
    <t>Invalid cell reference or index out of bounds</t>
  </si>
  <si>
    <t>Wrong argument type or invalid parameter</t>
  </si>
  <si>
    <t>#SPILL!</t>
  </si>
  <si>
    <t>Dynamic array result blocked by existing data</t>
  </si>
  <si>
    <t>All formulas reference the Vertical Lookup Table (B6:F13) and Horizontal Lookup Table (B16:J19)</t>
  </si>
  <si>
    <t>Coverage</t>
  </si>
  <si>
    <t>15 functions tested: VLOOKUP, HLOOKUP, XLOOKUP, INDEX, MATCH, XMATCH, CHOOSE, INDIRECT, OFFSET, ROW, COLUMN, ROWS, COLUMNS, ADDRESS, TRANSPOSE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</si>
</sst>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C00000"/>
      <name val="Aptos Narrow"/>
      <scheme val="minor"/>
    </font>
    <font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6" fillId="2" borderId="0" xfId="0" applyFont="1" applyFill="1"/>
    <xf numFmtId="0" fontId="6" fillId="3" borderId="0" xfId="0" applyFont="1" applyFill="1"/>
    <xf numFmtId="0" fontId="4" fillId="2" borderId="0" xfId="0" applyFont="1" applyFill="1"/>
    <xf numFmtId="0" fontId="6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left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2</v>
    <v>1</v>
  </rv>
  <rv s="0">
    <v>2</v>
    <v>3</v>
  </rv>
  <rv s="1">
    <v>0</v>
    <v>8</v>
    <v>7</v>
    <v>1</v>
  </rv>
  <rv s="1">
    <v>4</v>
    <v>8</v>
    <v>0</v>
    <v>1</v>
  </rv>
  <rv s="1">
    <v>2</v>
    <v>8</v>
    <v>0</v>
    <v>1</v>
  </rv>
  <rv s="1">
    <v>0</v>
    <v>8</v>
    <v>4</v>
    <v>1</v>
  </rv>
  <rv s="1">
    <v>1</v>
    <v>8</v>
    <v>2</v>
    <v>1</v>
  </rv>
  <rv s="1">
    <v>2</v>
    <v>8</v>
    <v>1</v>
    <v>1</v>
  </rv>
  <rv s="1">
    <v>0</v>
    <v>8</v>
    <v>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A442B2-5648-3F49-ABAF-62CC0DABF9AD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0C96-6148-9541-AC66-05C431EDE65F}">
  <dimension ref="B2:K249"/>
  <sheetViews>
    <sheetView tabSelected="1" topLeftCell="B106" workbookViewId="0">
      <selection activeCell="D103" sqref="D103"/>
    </sheetView>
  </sheetViews>
  <sheetFormatPr defaultColWidth="11.19921875" defaultRowHeight="15.6" x14ac:dyDescent="0.3"/>
  <cols>
    <col min="2" max="2" width="61.69921875" bestFit="1" customWidth="1"/>
    <col min="3" max="3" width="139" bestFit="1" customWidth="1"/>
    <col min="4" max="4" width="29.19921875" bestFit="1" customWidth="1"/>
    <col min="5" max="5" width="14.19921875" bestFit="1" customWidth="1"/>
    <col min="6" max="6" width="19.5" bestFit="1" customWidth="1"/>
    <col min="7" max="7" width="13.19921875" bestFit="1" customWidth="1"/>
    <col min="8" max="9" width="5.19921875" bestFit="1" customWidth="1"/>
    <col min="10" max="10" width="6.69921875" bestFit="1" customWidth="1"/>
  </cols>
  <sheetData>
    <row r="2" spans="2:11" ht="18" x14ac:dyDescent="0.35">
      <c r="B2" s="1" t="s">
        <v>2</v>
      </c>
    </row>
    <row r="3" spans="2:11" x14ac:dyDescent="0.3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x14ac:dyDescent="0.3">
      <c r="B4" s="4" t="s">
        <v>3</v>
      </c>
      <c r="C4" s="4"/>
      <c r="D4" s="4"/>
      <c r="E4" s="4"/>
      <c r="F4" s="4"/>
      <c r="G4" s="4"/>
      <c r="H4" s="4"/>
      <c r="I4" s="4"/>
      <c r="J4" s="4"/>
      <c r="K4" s="4"/>
    </row>
    <row r="5" spans="2:11" x14ac:dyDescent="0.3"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2"/>
      <c r="H5" s="2"/>
      <c r="I5" s="2"/>
      <c r="J5" s="2"/>
      <c r="K5" s="2"/>
    </row>
    <row r="6" spans="2:11" x14ac:dyDescent="0.3">
      <c r="B6" s="7">
        <v>100</v>
      </c>
      <c r="C6" s="2" t="s">
        <v>9</v>
      </c>
      <c r="D6" s="2" t="s">
        <v>10</v>
      </c>
      <c r="E6" s="2">
        <v>55000</v>
      </c>
      <c r="F6" s="2">
        <v>4.2</v>
      </c>
      <c r="G6" s="2"/>
      <c r="H6" s="2"/>
      <c r="I6" s="2"/>
      <c r="J6" s="2"/>
      <c r="K6" s="2"/>
    </row>
    <row r="7" spans="2:11" x14ac:dyDescent="0.3">
      <c r="B7" s="7">
        <v>200</v>
      </c>
      <c r="C7" s="2" t="s">
        <v>11</v>
      </c>
      <c r="D7" s="2" t="s">
        <v>12</v>
      </c>
      <c r="E7" s="2">
        <v>72000</v>
      </c>
      <c r="F7" s="2">
        <v>3.8</v>
      </c>
      <c r="G7" s="2"/>
      <c r="H7" s="2"/>
      <c r="I7" s="2"/>
      <c r="J7" s="2"/>
      <c r="K7" s="2"/>
    </row>
    <row r="8" spans="2:11" x14ac:dyDescent="0.3">
      <c r="B8" s="7">
        <v>300</v>
      </c>
      <c r="C8" s="2" t="s">
        <v>13</v>
      </c>
      <c r="D8" s="2" t="s">
        <v>14</v>
      </c>
      <c r="E8" s="2">
        <v>48000</v>
      </c>
      <c r="F8" s="2">
        <v>4.5</v>
      </c>
      <c r="G8" s="2"/>
      <c r="H8" s="2"/>
      <c r="I8" s="2"/>
      <c r="J8" s="2"/>
      <c r="K8" s="2"/>
    </row>
    <row r="9" spans="2:11" x14ac:dyDescent="0.3">
      <c r="B9" s="7">
        <v>400</v>
      </c>
      <c r="C9" s="2" t="s">
        <v>15</v>
      </c>
      <c r="D9" s="2" t="s">
        <v>12</v>
      </c>
      <c r="E9" s="2">
        <v>85000</v>
      </c>
      <c r="F9" s="2">
        <v>4.9000000000000004</v>
      </c>
      <c r="G9" s="2"/>
      <c r="H9" s="2"/>
      <c r="I9" s="2"/>
      <c r="J9" s="2"/>
      <c r="K9" s="2"/>
    </row>
    <row r="10" spans="2:11" x14ac:dyDescent="0.3">
      <c r="B10" s="7">
        <v>500</v>
      </c>
      <c r="C10" s="2" t="s">
        <v>16</v>
      </c>
      <c r="D10" s="2" t="s">
        <v>10</v>
      </c>
      <c r="E10" s="2">
        <v>62000</v>
      </c>
      <c r="F10" s="2">
        <v>3.1</v>
      </c>
      <c r="G10" s="2"/>
      <c r="H10" s="2"/>
      <c r="I10" s="2"/>
      <c r="J10" s="2"/>
      <c r="K10" s="2"/>
    </row>
    <row r="11" spans="2:11" x14ac:dyDescent="0.3">
      <c r="B11" s="7">
        <v>600</v>
      </c>
      <c r="C11" s="2" t="s">
        <v>17</v>
      </c>
      <c r="D11" s="2" t="s">
        <v>18</v>
      </c>
      <c r="E11" s="2">
        <v>51000</v>
      </c>
      <c r="F11" s="2">
        <v>4</v>
      </c>
      <c r="G11" s="2"/>
      <c r="H11" s="2"/>
      <c r="I11" s="2"/>
      <c r="J11" s="2"/>
      <c r="K11" s="2"/>
    </row>
    <row r="12" spans="2:11" x14ac:dyDescent="0.3">
      <c r="B12" s="7">
        <v>700</v>
      </c>
      <c r="C12" s="2" t="s">
        <v>19</v>
      </c>
      <c r="D12" s="2" t="s">
        <v>14</v>
      </c>
      <c r="E12" s="2">
        <v>59000</v>
      </c>
      <c r="F12" s="2">
        <v>3.6</v>
      </c>
      <c r="G12" s="2"/>
      <c r="H12" s="2"/>
      <c r="I12" s="2"/>
      <c r="J12" s="2"/>
      <c r="K12" s="2"/>
    </row>
    <row r="13" spans="2:11" x14ac:dyDescent="0.3">
      <c r="B13" s="7">
        <v>800</v>
      </c>
      <c r="C13" s="2" t="s">
        <v>20</v>
      </c>
      <c r="D13" s="2" t="s">
        <v>12</v>
      </c>
      <c r="E13" s="2">
        <v>91000</v>
      </c>
      <c r="F13" s="2">
        <v>4.7</v>
      </c>
      <c r="G13" s="2"/>
      <c r="H13" s="2"/>
      <c r="I13" s="2"/>
      <c r="J13" s="2"/>
      <c r="K13" s="2"/>
    </row>
    <row r="14" spans="2:1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 x14ac:dyDescent="0.3">
      <c r="B15" s="4" t="s">
        <v>21</v>
      </c>
      <c r="C15" s="4"/>
      <c r="D15" s="4"/>
      <c r="E15" s="4"/>
      <c r="F15" s="4"/>
      <c r="G15" s="4"/>
      <c r="H15" s="4"/>
      <c r="I15" s="4"/>
      <c r="J15" s="4"/>
      <c r="K15" s="4"/>
    </row>
    <row r="16" spans="2:11" x14ac:dyDescent="0.3">
      <c r="B16" s="8" t="s">
        <v>22</v>
      </c>
      <c r="C16" s="8" t="s">
        <v>23</v>
      </c>
      <c r="D16" s="8" t="s">
        <v>24</v>
      </c>
      <c r="E16" s="8" t="s">
        <v>25</v>
      </c>
      <c r="F16" s="8" t="s">
        <v>26</v>
      </c>
      <c r="G16" s="8" t="s">
        <v>27</v>
      </c>
      <c r="H16" s="8" t="s">
        <v>28</v>
      </c>
      <c r="I16" s="8" t="s">
        <v>29</v>
      </c>
      <c r="J16" s="8" t="s">
        <v>30</v>
      </c>
      <c r="K16" s="2"/>
    </row>
    <row r="17" spans="2:11" x14ac:dyDescent="0.3">
      <c r="B17" s="5" t="s">
        <v>31</v>
      </c>
      <c r="C17" s="9">
        <v>1200</v>
      </c>
      <c r="D17" s="9">
        <v>1500</v>
      </c>
      <c r="E17" s="9">
        <v>1800</v>
      </c>
      <c r="F17" s="9">
        <v>2100</v>
      </c>
      <c r="G17" s="9">
        <f>C17+D17</f>
        <v>2700</v>
      </c>
      <c r="H17" s="9">
        <f>E17+F17</f>
        <v>3900</v>
      </c>
      <c r="I17" s="9">
        <f>G17+H17</f>
        <v>6600</v>
      </c>
      <c r="J17" s="9">
        <v>6000</v>
      </c>
      <c r="K17" s="2"/>
    </row>
    <row r="18" spans="2:11" x14ac:dyDescent="0.3">
      <c r="B18" s="5" t="s">
        <v>32</v>
      </c>
      <c r="C18" s="9">
        <v>800</v>
      </c>
      <c r="D18" s="9">
        <v>900</v>
      </c>
      <c r="E18" s="9">
        <v>1000</v>
      </c>
      <c r="F18" s="9">
        <v>1100</v>
      </c>
      <c r="G18" s="9">
        <f>C18+D18</f>
        <v>1700</v>
      </c>
      <c r="H18" s="9">
        <f>E18+F18</f>
        <v>2100</v>
      </c>
      <c r="I18" s="9">
        <f>G18+H18</f>
        <v>3800</v>
      </c>
      <c r="J18" s="9">
        <v>4000</v>
      </c>
      <c r="K18" s="2"/>
    </row>
    <row r="19" spans="2:11" x14ac:dyDescent="0.3">
      <c r="B19" s="5" t="s">
        <v>33</v>
      </c>
      <c r="C19" s="9">
        <f t="shared" ref="C19:I19" si="0">C17-C18</f>
        <v>400</v>
      </c>
      <c r="D19" s="9">
        <f t="shared" si="0"/>
        <v>600</v>
      </c>
      <c r="E19" s="9">
        <f t="shared" si="0"/>
        <v>800</v>
      </c>
      <c r="F19" s="9">
        <f t="shared" si="0"/>
        <v>1000</v>
      </c>
      <c r="G19" s="9">
        <f t="shared" si="0"/>
        <v>1000</v>
      </c>
      <c r="H19" s="9">
        <f t="shared" si="0"/>
        <v>1800</v>
      </c>
      <c r="I19" s="9">
        <f t="shared" si="0"/>
        <v>2800</v>
      </c>
      <c r="J19" s="9">
        <v>2000</v>
      </c>
      <c r="K19" s="2"/>
    </row>
    <row r="20" spans="2:1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2:11" x14ac:dyDescent="0.3">
      <c r="B21" s="4" t="s">
        <v>34</v>
      </c>
      <c r="C21" s="4"/>
      <c r="D21" s="4"/>
      <c r="E21" s="4"/>
      <c r="F21" s="4"/>
      <c r="G21" s="4"/>
      <c r="H21" s="4"/>
      <c r="I21" s="4"/>
      <c r="J21" s="4"/>
      <c r="K21" s="4"/>
    </row>
    <row r="22" spans="2:11" x14ac:dyDescent="0.3">
      <c r="B22" s="3" t="s">
        <v>35</v>
      </c>
      <c r="C22" s="10">
        <v>300</v>
      </c>
      <c r="D22" s="2"/>
      <c r="E22" s="2"/>
      <c r="F22" s="2"/>
      <c r="G22" s="2"/>
      <c r="H22" s="2"/>
      <c r="I22" s="2"/>
      <c r="J22" s="2"/>
      <c r="K22" s="2"/>
    </row>
    <row r="23" spans="2:11" x14ac:dyDescent="0.3">
      <c r="B23" s="3" t="s">
        <v>36</v>
      </c>
      <c r="C23" s="10">
        <v>250</v>
      </c>
      <c r="D23" s="2"/>
      <c r="E23" s="2"/>
      <c r="F23" s="2"/>
      <c r="G23" s="2"/>
      <c r="H23" s="2"/>
      <c r="I23" s="2"/>
      <c r="J23" s="2"/>
      <c r="K23" s="2"/>
    </row>
    <row r="24" spans="2:11" x14ac:dyDescent="0.3">
      <c r="B24" s="3" t="s">
        <v>37</v>
      </c>
      <c r="C24" s="10">
        <v>100</v>
      </c>
      <c r="D24" s="2"/>
      <c r="E24" s="2"/>
      <c r="F24" s="2"/>
      <c r="G24" s="2"/>
      <c r="H24" s="2"/>
      <c r="I24" s="2"/>
      <c r="J24" s="2"/>
      <c r="K24" s="2"/>
    </row>
    <row r="25" spans="2:11" x14ac:dyDescent="0.3">
      <c r="B25" s="3" t="s">
        <v>38</v>
      </c>
      <c r="C25" s="10">
        <v>800</v>
      </c>
      <c r="D25" s="2"/>
      <c r="E25" s="2"/>
      <c r="F25" s="2"/>
      <c r="G25" s="2"/>
      <c r="H25" s="2"/>
      <c r="I25" s="2"/>
      <c r="J25" s="2"/>
      <c r="K25" s="2"/>
    </row>
    <row r="26" spans="2:11" x14ac:dyDescent="0.3">
      <c r="B26" s="3" t="s">
        <v>39</v>
      </c>
      <c r="C26" s="10">
        <v>50</v>
      </c>
      <c r="D26" s="2"/>
      <c r="E26" s="2"/>
      <c r="F26" s="2"/>
      <c r="G26" s="2"/>
      <c r="H26" s="2"/>
      <c r="I26" s="2"/>
      <c r="J26" s="2"/>
      <c r="K26" s="2"/>
    </row>
    <row r="27" spans="2:11" x14ac:dyDescent="0.3">
      <c r="B27" s="3" t="s">
        <v>40</v>
      </c>
      <c r="C27" s="10">
        <v>999</v>
      </c>
      <c r="D27" s="2"/>
      <c r="E27" s="2"/>
      <c r="F27" s="2"/>
      <c r="G27" s="2"/>
      <c r="H27" s="2"/>
      <c r="I27" s="2"/>
      <c r="J27" s="2"/>
      <c r="K27" s="2"/>
    </row>
    <row r="28" spans="2:11" x14ac:dyDescent="0.3">
      <c r="B28" s="3" t="s">
        <v>41</v>
      </c>
      <c r="C28" s="10" t="s">
        <v>13</v>
      </c>
      <c r="D28" s="2"/>
      <c r="E28" s="2"/>
      <c r="F28" s="2"/>
      <c r="G28" s="2"/>
      <c r="H28" s="2"/>
      <c r="I28" s="2"/>
      <c r="J28" s="2"/>
      <c r="K28" s="2"/>
    </row>
    <row r="29" spans="2:11" x14ac:dyDescent="0.3">
      <c r="B29" s="3" t="s">
        <v>42</v>
      </c>
      <c r="C29" s="10" t="s">
        <v>32</v>
      </c>
      <c r="D29" s="2"/>
      <c r="E29" s="2"/>
      <c r="F29" s="2"/>
      <c r="G29" s="2"/>
      <c r="H29" s="2"/>
      <c r="I29" s="2"/>
      <c r="J29" s="2"/>
      <c r="K29" s="2"/>
    </row>
    <row r="30" spans="2:11" x14ac:dyDescent="0.3">
      <c r="B30" s="3" t="s">
        <v>43</v>
      </c>
      <c r="C30" s="10" t="s">
        <v>25</v>
      </c>
      <c r="D30" s="2"/>
      <c r="E30" s="2"/>
      <c r="F30" s="2"/>
      <c r="G30" s="2"/>
      <c r="H30" s="2"/>
      <c r="I30" s="2"/>
      <c r="J30" s="2"/>
      <c r="K30" s="2"/>
    </row>
    <row r="31" spans="2:11" x14ac:dyDescent="0.3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2:11" x14ac:dyDescent="0.3">
      <c r="B32" s="4" t="s">
        <v>44</v>
      </c>
      <c r="C32" s="4"/>
      <c r="D32" s="4"/>
      <c r="E32" s="4"/>
      <c r="F32" s="4"/>
      <c r="G32" s="4"/>
      <c r="H32" s="4"/>
      <c r="I32" s="4"/>
      <c r="J32" s="4"/>
      <c r="K32" s="4"/>
    </row>
    <row r="33" spans="2:11" x14ac:dyDescent="0.3">
      <c r="B33" s="11" t="s">
        <v>45</v>
      </c>
      <c r="C33" s="8" t="s">
        <v>46</v>
      </c>
      <c r="D33" s="8" t="s">
        <v>47</v>
      </c>
      <c r="E33" s="8" t="s">
        <v>48</v>
      </c>
      <c r="F33" s="8" t="s">
        <v>49</v>
      </c>
      <c r="G33" s="8" t="s">
        <v>50</v>
      </c>
      <c r="H33" s="2"/>
      <c r="I33" s="2"/>
      <c r="J33" s="2"/>
      <c r="K33" s="2"/>
    </row>
    <row r="34" spans="2:11" x14ac:dyDescent="0.3">
      <c r="B34" s="5">
        <v>300</v>
      </c>
      <c r="C34" s="9" t="str">
        <f>VLOOKUP(300,$B$6:$F$13,2,0)</f>
        <v>Charlie</v>
      </c>
      <c r="D34" s="9" t="str">
        <f>VLOOKUP(300,$B$6:$F$13,3,0)</f>
        <v>Marketing</v>
      </c>
      <c r="E34" s="9">
        <f>VLOOKUP(300,$B$6:$F$13,4,0)</f>
        <v>48000</v>
      </c>
      <c r="F34" s="9">
        <f>VLOOKUP(300,$B$6:$F$13,5,0)</f>
        <v>4.5</v>
      </c>
      <c r="G34" s="9" t="e">
        <f>VLOOKUP(999,$B$6:$F$13,2,0)</f>
        <v>#N/A</v>
      </c>
      <c r="H34" s="2"/>
      <c r="I34" s="2"/>
      <c r="J34" s="2"/>
      <c r="K34" s="2"/>
    </row>
    <row r="35" spans="2:11" x14ac:dyDescent="0.3">
      <c r="B35" s="5">
        <v>100</v>
      </c>
      <c r="C35" s="9" t="str">
        <f>VLOOKUP(100,$B$6:$F$13,2,0)</f>
        <v>Alice</v>
      </c>
      <c r="D35" s="9" t="str">
        <f>VLOOKUP(100,$B$6:$F$13,3,0)</f>
        <v>Sales</v>
      </c>
      <c r="E35" s="9">
        <f>VLOOKUP(100,$B$6:$F$13,4,0)</f>
        <v>55000</v>
      </c>
      <c r="F35" s="9">
        <f>VLOOKUP(100,$B$6:$F$13,5,0)</f>
        <v>4.2</v>
      </c>
      <c r="G35" s="9" t="e">
        <f>VLOOKUP(50,$B$6:$F$13,2,0)</f>
        <v>#N/A</v>
      </c>
      <c r="H35" s="2"/>
      <c r="I35" s="2"/>
      <c r="J35" s="2"/>
      <c r="K35" s="2"/>
    </row>
    <row r="36" spans="2:11" x14ac:dyDescent="0.3">
      <c r="B36" s="5">
        <v>800</v>
      </c>
      <c r="C36" s="9" t="str">
        <f>VLOOKUP(800,$B$6:$F$13,2,0)</f>
        <v>Hank</v>
      </c>
      <c r="D36" s="9" t="str">
        <f>VLOOKUP(800,$B$6:$F$13,3,0)</f>
        <v>Engineering</v>
      </c>
      <c r="E36" s="9">
        <f>VLOOKUP(800,$B$6:$F$13,4,0)</f>
        <v>91000</v>
      </c>
      <c r="F36" s="9">
        <f>VLOOKUP(800,$B$6:$F$13,5,0)</f>
        <v>4.7</v>
      </c>
      <c r="G36" s="9" t="e">
        <f>VLOOKUP("text",$B$6:$F$13,2,0)</f>
        <v>#N/A</v>
      </c>
      <c r="H36" s="2"/>
      <c r="I36" s="2"/>
      <c r="J36" s="2"/>
      <c r="K36" s="2"/>
    </row>
    <row r="37" spans="2:11" x14ac:dyDescent="0.3">
      <c r="B37" s="5">
        <v>500</v>
      </c>
      <c r="C37" s="9" t="str">
        <f>VLOOKUP(500,$B$6:$F$13,2,0)</f>
        <v>Eve</v>
      </c>
      <c r="D37" s="9" t="str">
        <f>VLOOKUP(500,$B$6:$F$13,3,0)</f>
        <v>Sales</v>
      </c>
      <c r="E37" s="9">
        <f>VLOOKUP(500,$B$6:$F$13,4,0)</f>
        <v>62000</v>
      </c>
      <c r="F37" s="9">
        <f>VLOOKUP(500,$B$6:$F$13,5,0)</f>
        <v>3.1</v>
      </c>
      <c r="G37" s="9" t="e">
        <f>VLOOKUP("",$B$6:$F$13,2,0)</f>
        <v>#N/A</v>
      </c>
      <c r="H37" s="2"/>
      <c r="I37" s="2"/>
      <c r="J37" s="2"/>
      <c r="K37" s="2"/>
    </row>
    <row r="38" spans="2:1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3">
      <c r="B39" s="4" t="s">
        <v>51</v>
      </c>
      <c r="C39" s="4"/>
      <c r="D39" s="4"/>
      <c r="E39" s="4"/>
      <c r="F39" s="4"/>
      <c r="G39" s="4"/>
      <c r="H39" s="4"/>
      <c r="I39" s="4"/>
      <c r="J39" s="4"/>
      <c r="K39" s="4"/>
    </row>
    <row r="40" spans="2:11" x14ac:dyDescent="0.3">
      <c r="B40" s="11" t="s">
        <v>45</v>
      </c>
      <c r="C40" s="8" t="s">
        <v>46</v>
      </c>
      <c r="D40" s="8" t="s">
        <v>48</v>
      </c>
      <c r="E40" s="8" t="s">
        <v>52</v>
      </c>
      <c r="F40" s="8" t="s">
        <v>53</v>
      </c>
      <c r="G40" s="2"/>
      <c r="H40" s="2"/>
      <c r="I40" s="2"/>
      <c r="J40" s="2"/>
      <c r="K40" s="2"/>
    </row>
    <row r="41" spans="2:11" x14ac:dyDescent="0.3">
      <c r="B41" s="5">
        <v>250</v>
      </c>
      <c r="C41" s="9" t="str">
        <f>VLOOKUP(250,$B$6:$F$13,2,1)</f>
        <v>Bob</v>
      </c>
      <c r="D41" s="9">
        <f>VLOOKUP(250,$B$6:$F$13,4,1)</f>
        <v>72000</v>
      </c>
      <c r="E41" s="9" t="e">
        <f>VLOOKUP(50,$B$6:$F$13,2,1)</f>
        <v>#N/A</v>
      </c>
      <c r="F41" s="9" t="str">
        <f>VLOOKUP(999,$B$6:$F$13,2,1)</f>
        <v>Hank</v>
      </c>
      <c r="G41" s="2"/>
      <c r="H41" s="2"/>
      <c r="I41" s="2"/>
      <c r="J41" s="2"/>
      <c r="K41" s="2"/>
    </row>
    <row r="42" spans="2:11" x14ac:dyDescent="0.3">
      <c r="B42" s="5">
        <v>350</v>
      </c>
      <c r="C42" s="9" t="str">
        <f>VLOOKUP(350,$B$6:$F$13,2,1)</f>
        <v>Charlie</v>
      </c>
      <c r="D42" s="9">
        <f>VLOOKUP(350,$B$6:$F$13,4,1)</f>
        <v>48000</v>
      </c>
      <c r="E42" s="9" t="str">
        <f>VLOOKUP(100,$B$6:$F$13,2,TRUE)</f>
        <v>Alice</v>
      </c>
      <c r="F42" s="9" t="str">
        <f>VLOOKUP(800,$B$6:$F$13,2,TRUE)</f>
        <v>Hank</v>
      </c>
      <c r="G42" s="2"/>
      <c r="H42" s="2"/>
      <c r="I42" s="2"/>
      <c r="J42" s="2"/>
      <c r="K42" s="2"/>
    </row>
    <row r="43" spans="2:11" x14ac:dyDescent="0.3">
      <c r="B43" s="5">
        <v>750</v>
      </c>
      <c r="C43" s="9" t="str">
        <f>VLOOKUP(750,$B$6:$F$13,2,1)</f>
        <v>Grace</v>
      </c>
      <c r="D43" s="9">
        <f>VLOOKUP(750,$B$6:$F$13,4,1)</f>
        <v>59000</v>
      </c>
      <c r="E43" s="9" t="e">
        <f>VLOOKUP(0,$B$6:$F$13,2,1)</f>
        <v>#N/A</v>
      </c>
      <c r="F43" s="9" t="str">
        <f>VLOOKUP(1000,$B$6:$F$13,2,1)</f>
        <v>Hank</v>
      </c>
      <c r="G43" s="2"/>
      <c r="H43" s="2"/>
      <c r="I43" s="2"/>
      <c r="J43" s="2"/>
      <c r="K43" s="2"/>
    </row>
    <row r="44" spans="2:1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3">
      <c r="B45" s="4" t="s">
        <v>54</v>
      </c>
      <c r="C45" s="4"/>
      <c r="D45" s="4"/>
      <c r="E45" s="4"/>
      <c r="F45" s="4"/>
      <c r="G45" s="4"/>
      <c r="H45" s="4"/>
      <c r="I45" s="4"/>
      <c r="J45" s="4"/>
      <c r="K45" s="4"/>
    </row>
    <row r="46" spans="2:11" x14ac:dyDescent="0.3">
      <c r="B46" s="11" t="s">
        <v>55</v>
      </c>
      <c r="C46" s="8" t="s">
        <v>56</v>
      </c>
      <c r="D46" s="8" t="s">
        <v>57</v>
      </c>
      <c r="E46" s="8" t="s">
        <v>58</v>
      </c>
      <c r="F46" s="2"/>
      <c r="G46" s="2"/>
      <c r="H46" s="2"/>
      <c r="I46" s="2"/>
      <c r="J46" s="2"/>
      <c r="K46" s="2"/>
    </row>
    <row r="47" spans="2:11" x14ac:dyDescent="0.3">
      <c r="B47" s="5" t="s">
        <v>59</v>
      </c>
      <c r="C47" s="9" t="str">
        <f>IFERROR(VLOOKUP(300,$B$6:$F$13,0,0),"ERROR")</f>
        <v>ERROR</v>
      </c>
      <c r="D47" s="9" t="s">
        <v>60</v>
      </c>
      <c r="E47" s="9" t="e" vm="1">
        <f>VLOOKUP(300,$B$6:$F$13,0,0)</f>
        <v>#VALUE!</v>
      </c>
      <c r="F47" s="2"/>
      <c r="G47" s="2"/>
      <c r="H47" s="2"/>
      <c r="I47" s="2"/>
      <c r="J47" s="2"/>
      <c r="K47" s="2"/>
    </row>
    <row r="48" spans="2:11" x14ac:dyDescent="0.3">
      <c r="B48" s="5" t="s">
        <v>61</v>
      </c>
      <c r="C48" s="9" t="str">
        <f>IFERROR(VLOOKUP(300,$B$6:$F$13,6,0),"ERROR")</f>
        <v>ERROR</v>
      </c>
      <c r="D48" s="9" t="s">
        <v>60</v>
      </c>
      <c r="E48" s="9" t="e">
        <f>VLOOKUP(300,$B$6:$F$13,6,0)</f>
        <v>#REF!</v>
      </c>
      <c r="F48" s="2"/>
      <c r="G48" s="2"/>
      <c r="H48" s="2"/>
      <c r="I48" s="2"/>
      <c r="J48" s="2"/>
      <c r="K48" s="2"/>
    </row>
    <row r="49" spans="2:11" x14ac:dyDescent="0.3">
      <c r="B49" s="5" t="s">
        <v>62</v>
      </c>
      <c r="C49" s="9">
        <f>IFERROR(VLOOKUP(300,$B$6:$B$13,1,0),"FOUND")</f>
        <v>300</v>
      </c>
      <c r="D49" s="9">
        <v>300</v>
      </c>
      <c r="E49" s="9">
        <f>VLOOKUP(300,$B$6:$B$13,1,0)</f>
        <v>300</v>
      </c>
      <c r="F49" s="2"/>
      <c r="G49" s="2"/>
      <c r="H49" s="2"/>
      <c r="I49" s="2"/>
      <c r="J49" s="2"/>
      <c r="K49" s="2"/>
    </row>
    <row r="50" spans="2:11" x14ac:dyDescent="0.3">
      <c r="B50" s="5" t="s">
        <v>63</v>
      </c>
      <c r="C50" s="9" t="str">
        <f>VLOOKUP("Alice",$C$6:$F$13,2,0)</f>
        <v>Sales</v>
      </c>
      <c r="D50" s="9" t="s">
        <v>10</v>
      </c>
      <c r="E50" s="9" t="str">
        <f>VLOOKUP("Alice",$C$6:$F$13,2,0)</f>
        <v>Sales</v>
      </c>
      <c r="F50" s="2"/>
      <c r="G50" s="2"/>
      <c r="H50" s="2"/>
      <c r="I50" s="2"/>
      <c r="J50" s="2"/>
      <c r="K50" s="2"/>
    </row>
    <row r="51" spans="2:11" x14ac:dyDescent="0.3">
      <c r="B51" s="5" t="s">
        <v>64</v>
      </c>
      <c r="C51" s="9" t="str">
        <f>VLOOKUP("alice",$C$6:$F$13,2,0)</f>
        <v>Sales</v>
      </c>
      <c r="D51" s="9" t="s">
        <v>10</v>
      </c>
      <c r="E51" s="9" t="str">
        <f>VLOOKUP("alice",$C$6:$F$13,2,0)</f>
        <v>Sales</v>
      </c>
      <c r="F51" s="2"/>
      <c r="G51" s="2"/>
      <c r="H51" s="2"/>
      <c r="I51" s="2"/>
      <c r="J51" s="2"/>
      <c r="K51" s="2"/>
    </row>
    <row r="52" spans="2:11" x14ac:dyDescent="0.3">
      <c r="B52" s="5" t="s">
        <v>65</v>
      </c>
      <c r="C52" s="9" t="str">
        <f>VLOOKUP("Al*",$C$6:$F$13,2,0)</f>
        <v>Sales</v>
      </c>
      <c r="D52" s="9" t="s">
        <v>10</v>
      </c>
      <c r="E52" s="9" t="str">
        <f>VLOOKUP("Al*",$C$6:$F$13,2,0)</f>
        <v>Sales</v>
      </c>
      <c r="F52" s="2"/>
      <c r="G52" s="2"/>
      <c r="H52" s="2"/>
      <c r="I52" s="2"/>
      <c r="J52" s="2"/>
      <c r="K52" s="2"/>
    </row>
    <row r="53" spans="2:11" x14ac:dyDescent="0.3">
      <c r="B53" s="5" t="s">
        <v>66</v>
      </c>
      <c r="C53" s="9" t="str">
        <f>VLOOKUP("Bo?",$C$6:$F$13,2,0)</f>
        <v>Engineering</v>
      </c>
      <c r="D53" s="9" t="s">
        <v>67</v>
      </c>
      <c r="E53" s="9" t="str">
        <f>VLOOKUP("Bo?",$C$6:$F$13,2,0)</f>
        <v>Engineering</v>
      </c>
      <c r="F53" s="2"/>
      <c r="G53" s="2"/>
      <c r="H53" s="2"/>
      <c r="I53" s="2"/>
      <c r="J53" s="2"/>
      <c r="K53" s="2"/>
    </row>
    <row r="54" spans="2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2:11" x14ac:dyDescent="0.3">
      <c r="B55" s="4" t="s">
        <v>68</v>
      </c>
      <c r="C55" s="4"/>
      <c r="D55" s="4"/>
      <c r="E55" s="4"/>
      <c r="F55" s="4"/>
      <c r="G55" s="4"/>
      <c r="H55" s="4"/>
      <c r="I55" s="4"/>
      <c r="J55" s="4"/>
      <c r="K55" s="4"/>
    </row>
    <row r="56" spans="2:11" x14ac:dyDescent="0.3">
      <c r="B56" s="11" t="s">
        <v>45</v>
      </c>
      <c r="C56" s="8" t="s">
        <v>69</v>
      </c>
      <c r="D56" s="8" t="s">
        <v>70</v>
      </c>
      <c r="E56" s="8" t="s">
        <v>71</v>
      </c>
      <c r="F56" s="8" t="s">
        <v>50</v>
      </c>
      <c r="G56" s="8" t="s">
        <v>72</v>
      </c>
      <c r="H56" s="2"/>
      <c r="I56" s="2"/>
      <c r="J56" s="2"/>
      <c r="K56" s="2"/>
    </row>
    <row r="57" spans="2:11" x14ac:dyDescent="0.3">
      <c r="B57" s="5" t="s">
        <v>23</v>
      </c>
      <c r="C57" s="9">
        <f>HLOOKUP("Q1",$B$16:$J$19,2,0)</f>
        <v>1200</v>
      </c>
      <c r="D57" s="9">
        <f>HLOOKUP("Q1",$B$16:$J$19,3,0)</f>
        <v>800</v>
      </c>
      <c r="E57" s="9">
        <f>HLOOKUP("Q1",$B$16:$J$19,4,0)</f>
        <v>400</v>
      </c>
      <c r="F57" s="9" t="e">
        <f>HLOOKUP("Q5",$B$16:$J$19,2,0)</f>
        <v>#N/A</v>
      </c>
      <c r="G57" s="9" t="str">
        <f>HLOOKUP("Metric",$B$16:$J$19,2,0)</f>
        <v>Revenue</v>
      </c>
      <c r="H57" s="2"/>
      <c r="I57" s="2"/>
      <c r="J57" s="2"/>
      <c r="K57" s="2"/>
    </row>
    <row r="58" spans="2:11" x14ac:dyDescent="0.3">
      <c r="B58" s="5" t="s">
        <v>25</v>
      </c>
      <c r="C58" s="9">
        <f>HLOOKUP("Q3",$B$16:$J$19,2,0)</f>
        <v>1800</v>
      </c>
      <c r="D58" s="9">
        <f>HLOOKUP("Q3",$B$16:$J$19,3,0)</f>
        <v>1000</v>
      </c>
      <c r="E58" s="9">
        <f>HLOOKUP("Q3",$B$16:$J$19,4,0)</f>
        <v>800</v>
      </c>
      <c r="F58" s="9" t="e">
        <f>HLOOKUP("XX",$B$16:$J$19,2,0)</f>
        <v>#N/A</v>
      </c>
      <c r="G58" s="9">
        <f>HLOOKUP("Budget",$B$16:$J$19,3,0)</f>
        <v>4000</v>
      </c>
      <c r="H58" s="2"/>
      <c r="I58" s="2"/>
      <c r="J58" s="2"/>
      <c r="K58" s="2"/>
    </row>
    <row r="59" spans="2:11" x14ac:dyDescent="0.3">
      <c r="B59" s="5" t="s">
        <v>29</v>
      </c>
      <c r="C59" s="9">
        <f>HLOOKUP("FY",$B$16:$J$19,2,0)</f>
        <v>6600</v>
      </c>
      <c r="D59" s="9">
        <f>HLOOKUP("FY",$B$16:$J$19,3,0)</f>
        <v>3800</v>
      </c>
      <c r="E59" s="9">
        <f>HLOOKUP("FY",$B$16:$J$19,4,0)</f>
        <v>2800</v>
      </c>
      <c r="F59" s="9" t="e">
        <f>HLOOKUP("",$B$16:$J$19,2,0)</f>
        <v>#N/A</v>
      </c>
      <c r="G59" s="9">
        <f>HLOOKUP("H1",$B$16:$J$19,4,0)</f>
        <v>1000</v>
      </c>
      <c r="H59" s="2"/>
      <c r="I59" s="2"/>
      <c r="J59" s="2"/>
      <c r="K59" s="2"/>
    </row>
    <row r="60" spans="2:11" x14ac:dyDescent="0.3">
      <c r="B60" s="5" t="s">
        <v>30</v>
      </c>
      <c r="C60" s="9">
        <f>HLOOKUP("Budget",$B$16:$J$19,2,0)</f>
        <v>6000</v>
      </c>
      <c r="D60" s="9">
        <f>HLOOKUP("Budget",$B$16:$J$19,3,0)</f>
        <v>4000</v>
      </c>
      <c r="E60" s="9">
        <f>HLOOKUP("Budget",$B$16:$J$19,4,0)</f>
        <v>2000</v>
      </c>
      <c r="F60" s="9" t="e">
        <f>HLOOKUP(0,$B$16:$J$19,2,0)</f>
        <v>#N/A</v>
      </c>
      <c r="G60" s="9">
        <f>HLOOKUP("H2",$B$16:$J$19,2,0)</f>
        <v>3900</v>
      </c>
      <c r="H60" s="2"/>
      <c r="I60" s="2"/>
      <c r="J60" s="2"/>
      <c r="K60" s="2"/>
    </row>
    <row r="61" spans="2:11" x14ac:dyDescent="0.3"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2:11" x14ac:dyDescent="0.3">
      <c r="B62" s="4" t="s">
        <v>73</v>
      </c>
      <c r="C62" s="4"/>
      <c r="D62" s="4"/>
      <c r="E62" s="4"/>
      <c r="F62" s="4"/>
      <c r="G62" s="4"/>
      <c r="H62" s="4"/>
      <c r="I62" s="4"/>
      <c r="J62" s="4"/>
      <c r="K62" s="4"/>
    </row>
    <row r="63" spans="2:11" x14ac:dyDescent="0.3">
      <c r="B63" s="11" t="s">
        <v>55</v>
      </c>
      <c r="C63" s="8" t="s">
        <v>74</v>
      </c>
      <c r="D63" s="8" t="s">
        <v>75</v>
      </c>
      <c r="E63" s="2"/>
      <c r="F63" s="2"/>
      <c r="G63" s="2"/>
      <c r="H63" s="2"/>
      <c r="I63" s="2"/>
      <c r="J63" s="2"/>
      <c r="K63" s="2"/>
    </row>
    <row r="64" spans="2:11" x14ac:dyDescent="0.3">
      <c r="B64" s="5" t="s">
        <v>76</v>
      </c>
      <c r="C64" s="9" t="str">
        <f>IFERROR(HLOOKUP("Q1",$B$16:$J$19,0,0),"ERROR")</f>
        <v>ERROR</v>
      </c>
      <c r="D64" s="9" t="e" vm="2">
        <f>HLOOKUP("Q1",$B$16:$J$19,0,0)</f>
        <v>#VALUE!</v>
      </c>
      <c r="E64" s="2"/>
      <c r="F64" s="2"/>
      <c r="G64" s="2"/>
      <c r="H64" s="2"/>
      <c r="I64" s="2"/>
      <c r="J64" s="2"/>
      <c r="K64" s="2"/>
    </row>
    <row r="65" spans="2:11" x14ac:dyDescent="0.3">
      <c r="B65" s="5" t="s">
        <v>77</v>
      </c>
      <c r="C65" s="9" t="str">
        <f>IFERROR(HLOOKUP("Q1",$B$16:$J$19,5,0),"ERROR")</f>
        <v>ERROR</v>
      </c>
      <c r="D65" s="9" t="e">
        <f>HLOOKUP("Q1",$B$16:$J$19,5,0)</f>
        <v>#REF!</v>
      </c>
      <c r="E65" s="2"/>
      <c r="F65" s="2"/>
      <c r="G65" s="2"/>
      <c r="H65" s="2"/>
      <c r="I65" s="2"/>
      <c r="J65" s="2"/>
      <c r="K65" s="2"/>
    </row>
    <row r="66" spans="2:11" x14ac:dyDescent="0.3">
      <c r="B66" s="5" t="s">
        <v>64</v>
      </c>
      <c r="C66" s="9">
        <f>HLOOKUP("q1",$B$16:$J$19,2,0)</f>
        <v>1200</v>
      </c>
      <c r="D66" s="9">
        <f>HLOOKUP("Q1",$B$16:$J$19,2,0)</f>
        <v>1200</v>
      </c>
      <c r="E66" s="2"/>
      <c r="F66" s="2"/>
      <c r="G66" s="2"/>
      <c r="H66" s="2"/>
      <c r="I66" s="2"/>
      <c r="J66" s="2"/>
      <c r="K66" s="2"/>
    </row>
    <row r="67" spans="2:11" x14ac:dyDescent="0.3">
      <c r="B67" s="5" t="s">
        <v>78</v>
      </c>
      <c r="C67" s="9">
        <f>HLOOKUP("Q25",$B$16:$J$19,2,1)</f>
        <v>1500</v>
      </c>
      <c r="D67" s="9">
        <f>HLOOKUP("Q1",$B$16:$J$19,2,TRUE)</f>
        <v>1200</v>
      </c>
      <c r="E67" s="2"/>
      <c r="F67" s="2"/>
      <c r="G67" s="2"/>
      <c r="H67" s="2"/>
      <c r="I67" s="2"/>
      <c r="J67" s="2"/>
      <c r="K67" s="2"/>
    </row>
    <row r="68" spans="2:1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2:11" x14ac:dyDescent="0.3">
      <c r="B69" s="4" t="s">
        <v>79</v>
      </c>
      <c r="C69" s="4"/>
      <c r="D69" s="4"/>
      <c r="E69" s="4"/>
      <c r="F69" s="4"/>
      <c r="G69" s="4"/>
      <c r="H69" s="4"/>
      <c r="I69" s="4"/>
      <c r="J69" s="4"/>
      <c r="K69" s="4"/>
    </row>
    <row r="70" spans="2:11" x14ac:dyDescent="0.3">
      <c r="B70" s="11" t="s">
        <v>45</v>
      </c>
      <c r="C70" s="8" t="s">
        <v>80</v>
      </c>
      <c r="D70" s="8" t="s">
        <v>81</v>
      </c>
      <c r="E70" s="8" t="s">
        <v>82</v>
      </c>
      <c r="F70" s="8" t="s">
        <v>83</v>
      </c>
      <c r="G70" s="8" t="s">
        <v>84</v>
      </c>
      <c r="H70" s="2"/>
      <c r="I70" s="2"/>
      <c r="J70" s="2"/>
      <c r="K70" s="2"/>
    </row>
    <row r="71" spans="2:11" x14ac:dyDescent="0.3">
      <c r="B71" s="5">
        <v>300</v>
      </c>
      <c r="C71" s="9" t="str">
        <f>_xlfn.XLOOKUP(300,$B$6:$B$13,$C$6:$C$13)</f>
        <v>Charlie</v>
      </c>
      <c r="D71" s="9">
        <f>_xlfn.XLOOKUP(300,$B$6:$B$13,$E$6:$E$13)</f>
        <v>48000</v>
      </c>
      <c r="E71" s="9">
        <f>_xlfn.XLOOKUP(300,$B$6:$B$13,$F$6:$F$13)</f>
        <v>4.5</v>
      </c>
      <c r="F71" s="9" t="str">
        <f>_xlfn.XLOOKUP(999,$B$6:$B$13,$C$6:$C$13,"NOT FOUND")</f>
        <v>NOT FOUND</v>
      </c>
      <c r="G71" s="9" t="str">
        <f>_xlfn.XLOOKUP(300,$B$6:$B$13,$C$6:$C$13,,-1,-1)</f>
        <v>Charlie</v>
      </c>
      <c r="H71" s="2"/>
      <c r="I71" s="2"/>
      <c r="J71" s="2"/>
      <c r="K71" s="2"/>
    </row>
    <row r="72" spans="2:11" x14ac:dyDescent="0.3">
      <c r="B72" s="5">
        <v>100</v>
      </c>
      <c r="C72" s="9" t="str">
        <f>_xlfn.XLOOKUP(100,$B$6:$B$13,$C$6:$C$13)</f>
        <v>Alice</v>
      </c>
      <c r="D72" s="9">
        <f>_xlfn.XLOOKUP(100,$B$6:$B$13,$E$6:$E$13)</f>
        <v>55000</v>
      </c>
      <c r="E72" s="9">
        <f>_xlfn.XLOOKUP(100,$B$6:$B$13,$F$6:$F$13)</f>
        <v>4.2</v>
      </c>
      <c r="F72" s="9" t="str">
        <f>_xlfn.XLOOKUP(50,$B$6:$B$13,$C$6:$C$13,"BELOW")</f>
        <v>BELOW</v>
      </c>
      <c r="G72" s="9" t="str">
        <f>_xlfn.XLOOKUP(100,$B$6:$B$13,$C$6:$C$13,,-1,-1)</f>
        <v>Alice</v>
      </c>
      <c r="H72" s="2"/>
      <c r="I72" s="2"/>
      <c r="J72" s="2"/>
      <c r="K72" s="2"/>
    </row>
    <row r="73" spans="2:11" x14ac:dyDescent="0.3">
      <c r="B73" s="5">
        <v>800</v>
      </c>
      <c r="C73" s="9" t="str">
        <f>_xlfn.XLOOKUP(800,$B$6:$B$13,$C$6:$C$13)</f>
        <v>Hank</v>
      </c>
      <c r="D73" s="9">
        <f>_xlfn.XLOOKUP(800,$B$6:$B$13,$E$6:$E$13)</f>
        <v>91000</v>
      </c>
      <c r="E73" s="9">
        <f>_xlfn.XLOOKUP(800,$B$6:$B$13,$F$6:$F$13)</f>
        <v>4.7</v>
      </c>
      <c r="F73" s="9" t="str">
        <f>_xlfn.XLOOKUP("",$B$6:$B$13,$C$6:$C$13,"EMPTY")</f>
        <v>EMPTY</v>
      </c>
      <c r="G73" s="9" t="str">
        <f>_xlfn.XLOOKUP(800,$B$6:$B$13,$C$6:$C$13,,-1,-1)</f>
        <v>Hank</v>
      </c>
      <c r="H73" s="2"/>
      <c r="I73" s="2"/>
      <c r="J73" s="2"/>
      <c r="K73" s="2"/>
    </row>
    <row r="74" spans="2:11" x14ac:dyDescent="0.3">
      <c r="B74" s="5">
        <v>500</v>
      </c>
      <c r="C74" s="9" t="str">
        <f>_xlfn.XLOOKUP(500,$B$6:$B$13,$C$6:$C$13)</f>
        <v>Eve</v>
      </c>
      <c r="D74" s="9">
        <f>_xlfn.XLOOKUP(500,$B$6:$B$13,$E$6:$E$13)</f>
        <v>62000</v>
      </c>
      <c r="E74" s="9">
        <f>_xlfn.XLOOKUP(500,$B$6:$B$13,$F$6:$F$13)</f>
        <v>3.1</v>
      </c>
      <c r="F74" s="9" t="str">
        <f>_xlfn.XLOOKUP(0,$B$6:$B$13,$C$6:$C$13,"ZERO")</f>
        <v>ZERO</v>
      </c>
      <c r="G74" s="9" t="str">
        <f>_xlfn.XLOOKUP(500,$B$6:$B$13,$C$6:$C$13,,0,-1)</f>
        <v>Eve</v>
      </c>
      <c r="H74" s="2"/>
      <c r="I74" s="2"/>
      <c r="J74" s="2"/>
      <c r="K74" s="2"/>
    </row>
    <row r="75" spans="2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2:11" x14ac:dyDescent="0.3">
      <c r="B76" s="4" t="s">
        <v>85</v>
      </c>
      <c r="C76" s="4"/>
      <c r="D76" s="4"/>
      <c r="E76" s="4"/>
      <c r="F76" s="4"/>
      <c r="G76" s="4"/>
      <c r="H76" s="4"/>
      <c r="I76" s="4"/>
      <c r="J76" s="4"/>
      <c r="K76" s="4"/>
    </row>
    <row r="77" spans="2:11" x14ac:dyDescent="0.3">
      <c r="B77" s="11" t="s">
        <v>45</v>
      </c>
      <c r="C77" s="8" t="s">
        <v>86</v>
      </c>
      <c r="D77" s="8" t="s">
        <v>87</v>
      </c>
      <c r="E77" s="8" t="s">
        <v>88</v>
      </c>
      <c r="F77" s="8" t="s">
        <v>89</v>
      </c>
      <c r="G77" s="2"/>
      <c r="H77" s="2"/>
      <c r="I77" s="2"/>
      <c r="J77" s="2"/>
      <c r="K77" s="2"/>
    </row>
    <row r="78" spans="2:11" x14ac:dyDescent="0.3">
      <c r="B78" s="5">
        <v>250</v>
      </c>
      <c r="C78" s="9" t="e">
        <f>_xlfn.XLOOKUP(250,$B$6:$B$13,$C$6:$C$13,,0)</f>
        <v>#N/A</v>
      </c>
      <c r="D78" s="9" t="str">
        <f>_xlfn.XLOOKUP(250,$B$6:$B$13,$C$6:$C$13,,-1)</f>
        <v>Bob</v>
      </c>
      <c r="E78" s="9" t="str">
        <f>_xlfn.XLOOKUP(250,$B$6:$B$13,$C$6:$C$13,,1)</f>
        <v>Charlie</v>
      </c>
      <c r="F78" s="9">
        <f>_xlfn.XLOOKUP("Al*",$C$6:$C$13,$B$6:$B$13,,2)</f>
        <v>100</v>
      </c>
      <c r="G78" s="2"/>
      <c r="H78" s="2"/>
      <c r="I78" s="2"/>
      <c r="J78" s="2"/>
      <c r="K78" s="2"/>
    </row>
    <row r="79" spans="2:11" x14ac:dyDescent="0.3">
      <c r="B79" s="5">
        <v>350</v>
      </c>
      <c r="C79" s="9" t="e">
        <f>_xlfn.XLOOKUP(350,$B$6:$B$13,$C$6:$C$13,,0)</f>
        <v>#N/A</v>
      </c>
      <c r="D79" s="9" t="str">
        <f>_xlfn.XLOOKUP(350,$B$6:$B$13,$C$6:$C$13,,-1)</f>
        <v>Charlie</v>
      </c>
      <c r="E79" s="9" t="str">
        <f>_xlfn.XLOOKUP(350,$B$6:$B$13,$C$6:$C$13,,1)</f>
        <v>Diana</v>
      </c>
      <c r="F79" s="9">
        <f>_xlfn.XLOOKUP("?ob",$C$6:$C$13,$B$6:$B$13,,2)</f>
        <v>200</v>
      </c>
      <c r="G79" s="2"/>
      <c r="H79" s="2"/>
      <c r="I79" s="2"/>
      <c r="J79" s="2"/>
      <c r="K79" s="2"/>
    </row>
    <row r="80" spans="2:11" x14ac:dyDescent="0.3">
      <c r="B80" s="5">
        <v>750</v>
      </c>
      <c r="C80" s="9" t="e">
        <f>_xlfn.XLOOKUP(750,$B$6:$B$13,$C$6:$C$13,,0)</f>
        <v>#N/A</v>
      </c>
      <c r="D80" s="9" t="str">
        <f>_xlfn.XLOOKUP(750,$B$6:$B$13,$C$6:$C$13,,-1)</f>
        <v>Grace</v>
      </c>
      <c r="E80" s="9" t="str">
        <f>_xlfn.XLOOKUP(750,$B$6:$B$13,$C$6:$C$13,,1)</f>
        <v>Hank</v>
      </c>
      <c r="F80" s="9">
        <f>_xlfn.XLOOKUP("*ank",$C$6:$C$13,$B$6:$B$13,,2)</f>
        <v>600</v>
      </c>
      <c r="G80" s="2"/>
      <c r="H80" s="2"/>
      <c r="I80" s="2"/>
      <c r="J80" s="2"/>
      <c r="K80" s="2"/>
    </row>
    <row r="81" spans="2:11" x14ac:dyDescent="0.3">
      <c r="B81" s="5">
        <v>50</v>
      </c>
      <c r="C81" s="9" t="e">
        <f>_xlfn.XLOOKUP(50,$B$6:$B$13,$C$6:$C$13,,0)</f>
        <v>#N/A</v>
      </c>
      <c r="D81" s="9" t="e">
        <f>_xlfn.XLOOKUP(50,$B$6:$B$13,$C$6:$C$13,,-1)</f>
        <v>#N/A</v>
      </c>
      <c r="E81" s="9" t="str">
        <f>_xlfn.XLOOKUP(50,$B$6:$B$13,$C$6:$C$13,,1)</f>
        <v>Alice</v>
      </c>
      <c r="F81" s="9">
        <f>_xlfn.XLOOKUP("????",$C$6:$C$13,$B$6:$B$13,,2)</f>
        <v>800</v>
      </c>
      <c r="G81" s="2"/>
      <c r="H81" s="2"/>
      <c r="I81" s="2"/>
      <c r="J81" s="2"/>
      <c r="K81" s="2"/>
    </row>
    <row r="82" spans="2:1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2:11" x14ac:dyDescent="0.3">
      <c r="B83" s="4" t="s">
        <v>90</v>
      </c>
      <c r="C83" s="4"/>
      <c r="D83" s="4"/>
      <c r="E83" s="4"/>
      <c r="F83" s="4"/>
      <c r="G83" s="4"/>
      <c r="H83" s="4"/>
      <c r="I83" s="4"/>
      <c r="J83" s="4"/>
      <c r="K83" s="4"/>
    </row>
    <row r="84" spans="2:11" x14ac:dyDescent="0.3">
      <c r="B84" s="11" t="s">
        <v>45</v>
      </c>
      <c r="C84" s="8" t="s">
        <v>91</v>
      </c>
      <c r="D84" s="8" t="s">
        <v>92</v>
      </c>
      <c r="E84" s="8" t="s">
        <v>93</v>
      </c>
      <c r="F84" s="8" t="s">
        <v>94</v>
      </c>
      <c r="G84" s="2"/>
      <c r="H84" s="2"/>
      <c r="I84" s="2"/>
      <c r="J84" s="2"/>
      <c r="K84" s="2"/>
    </row>
    <row r="85" spans="2:11" x14ac:dyDescent="0.3">
      <c r="B85" s="5">
        <v>300</v>
      </c>
      <c r="C85" s="9" t="str">
        <f>_xlfn.XLOOKUP(300,$B$6:$B$13,$C$6:$C$13,,0,1)</f>
        <v>Charlie</v>
      </c>
      <c r="D85" s="9" t="str">
        <f>_xlfn.XLOOKUP(300,$B$6:$B$13,$C$6:$C$13,,0,-1)</f>
        <v>Charlie</v>
      </c>
      <c r="E85" s="9" t="str">
        <f>_xlfn.XLOOKUP(300,$B$6:$B$13,$C$6:$C$13,,0,2)</f>
        <v>Charlie</v>
      </c>
      <c r="F85" s="9" t="e">
        <f>_xlfn.XLOOKUP(300,$B$6:$B$13,$C$6:$C$13,,0,-2)</f>
        <v>#N/A</v>
      </c>
      <c r="G85" s="2"/>
      <c r="H85" s="2"/>
      <c r="I85" s="2"/>
      <c r="J85" s="2"/>
      <c r="K85" s="2"/>
    </row>
    <row r="86" spans="2:11" x14ac:dyDescent="0.3">
      <c r="B86" s="5">
        <v>500</v>
      </c>
      <c r="C86" s="9" t="str">
        <f>_xlfn.XLOOKUP(500,$B$6:$B$13,$C$6:$C$13,,0,1)</f>
        <v>Eve</v>
      </c>
      <c r="D86" s="9" t="str">
        <f>_xlfn.XLOOKUP(500,$B$6:$B$13,$C$6:$C$13,,0,-1)</f>
        <v>Eve</v>
      </c>
      <c r="E86" s="9" t="str">
        <f>_xlfn.XLOOKUP(500,$B$6:$B$13,$C$6:$C$13,,0,2)</f>
        <v>Eve</v>
      </c>
      <c r="F86" s="9" t="e">
        <f>_xlfn.XLOOKUP(500,$B$6:$B$13,$C$6:$C$13,,0,-2)</f>
        <v>#N/A</v>
      </c>
      <c r="G86" s="2"/>
      <c r="H86" s="2"/>
      <c r="I86" s="2"/>
      <c r="J86" s="2"/>
      <c r="K86" s="2"/>
    </row>
    <row r="87" spans="2:11" x14ac:dyDescent="0.3">
      <c r="B87" s="5" t="s">
        <v>12</v>
      </c>
      <c r="C87" s="9" t="str">
        <f>_xlfn.XLOOKUP("Engineering",$D$6:$D$13,$C$6:$C$13,,0,1)</f>
        <v>Bob</v>
      </c>
      <c r="D87" s="9" t="str">
        <f>_xlfn.XLOOKUP("Engineering",$D$6:$D$13,$C$6:$C$13,,0,-1)</f>
        <v>Hank</v>
      </c>
      <c r="E87" s="9" t="str">
        <f>_xlfn.XLOOKUP("Engineering",$D$6:$D$13,$C$6:$C$13,,0,1)</f>
        <v>Bob</v>
      </c>
      <c r="F87" s="9" t="str">
        <f>_xlfn.XLOOKUP("Engineering",$D$6:$D$13,$C$6:$C$13,,0,-1)</f>
        <v>Hank</v>
      </c>
      <c r="G87" s="2"/>
      <c r="H87" s="2"/>
      <c r="I87" s="2"/>
      <c r="J87" s="2"/>
      <c r="K87" s="2"/>
    </row>
    <row r="88" spans="2:1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2:11" x14ac:dyDescent="0.3">
      <c r="B89" s="4" t="s">
        <v>95</v>
      </c>
      <c r="C89" s="4"/>
      <c r="D89" s="4"/>
      <c r="E89" s="4"/>
      <c r="F89" s="4"/>
      <c r="G89" s="4"/>
      <c r="H89" s="4"/>
      <c r="I89" s="4"/>
      <c r="J89" s="4"/>
      <c r="K89" s="4"/>
    </row>
    <row r="90" spans="2:11" x14ac:dyDescent="0.3">
      <c r="B90" s="11" t="s">
        <v>45</v>
      </c>
      <c r="C90" s="8" t="s">
        <v>5</v>
      </c>
      <c r="D90" s="8" t="s">
        <v>6</v>
      </c>
      <c r="E90" s="8" t="s">
        <v>7</v>
      </c>
      <c r="F90" s="8" t="s">
        <v>8</v>
      </c>
      <c r="G90" s="2"/>
      <c r="H90" s="2"/>
      <c r="I90" s="2"/>
      <c r="J90" s="2"/>
      <c r="K90" s="2"/>
    </row>
    <row r="91" spans="2:11" x14ac:dyDescent="0.3">
      <c r="B91" s="5">
        <v>300</v>
      </c>
      <c r="C91" s="9" t="str" cm="1">
        <f t="array" ref="C91:F91">_xlfn.XLOOKUP(B91,$B$6:$B$13,$C$6:$F$13)</f>
        <v>Charlie</v>
      </c>
      <c r="D91" s="9" t="str">
        <v>Marketing</v>
      </c>
      <c r="E91" s="9">
        <v>48000</v>
      </c>
      <c r="F91" s="9">
        <v>4.5</v>
      </c>
      <c r="G91" s="2"/>
      <c r="H91" s="2"/>
      <c r="I91" s="2"/>
      <c r="J91" s="2"/>
      <c r="K91" s="2"/>
    </row>
    <row r="92" spans="2:11" x14ac:dyDescent="0.3">
      <c r="B92" s="5">
        <v>600</v>
      </c>
      <c r="C92" s="9" t="str" cm="1">
        <f t="array" ref="C92:F92">_xlfn.XLOOKUP(B92,$B$6:$B$13,$C$6:$F$13)</f>
        <v>Frank</v>
      </c>
      <c r="D92" s="9" t="str">
        <v>HR</v>
      </c>
      <c r="E92" s="9">
        <v>51000</v>
      </c>
      <c r="F92" s="9">
        <v>4</v>
      </c>
      <c r="G92" s="2"/>
      <c r="H92" s="2"/>
      <c r="I92" s="2"/>
      <c r="J92" s="2"/>
      <c r="K92" s="2"/>
    </row>
    <row r="93" spans="2:11" x14ac:dyDescent="0.3">
      <c r="B93" s="5">
        <v>800</v>
      </c>
      <c r="C93" s="9" t="str" cm="1">
        <f t="array" ref="C93:F93">_xlfn.XLOOKUP(B93,$B$6:$B$13,$C$6:$F$13)</f>
        <v>Hank</v>
      </c>
      <c r="D93" s="9" t="str">
        <v>Engineering</v>
      </c>
      <c r="E93" s="9">
        <v>91000</v>
      </c>
      <c r="F93" s="9">
        <v>4.7</v>
      </c>
      <c r="G93" s="2"/>
      <c r="H93" s="2"/>
      <c r="I93" s="2"/>
      <c r="J93" s="2"/>
      <c r="K93" s="2"/>
    </row>
    <row r="94" spans="2:11" x14ac:dyDescent="0.3"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2:11" x14ac:dyDescent="0.3">
      <c r="B95" s="4" t="s">
        <v>96</v>
      </c>
      <c r="C95" s="4"/>
      <c r="D95" s="4"/>
      <c r="E95" s="4"/>
      <c r="F95" s="4"/>
      <c r="G95" s="4"/>
      <c r="H95" s="4"/>
      <c r="I95" s="4"/>
      <c r="J95" s="4"/>
      <c r="K95" s="4"/>
    </row>
    <row r="96" spans="2:11" x14ac:dyDescent="0.3">
      <c r="B96" s="11" t="s">
        <v>55</v>
      </c>
      <c r="C96" s="8" t="s">
        <v>56</v>
      </c>
      <c r="D96" s="8" t="s">
        <v>57</v>
      </c>
      <c r="E96" s="8" t="s">
        <v>58</v>
      </c>
      <c r="F96" s="8" t="s">
        <v>97</v>
      </c>
      <c r="G96" s="2"/>
      <c r="H96" s="2"/>
      <c r="I96" s="2"/>
      <c r="J96" s="2"/>
      <c r="K96" s="2"/>
    </row>
    <row r="97" spans="2:11" x14ac:dyDescent="0.3">
      <c r="B97" s="5" t="s">
        <v>98</v>
      </c>
      <c r="C97" s="9">
        <f>INDEX($B$6:$F$13,1,1)</f>
        <v>100</v>
      </c>
      <c r="D97" s="9">
        <v>100</v>
      </c>
      <c r="E97" s="9">
        <f>INDEX($B$6:$F$13,1,1)</f>
        <v>100</v>
      </c>
      <c r="F97" s="9" t="s">
        <v>99</v>
      </c>
      <c r="G97" s="2"/>
      <c r="H97" s="2"/>
      <c r="I97" s="2"/>
      <c r="J97" s="2"/>
      <c r="K97" s="2"/>
    </row>
    <row r="98" spans="2:11" x14ac:dyDescent="0.3">
      <c r="B98" s="5" t="s">
        <v>100</v>
      </c>
      <c r="C98" s="9" t="str">
        <f>INDEX($B$6:$F$13,3,2)</f>
        <v>Charlie</v>
      </c>
      <c r="D98" s="9" t="s">
        <v>13</v>
      </c>
      <c r="E98" s="9" t="str">
        <f>INDEX($B$6:$F$13,3,2)</f>
        <v>Charlie</v>
      </c>
      <c r="F98" s="9" t="s">
        <v>101</v>
      </c>
      <c r="G98" s="2"/>
      <c r="H98" s="2"/>
      <c r="I98" s="2"/>
      <c r="J98" s="2"/>
      <c r="K98" s="2"/>
    </row>
    <row r="99" spans="2:11" x14ac:dyDescent="0.3">
      <c r="B99" s="5" t="s">
        <v>102</v>
      </c>
      <c r="C99" s="9">
        <f>INDEX($B$6:$F$13,8,4)</f>
        <v>91000</v>
      </c>
      <c r="D99" s="9">
        <v>91000</v>
      </c>
      <c r="E99" s="9">
        <f>INDEX($B$6:$F$13,8,4)</f>
        <v>91000</v>
      </c>
      <c r="F99" s="9" t="s">
        <v>103</v>
      </c>
      <c r="G99" s="2"/>
      <c r="H99" s="2"/>
      <c r="I99" s="2"/>
      <c r="J99" s="2"/>
      <c r="K99" s="2"/>
    </row>
    <row r="100" spans="2:11" x14ac:dyDescent="0.3">
      <c r="B100" s="5" t="s">
        <v>104</v>
      </c>
      <c r="C100" s="9">
        <f>INDEX($B$6:$F$13,5,5)</f>
        <v>3.1</v>
      </c>
      <c r="D100" s="9">
        <v>3.1</v>
      </c>
      <c r="E100" s="9">
        <f>INDEX($B$6:$F$13,5,5)</f>
        <v>3.1</v>
      </c>
      <c r="F100" s="9" t="s">
        <v>105</v>
      </c>
      <c r="G100" s="2"/>
      <c r="H100" s="2"/>
      <c r="I100" s="2"/>
      <c r="J100" s="2"/>
      <c r="K100" s="2"/>
    </row>
    <row r="101" spans="2:11" x14ac:dyDescent="0.3">
      <c r="B101" s="5" t="s">
        <v>106</v>
      </c>
      <c r="C101" s="9" t="e" cm="1" vm="3">
        <f t="array" aca="1" ref="C101" ca="1">INDEX($B$6:$F$13,0,2)</f>
        <v>#VALUE!</v>
      </c>
      <c r="D101" s="9" t="s">
        <v>9</v>
      </c>
      <c r="E101" s="9" t="e" cm="1" vm="3">
        <f t="array" aca="1" ref="E101" ca="1">INDEX($B$6:$F$13,0,2)</f>
        <v>#VALUE!</v>
      </c>
      <c r="F101" s="9" t="s">
        <v>107</v>
      </c>
      <c r="G101" s="2"/>
      <c r="H101" s="2"/>
      <c r="I101" s="2"/>
      <c r="J101" s="2"/>
      <c r="K101" s="2"/>
    </row>
    <row r="102" spans="2:11" x14ac:dyDescent="0.3">
      <c r="B102" s="5" t="s">
        <v>108</v>
      </c>
      <c r="C102" s="9" t="e" cm="1" vm="4">
        <f t="array" aca="1" ref="C102" ca="1">INDEX($B$6:$F$13,1,0)</f>
        <v>#VALUE!</v>
      </c>
      <c r="D102" s="9">
        <v>100</v>
      </c>
      <c r="E102" s="9" t="e" cm="1" vm="4">
        <f t="array" aca="1" ref="E102" ca="1">INDEX($B$6:$F$13,1,0)</f>
        <v>#VALUE!</v>
      </c>
      <c r="F102" s="9" t="s">
        <v>107</v>
      </c>
      <c r="G102" s="2"/>
      <c r="H102" s="2"/>
      <c r="I102" s="2"/>
      <c r="J102" s="2"/>
      <c r="K102" s="2"/>
    </row>
    <row r="103" spans="2:11" x14ac:dyDescent="0.3">
      <c r="B103" s="5" t="s">
        <v>109</v>
      </c>
      <c r="C103" s="9" t="str">
        <f>IFERROR(INDEX($B$6:$F$13,9,1),"ERROR")</f>
        <v>ERROR</v>
      </c>
      <c r="D103" s="9" t="s">
        <v>110</v>
      </c>
      <c r="E103" s="9" t="e">
        <f>INDEX($B$6:$F$13,9,1)</f>
        <v>#REF!</v>
      </c>
      <c r="F103" s="9" t="s">
        <v>60</v>
      </c>
      <c r="G103" s="2"/>
      <c r="H103" s="2"/>
      <c r="I103" s="2"/>
      <c r="J103" s="2"/>
      <c r="K103" s="2"/>
    </row>
    <row r="104" spans="2:11" x14ac:dyDescent="0.3">
      <c r="B104" s="5" t="s">
        <v>111</v>
      </c>
      <c r="C104" s="9" t="str">
        <f>INDEX($C$6:$C$13,4)</f>
        <v>Diana</v>
      </c>
      <c r="D104" s="9" t="s">
        <v>15</v>
      </c>
      <c r="E104" s="9" t="str">
        <f>INDEX($C$6:$C$13,4)</f>
        <v>Diana</v>
      </c>
      <c r="F104" s="9" t="s">
        <v>112</v>
      </c>
      <c r="G104" s="2"/>
      <c r="H104" s="2"/>
      <c r="I104" s="2"/>
      <c r="J104" s="2"/>
      <c r="K104" s="2"/>
    </row>
    <row r="105" spans="2:11" x14ac:dyDescent="0.3">
      <c r="B105" s="5" t="s">
        <v>113</v>
      </c>
      <c r="C105" s="9" t="str">
        <f>INDEX($B$6:$F$6,1,3)</f>
        <v>Sales</v>
      </c>
      <c r="D105" s="9" t="s">
        <v>10</v>
      </c>
      <c r="E105" s="9" t="str">
        <f>INDEX($B$6:$F$6,1,3)</f>
        <v>Sales</v>
      </c>
      <c r="F105" s="9" t="s">
        <v>114</v>
      </c>
      <c r="G105" s="2"/>
      <c r="H105" s="2"/>
      <c r="I105" s="2"/>
      <c r="J105" s="2"/>
      <c r="K105" s="2"/>
    </row>
    <row r="106" spans="2:11" x14ac:dyDescent="0.3"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2:11" x14ac:dyDescent="0.3">
      <c r="B107" s="4" t="s">
        <v>115</v>
      </c>
      <c r="C107" s="4"/>
      <c r="D107" s="4"/>
      <c r="E107" s="4"/>
      <c r="F107" s="4"/>
      <c r="G107" s="4"/>
      <c r="H107" s="4"/>
      <c r="I107" s="4"/>
      <c r="J107" s="4"/>
      <c r="K107" s="4"/>
    </row>
    <row r="108" spans="2:11" x14ac:dyDescent="0.3">
      <c r="B108" s="11" t="s">
        <v>55</v>
      </c>
      <c r="C108" s="8" t="s">
        <v>86</v>
      </c>
      <c r="D108" s="8" t="s">
        <v>116</v>
      </c>
      <c r="E108" s="8" t="s">
        <v>117</v>
      </c>
      <c r="F108" s="2"/>
      <c r="G108" s="2"/>
      <c r="H108" s="2"/>
      <c r="I108" s="2"/>
      <c r="J108" s="2"/>
      <c r="K108" s="2"/>
    </row>
    <row r="109" spans="2:11" x14ac:dyDescent="0.3">
      <c r="B109" s="5">
        <v>300</v>
      </c>
      <c r="C109" s="9">
        <f>MATCH(300,$B$6:$B$13,0)</f>
        <v>3</v>
      </c>
      <c r="D109" s="9">
        <f>MATCH(300,$B$6:$B$13,1)</f>
        <v>3</v>
      </c>
      <c r="E109" s="9" t="e">
        <f>MATCH(300,$B$6:$B$13,-1)</f>
        <v>#N/A</v>
      </c>
      <c r="F109" s="2"/>
      <c r="G109" s="2"/>
      <c r="H109" s="2"/>
      <c r="I109" s="2"/>
      <c r="J109" s="2"/>
      <c r="K109" s="2"/>
    </row>
    <row r="110" spans="2:11" x14ac:dyDescent="0.3">
      <c r="B110" s="5">
        <v>250</v>
      </c>
      <c r="C110" s="9" t="e">
        <f>MATCH(250,$B$6:$B$13,0)</f>
        <v>#N/A</v>
      </c>
      <c r="D110" s="9">
        <f>MATCH(250,$B$6:$B$13,1)</f>
        <v>2</v>
      </c>
      <c r="E110" s="9" t="e">
        <f>MATCH(250,$B$6:$B$13,-1)</f>
        <v>#N/A</v>
      </c>
      <c r="F110" s="2"/>
      <c r="G110" s="2"/>
      <c r="H110" s="2"/>
      <c r="I110" s="2"/>
      <c r="J110" s="2"/>
      <c r="K110" s="2"/>
    </row>
    <row r="111" spans="2:11" x14ac:dyDescent="0.3">
      <c r="B111" s="5">
        <v>100</v>
      </c>
      <c r="C111" s="9">
        <f>MATCH(100,$B$6:$B$13,0)</f>
        <v>1</v>
      </c>
      <c r="D111" s="9">
        <f>MATCH(100,$B$6:$B$13,1)</f>
        <v>1</v>
      </c>
      <c r="E111" s="9">
        <f>MATCH(100,$B$6:$B$13,-1)</f>
        <v>1</v>
      </c>
      <c r="F111" s="2"/>
      <c r="G111" s="2"/>
      <c r="H111" s="2"/>
      <c r="I111" s="2"/>
      <c r="J111" s="2"/>
      <c r="K111" s="2"/>
    </row>
    <row r="112" spans="2:11" x14ac:dyDescent="0.3">
      <c r="B112" s="5">
        <v>800</v>
      </c>
      <c r="C112" s="9">
        <f>MATCH(800,$B$6:$B$13,0)</f>
        <v>8</v>
      </c>
      <c r="D112" s="9">
        <f>MATCH(800,$B$6:$B$13,1)</f>
        <v>8</v>
      </c>
      <c r="E112" s="9" t="e">
        <f>MATCH(800,$B$6:$B$13,-1)</f>
        <v>#N/A</v>
      </c>
      <c r="F112" s="2"/>
      <c r="G112" s="2"/>
      <c r="H112" s="2"/>
      <c r="I112" s="2"/>
      <c r="J112" s="2"/>
      <c r="K112" s="2"/>
    </row>
    <row r="113" spans="2:11" x14ac:dyDescent="0.3">
      <c r="B113" s="5">
        <v>50</v>
      </c>
      <c r="C113" s="9" t="e">
        <f>MATCH(50,$B$6:$B$13,0)</f>
        <v>#N/A</v>
      </c>
      <c r="D113" s="9" t="e">
        <f>MATCH(50,$B$6:$B$13,1)</f>
        <v>#N/A</v>
      </c>
      <c r="E113" s="9">
        <f>MATCH(50,$B$6:$B$13,-1)</f>
        <v>8</v>
      </c>
      <c r="F113" s="2"/>
      <c r="G113" s="2"/>
      <c r="H113" s="2"/>
      <c r="I113" s="2"/>
      <c r="J113" s="2"/>
      <c r="K113" s="2"/>
    </row>
    <row r="114" spans="2:11" x14ac:dyDescent="0.3">
      <c r="B114" s="5">
        <v>999</v>
      </c>
      <c r="C114" s="9" t="e">
        <f>MATCH(999,$B$6:$B$13,0)</f>
        <v>#N/A</v>
      </c>
      <c r="D114" s="9">
        <f>MATCH(999,$B$6:$B$13,1)</f>
        <v>8</v>
      </c>
      <c r="E114" s="9" t="e">
        <f>MATCH(999,$B$6:$B$13,-1)</f>
        <v>#N/A</v>
      </c>
      <c r="F114" s="2"/>
      <c r="G114" s="2"/>
      <c r="H114" s="2"/>
      <c r="I114" s="2"/>
      <c r="J114" s="2"/>
      <c r="K114" s="2"/>
    </row>
    <row r="115" spans="2:11" x14ac:dyDescent="0.3">
      <c r="B115" s="5" t="s">
        <v>9</v>
      </c>
      <c r="C115" s="9">
        <f>MATCH("Alice",$C$6:$C$13,0)</f>
        <v>1</v>
      </c>
      <c r="D115" s="9">
        <f>MATCH("Alice",$C$6:$C$13,0)</f>
        <v>1</v>
      </c>
      <c r="E115" s="9">
        <f>MATCH("alice",$C$6:$C$13,0)</f>
        <v>1</v>
      </c>
      <c r="F115" s="2"/>
      <c r="G115" s="2"/>
      <c r="H115" s="2"/>
      <c r="I115" s="2"/>
      <c r="J115" s="2"/>
      <c r="K115" s="2"/>
    </row>
    <row r="116" spans="2:11" x14ac:dyDescent="0.3">
      <c r="B116" s="5" t="s">
        <v>16</v>
      </c>
      <c r="C116" s="9">
        <f>MATCH("Eve",$C$6:$C$13,0)</f>
        <v>5</v>
      </c>
      <c r="D116" s="9">
        <f>MATCH("Eve",$C$6:$C$13,0)</f>
        <v>5</v>
      </c>
      <c r="E116" s="9">
        <f>MATCH("EVE",$C$6:$C$13,0)</f>
        <v>5</v>
      </c>
      <c r="F116" s="2"/>
      <c r="G116" s="2"/>
      <c r="H116" s="2"/>
      <c r="I116" s="2"/>
      <c r="J116" s="2"/>
      <c r="K116" s="2"/>
    </row>
    <row r="117" spans="2:11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2:11" x14ac:dyDescent="0.3">
      <c r="B118" s="4" t="s">
        <v>118</v>
      </c>
      <c r="C118" s="4"/>
      <c r="D118" s="4"/>
      <c r="E118" s="4"/>
      <c r="F118" s="4"/>
      <c r="G118" s="4"/>
      <c r="H118" s="4"/>
      <c r="I118" s="4"/>
      <c r="J118" s="4"/>
      <c r="K118" s="4"/>
    </row>
    <row r="119" spans="2:11" x14ac:dyDescent="0.3">
      <c r="B119" s="11" t="s">
        <v>55</v>
      </c>
      <c r="C119" s="8" t="s">
        <v>56</v>
      </c>
      <c r="D119" s="8" t="s">
        <v>58</v>
      </c>
      <c r="E119" s="8"/>
      <c r="F119" s="8"/>
      <c r="G119" s="2"/>
      <c r="H119" s="2"/>
      <c r="I119" s="2"/>
      <c r="J119" s="2"/>
      <c r="K119" s="2"/>
    </row>
    <row r="120" spans="2:11" x14ac:dyDescent="0.3">
      <c r="B120" s="5" t="s">
        <v>119</v>
      </c>
      <c r="C120" s="9">
        <f>INDEX($E$6:$E$13,MATCH(300,$B$6:$B$13,0))</f>
        <v>48000</v>
      </c>
      <c r="D120" s="9">
        <f>INDEX($E$6:$E$13,MATCH(300,$B$6:$B$13,0))</f>
        <v>48000</v>
      </c>
      <c r="E120" s="9"/>
      <c r="F120" s="9"/>
      <c r="G120" s="2"/>
      <c r="H120" s="2"/>
      <c r="I120" s="2"/>
      <c r="J120" s="2"/>
      <c r="K120" s="2"/>
    </row>
    <row r="121" spans="2:11" x14ac:dyDescent="0.3">
      <c r="B121" s="5" t="s">
        <v>120</v>
      </c>
      <c r="C121" s="9" t="str">
        <f>INDEX($D$6:$D$13,MATCH(500,$B$6:$B$13,0))</f>
        <v>Sales</v>
      </c>
      <c r="D121" s="9" t="str">
        <f>INDEX($D$6:$D$13,MATCH(500,$B$6:$B$13,0))</f>
        <v>Sales</v>
      </c>
      <c r="E121" s="9"/>
      <c r="F121" s="9"/>
      <c r="G121" s="2"/>
      <c r="H121" s="2"/>
      <c r="I121" s="2"/>
      <c r="J121" s="2"/>
      <c r="K121" s="2"/>
    </row>
    <row r="122" spans="2:11" x14ac:dyDescent="0.3">
      <c r="B122" s="5" t="s">
        <v>121</v>
      </c>
      <c r="C122" s="9">
        <f>INDEX($B$6:$B$13,MATCH("Grace",$C$6:$C$13,0))</f>
        <v>700</v>
      </c>
      <c r="D122" s="9">
        <f>INDEX($B$6:$B$13,MATCH("Grace",$C$6:$C$13,0))</f>
        <v>700</v>
      </c>
      <c r="E122" s="9"/>
      <c r="F122" s="9"/>
      <c r="G122" s="2"/>
      <c r="H122" s="2"/>
      <c r="I122" s="2"/>
      <c r="J122" s="2"/>
      <c r="K122" s="2"/>
    </row>
    <row r="123" spans="2:11" x14ac:dyDescent="0.3">
      <c r="B123" s="5" t="s">
        <v>122</v>
      </c>
      <c r="C123" s="9">
        <f>INDEX($B$6:$F$13,MATCH(400,$B$6:$B$13,0),MATCH("Salary",$B$5:$F$5,0))</f>
        <v>85000</v>
      </c>
      <c r="D123" s="9">
        <f>INDEX($B$6:$F$13,MATCH(400,$B$6:$B$13,0),MATCH("Salary",$B$5:$F$5,0))</f>
        <v>85000</v>
      </c>
      <c r="E123" s="9"/>
      <c r="F123" s="9"/>
      <c r="G123" s="2"/>
      <c r="H123" s="2"/>
      <c r="I123" s="2"/>
      <c r="J123" s="2"/>
      <c r="K123" s="2"/>
    </row>
    <row r="124" spans="2:11" x14ac:dyDescent="0.3">
      <c r="B124" s="5" t="s">
        <v>123</v>
      </c>
      <c r="C124" s="9">
        <f>INDEX($F$6:$F$13,MATCH("HR",$D$6:$D$13,0))</f>
        <v>4</v>
      </c>
      <c r="D124" s="9">
        <f>INDEX($F$6:$F$13,MATCH("HR",$D$6:$D$13,0))</f>
        <v>4</v>
      </c>
      <c r="E124" s="9"/>
      <c r="F124" s="9"/>
      <c r="G124" s="2"/>
      <c r="H124" s="2"/>
      <c r="I124" s="2"/>
      <c r="J124" s="2"/>
      <c r="K124" s="2"/>
    </row>
    <row r="125" spans="2:11" x14ac:dyDescent="0.3">
      <c r="B125" s="5" t="s">
        <v>124</v>
      </c>
      <c r="C125" s="9" t="str">
        <f>INDEX($C$6:$C$13,MATCH(750,$B$6:$B$13,1))</f>
        <v>Grace</v>
      </c>
      <c r="D125" s="9" t="str">
        <f>INDEX($C$6:$C$13,MATCH(750,$B$6:$B$13,1))</f>
        <v>Grace</v>
      </c>
      <c r="E125" s="9"/>
      <c r="F125" s="9"/>
      <c r="G125" s="2"/>
      <c r="H125" s="2"/>
      <c r="I125" s="2"/>
      <c r="J125" s="2"/>
      <c r="K125" s="2"/>
    </row>
    <row r="126" spans="2:11" x14ac:dyDescent="0.3"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2:11" x14ac:dyDescent="0.3">
      <c r="B127" s="11" t="s">
        <v>125</v>
      </c>
      <c r="C127" s="8"/>
      <c r="D127" s="8"/>
      <c r="E127" s="8"/>
      <c r="F127" s="8"/>
      <c r="G127" s="2"/>
      <c r="H127" s="2"/>
      <c r="I127" s="2"/>
      <c r="J127" s="2"/>
      <c r="K127" s="2"/>
    </row>
    <row r="128" spans="2:11" x14ac:dyDescent="0.3">
      <c r="B128" s="5" t="s">
        <v>45</v>
      </c>
      <c r="C128" s="9" t="s">
        <v>86</v>
      </c>
      <c r="D128" s="9" t="s">
        <v>87</v>
      </c>
      <c r="E128" s="9" t="s">
        <v>88</v>
      </c>
      <c r="F128" s="9" t="s">
        <v>89</v>
      </c>
      <c r="G128" s="2"/>
      <c r="H128" s="2"/>
      <c r="I128" s="2"/>
      <c r="J128" s="2"/>
      <c r="K128" s="2"/>
    </row>
    <row r="129" spans="2:11" x14ac:dyDescent="0.3">
      <c r="B129" s="5">
        <v>300</v>
      </c>
      <c r="C129" s="9">
        <f>_xlfn.XMATCH(300,$B$6:$B$13,0)</f>
        <v>3</v>
      </c>
      <c r="D129" s="9">
        <f>_xlfn.XMATCH(300,$B$6:$B$13,-1)</f>
        <v>3</v>
      </c>
      <c r="E129" s="9">
        <f>_xlfn.XMATCH(300,$B$6:$B$13,1)</f>
        <v>3</v>
      </c>
      <c r="F129" s="9">
        <f>_xlfn.XMATCH("Ch*",$C$6:$C$13,2)</f>
        <v>3</v>
      </c>
      <c r="G129" s="2"/>
      <c r="H129" s="2"/>
      <c r="I129" s="2"/>
      <c r="J129" s="2"/>
      <c r="K129" s="2"/>
    </row>
    <row r="130" spans="2:11" x14ac:dyDescent="0.3">
      <c r="B130" s="5">
        <v>250</v>
      </c>
      <c r="C130" s="9" t="e">
        <f>_xlfn.XMATCH(250,$B$6:$B$13,0)</f>
        <v>#N/A</v>
      </c>
      <c r="D130" s="9">
        <f>_xlfn.XMATCH(250,$B$6:$B$13,-1)</f>
        <v>2</v>
      </c>
      <c r="E130" s="9">
        <f>_xlfn.XMATCH(250,$B$6:$B$13,1)</f>
        <v>3</v>
      </c>
      <c r="F130" s="9">
        <f>_xlfn.XMATCH("*ank",$C$6:$C$13,2)</f>
        <v>6</v>
      </c>
      <c r="G130" s="2"/>
      <c r="H130" s="2"/>
      <c r="I130" s="2"/>
      <c r="J130" s="2"/>
      <c r="K130" s="2"/>
    </row>
    <row r="131" spans="2:11" x14ac:dyDescent="0.3">
      <c r="B131" s="5">
        <v>50</v>
      </c>
      <c r="C131" s="9" t="e">
        <f>_xlfn.XMATCH(50,$B$6:$B$13,0)</f>
        <v>#N/A</v>
      </c>
      <c r="D131" s="9" t="e">
        <f>_xlfn.XMATCH(50,$B$6:$B$13,-1)</f>
        <v>#N/A</v>
      </c>
      <c r="E131" s="9">
        <f>_xlfn.XMATCH(50,$B$6:$B$13,1)</f>
        <v>1</v>
      </c>
      <c r="F131" s="9">
        <f>_xlfn.XMATCH("?ve",$C$6:$C$13,2)</f>
        <v>5</v>
      </c>
      <c r="G131" s="2"/>
      <c r="H131" s="2"/>
      <c r="I131" s="2"/>
      <c r="J131" s="2"/>
      <c r="K131" s="2"/>
    </row>
    <row r="132" spans="2:11" x14ac:dyDescent="0.3">
      <c r="B132" s="5">
        <v>999</v>
      </c>
      <c r="C132" s="9" t="e">
        <f>_xlfn.XMATCH(999,$B$6:$B$13,0)</f>
        <v>#N/A</v>
      </c>
      <c r="D132" s="9">
        <f>_xlfn.XMATCH(999,$B$6:$B$13,-1)</f>
        <v>8</v>
      </c>
      <c r="E132" s="9" t="e">
        <f>_xlfn.XMATCH(999,$B$6:$B$13,1)</f>
        <v>#N/A</v>
      </c>
      <c r="F132" s="9">
        <f>_xlfn.XMATCH("????",$C$6:$C$13,2)</f>
        <v>8</v>
      </c>
      <c r="G132" s="2"/>
      <c r="H132" s="2"/>
      <c r="I132" s="2"/>
      <c r="J132" s="2"/>
      <c r="K132" s="2"/>
    </row>
    <row r="133" spans="2:11" x14ac:dyDescent="0.3">
      <c r="B133" s="5" t="s">
        <v>11</v>
      </c>
      <c r="C133" s="9">
        <f>_xlfn.XMATCH("Bob",$C$6:$C$13,0)</f>
        <v>2</v>
      </c>
      <c r="D133" s="9">
        <f>_xlfn.XMATCH("Bob",$C$6:$C$13,0)</f>
        <v>2</v>
      </c>
      <c r="E133" s="9">
        <f>_xlfn.XMATCH("Bob",$C$6:$C$13,0)</f>
        <v>2</v>
      </c>
      <c r="F133" s="9">
        <f>_xlfn.XMATCH("Bo?",$C$6:$C$13,2)</f>
        <v>2</v>
      </c>
      <c r="G133" s="2"/>
      <c r="H133" s="2"/>
      <c r="I133" s="2"/>
      <c r="J133" s="2"/>
      <c r="K133" s="2"/>
    </row>
    <row r="134" spans="2:1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2:11" x14ac:dyDescent="0.3">
      <c r="B135" s="4" t="s">
        <v>126</v>
      </c>
      <c r="C135" s="4"/>
      <c r="D135" s="4"/>
      <c r="E135" s="4"/>
      <c r="F135" s="4"/>
      <c r="G135" s="4"/>
      <c r="H135" s="4"/>
      <c r="I135" s="4"/>
      <c r="J135" s="4"/>
      <c r="K135" s="4"/>
    </row>
    <row r="136" spans="2:11" x14ac:dyDescent="0.3">
      <c r="B136" s="11" t="s">
        <v>45</v>
      </c>
      <c r="C136" s="8" t="s">
        <v>91</v>
      </c>
      <c r="D136" s="8" t="s">
        <v>92</v>
      </c>
      <c r="E136" s="8" t="s">
        <v>93</v>
      </c>
      <c r="F136" s="2"/>
      <c r="G136" s="2"/>
      <c r="H136" s="2"/>
      <c r="I136" s="2"/>
      <c r="J136" s="2"/>
      <c r="K136" s="2"/>
    </row>
    <row r="137" spans="2:11" x14ac:dyDescent="0.3">
      <c r="B137" s="5">
        <v>300</v>
      </c>
      <c r="C137" s="9">
        <f>_xlfn.XMATCH(300,$B$6:$B$13,0,1)</f>
        <v>3</v>
      </c>
      <c r="D137" s="9">
        <f>_xlfn.XMATCH(300,$B$6:$B$13,0,-1)</f>
        <v>3</v>
      </c>
      <c r="E137" s="9">
        <f>_xlfn.XMATCH(300,$B$6:$B$13,0,2)</f>
        <v>3</v>
      </c>
      <c r="F137" s="2"/>
      <c r="G137" s="2"/>
      <c r="H137" s="2"/>
      <c r="I137" s="2"/>
      <c r="J137" s="2"/>
      <c r="K137" s="2"/>
    </row>
    <row r="138" spans="2:11" x14ac:dyDescent="0.3">
      <c r="B138" s="5" t="s">
        <v>12</v>
      </c>
      <c r="C138" s="9">
        <f>_xlfn.XMATCH("Engineering",$D$6:$D$13,0,1)</f>
        <v>2</v>
      </c>
      <c r="D138" s="9">
        <f>_xlfn.XMATCH("Engineering",$D$6:$D$13,0,-1)</f>
        <v>8</v>
      </c>
      <c r="E138" s="9">
        <f>_xlfn.XMATCH("Engineering",$D$6:$D$13,0,1)</f>
        <v>2</v>
      </c>
      <c r="F138" s="2"/>
      <c r="G138" s="2"/>
      <c r="H138" s="2"/>
      <c r="I138" s="2"/>
      <c r="J138" s="2"/>
      <c r="K138" s="2"/>
    </row>
    <row r="139" spans="2:11" x14ac:dyDescent="0.3">
      <c r="B139" s="5" t="s">
        <v>10</v>
      </c>
      <c r="C139" s="9">
        <f>_xlfn.XMATCH("Sales",$D$6:$D$13,0,1)</f>
        <v>1</v>
      </c>
      <c r="D139" s="9">
        <f>_xlfn.XMATCH("Sales",$D$6:$D$13,0,-1)</f>
        <v>5</v>
      </c>
      <c r="E139" s="9">
        <f>_xlfn.XMATCH("Sales",$D$6:$D$13,0,1)</f>
        <v>1</v>
      </c>
      <c r="F139" s="2"/>
      <c r="G139" s="2"/>
      <c r="H139" s="2"/>
      <c r="I139" s="2"/>
      <c r="J139" s="2"/>
      <c r="K139" s="2"/>
    </row>
    <row r="140" spans="2:1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2:11" x14ac:dyDescent="0.3">
      <c r="B141" s="4" t="s">
        <v>127</v>
      </c>
      <c r="C141" s="4"/>
      <c r="D141" s="4"/>
      <c r="E141" s="4"/>
      <c r="F141" s="4"/>
      <c r="G141" s="4"/>
      <c r="H141" s="4"/>
      <c r="I141" s="4"/>
      <c r="J141" s="4"/>
      <c r="K141" s="4"/>
    </row>
    <row r="142" spans="2:11" x14ac:dyDescent="0.3">
      <c r="B142" s="11" t="s">
        <v>55</v>
      </c>
      <c r="C142" s="8" t="s">
        <v>56</v>
      </c>
      <c r="D142" s="8" t="s">
        <v>58</v>
      </c>
      <c r="E142" s="2"/>
      <c r="F142" s="2"/>
      <c r="G142" s="2"/>
      <c r="H142" s="2"/>
      <c r="I142" s="2"/>
      <c r="J142" s="2"/>
      <c r="K142" s="2"/>
    </row>
    <row r="143" spans="2:11" x14ac:dyDescent="0.3">
      <c r="B143" s="5" t="s">
        <v>128</v>
      </c>
      <c r="C143" s="9" t="str">
        <f>CHOOSE(1,"Apple","Banana","Cherry")</f>
        <v>Apple</v>
      </c>
      <c r="D143" s="9" t="str">
        <f>CHOOSE(1,"Apple","Banana","Cherry")</f>
        <v>Apple</v>
      </c>
      <c r="E143" s="2"/>
      <c r="F143" s="2"/>
      <c r="G143" s="2"/>
      <c r="H143" s="2"/>
      <c r="I143" s="2"/>
      <c r="J143" s="2"/>
      <c r="K143" s="2"/>
    </row>
    <row r="144" spans="2:11" x14ac:dyDescent="0.3">
      <c r="B144" s="5" t="s">
        <v>129</v>
      </c>
      <c r="C144" s="9" t="str">
        <f>CHOOSE(3,"Apple","Banana","Cherry")</f>
        <v>Cherry</v>
      </c>
      <c r="D144" s="9" t="str">
        <f>CHOOSE(3,"Apple","Banana","Cherry")</f>
        <v>Cherry</v>
      </c>
      <c r="E144" s="2"/>
      <c r="F144" s="2"/>
      <c r="G144" s="2"/>
      <c r="H144" s="2"/>
      <c r="I144" s="2"/>
      <c r="J144" s="2"/>
      <c r="K144" s="2"/>
    </row>
    <row r="145" spans="2:11" x14ac:dyDescent="0.3">
      <c r="B145" s="5" t="s">
        <v>130</v>
      </c>
      <c r="C145" s="9" t="str">
        <f>CHOOSE($C$22/100,"First","Second","Third")</f>
        <v>Third</v>
      </c>
      <c r="D145" s="9" t="str">
        <f>CHOOSE($C$22/100,"First","Second","Third")</f>
        <v>Third</v>
      </c>
      <c r="E145" s="2"/>
      <c r="F145" s="2"/>
      <c r="G145" s="2"/>
      <c r="H145" s="2"/>
      <c r="I145" s="2"/>
      <c r="J145" s="2"/>
      <c r="K145" s="2"/>
    </row>
    <row r="146" spans="2:11" x14ac:dyDescent="0.3">
      <c r="B146" s="5" t="s">
        <v>131</v>
      </c>
      <c r="C146" s="9">
        <f>CHOOSE(2,10,20,30,40)</f>
        <v>20</v>
      </c>
      <c r="D146" s="9">
        <f>CHOOSE(2,10,20,30,40)</f>
        <v>20</v>
      </c>
      <c r="E146" s="2"/>
      <c r="F146" s="2"/>
      <c r="G146" s="2"/>
      <c r="H146" s="2"/>
      <c r="I146" s="2"/>
      <c r="J146" s="2"/>
      <c r="K146" s="2"/>
    </row>
    <row r="147" spans="2:11" x14ac:dyDescent="0.3">
      <c r="B147" s="5" t="s">
        <v>132</v>
      </c>
      <c r="C147" s="9" t="str">
        <f>CHOOSE(1,$C$6,$C$7,$C$8)</f>
        <v>Alice</v>
      </c>
      <c r="D147" s="9" t="str">
        <f>CHOOSE(1,$C$6,$C$7,$C$8)</f>
        <v>Alice</v>
      </c>
      <c r="E147" s="2"/>
      <c r="F147" s="2"/>
      <c r="G147" s="2"/>
      <c r="H147" s="2"/>
      <c r="I147" s="2"/>
      <c r="J147" s="2"/>
      <c r="K147" s="2"/>
    </row>
    <row r="148" spans="2:11" x14ac:dyDescent="0.3">
      <c r="B148" s="5" t="s">
        <v>133</v>
      </c>
      <c r="C148" s="9" t="str">
        <f>IFERROR(CHOOSE(0,"A","B"),"ERROR")</f>
        <v>ERROR</v>
      </c>
      <c r="D148" s="9" t="e">
        <f>CHOOSE(0,"A","B")</f>
        <v>#VALUE!</v>
      </c>
      <c r="E148" s="2"/>
      <c r="F148" s="2"/>
      <c r="G148" s="2"/>
      <c r="H148" s="2"/>
      <c r="I148" s="2"/>
      <c r="J148" s="2"/>
      <c r="K148" s="2"/>
    </row>
    <row r="149" spans="2:11" x14ac:dyDescent="0.3">
      <c r="B149" s="5" t="s">
        <v>134</v>
      </c>
      <c r="C149" s="9" t="str">
        <f>IFERROR(CHOOSE(5,"A","B","C"),"ERROR")</f>
        <v>ERROR</v>
      </c>
      <c r="D149" s="9" t="e">
        <f>CHOOSE(5,"A","B","C")</f>
        <v>#VALUE!</v>
      </c>
      <c r="E149" s="2"/>
      <c r="F149" s="2"/>
      <c r="G149" s="2"/>
      <c r="H149" s="2"/>
      <c r="I149" s="2"/>
      <c r="J149" s="2"/>
      <c r="K149" s="2"/>
    </row>
    <row r="150" spans="2:11" x14ac:dyDescent="0.3">
      <c r="B150" s="5" t="s">
        <v>135</v>
      </c>
      <c r="C150" s="9">
        <f>SUM(CHOOSE(1,$E$6:$E$8,$E$9:$E$11))</f>
        <v>175000</v>
      </c>
      <c r="D150" s="9">
        <f>SUM(CHOOSE(1,$E$6:$E$8,$E$9:$E$11))</f>
        <v>175000</v>
      </c>
      <c r="E150" s="2"/>
      <c r="F150" s="2"/>
      <c r="G150" s="2"/>
      <c r="H150" s="2"/>
      <c r="I150" s="2"/>
      <c r="J150" s="2"/>
      <c r="K150" s="2"/>
    </row>
    <row r="151" spans="2:11" x14ac:dyDescent="0.3">
      <c r="B151" s="5" t="s">
        <v>136</v>
      </c>
      <c r="C151" s="9" t="str">
        <f>CHOOSE(MATCH(300,$B$6:$B$13,0),$C$6,$C$7,$C$8,$C$9,$C$10,$C$11,$C$12,$C$13)</f>
        <v>Charlie</v>
      </c>
      <c r="D151" s="9" t="str">
        <f>CHOOSE(MATCH(300,$B$6:$B$13,0),$C$6,$C$7,$C$8,$C$9,$C$10,$C$11,$C$12,$C$13)</f>
        <v>Charlie</v>
      </c>
      <c r="E151" s="2"/>
      <c r="F151" s="2"/>
      <c r="G151" s="2"/>
      <c r="H151" s="2"/>
      <c r="I151" s="2"/>
      <c r="J151" s="2"/>
      <c r="K151" s="2"/>
    </row>
    <row r="152" spans="2:1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2:11" x14ac:dyDescent="0.3">
      <c r="B153" s="4" t="s">
        <v>137</v>
      </c>
      <c r="C153" s="4"/>
      <c r="D153" s="4"/>
      <c r="E153" s="4"/>
      <c r="F153" s="4"/>
      <c r="G153" s="4"/>
      <c r="H153" s="4"/>
      <c r="I153" s="4"/>
      <c r="J153" s="4"/>
      <c r="K153" s="4"/>
    </row>
    <row r="154" spans="2:11" x14ac:dyDescent="0.3">
      <c r="B154" s="11" t="s">
        <v>55</v>
      </c>
      <c r="C154" s="8" t="s">
        <v>56</v>
      </c>
      <c r="D154" s="8" t="s">
        <v>58</v>
      </c>
      <c r="E154" s="2"/>
      <c r="F154" s="2"/>
      <c r="G154" s="2"/>
      <c r="H154" s="2"/>
      <c r="I154" s="2"/>
      <c r="J154" s="2"/>
      <c r="K154" s="2"/>
    </row>
    <row r="155" spans="2:11" x14ac:dyDescent="0.3">
      <c r="B155" s="5" t="s">
        <v>138</v>
      </c>
      <c r="C155" s="9" t="str" cm="1">
        <f t="array" aca="1" ref="C155" ca="1">INDIRECT("C6")</f>
        <v>Alice</v>
      </c>
      <c r="D155" s="9" t="str" cm="1">
        <f t="array" aca="1" ref="D155" ca="1">INDIRECT("C6")</f>
        <v>Alice</v>
      </c>
      <c r="E155" s="2"/>
      <c r="F155" s="2"/>
      <c r="G155" s="2"/>
      <c r="H155" s="2"/>
      <c r="I155" s="2"/>
      <c r="J155" s="2"/>
      <c r="K155" s="2"/>
    </row>
    <row r="156" spans="2:11" x14ac:dyDescent="0.3">
      <c r="B156" s="5" t="s">
        <v>139</v>
      </c>
      <c r="C156" s="9" t="str" cm="1">
        <f t="array" aca="1" ref="C156" ca="1">INDIRECT("C"&amp;"8")</f>
        <v>Charlie</v>
      </c>
      <c r="D156" s="9" t="str" cm="1">
        <f t="array" aca="1" ref="D156" ca="1">INDIRECT("C"&amp;"8")</f>
        <v>Charlie</v>
      </c>
      <c r="E156" s="2"/>
      <c r="F156" s="2"/>
      <c r="G156" s="2"/>
      <c r="H156" s="2"/>
      <c r="I156" s="2"/>
      <c r="J156" s="2"/>
      <c r="K156" s="2"/>
    </row>
    <row r="157" spans="2:11" x14ac:dyDescent="0.3">
      <c r="B157" s="5" t="s">
        <v>140</v>
      </c>
      <c r="C157" s="9" t="str" cm="1">
        <f t="array" aca="1" ref="C157" ca="1">INDIRECT("R6C3",FALSE)</f>
        <v>Alice</v>
      </c>
      <c r="D157" s="9" t="str" cm="1">
        <f t="array" aca="1" ref="D157" ca="1">INDIRECT("R6C3",FALSE)</f>
        <v>Alice</v>
      </c>
      <c r="E157" s="2"/>
      <c r="F157" s="2"/>
      <c r="G157" s="2"/>
      <c r="H157" s="2"/>
      <c r="I157" s="2"/>
      <c r="J157" s="2"/>
      <c r="K157" s="2"/>
    </row>
    <row r="158" spans="2:11" x14ac:dyDescent="0.3">
      <c r="B158" s="5" t="s">
        <v>141</v>
      </c>
      <c r="C158" s="9" t="str" cm="1">
        <f t="array" aca="1" ref="C158" ca="1">INDIRECT("Sheet1!C6")</f>
        <v>Alice</v>
      </c>
      <c r="D158" s="9" t="str" cm="1">
        <f t="array" aca="1" ref="D158" ca="1">INDIRECT("Sheet1!C6")</f>
        <v>Alice</v>
      </c>
      <c r="E158" s="2"/>
      <c r="F158" s="2"/>
      <c r="G158" s="2"/>
      <c r="H158" s="2"/>
      <c r="I158" s="2"/>
      <c r="J158" s="2"/>
      <c r="K158" s="2"/>
    </row>
    <row r="159" spans="2:11" x14ac:dyDescent="0.3">
      <c r="B159" s="5" t="s">
        <v>142</v>
      </c>
      <c r="C159" s="9" cm="1">
        <f t="array" aca="1" ref="C159" ca="1">INDIRECT("B"&amp;ROW($B$8))</f>
        <v>300</v>
      </c>
      <c r="D159" s="9" cm="1">
        <f t="array" aca="1" ref="D159" ca="1">INDIRECT("B"&amp;ROW($B$8))</f>
        <v>300</v>
      </c>
      <c r="E159" s="2"/>
      <c r="F159" s="2"/>
      <c r="G159" s="2"/>
      <c r="H159" s="2"/>
      <c r="I159" s="2"/>
      <c r="J159" s="2"/>
      <c r="K159" s="2"/>
    </row>
    <row r="160" spans="2:11" x14ac:dyDescent="0.3">
      <c r="B160" s="5" t="s">
        <v>143</v>
      </c>
      <c r="C160" s="9">
        <f ca="1">SUM(INDIRECT("E6:E8"))</f>
        <v>175000</v>
      </c>
      <c r="D160" s="9">
        <f ca="1">SUM(INDIRECT("E6:E8"))</f>
        <v>175000</v>
      </c>
      <c r="E160" s="2"/>
      <c r="F160" s="2"/>
      <c r="G160" s="2"/>
      <c r="H160" s="2"/>
      <c r="I160" s="2"/>
      <c r="J160" s="2"/>
      <c r="K160" s="2"/>
    </row>
    <row r="161" spans="2:11" x14ac:dyDescent="0.3">
      <c r="B161" s="5" t="s">
        <v>144</v>
      </c>
      <c r="C161" s="9" t="str" cm="1">
        <f t="array" aca="1" ref="C161" ca="1">IFERROR(INDIRECT("ZZZ999"),"ERROR")</f>
        <v>ERROR</v>
      </c>
      <c r="D161" s="9" t="e" cm="1">
        <f t="array" aca="1" ref="D161" ca="1">INDIRECT("ZZZ999")</f>
        <v>#REF!</v>
      </c>
      <c r="E161" s="2"/>
      <c r="F161" s="2"/>
      <c r="G161" s="2"/>
      <c r="H161" s="2"/>
      <c r="I161" s="2"/>
      <c r="J161" s="2"/>
      <c r="K161" s="2"/>
    </row>
    <row r="162" spans="2:11" x14ac:dyDescent="0.3">
      <c r="B162" s="5" t="s">
        <v>145</v>
      </c>
      <c r="C162" s="9" t="str" cm="1">
        <f t="array" aca="1" ref="C162" ca="1">IFERROR(INDIRECT(""),"EMPTY REF")</f>
        <v>EMPTY REF</v>
      </c>
      <c r="D162" s="9" t="e" cm="1">
        <f t="array" aca="1" ref="D162" ca="1">INDIRECT("")</f>
        <v>#REF!</v>
      </c>
      <c r="E162" s="2"/>
      <c r="F162" s="2"/>
      <c r="G162" s="2"/>
      <c r="H162" s="2"/>
      <c r="I162" s="2"/>
      <c r="J162" s="2"/>
      <c r="K162" s="2"/>
    </row>
    <row r="163" spans="2:11" x14ac:dyDescent="0.3">
      <c r="B163" s="5" t="s">
        <v>146</v>
      </c>
      <c r="C163" s="9" t="e" cm="1">
        <f t="array" aca="1" ref="C163" ca="1">INDIRECT("Sheet2!C5")</f>
        <v>#REF!</v>
      </c>
      <c r="D163" s="9" t="e" cm="1">
        <f t="array" aca="1" ref="D163" ca="1">INDIRECT("Sheet2!C5")</f>
        <v>#REF!</v>
      </c>
      <c r="E163" s="2"/>
      <c r="F163" s="2"/>
      <c r="G163" s="2"/>
      <c r="H163" s="2"/>
      <c r="I163" s="2"/>
      <c r="J163" s="2"/>
      <c r="K163" s="2"/>
    </row>
    <row r="164" spans="2:11" x14ac:dyDescent="0.3">
      <c r="B164" s="5" t="s">
        <v>147</v>
      </c>
      <c r="C164" s="9" t="str">
        <f ca="1">INDEX(INDIRECT("C6:C13"),3)</f>
        <v>Charlie</v>
      </c>
      <c r="D164" s="9" t="str">
        <f ca="1">INDEX(INDIRECT("C6:C13"),3)</f>
        <v>Charlie</v>
      </c>
      <c r="E164" s="2"/>
      <c r="F164" s="2"/>
      <c r="G164" s="2"/>
      <c r="H164" s="2"/>
      <c r="I164" s="2"/>
      <c r="J164" s="2"/>
      <c r="K164" s="2"/>
    </row>
    <row r="165" spans="2:1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2:11" x14ac:dyDescent="0.3">
      <c r="B166" s="4" t="s">
        <v>148</v>
      </c>
      <c r="C166" s="4"/>
      <c r="D166" s="4"/>
      <c r="E166" s="4"/>
      <c r="F166" s="4"/>
      <c r="G166" s="4"/>
      <c r="H166" s="4"/>
      <c r="I166" s="4"/>
      <c r="J166" s="4"/>
      <c r="K166" s="4"/>
    </row>
    <row r="167" spans="2:11" x14ac:dyDescent="0.3">
      <c r="B167" s="11" t="s">
        <v>55</v>
      </c>
      <c r="C167" s="8" t="s">
        <v>56</v>
      </c>
      <c r="D167" s="8" t="s">
        <v>58</v>
      </c>
      <c r="E167" s="2"/>
      <c r="F167" s="2"/>
      <c r="G167" s="2"/>
      <c r="H167" s="2"/>
      <c r="I167" s="2"/>
      <c r="J167" s="2"/>
      <c r="K167" s="2"/>
    </row>
    <row r="168" spans="2:11" x14ac:dyDescent="0.3">
      <c r="B168" s="5" t="s">
        <v>149</v>
      </c>
      <c r="C168" s="9">
        <f ca="1">OFFSET($B$6,0,0)</f>
        <v>100</v>
      </c>
      <c r="D168" s="9">
        <f ca="1">OFFSET($B$6,0,0)</f>
        <v>100</v>
      </c>
      <c r="E168" s="2"/>
      <c r="F168" s="2"/>
      <c r="G168" s="2"/>
      <c r="H168" s="2"/>
      <c r="I168" s="2"/>
      <c r="J168" s="2"/>
      <c r="K168" s="2"/>
    </row>
    <row r="169" spans="2:11" x14ac:dyDescent="0.3">
      <c r="B169" s="5" t="s">
        <v>150</v>
      </c>
      <c r="C169" s="9" t="str">
        <f ca="1">OFFSET($B$6,2,1)</f>
        <v>Charlie</v>
      </c>
      <c r="D169" s="9" t="str">
        <f ca="1">OFFSET($B$6,2,1)</f>
        <v>Charlie</v>
      </c>
      <c r="E169" s="2"/>
      <c r="F169" s="2"/>
      <c r="G169" s="2"/>
      <c r="H169" s="2"/>
      <c r="I169" s="2"/>
      <c r="J169" s="2"/>
      <c r="K169" s="2"/>
    </row>
    <row r="170" spans="2:11" x14ac:dyDescent="0.3">
      <c r="B170" s="5" t="s">
        <v>151</v>
      </c>
      <c r="C170" s="9">
        <f ca="1">OFFSET($B$6,4,3)</f>
        <v>62000</v>
      </c>
      <c r="D170" s="9">
        <f ca="1">OFFSET($B$6,4,3)</f>
        <v>62000</v>
      </c>
      <c r="E170" s="2"/>
      <c r="F170" s="2"/>
      <c r="G170" s="2"/>
      <c r="H170" s="2"/>
      <c r="I170" s="2"/>
      <c r="J170" s="2"/>
      <c r="K170" s="2"/>
    </row>
    <row r="171" spans="2:11" x14ac:dyDescent="0.3">
      <c r="B171" s="5" t="s">
        <v>152</v>
      </c>
      <c r="C171" s="9" t="str">
        <f ca="1">OFFSET($B$13,-2,1)</f>
        <v>Frank</v>
      </c>
      <c r="D171" s="9" t="str">
        <f ca="1">OFFSET($B$13,-2,1)</f>
        <v>Frank</v>
      </c>
      <c r="E171" s="2"/>
      <c r="F171" s="2"/>
      <c r="G171" s="2"/>
      <c r="H171" s="2"/>
      <c r="I171" s="2"/>
      <c r="J171" s="2"/>
      <c r="K171" s="2"/>
    </row>
    <row r="172" spans="2:11" x14ac:dyDescent="0.3">
      <c r="B172" s="5" t="s">
        <v>153</v>
      </c>
      <c r="C172" s="9">
        <f ca="1">SUM(OFFSET($E$6,0,0,3,1))</f>
        <v>175000</v>
      </c>
      <c r="D172" s="9">
        <f ca="1">SUM(OFFSET($E$6,0,0,3,1))</f>
        <v>175000</v>
      </c>
      <c r="E172" s="2"/>
      <c r="F172" s="2"/>
      <c r="G172" s="2"/>
      <c r="H172" s="2"/>
      <c r="I172" s="2"/>
      <c r="J172" s="2"/>
      <c r="K172" s="2"/>
    </row>
    <row r="173" spans="2:11" x14ac:dyDescent="0.3">
      <c r="B173" s="5" t="s">
        <v>154</v>
      </c>
      <c r="C173" s="9">
        <f ca="1">SUM(OFFSET($E$6,0,0,8,1))</f>
        <v>523000</v>
      </c>
      <c r="D173" s="9">
        <f ca="1">SUM(OFFSET($E$6,0,0,8,1))</f>
        <v>523000</v>
      </c>
      <c r="E173" s="2"/>
      <c r="F173" s="2"/>
      <c r="G173" s="2"/>
      <c r="H173" s="2"/>
      <c r="I173" s="2"/>
      <c r="J173" s="2"/>
      <c r="K173" s="2"/>
    </row>
    <row r="174" spans="2:11" x14ac:dyDescent="0.3">
      <c r="B174" s="5" t="s">
        <v>155</v>
      </c>
      <c r="C174" s="9">
        <f ca="1">AVERAGE(OFFSET($F$6,0,0,8,1))</f>
        <v>4.1000000000000005</v>
      </c>
      <c r="D174" s="9">
        <f ca="1">AVERAGE(OFFSET($F$6,0,0,8,1))</f>
        <v>4.1000000000000005</v>
      </c>
      <c r="E174" s="2"/>
      <c r="F174" s="2"/>
      <c r="G174" s="2"/>
      <c r="H174" s="2"/>
      <c r="I174" s="2"/>
      <c r="J174" s="2"/>
      <c r="K174" s="2"/>
    </row>
    <row r="175" spans="2:11" x14ac:dyDescent="0.3">
      <c r="B175" s="5" t="s">
        <v>156</v>
      </c>
      <c r="C175" s="9">
        <f ca="1">SUM(OFFSET($E$6,0,0,MATCH(9.99E+99,$E$6:$E$13,1),1))</f>
        <v>523000</v>
      </c>
      <c r="D175" s="9">
        <f ca="1">SUM(OFFSET($E$6,0,0,MATCH(9.99E+99,$E$6:$E$13,1),1))</f>
        <v>523000</v>
      </c>
      <c r="E175" s="2"/>
      <c r="F175" s="2"/>
      <c r="G175" s="2"/>
      <c r="H175" s="2"/>
      <c r="I175" s="2"/>
      <c r="J175" s="2"/>
      <c r="K175" s="2"/>
    </row>
    <row r="176" spans="2:11" x14ac:dyDescent="0.3">
      <c r="B176" s="5" t="s">
        <v>157</v>
      </c>
      <c r="C176" s="9" t="str">
        <f ca="1">INDEX(OFFSET($B$6,0,0,8,5),3,2)</f>
        <v>Charlie</v>
      </c>
      <c r="D176" s="9" t="str">
        <f ca="1">INDEX(OFFSET($B$6,0,0,8,5),3,2)</f>
        <v>Charlie</v>
      </c>
      <c r="E176" s="2"/>
      <c r="F176" s="2"/>
      <c r="G176" s="2"/>
      <c r="H176" s="2"/>
      <c r="I176" s="2"/>
      <c r="J176" s="2"/>
      <c r="K176" s="2"/>
    </row>
    <row r="177" spans="2:11" x14ac:dyDescent="0.3">
      <c r="B177" s="5" t="s">
        <v>158</v>
      </c>
      <c r="C177" s="9" t="str">
        <f ca="1">IFERROR(OFFSET($B$6,-10,0),"OOB")</f>
        <v>OOB</v>
      </c>
      <c r="D177" s="9" t="e">
        <f ca="1">OFFSET($B$6,-10,0)</f>
        <v>#REF!</v>
      </c>
      <c r="E177" s="2"/>
      <c r="F177" s="2"/>
      <c r="G177" s="2"/>
      <c r="H177" s="2"/>
      <c r="I177" s="2"/>
      <c r="J177" s="2"/>
      <c r="K177" s="2"/>
    </row>
    <row r="178" spans="2:11" x14ac:dyDescent="0.3">
      <c r="B178" s="5" t="s">
        <v>159</v>
      </c>
      <c r="C178" s="9" t="str" cm="1">
        <f t="array" aca="1" ref="C178" ca="1">IFERROR(OFFSET($B$6,0,0,0,1),"ERROR")</f>
        <v>ERROR</v>
      </c>
      <c r="D178" s="9" t="e" cm="1">
        <f t="array" aca="1" ref="D178" ca="1">OFFSET($B$6,0,0,0,1)</f>
        <v>#REF!</v>
      </c>
      <c r="E178" s="2"/>
      <c r="F178" s="2"/>
      <c r="G178" s="2"/>
      <c r="H178" s="2"/>
      <c r="I178" s="2"/>
      <c r="J178" s="2"/>
      <c r="K178" s="2"/>
    </row>
    <row r="179" spans="2:1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2:11" x14ac:dyDescent="0.3">
      <c r="B180" s="4" t="s">
        <v>160</v>
      </c>
      <c r="C180" s="4"/>
      <c r="D180" s="4"/>
      <c r="E180" s="4"/>
      <c r="F180" s="4"/>
      <c r="G180" s="4"/>
      <c r="H180" s="4"/>
      <c r="I180" s="4"/>
      <c r="J180" s="4"/>
      <c r="K180" s="4"/>
    </row>
    <row r="181" spans="2:11" x14ac:dyDescent="0.3">
      <c r="B181" s="11" t="s">
        <v>55</v>
      </c>
      <c r="C181" s="8" t="s">
        <v>56</v>
      </c>
      <c r="D181" s="8" t="s">
        <v>58</v>
      </c>
      <c r="E181" s="2"/>
      <c r="F181" s="2"/>
      <c r="G181" s="2"/>
      <c r="H181" s="2"/>
      <c r="I181" s="2"/>
      <c r="J181" s="2"/>
      <c r="K181" s="2"/>
    </row>
    <row r="182" spans="2:11" x14ac:dyDescent="0.3">
      <c r="B182" s="5" t="s">
        <v>161</v>
      </c>
      <c r="C182" s="9">
        <f>ROW()</f>
        <v>182</v>
      </c>
      <c r="D182" s="9">
        <f>ROW()</f>
        <v>182</v>
      </c>
      <c r="E182" s="2"/>
      <c r="F182" s="2"/>
      <c r="G182" s="2"/>
      <c r="H182" s="2"/>
      <c r="I182" s="2"/>
      <c r="J182" s="2"/>
      <c r="K182" s="2"/>
    </row>
    <row r="183" spans="2:11" x14ac:dyDescent="0.3">
      <c r="B183" s="5" t="s">
        <v>162</v>
      </c>
      <c r="C183" s="9">
        <f>ROW($B$6)</f>
        <v>6</v>
      </c>
      <c r="D183" s="9">
        <f>ROW($B$6)</f>
        <v>6</v>
      </c>
      <c r="E183" s="2"/>
      <c r="F183" s="2"/>
      <c r="G183" s="2"/>
      <c r="H183" s="2"/>
      <c r="I183" s="2"/>
      <c r="J183" s="2"/>
      <c r="K183" s="2"/>
    </row>
    <row r="184" spans="2:11" x14ac:dyDescent="0.3">
      <c r="B184" s="5" t="s">
        <v>163</v>
      </c>
      <c r="C184" s="9" t="e" cm="1" vm="3">
        <f t="array" aca="1" ref="C184" ca="1">ROW($B$6:$B$13)</f>
        <v>#VALUE!</v>
      </c>
      <c r="D184" s="9" t="e" cm="1" vm="3">
        <f t="array" aca="1" ref="D184" ca="1">ROW($B$6:$B$13)</f>
        <v>#VALUE!</v>
      </c>
      <c r="E184" s="2"/>
      <c r="F184" s="2"/>
      <c r="G184" s="2"/>
      <c r="H184" s="2"/>
      <c r="I184" s="2"/>
      <c r="J184" s="2"/>
      <c r="K184" s="2"/>
    </row>
    <row r="185" spans="2:11" x14ac:dyDescent="0.3">
      <c r="B185" s="5" t="s">
        <v>164</v>
      </c>
      <c r="C185" s="9">
        <f>ROW($A$1)</f>
        <v>1</v>
      </c>
      <c r="D185" s="9">
        <f>ROW($A$1)</f>
        <v>1</v>
      </c>
      <c r="E185" s="2"/>
      <c r="F185" s="2"/>
      <c r="G185" s="2"/>
      <c r="H185" s="2"/>
      <c r="I185" s="2"/>
      <c r="J185" s="2"/>
      <c r="K185" s="2"/>
    </row>
    <row r="186" spans="2:11" x14ac:dyDescent="0.3">
      <c r="B186" s="5" t="s">
        <v>165</v>
      </c>
      <c r="C186" s="9" t="e">
        <f>ROW(#REF!)</f>
        <v>#REF!</v>
      </c>
      <c r="D186" s="9" t="e">
        <f>ROW(#REF!)</f>
        <v>#REF!</v>
      </c>
      <c r="E186" s="2"/>
      <c r="F186" s="2"/>
      <c r="G186" s="2"/>
      <c r="H186" s="2"/>
      <c r="I186" s="2"/>
      <c r="J186" s="2"/>
      <c r="K186" s="2"/>
    </row>
    <row r="187" spans="2:11" x14ac:dyDescent="0.3">
      <c r="B187" s="5" t="s">
        <v>166</v>
      </c>
      <c r="C187" s="9">
        <f>ROW($B$13)-ROW($B$6)+1</f>
        <v>8</v>
      </c>
      <c r="D187" s="9">
        <f>ROW($B$13)-ROW($B$6)+1</f>
        <v>8</v>
      </c>
      <c r="E187" s="2"/>
      <c r="F187" s="2"/>
      <c r="G187" s="2"/>
      <c r="H187" s="2"/>
      <c r="I187" s="2"/>
      <c r="J187" s="2"/>
      <c r="K187" s="2"/>
    </row>
    <row r="188" spans="2:11" x14ac:dyDescent="0.3">
      <c r="B188" s="5" t="s">
        <v>167</v>
      </c>
      <c r="C188" s="9" cm="1">
        <f t="array" aca="1" ref="C188" ca="1">ROW(INDIRECT("B10"))</f>
        <v>10</v>
      </c>
      <c r="D188" s="9" cm="1">
        <f t="array" aca="1" ref="D188" ca="1">ROW(INDIRECT("B10"))</f>
        <v>10</v>
      </c>
      <c r="E188" s="2"/>
      <c r="F188" s="2"/>
      <c r="G188" s="2"/>
      <c r="H188" s="2"/>
      <c r="I188" s="2"/>
      <c r="J188" s="2"/>
      <c r="K188" s="2"/>
    </row>
    <row r="189" spans="2:11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2:11" x14ac:dyDescent="0.3">
      <c r="B190" s="4" t="s">
        <v>168</v>
      </c>
      <c r="C190" s="4"/>
      <c r="D190" s="4"/>
      <c r="E190" s="4"/>
      <c r="F190" s="4"/>
      <c r="G190" s="4"/>
      <c r="H190" s="4"/>
      <c r="I190" s="4"/>
      <c r="J190" s="4"/>
      <c r="K190" s="4"/>
    </row>
    <row r="191" spans="2:11" x14ac:dyDescent="0.3">
      <c r="B191" s="11" t="s">
        <v>55</v>
      </c>
      <c r="C191" s="8" t="s">
        <v>56</v>
      </c>
      <c r="D191" s="8" t="s">
        <v>58</v>
      </c>
      <c r="E191" s="2"/>
      <c r="F191" s="2"/>
      <c r="G191" s="2"/>
      <c r="H191" s="2"/>
      <c r="I191" s="2"/>
      <c r="J191" s="2"/>
      <c r="K191" s="2"/>
    </row>
    <row r="192" spans="2:11" x14ac:dyDescent="0.3">
      <c r="B192" s="5" t="s">
        <v>161</v>
      </c>
      <c r="C192" s="9">
        <f>COLUMN()</f>
        <v>3</v>
      </c>
      <c r="D192" s="9">
        <f>COLUMN()</f>
        <v>4</v>
      </c>
      <c r="E192" s="2"/>
      <c r="F192" s="2"/>
      <c r="G192" s="2"/>
      <c r="H192" s="2"/>
      <c r="I192" s="2"/>
      <c r="J192" s="2"/>
      <c r="K192" s="2"/>
    </row>
    <row r="193" spans="2:11" x14ac:dyDescent="0.3">
      <c r="B193" s="5" t="s">
        <v>162</v>
      </c>
      <c r="C193" s="9">
        <f>COLUMN($E$6)</f>
        <v>5</v>
      </c>
      <c r="D193" s="9">
        <f>COLUMN($E$6)</f>
        <v>5</v>
      </c>
      <c r="E193" s="2"/>
      <c r="F193" s="2"/>
      <c r="G193" s="2"/>
      <c r="H193" s="2"/>
      <c r="I193" s="2"/>
      <c r="J193" s="2"/>
      <c r="K193" s="2"/>
    </row>
    <row r="194" spans="2:11" x14ac:dyDescent="0.3">
      <c r="B194" s="5" t="s">
        <v>169</v>
      </c>
      <c r="C194" s="9" t="e" cm="1" vm="4">
        <f t="array" aca="1" ref="C194" ca="1">COLUMN($B$6:$F$6)</f>
        <v>#VALUE!</v>
      </c>
      <c r="D194" s="9" cm="1">
        <f t="array" ref="D194:H194">COLUMN($B$6:$F$6)</f>
        <v>2</v>
      </c>
      <c r="E194" s="2">
        <v>3</v>
      </c>
      <c r="F194" s="2">
        <v>4</v>
      </c>
      <c r="G194" s="2">
        <v>5</v>
      </c>
      <c r="H194" s="2">
        <v>6</v>
      </c>
      <c r="I194" s="2"/>
      <c r="J194" s="2"/>
      <c r="K194" s="2"/>
    </row>
    <row r="195" spans="2:11" x14ac:dyDescent="0.3">
      <c r="B195" s="5" t="s">
        <v>170</v>
      </c>
      <c r="C195" s="9">
        <f>COLUMN($A$1)</f>
        <v>1</v>
      </c>
      <c r="D195" s="9">
        <f>COLUMN($A$1)</f>
        <v>1</v>
      </c>
      <c r="E195" s="2"/>
      <c r="F195" s="2"/>
      <c r="G195" s="2"/>
      <c r="H195" s="2"/>
      <c r="I195" s="2"/>
      <c r="J195" s="2"/>
      <c r="K195" s="2"/>
    </row>
    <row r="196" spans="2:11" x14ac:dyDescent="0.3">
      <c r="B196" s="5" t="s">
        <v>166</v>
      </c>
      <c r="C196" s="9">
        <f>COLUMN($F$5)-COLUMN($B$5)+1</f>
        <v>5</v>
      </c>
      <c r="D196" s="9">
        <f>COLUMN($F$5)-COLUMN($B$5)+1</f>
        <v>5</v>
      </c>
      <c r="E196" s="2"/>
      <c r="F196" s="2"/>
      <c r="G196" s="2"/>
      <c r="H196" s="2"/>
      <c r="I196" s="2"/>
      <c r="J196" s="2"/>
      <c r="K196" s="2"/>
    </row>
    <row r="197" spans="2:11" x14ac:dyDescent="0.3">
      <c r="B197" s="5" t="s">
        <v>171</v>
      </c>
      <c r="C197" s="9" cm="1">
        <f t="array" aca="1" ref="C197" ca="1">COLUMN(INDIRECT("E1"))</f>
        <v>5</v>
      </c>
      <c r="D197" s="9" cm="1">
        <f t="array" aca="1" ref="D197" ca="1">COLUMN(INDIRECT("E1"))</f>
        <v>5</v>
      </c>
      <c r="E197" s="2"/>
      <c r="F197" s="2"/>
      <c r="G197" s="2"/>
      <c r="H197" s="2"/>
      <c r="I197" s="2"/>
      <c r="J197" s="2"/>
      <c r="K197" s="2"/>
    </row>
    <row r="198" spans="2:11" x14ac:dyDescent="0.3">
      <c r="B198" s="5" t="s">
        <v>146</v>
      </c>
      <c r="C198" s="9" t="e">
        <f>COLUMN(#REF!)</f>
        <v>#REF!</v>
      </c>
      <c r="D198" s="9" t="e">
        <f>COLUMN(#REF!)</f>
        <v>#REF!</v>
      </c>
      <c r="E198" s="2"/>
      <c r="F198" s="2"/>
      <c r="G198" s="2"/>
      <c r="H198" s="2"/>
      <c r="I198" s="2"/>
      <c r="J198" s="2"/>
      <c r="K198" s="2"/>
    </row>
    <row r="199" spans="2:11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2:11" x14ac:dyDescent="0.3">
      <c r="B200" s="4" t="s">
        <v>172</v>
      </c>
      <c r="C200" s="4"/>
      <c r="D200" s="4"/>
      <c r="E200" s="4"/>
      <c r="F200" s="4"/>
      <c r="G200" s="4"/>
      <c r="H200" s="4"/>
      <c r="I200" s="4"/>
      <c r="J200" s="4"/>
      <c r="K200" s="4"/>
    </row>
    <row r="201" spans="2:11" x14ac:dyDescent="0.3">
      <c r="B201" s="11" t="s">
        <v>55</v>
      </c>
      <c r="C201" s="8" t="s">
        <v>56</v>
      </c>
      <c r="D201" s="8" t="s">
        <v>58</v>
      </c>
      <c r="E201" s="2"/>
      <c r="F201" s="2"/>
      <c r="G201" s="2"/>
      <c r="H201" s="2"/>
      <c r="I201" s="2"/>
      <c r="J201" s="2"/>
      <c r="K201" s="2"/>
    </row>
    <row r="202" spans="2:11" x14ac:dyDescent="0.3">
      <c r="B202" s="5" t="s">
        <v>173</v>
      </c>
      <c r="C202" s="9">
        <f>ROWS($B$6)</f>
        <v>1</v>
      </c>
      <c r="D202" s="9">
        <f>ROWS($B$6)</f>
        <v>1</v>
      </c>
      <c r="E202" s="2"/>
      <c r="F202" s="2"/>
      <c r="G202" s="2"/>
      <c r="H202" s="2"/>
      <c r="I202" s="2"/>
      <c r="J202" s="2"/>
      <c r="K202" s="2"/>
    </row>
    <row r="203" spans="2:11" x14ac:dyDescent="0.3">
      <c r="B203" s="5" t="s">
        <v>174</v>
      </c>
      <c r="C203" s="9">
        <f>ROWS($B$6:$F$13)</f>
        <v>8</v>
      </c>
      <c r="D203" s="9">
        <f>ROWS($B$6:$F$13)</f>
        <v>8</v>
      </c>
      <c r="E203" s="2"/>
      <c r="F203" s="2"/>
      <c r="G203" s="2"/>
      <c r="H203" s="2"/>
      <c r="I203" s="2"/>
      <c r="J203" s="2"/>
      <c r="K203" s="2"/>
    </row>
    <row r="204" spans="2:11" x14ac:dyDescent="0.3">
      <c r="B204" s="5" t="s">
        <v>113</v>
      </c>
      <c r="C204" s="9">
        <f>ROWS($B$6:$F$6)</f>
        <v>1</v>
      </c>
      <c r="D204" s="9">
        <f>ROWS($B$6:$F$6)</f>
        <v>1</v>
      </c>
      <c r="E204" s="2"/>
      <c r="F204" s="2"/>
      <c r="G204" s="2"/>
      <c r="H204" s="2"/>
      <c r="I204" s="2"/>
      <c r="J204" s="2"/>
      <c r="K204" s="2"/>
    </row>
    <row r="205" spans="2:11" x14ac:dyDescent="0.3">
      <c r="B205" s="5" t="s">
        <v>111</v>
      </c>
      <c r="C205" s="9">
        <f>ROWS($B$6:$B$13)</f>
        <v>8</v>
      </c>
      <c r="D205" s="9">
        <f>ROWS($B$6:$B$13)</f>
        <v>8</v>
      </c>
      <c r="E205" s="2"/>
      <c r="F205" s="2"/>
      <c r="G205" s="2"/>
      <c r="H205" s="2"/>
      <c r="I205" s="2"/>
      <c r="J205" s="2"/>
      <c r="K205" s="2"/>
    </row>
    <row r="206" spans="2:11" x14ac:dyDescent="0.3">
      <c r="B206" s="5" t="s">
        <v>175</v>
      </c>
      <c r="C206" s="9">
        <f>ROWS($B$16:$J$19)</f>
        <v>4</v>
      </c>
      <c r="D206" s="9">
        <f>ROWS($B$16:$J$19)</f>
        <v>4</v>
      </c>
      <c r="E206" s="2"/>
      <c r="F206" s="2"/>
      <c r="G206" s="2"/>
      <c r="H206" s="2"/>
      <c r="I206" s="2"/>
      <c r="J206" s="2"/>
      <c r="K206" s="2"/>
    </row>
    <row r="207" spans="2:11" x14ac:dyDescent="0.3">
      <c r="B207" s="5" t="s">
        <v>176</v>
      </c>
      <c r="C207" s="9">
        <f ca="1">ROWS(INDIRECT("B6:B13"))</f>
        <v>8</v>
      </c>
      <c r="D207" s="9">
        <f ca="1">ROWS(INDIRECT("B6:B13"))</f>
        <v>8</v>
      </c>
      <c r="E207" s="2"/>
      <c r="F207" s="2"/>
      <c r="G207" s="2"/>
      <c r="H207" s="2"/>
      <c r="I207" s="2"/>
      <c r="J207" s="2"/>
      <c r="K207" s="2"/>
    </row>
    <row r="208" spans="2:11" x14ac:dyDescent="0.3">
      <c r="B208" s="4" t="s">
        <v>177</v>
      </c>
      <c r="C208" s="4"/>
      <c r="D208" s="4"/>
      <c r="E208" s="4"/>
      <c r="F208" s="4"/>
      <c r="G208" s="4"/>
      <c r="H208" s="4"/>
      <c r="I208" s="4"/>
      <c r="J208" s="4"/>
      <c r="K208" s="4"/>
    </row>
    <row r="209" spans="2:11" x14ac:dyDescent="0.3">
      <c r="B209" s="11" t="s">
        <v>55</v>
      </c>
      <c r="C209" s="8" t="s">
        <v>56</v>
      </c>
      <c r="D209" s="8" t="s">
        <v>58</v>
      </c>
      <c r="E209" s="2"/>
      <c r="F209" s="2"/>
      <c r="G209" s="2"/>
      <c r="H209" s="2"/>
      <c r="I209" s="2"/>
      <c r="J209" s="2"/>
      <c r="K209" s="2"/>
    </row>
    <row r="210" spans="2:11" x14ac:dyDescent="0.3">
      <c r="B210" s="5" t="s">
        <v>173</v>
      </c>
      <c r="C210" s="9">
        <f>COLUMNS($B$6)</f>
        <v>1</v>
      </c>
      <c r="D210" s="9">
        <f>COLUMNS($B$6)</f>
        <v>1</v>
      </c>
      <c r="E210" s="2"/>
      <c r="F210" s="2"/>
      <c r="G210" s="2"/>
      <c r="H210" s="2"/>
      <c r="I210" s="2"/>
      <c r="J210" s="2"/>
      <c r="K210" s="2"/>
    </row>
    <row r="211" spans="2:11" x14ac:dyDescent="0.3">
      <c r="B211" s="5" t="s">
        <v>174</v>
      </c>
      <c r="C211" s="9">
        <f>COLUMNS($B$6:$F$13)</f>
        <v>5</v>
      </c>
      <c r="D211" s="9">
        <f>COLUMNS($B$6:$F$13)</f>
        <v>5</v>
      </c>
      <c r="E211" s="2"/>
      <c r="F211" s="2"/>
      <c r="G211" s="2"/>
      <c r="H211" s="2"/>
      <c r="I211" s="2"/>
      <c r="J211" s="2"/>
      <c r="K211" s="2"/>
    </row>
    <row r="212" spans="2:11" x14ac:dyDescent="0.3">
      <c r="B212" s="5" t="s">
        <v>113</v>
      </c>
      <c r="C212" s="9">
        <f>COLUMNS($B$6:$F$6)</f>
        <v>5</v>
      </c>
      <c r="D212" s="9">
        <f>COLUMNS($B$6:$F$6)</f>
        <v>5</v>
      </c>
      <c r="E212" s="2"/>
      <c r="F212" s="2"/>
      <c r="G212" s="2"/>
      <c r="H212" s="2"/>
      <c r="I212" s="2"/>
      <c r="J212" s="2"/>
      <c r="K212" s="2"/>
    </row>
    <row r="213" spans="2:11" x14ac:dyDescent="0.3">
      <c r="B213" s="5" t="s">
        <v>111</v>
      </c>
      <c r="C213" s="9">
        <f>COLUMNS($B$6:$B$13)</f>
        <v>1</v>
      </c>
      <c r="D213" s="9">
        <f>COLUMNS($B$6:$B$13)</f>
        <v>1</v>
      </c>
      <c r="E213" s="2"/>
      <c r="F213" s="2"/>
      <c r="G213" s="2"/>
      <c r="H213" s="2"/>
      <c r="I213" s="2"/>
      <c r="J213" s="2"/>
      <c r="K213" s="2"/>
    </row>
    <row r="214" spans="2:11" x14ac:dyDescent="0.3">
      <c r="B214" s="5" t="s">
        <v>175</v>
      </c>
      <c r="C214" s="9">
        <f>COLUMNS($B$16:$J$19)</f>
        <v>9</v>
      </c>
      <c r="D214" s="9">
        <f>COLUMNS($B$16:$J$19)</f>
        <v>9</v>
      </c>
      <c r="E214" s="2"/>
      <c r="F214" s="2"/>
      <c r="G214" s="2"/>
      <c r="H214" s="2"/>
      <c r="I214" s="2"/>
      <c r="J214" s="2"/>
      <c r="K214" s="2"/>
    </row>
    <row r="215" spans="2:11" x14ac:dyDescent="0.3">
      <c r="B215" s="5" t="s">
        <v>176</v>
      </c>
      <c r="C215" s="9">
        <f ca="1">COLUMNS(INDIRECT("B6:F6"))</f>
        <v>5</v>
      </c>
      <c r="D215" s="9">
        <f ca="1">COLUMNS(INDIRECT("B6:F6"))</f>
        <v>5</v>
      </c>
      <c r="E215" s="2"/>
      <c r="F215" s="2"/>
      <c r="G215" s="2"/>
      <c r="H215" s="2"/>
      <c r="I215" s="2"/>
      <c r="J215" s="2"/>
      <c r="K215" s="2"/>
    </row>
    <row r="216" spans="2:11" x14ac:dyDescent="0.3">
      <c r="B216" s="4" t="s">
        <v>178</v>
      </c>
      <c r="C216" s="4"/>
      <c r="D216" s="4"/>
      <c r="E216" s="4"/>
      <c r="F216" s="4"/>
      <c r="G216" s="4"/>
      <c r="H216" s="4"/>
      <c r="I216" s="4"/>
      <c r="J216" s="4"/>
      <c r="K216" s="4"/>
    </row>
    <row r="217" spans="2:11" x14ac:dyDescent="0.3">
      <c r="B217" s="11" t="s">
        <v>55</v>
      </c>
      <c r="C217" s="8" t="s">
        <v>56</v>
      </c>
      <c r="D217" s="8" t="s">
        <v>58</v>
      </c>
      <c r="E217" s="2"/>
      <c r="F217" s="2"/>
      <c r="G217" s="2"/>
      <c r="H217" s="2"/>
      <c r="I217" s="2"/>
      <c r="J217" s="2"/>
      <c r="K217" s="2"/>
    </row>
    <row r="218" spans="2:11" x14ac:dyDescent="0.3">
      <c r="B218" s="5" t="s">
        <v>179</v>
      </c>
      <c r="C218" s="9" t="str">
        <f>ADDRESS(1,1)</f>
        <v>$A$1</v>
      </c>
      <c r="D218" s="9" t="str">
        <f>ADDRESS(1,1)</f>
        <v>$A$1</v>
      </c>
      <c r="E218" s="2"/>
      <c r="F218" s="2"/>
      <c r="G218" s="2"/>
      <c r="H218" s="2"/>
      <c r="I218" s="2"/>
      <c r="J218" s="2"/>
      <c r="K218" s="2"/>
    </row>
    <row r="219" spans="2:11" x14ac:dyDescent="0.3">
      <c r="B219" s="5" t="s">
        <v>180</v>
      </c>
      <c r="C219" s="9" t="str">
        <f>ADDRESS(1,1,2)</f>
        <v>A$1</v>
      </c>
      <c r="D219" s="9" t="str">
        <f>ADDRESS(1,1,2)</f>
        <v>A$1</v>
      </c>
      <c r="E219" s="2"/>
      <c r="F219" s="2"/>
      <c r="G219" s="2"/>
      <c r="H219" s="2"/>
      <c r="I219" s="2"/>
      <c r="J219" s="2"/>
      <c r="K219" s="2"/>
    </row>
    <row r="220" spans="2:11" x14ac:dyDescent="0.3">
      <c r="B220" s="5" t="s">
        <v>181</v>
      </c>
      <c r="C220" s="9" t="str">
        <f>ADDRESS(1,1,3)</f>
        <v>$A1</v>
      </c>
      <c r="D220" s="9" t="str">
        <f>ADDRESS(1,1,3)</f>
        <v>$A1</v>
      </c>
      <c r="E220" s="2"/>
      <c r="F220" s="2"/>
      <c r="G220" s="2"/>
      <c r="H220" s="2"/>
      <c r="I220" s="2"/>
      <c r="J220" s="2"/>
      <c r="K220" s="2"/>
    </row>
    <row r="221" spans="2:11" x14ac:dyDescent="0.3">
      <c r="B221" s="5" t="s">
        <v>182</v>
      </c>
      <c r="C221" s="9" t="str">
        <f>ADDRESS(1,1,4)</f>
        <v>A1</v>
      </c>
      <c r="D221" s="9" t="str">
        <f>ADDRESS(1,1,4)</f>
        <v>A1</v>
      </c>
      <c r="E221" s="2"/>
      <c r="F221" s="2"/>
      <c r="G221" s="2"/>
      <c r="H221" s="2"/>
      <c r="I221" s="2"/>
      <c r="J221" s="2"/>
      <c r="K221" s="2"/>
    </row>
    <row r="222" spans="2:11" x14ac:dyDescent="0.3">
      <c r="B222" s="5" t="s">
        <v>140</v>
      </c>
      <c r="C222" s="9" t="str">
        <f>ADDRESS(1,1,1,FALSE)</f>
        <v>R1C1</v>
      </c>
      <c r="D222" s="9" t="str">
        <f>ADDRESS(1,1,1,FALSE)</f>
        <v>R1C1</v>
      </c>
      <c r="E222" s="2"/>
      <c r="F222" s="2"/>
      <c r="G222" s="2"/>
      <c r="H222" s="2"/>
      <c r="I222" s="2"/>
      <c r="J222" s="2"/>
      <c r="K222" s="2"/>
    </row>
    <row r="223" spans="2:11" x14ac:dyDescent="0.3">
      <c r="B223" s="5" t="s">
        <v>183</v>
      </c>
      <c r="C223" s="9" t="str">
        <f>ADDRESS(6,3,1,TRUE,"Sheet1")</f>
        <v>Sheet1!$C$6</v>
      </c>
      <c r="D223" s="9" t="str">
        <f>ADDRESS(6,3,1,TRUE,"Sheet1")</f>
        <v>Sheet1!$C$6</v>
      </c>
      <c r="E223" s="2"/>
      <c r="F223" s="2"/>
      <c r="G223" s="2"/>
      <c r="H223" s="2"/>
      <c r="I223" s="2"/>
      <c r="J223" s="2"/>
      <c r="K223" s="2"/>
    </row>
    <row r="224" spans="2:11" x14ac:dyDescent="0.3">
      <c r="B224" s="5" t="s">
        <v>184</v>
      </c>
      <c r="C224" s="9" t="str">
        <f>ADDRESS(6,5)</f>
        <v>$E$6</v>
      </c>
      <c r="D224" s="9" t="str">
        <f>ADDRESS(6,5)</f>
        <v>$E$6</v>
      </c>
      <c r="E224" s="2"/>
      <c r="F224" s="2"/>
      <c r="G224" s="2"/>
      <c r="H224" s="2"/>
      <c r="I224" s="2"/>
      <c r="J224" s="2"/>
      <c r="K224" s="2"/>
    </row>
    <row r="225" spans="2:11" x14ac:dyDescent="0.3">
      <c r="B225" s="5" t="s">
        <v>185</v>
      </c>
      <c r="C225" s="9" t="str">
        <f>ADDRESS(1,100)</f>
        <v>$CV$1</v>
      </c>
      <c r="D225" s="9" t="str">
        <f>ADDRESS(1,100)</f>
        <v>$CV$1</v>
      </c>
      <c r="E225" s="2"/>
      <c r="F225" s="2"/>
      <c r="G225" s="2"/>
      <c r="H225" s="2"/>
      <c r="I225" s="2"/>
      <c r="J225" s="2"/>
      <c r="K225" s="2"/>
    </row>
    <row r="226" spans="2:11" x14ac:dyDescent="0.3">
      <c r="B226" s="5" t="s">
        <v>186</v>
      </c>
      <c r="C226" s="9" t="str">
        <f>ADDRESS(ROW($B$6),COLUMN($E$6))</f>
        <v>$E$6</v>
      </c>
      <c r="D226" s="9" t="str">
        <f>ADDRESS(ROW($B$6),COLUMN($E$6))</f>
        <v>$E$6</v>
      </c>
      <c r="E226" s="2"/>
      <c r="F226" s="2"/>
      <c r="G226" s="2"/>
      <c r="H226" s="2"/>
      <c r="I226" s="2"/>
      <c r="J226" s="2"/>
      <c r="K226" s="2"/>
    </row>
    <row r="227" spans="2:11" x14ac:dyDescent="0.3">
      <c r="B227" s="5" t="s">
        <v>187</v>
      </c>
      <c r="C227" s="9" t="str" cm="1">
        <f t="array" aca="1" ref="C227" ca="1">INDIRECT(ADDRESS(6,3))</f>
        <v>Alice</v>
      </c>
      <c r="D227" s="9" t="str" cm="1">
        <f t="array" aca="1" ref="D227" ca="1">INDIRECT(ADDRESS(6,3))</f>
        <v>Alice</v>
      </c>
      <c r="E227" s="2"/>
      <c r="F227" s="2"/>
      <c r="G227" s="2"/>
      <c r="H227" s="2"/>
      <c r="I227" s="2"/>
      <c r="J227" s="2"/>
      <c r="K227" s="2"/>
    </row>
    <row r="228" spans="2:11" x14ac:dyDescent="0.3">
      <c r="B228" s="5" t="s">
        <v>188</v>
      </c>
      <c r="C228" s="9" t="str">
        <f>ADDRESS(2,3,1,FALSE)</f>
        <v>R2C3</v>
      </c>
      <c r="D228" s="9" t="str">
        <f>ADDRESS(2,3,1,FALSE)</f>
        <v>R2C3</v>
      </c>
      <c r="E228" s="2"/>
      <c r="F228" s="2"/>
      <c r="G228" s="2"/>
      <c r="H228" s="2"/>
      <c r="I228" s="2"/>
      <c r="J228" s="2"/>
      <c r="K228" s="2"/>
    </row>
    <row r="229" spans="2:11" x14ac:dyDescent="0.3">
      <c r="B229" s="5" t="s">
        <v>189</v>
      </c>
      <c r="C229" s="9" t="str">
        <f>ADDRESS(2,3,4,FALSE)</f>
        <v>R[2]C[3]</v>
      </c>
      <c r="D229" s="9" t="str">
        <f>ADDRESS(2,3,4,FALSE)</f>
        <v>R[2]C[3]</v>
      </c>
      <c r="E229" s="2"/>
      <c r="F229" s="2"/>
      <c r="G229" s="2"/>
      <c r="H229" s="2"/>
      <c r="I229" s="2"/>
      <c r="J229" s="2"/>
      <c r="K229" s="2"/>
    </row>
    <row r="230" spans="2:1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2:11" x14ac:dyDescent="0.3">
      <c r="B231" s="4" t="s">
        <v>190</v>
      </c>
      <c r="C231" s="4"/>
      <c r="D231" s="4"/>
      <c r="E231" s="4"/>
      <c r="F231" s="4"/>
      <c r="G231" s="4"/>
      <c r="H231" s="4"/>
      <c r="I231" s="4"/>
      <c r="J231" s="4"/>
      <c r="K231" s="4"/>
    </row>
    <row r="232" spans="2:11" x14ac:dyDescent="0.3">
      <c r="B232" s="11" t="s">
        <v>55</v>
      </c>
      <c r="C232" s="8" t="s">
        <v>56</v>
      </c>
      <c r="D232" s="8" t="s">
        <v>58</v>
      </c>
      <c r="E232" s="2"/>
      <c r="F232" s="2"/>
      <c r="G232" s="2"/>
      <c r="H232" s="2"/>
      <c r="I232" s="2"/>
      <c r="J232" s="2"/>
      <c r="K232" s="2"/>
    </row>
    <row r="233" spans="2:11" x14ac:dyDescent="0.3">
      <c r="B233" s="5" t="s">
        <v>173</v>
      </c>
      <c r="C233" s="9" cm="1">
        <f t="array" ref="C233">TRANSPOSE($B$6)</f>
        <v>100</v>
      </c>
      <c r="D233" s="9" cm="1">
        <f t="array" ref="D233">TRANSPOSE($B$6)</f>
        <v>100</v>
      </c>
      <c r="E233" s="2"/>
      <c r="F233" s="2"/>
      <c r="G233" s="2"/>
      <c r="H233" s="2"/>
      <c r="I233" s="2"/>
      <c r="J233" s="2"/>
      <c r="K233" s="2"/>
    </row>
    <row r="234" spans="2:11" x14ac:dyDescent="0.3">
      <c r="B234" s="5" t="s">
        <v>191</v>
      </c>
      <c r="C234" s="9" t="e" cm="1" vm="5">
        <f t="array" aca="1" ref="C234" ca="1">TRANSPOSE($B$6:$B$8)</f>
        <v>#VALUE!</v>
      </c>
      <c r="D234" s="9" cm="1">
        <f t="array" ref="D234:F234">TRANSPOSE($B$6:$B$8)</f>
        <v>100</v>
      </c>
      <c r="E234" s="2">
        <v>200</v>
      </c>
      <c r="F234" s="2">
        <v>300</v>
      </c>
      <c r="G234" s="2"/>
      <c r="H234" s="2"/>
      <c r="I234" s="2"/>
      <c r="J234" s="2"/>
      <c r="K234" s="2"/>
    </row>
    <row r="235" spans="2:11" x14ac:dyDescent="0.3">
      <c r="B235" s="5" t="s">
        <v>192</v>
      </c>
      <c r="C235" s="9" t="e" cm="1" vm="6">
        <f t="array" aca="1" ref="C235" ca="1">TRANSPOSE($B$5:$F$5)</f>
        <v>#VALUE!</v>
      </c>
      <c r="D235" s="9" t="e" cm="1" vm="6">
        <f t="array" aca="1" ref="D235" ca="1">TRANSPOSE($B$5:$F$5)</f>
        <v>#VALUE!</v>
      </c>
      <c r="E235" s="2"/>
      <c r="F235" s="2"/>
      <c r="G235" s="2"/>
      <c r="H235" s="2"/>
      <c r="I235" s="2"/>
      <c r="J235" s="2"/>
      <c r="K235" s="2"/>
    </row>
    <row r="236" spans="2:11" x14ac:dyDescent="0.3">
      <c r="B236" s="5" t="s">
        <v>193</v>
      </c>
      <c r="C236" s="9" t="e" cm="1" vm="7">
        <f t="array" aca="1" ref="C236" ca="1">TRANSPOSE($B$6:$D$7)</f>
        <v>#VALUE!</v>
      </c>
      <c r="D236" s="9" t="e" cm="1" vm="7">
        <f t="array" aca="1" ref="D236" ca="1">TRANSPOSE($B$6:$D$7)</f>
        <v>#VALUE!</v>
      </c>
      <c r="E236" s="2"/>
      <c r="F236" s="2"/>
      <c r="G236" s="2"/>
      <c r="H236" s="2"/>
      <c r="I236" s="2"/>
      <c r="J236" s="2"/>
      <c r="K236" s="2"/>
    </row>
    <row r="237" spans="2:11" x14ac:dyDescent="0.3">
      <c r="B237" s="5" t="s">
        <v>194</v>
      </c>
      <c r="C237" s="9" t="e" cm="1" vm="8">
        <f t="array" aca="1" ref="C237" ca="1">TRANSPOSE($B$6:$C$8)</f>
        <v>#VALUE!</v>
      </c>
      <c r="D237" s="9" t="e" cm="1" vm="8">
        <f t="array" aca="1" ref="D237" ca="1">TRANSPOSE($B$6:$C$8)</f>
        <v>#VALUE!</v>
      </c>
      <c r="E237" s="2"/>
      <c r="F237" s="2"/>
      <c r="G237" s="2"/>
      <c r="H237" s="2"/>
      <c r="I237" s="2"/>
      <c r="J237" s="2"/>
      <c r="K237" s="2"/>
    </row>
    <row r="238" spans="2:11" x14ac:dyDescent="0.3">
      <c r="B238" s="5" t="s">
        <v>195</v>
      </c>
      <c r="C238" s="9" t="e" cm="1" vm="6">
        <f t="array" aca="1" ref="C238" ca="1">TRANSPOSE($B$5:$F$5)</f>
        <v>#VALUE!</v>
      </c>
      <c r="D238" s="9" t="e" cm="1" vm="6">
        <f t="array" aca="1" ref="D238" ca="1">TRANSPOSE($B$5:$F$5)</f>
        <v>#VALUE!</v>
      </c>
      <c r="E238" s="2"/>
      <c r="F238" s="2"/>
      <c r="G238" s="2"/>
      <c r="H238" s="2"/>
      <c r="I238" s="2"/>
      <c r="J238" s="2"/>
      <c r="K238" s="2"/>
    </row>
    <row r="239" spans="2:11" x14ac:dyDescent="0.3">
      <c r="B239" s="5" t="s">
        <v>196</v>
      </c>
      <c r="C239" s="9" t="e" cm="1" vm="9">
        <f t="array" aca="1" ref="C239" ca="1">TRANSPOSE($C$17:$F$17)</f>
        <v>#VALUE!</v>
      </c>
      <c r="D239" s="9" t="e" cm="1" vm="9">
        <f t="array" aca="1" ref="D239" ca="1">TRANSPOSE($C$17:$F$17)</f>
        <v>#VALUE!</v>
      </c>
      <c r="E239" s="2"/>
      <c r="F239" s="2"/>
      <c r="G239" s="2"/>
      <c r="H239" s="2"/>
      <c r="I239" s="2"/>
      <c r="J239" s="2"/>
      <c r="K239" s="2"/>
    </row>
    <row r="240" spans="2:11" x14ac:dyDescent="0.3">
      <c r="B240" s="5" t="s">
        <v>197</v>
      </c>
      <c r="C240" s="9" cm="1">
        <f t="array" ref="C240">INDEX(TRANSPOSE($B$6:$B$13),1,3)</f>
        <v>300</v>
      </c>
      <c r="D240" s="9" cm="1">
        <f t="array" ref="D240">INDEX(TRANSPOSE($B$6:$B$13),1,3)</f>
        <v>300</v>
      </c>
      <c r="E240" s="2"/>
      <c r="F240" s="2"/>
      <c r="G240" s="2"/>
      <c r="H240" s="2"/>
      <c r="I240" s="2"/>
      <c r="J240" s="2"/>
      <c r="K240" s="2"/>
    </row>
    <row r="241" spans="2:1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 x14ac:dyDescent="0.3">
      <c r="B243" s="4" t="s">
        <v>0</v>
      </c>
      <c r="C243" s="4"/>
      <c r="D243" s="4"/>
      <c r="E243" s="4"/>
      <c r="F243" s="4"/>
      <c r="G243" s="4"/>
      <c r="H243" s="4"/>
      <c r="I243" s="4"/>
      <c r="J243" s="4"/>
      <c r="K243" s="4"/>
    </row>
    <row r="244" spans="2:11" x14ac:dyDescent="0.3">
      <c r="B244" s="12" t="e">
        <v>#N/A</v>
      </c>
      <c r="C244" s="13" t="s">
        <v>198</v>
      </c>
      <c r="D244" s="2"/>
      <c r="E244" s="2"/>
      <c r="F244" s="2"/>
      <c r="G244" s="2"/>
      <c r="H244" s="2"/>
      <c r="I244" s="2"/>
      <c r="J244" s="2"/>
      <c r="K244" s="2"/>
    </row>
    <row r="245" spans="2:11" x14ac:dyDescent="0.3">
      <c r="B245" s="12" t="e">
        <v>#REF!</v>
      </c>
      <c r="C245" s="13" t="s">
        <v>199</v>
      </c>
      <c r="D245" s="2"/>
      <c r="E245" s="2"/>
      <c r="F245" s="2"/>
      <c r="G245" s="2"/>
      <c r="H245" s="2"/>
      <c r="I245" s="2"/>
      <c r="J245" s="2"/>
      <c r="K245" s="2"/>
    </row>
    <row r="246" spans="2:11" x14ac:dyDescent="0.3">
      <c r="B246" s="12" t="e">
        <v>#VALUE!</v>
      </c>
      <c r="C246" s="13" t="s">
        <v>200</v>
      </c>
      <c r="D246" s="2"/>
      <c r="E246" s="2"/>
      <c r="F246" s="2"/>
      <c r="G246" s="2"/>
      <c r="H246" s="2"/>
      <c r="I246" s="2"/>
      <c r="J246" s="2"/>
      <c r="K246" s="2"/>
    </row>
    <row r="247" spans="2:11" x14ac:dyDescent="0.3">
      <c r="B247" s="12" t="s">
        <v>201</v>
      </c>
      <c r="C247" s="13" t="s">
        <v>202</v>
      </c>
      <c r="D247" s="2"/>
      <c r="E247" s="2"/>
      <c r="F247" s="2"/>
      <c r="G247" s="2"/>
      <c r="H247" s="2"/>
      <c r="I247" s="2"/>
      <c r="J247" s="2"/>
      <c r="K247" s="2"/>
    </row>
    <row r="248" spans="2:11" x14ac:dyDescent="0.3">
      <c r="B248" s="12" t="s">
        <v>1</v>
      </c>
      <c r="C248" s="13" t="s">
        <v>203</v>
      </c>
      <c r="D248" s="2"/>
      <c r="E248" s="2"/>
      <c r="F248" s="2"/>
      <c r="G248" s="2"/>
      <c r="H248" s="2"/>
      <c r="I248" s="2"/>
      <c r="J248" s="2"/>
      <c r="K248" s="2"/>
    </row>
    <row r="249" spans="2:11" x14ac:dyDescent="0.3">
      <c r="B249" s="12" t="s">
        <v>204</v>
      </c>
      <c r="C249" s="13" t="s">
        <v>205</v>
      </c>
      <c r="D249" s="2"/>
      <c r="E249" s="2"/>
      <c r="F249" s="2"/>
      <c r="G249" s="2"/>
      <c r="H249" s="2"/>
      <c r="I249" s="2"/>
      <c r="J249" s="2"/>
      <c r="K2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2026-02-09T23:44:21Z</dcterms:created>
  <dcterms:modified xsi:type="dcterms:W3CDTF">2026-09-10T21:18:54Z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fb0a6dc6-2d98-4f05-9d1f-2b709bd3ef2c</vt:lpwstr>
  </property>
</Properties>
</file>