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formulas_dynamic_arrays\"/>
    </mc:Choice>
  </mc:AlternateContent>
  <xr:revisionPtr revIDLastSave="0" documentId="8_{0A498F94-A87F-4D86-82E3-029D45CA1A74}" xr6:coauthVersionLast="47" xr6:coauthVersionMax="47" xr10:uidLastSave="{00000000-0000-0000-0000-000000000000}"/>
  <bookViews>
    <workbookView xWindow="-110" yWindow="-110" windowWidth="19420" windowHeight="11500" xr2:uid="{BB7BB86B-4264-B342-A646-A584C05166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89" i="1" l="1" a="1"/>
  <c r="F687" i="1" a="1"/>
  <c r="F685" i="1" a="1"/>
  <c r="F683" i="1" a="1"/>
  <c r="F681" i="1" a="1"/>
  <c r="F679" i="1" a="1"/>
  <c r="F677" i="1" a="1"/>
  <c r="F675" i="1" a="1"/>
  <c r="F673" i="1" a="1"/>
  <c r="F671" i="1" a="1"/>
  <c r="F669" i="1" a="1"/>
  <c r="F667" i="1" a="1"/>
  <c r="F665" i="1" a="1"/>
  <c r="F663" i="1" a="1"/>
  <c r="F661" i="1" a="1"/>
  <c r="F650" i="1" a="1"/>
  <c r="F648" i="1" a="1"/>
  <c r="F646" i="1" a="1"/>
  <c r="F644" i="1" a="1"/>
  <c r="F642" i="1" a="1"/>
  <c r="F640" i="1" a="1"/>
  <c r="F638" i="1" a="1"/>
  <c r="F632" i="1" a="1"/>
  <c r="F630" i="1" a="1"/>
  <c r="F628" i="1" a="1"/>
  <c r="F626" i="1" a="1"/>
  <c r="F624" i="1" a="1"/>
  <c r="F622" i="1" a="1"/>
  <c r="F620" i="1" a="1"/>
  <c r="F618" i="1" a="1"/>
  <c r="F607" i="1" a="1"/>
  <c r="F605" i="1" a="1"/>
  <c r="F603" i="1" a="1"/>
  <c r="F601" i="1" a="1"/>
  <c r="F599" i="1" a="1"/>
  <c r="F597" i="1" a="1"/>
  <c r="F595" i="1" a="1"/>
  <c r="F593" i="1" a="1"/>
  <c r="F591" i="1" a="1"/>
  <c r="F589" i="1" a="1"/>
  <c r="F587" i="1" a="1"/>
  <c r="F621" i="1" a="1"/>
  <c r="F619" i="1" a="1"/>
  <c r="F581" i="1" a="1"/>
  <c r="F579" i="1" a="1"/>
  <c r="F574" i="1" a="1"/>
  <c r="F570" i="1" a="1"/>
  <c r="F563" i="1" a="1"/>
  <c r="F556" i="1" a="1"/>
  <c r="F552" i="1" a="1"/>
  <c r="F548" i="1" a="1"/>
  <c r="F541" i="1" a="1"/>
  <c r="F539" i="1" a="1"/>
  <c r="F535" i="1" a="1"/>
  <c r="F533" i="1" a="1"/>
  <c r="F530" i="1" a="1"/>
  <c r="F523" i="1" a="1"/>
  <c r="F516" i="1" a="1"/>
  <c r="F513" i="1" a="1"/>
  <c r="F510" i="1" a="1"/>
  <c r="F498" i="1" a="1"/>
  <c r="F491" i="1" a="1"/>
  <c r="F483" i="1" a="1"/>
  <c r="F475" i="1" a="1"/>
  <c r="F468" i="1" a="1"/>
  <c r="F461" i="1" a="1"/>
  <c r="F459" i="1" a="1"/>
  <c r="F457" i="1" a="1"/>
  <c r="F455" i="1" a="1"/>
  <c r="F453" i="1" a="1"/>
  <c r="F451" i="1" a="1"/>
  <c r="F442" i="1" a="1"/>
  <c r="F437" i="1" a="1"/>
  <c r="F434" i="1" a="1"/>
  <c r="F430" i="1" a="1"/>
  <c r="F425" i="1" a="1"/>
  <c r="F422" i="1" a="1"/>
  <c r="F410" i="1" a="1"/>
  <c r="F403" i="1" a="1"/>
  <c r="F401" i="1" a="1"/>
  <c r="F394" i="1" a="1"/>
  <c r="F387" i="1" a="1"/>
  <c r="F385" i="1" a="1"/>
  <c r="F378" i="1" a="1"/>
  <c r="F374" i="1" a="1"/>
  <c r="F372" i="1" a="1"/>
  <c r="F368" i="1" a="1"/>
  <c r="F364" i="1" a="1"/>
  <c r="F362" i="1" a="1"/>
  <c r="F360" i="1" a="1"/>
  <c r="F348" i="1" a="1"/>
  <c r="F341" i="1" a="1"/>
  <c r="F334" i="1" a="1"/>
  <c r="F327" i="1" a="1"/>
  <c r="F320" i="1" a="1"/>
  <c r="F313" i="1" a="1"/>
  <c r="F306" i="1" a="1"/>
  <c r="F297" i="1" a="1"/>
  <c r="F295" i="1" a="1"/>
  <c r="F289" i="1" a="1"/>
  <c r="F285" i="1" a="1"/>
  <c r="F279" i="1" a="1"/>
  <c r="F273" i="1" a="1"/>
  <c r="F269" i="1" a="1"/>
  <c r="F267" i="1" a="1"/>
  <c r="F261" i="1" a="1"/>
  <c r="F250" i="1" a="1"/>
  <c r="F248" i="1" a="1"/>
  <c r="F244" i="1" a="1"/>
  <c r="F239" i="1" a="1"/>
  <c r="F233" i="1" a="1"/>
  <c r="F227" i="1" a="1"/>
  <c r="F221" i="1" a="1"/>
  <c r="F217" i="1" a="1"/>
  <c r="F215" i="1" a="1"/>
  <c r="F209" i="1" a="1"/>
  <c r="F199" i="1" a="1"/>
  <c r="F192" i="1" a="1"/>
  <c r="F185" i="1" a="1"/>
  <c r="F178" i="1" a="1"/>
  <c r="F171" i="1" a="1"/>
  <c r="F164" i="1" a="1"/>
  <c r="F157" i="1" a="1"/>
  <c r="F146" i="1" a="1"/>
  <c r="F139" i="1" a="1"/>
  <c r="F132" i="1" a="1"/>
  <c r="F125" i="1" a="1"/>
  <c r="F118" i="1" a="1"/>
  <c r="F108" i="1" a="1"/>
  <c r="F101" i="1" a="1"/>
  <c r="F94" i="1" a="1"/>
  <c r="F87" i="1" a="1"/>
  <c r="F80" i="1" a="1"/>
  <c r="F78" i="1" a="1"/>
  <c r="F77" i="1" a="1"/>
  <c r="F76" i="1" a="1"/>
  <c r="F75" i="1" a="1"/>
  <c r="F65" i="1" a="1"/>
  <c r="F58" i="1" a="1"/>
  <c r="F51" i="1" a="1"/>
  <c r="F44" i="1" a="1"/>
  <c r="F37" i="1" a="1"/>
  <c r="F30" i="1" a="1"/>
  <c r="F28" i="1" a="1"/>
  <c r="F27" i="1" a="1"/>
  <c r="F26" i="1" a="1"/>
  <c r="F25" i="1" a="1"/>
  <c r="F24" i="1" a="1"/>
  <c r="F23" i="1" a="1"/>
  <c r="F22" i="1" a="1"/>
  <c r="F21" i="1" a="1"/>
  <c r="F20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<sst xmlns="http://schemas.openxmlformats.org/spreadsheetml/2006/main" count="420" uniqueCount="348">
  <si>
    <t>NOTES</t>
  </si>
  <si>
    <t>Inputs</t>
  </si>
  <si>
    <t>DYNAMIC ARRAY FORMULA TEST SUITE</t>
  </si>
  <si>
    <t>Test Input Data</t>
  </si>
  <si>
    <t>Numeric Array</t>
  </si>
  <si>
    <t>Text Array</t>
  </si>
  <si>
    <t>Apple</t>
  </si>
  <si>
    <t>Banana</t>
  </si>
  <si>
    <t>Cherry</t>
  </si>
  <si>
    <t>Date</t>
  </si>
  <si>
    <t>Elderberry</t>
  </si>
  <si>
    <t>Sample Table</t>
  </si>
  <si>
    <t>Name</t>
  </si>
  <si>
    <t>Score</t>
  </si>
  <si>
    <t>Grade</t>
  </si>
  <si>
    <t>Region</t>
  </si>
  <si>
    <t>Alice</t>
  </si>
  <si>
    <t>A</t>
  </si>
  <si>
    <t>East</t>
  </si>
  <si>
    <t>Bob</t>
  </si>
  <si>
    <t>C</t>
  </si>
  <si>
    <t>West</t>
  </si>
  <si>
    <t>Charlie</t>
  </si>
  <si>
    <t>Diana</t>
  </si>
  <si>
    <t>B</t>
  </si>
  <si>
    <t>Eve</t>
  </si>
  <si>
    <t>North</t>
  </si>
  <si>
    <t>FILTER</t>
  </si>
  <si>
    <t>Test Case</t>
  </si>
  <si>
    <t>Description</t>
  </si>
  <si>
    <t>Multiple criteria AND</t>
  </si>
  <si>
    <t>Multiple criteria OR</t>
  </si>
  <si>
    <t>Result →</t>
  </si>
  <si>
    <t>Numeric &gt; 10</t>
  </si>
  <si>
    <t>Elements greater than 10</t>
  </si>
  <si>
    <t>Numeric &lt; 0</t>
  </si>
  <si>
    <t>Negative elements only</t>
  </si>
  <si>
    <t>Numeric = 0</t>
  </si>
  <si>
    <t>Zero elements only</t>
  </si>
  <si>
    <t>Numeric &lt;&gt; 0</t>
  </si>
  <si>
    <t>Non-zero elements</t>
  </si>
  <si>
    <t>Numeric &gt;= 25</t>
  </si>
  <si>
    <t>Elements &gt;= 25</t>
  </si>
  <si>
    <t>Numeric &lt;= 10</t>
  </si>
  <si>
    <t>Elements &lt;= 10</t>
  </si>
  <si>
    <t>No match + default</t>
  </si>
  <si>
    <t>Returns default string</t>
  </si>
  <si>
    <t>No match + IFERROR</t>
  </si>
  <si>
    <t>IFERROR wrapping</t>
  </si>
  <si>
    <t>All match</t>
  </si>
  <si>
    <t>All elements returned</t>
  </si>
  <si>
    <t>Score &gt; 80 (table)</t>
  </si>
  <si>
    <t>Multi-col filter on table</t>
  </si>
  <si>
    <t>Grade = "A" (table)</t>
  </si>
  <si>
    <t>Filter by text equality</t>
  </si>
  <si>
    <t>Region = "West"</t>
  </si>
  <si>
    <t>Filter by region column</t>
  </si>
  <si>
    <t>AND: Score&gt;70 &amp; Grade="A"</t>
  </si>
  <si>
    <t>OR: Score&lt;70 | Region="North"</t>
  </si>
  <si>
    <t>Single row match</t>
  </si>
  <si>
    <t>Exact name match</t>
  </si>
  <si>
    <t>SORT</t>
  </si>
  <si>
    <t>Numeric ascending (default)</t>
  </si>
  <si>
    <t>Sort numbers ascending</t>
  </si>
  <si>
    <t>Numeric descending</t>
  </si>
  <si>
    <t>Sort numbers descending</t>
  </si>
  <si>
    <t>Text ascending</t>
  </si>
  <si>
    <t>Sort text A-Z</t>
  </si>
  <si>
    <t>Text descending</t>
  </si>
  <si>
    <t>Sort text Z-A</t>
  </si>
  <si>
    <t>Table by Name (asc)</t>
  </si>
  <si>
    <t>Sort by col 1 ascending</t>
  </si>
  <si>
    <t>Table by Score (asc)</t>
  </si>
  <si>
    <t>Sort by col 2 ascending</t>
  </si>
  <si>
    <t>Table by Score (desc)</t>
  </si>
  <si>
    <t>Sort by col 2 descending</t>
  </si>
  <si>
    <t>Table by Grade (asc)</t>
  </si>
  <si>
    <t>Sort by col 3 ascending</t>
  </si>
  <si>
    <t>Table by Region (desc)</t>
  </si>
  <si>
    <t>Sort by col 4 descending</t>
  </si>
  <si>
    <t>SORTBY</t>
  </si>
  <si>
    <t>Names by Score (asc)</t>
  </si>
  <si>
    <t>Sort names by score ascending</t>
  </si>
  <si>
    <t>Names by Score (desc)</t>
  </si>
  <si>
    <t>Sort names by score descending</t>
  </si>
  <si>
    <t>Full table sorted by score</t>
  </si>
  <si>
    <t>Table by Grade asc, Score desc</t>
  </si>
  <si>
    <t>Multi-key: Grade asc then Score desc</t>
  </si>
  <si>
    <t>Text by numeric array</t>
  </si>
  <si>
    <t>Sort text array by numeric</t>
  </si>
  <si>
    <t>UNIQUE</t>
  </si>
  <si>
    <t>Unique grades (col)</t>
  </si>
  <si>
    <t>Distinct grades from table</t>
  </si>
  <si>
    <t>Unique regions (col)</t>
  </si>
  <si>
    <t>Distinct regions</t>
  </si>
  <si>
    <t>Unique scores (col)</t>
  </si>
  <si>
    <t>Distinct scores (91 appears twice)</t>
  </si>
  <si>
    <t>Unique exactly_once grades</t>
  </si>
  <si>
    <t>Values appearing exactly once</t>
  </si>
  <si>
    <t>Unique exactly_once scores</t>
  </si>
  <si>
    <t>Scores appearing exactly once</t>
  </si>
  <si>
    <t>Unique rows (table)</t>
  </si>
  <si>
    <t>Unique rows from full table</t>
  </si>
  <si>
    <t>Unique by row (horiz)</t>
  </si>
  <si>
    <t>Unique from numeric array by row</t>
  </si>
  <si>
    <t>SEQUENCE</t>
  </si>
  <si>
    <t>SEQUENCE(5)</t>
  </si>
  <si>
    <t>5 rows, 1 col, start 1, step 1</t>
  </si>
  <si>
    <t>SEQUENCE(1,5)</t>
  </si>
  <si>
    <t>1 row, 5 cols</t>
  </si>
  <si>
    <t>SEQUENCE(3,3)</t>
  </si>
  <si>
    <t>3×3 matrix</t>
  </si>
  <si>
    <t>SEQUENCE(5,1,0)</t>
  </si>
  <si>
    <t>Start at 0</t>
  </si>
  <si>
    <t>SEQUENCE(5,1,10,2)</t>
  </si>
  <si>
    <t>Start 10, step 2</t>
  </si>
  <si>
    <t>SEQUENCE(5,1,10,-2)</t>
  </si>
  <si>
    <t>Start 10, step -2</t>
  </si>
  <si>
    <t>SEQUENCE(4,1,0,0.25)</t>
  </si>
  <si>
    <t>Decimal step 0.25</t>
  </si>
  <si>
    <t>SEQUENCE(3,4,1,1)</t>
  </si>
  <si>
    <t>3×4 matrix</t>
  </si>
  <si>
    <t>SEQUENCE(1,1)</t>
  </si>
  <si>
    <t>Single cell</t>
  </si>
  <si>
    <t>SEQUENCE(5,1,100,-10)</t>
  </si>
  <si>
    <t>Descending from 100</t>
  </si>
  <si>
    <t>RANDARRAY</t>
  </si>
  <si>
    <t>RANDARRAY(5)</t>
  </si>
  <si>
    <t>5 random decimals [0,1)</t>
  </si>
  <si>
    <t>RANDARRAY(1,5)</t>
  </si>
  <si>
    <t>1 row, 5 cols random</t>
  </si>
  <si>
    <t>RANDARRAY(3,3)</t>
  </si>
  <si>
    <t>3×3 random matrix</t>
  </si>
  <si>
    <t>RANDARRAY(5,1,1,100)</t>
  </si>
  <si>
    <t>Random between 1-100</t>
  </si>
  <si>
    <t>RANDARRAY(5,1,1,100,TRUE)</t>
  </si>
  <si>
    <t>Random integers 1-100</t>
  </si>
  <si>
    <t>RANDARRAY(3,3,0,1,FALSE)</t>
  </si>
  <si>
    <t>3×3 decimals [0,1]</t>
  </si>
  <si>
    <t>RANDARRAY(5,1,-10,10,TRUE)</t>
  </si>
  <si>
    <t>Random integers -10 to 10</t>
  </si>
  <si>
    <t>RANDARRAY(1,1)</t>
  </si>
  <si>
    <t>Single random cell</t>
  </si>
  <si>
    <t>RANDARRAY(4,2,0,1000,TRUE)</t>
  </si>
  <si>
    <t>4×2 integers 0-1000</t>
  </si>
  <si>
    <t>CHOOSECOLS</t>
  </si>
  <si>
    <t>Single col (1st)</t>
  </si>
  <si>
    <t>First column of table</t>
  </si>
  <si>
    <t>Single col (last)</t>
  </si>
  <si>
    <t>Last column</t>
  </si>
  <si>
    <t>Multiple cols (1,3)</t>
  </si>
  <si>
    <t>Cols 1 and 3</t>
  </si>
  <si>
    <t>Reorder cols (4,2,1)</t>
  </si>
  <si>
    <t>Reverse select columns</t>
  </si>
  <si>
    <t>Negative index (-1)</t>
  </si>
  <si>
    <t>Last col via -1</t>
  </si>
  <si>
    <t>Negative (-2,-1)</t>
  </si>
  <si>
    <t>Last two cols via negatives</t>
  </si>
  <si>
    <t>Duplicate col (1,1,1)</t>
  </si>
  <si>
    <t>Same column repeated</t>
  </si>
  <si>
    <t>CHOOSEROWS</t>
  </si>
  <si>
    <t>Single row (1st)</t>
  </si>
  <si>
    <t>First row of table</t>
  </si>
  <si>
    <t>Single row (last)</t>
  </si>
  <si>
    <t>Last row</t>
  </si>
  <si>
    <t>Multiple rows (1,3,5)</t>
  </si>
  <si>
    <t>Rows 1, 3, 5</t>
  </si>
  <si>
    <t>Reorder rows (5,3,1)</t>
  </si>
  <si>
    <t>Reverse order</t>
  </si>
  <si>
    <t>Last row via -1</t>
  </si>
  <si>
    <t>Negative (-1,-2,-3)</t>
  </si>
  <si>
    <t>Last 3 rows reversed</t>
  </si>
  <si>
    <t>Duplicate row (1,1)</t>
  </si>
  <si>
    <t>Same row repeated</t>
  </si>
  <si>
    <t>HSTACK</t>
  </si>
  <si>
    <t>Two 1D arrays</t>
  </si>
  <si>
    <t>Stack numeric + text horizontally</t>
  </si>
  <si>
    <t>Two columns</t>
  </si>
  <si>
    <t>Stack Name + Score cols</t>
  </si>
  <si>
    <t>Three columns</t>
  </si>
  <si>
    <t>Stack Name + Score + Grade</t>
  </si>
  <si>
    <t>Array + single value</t>
  </si>
  <si>
    <t>Stack array with constant</t>
  </si>
  <si>
    <t>Unequal rows</t>
  </si>
  <si>
    <t>3-row + 5-row (pads #N/A)</t>
  </si>
  <si>
    <t>Full table + col</t>
  </si>
  <si>
    <t>Table + Region col again</t>
  </si>
  <si>
    <t>VSTACK</t>
  </si>
  <si>
    <t>Two 1D rows</t>
  </si>
  <si>
    <t>Stack numeric on text vertically</t>
  </si>
  <si>
    <t>Two ranges</t>
  </si>
  <si>
    <t>Stack first 2 + last 2 rows</t>
  </si>
  <si>
    <t>Three ranges</t>
  </si>
  <si>
    <t>Stack 3 single rows</t>
  </si>
  <si>
    <t>Stack array over single</t>
  </si>
  <si>
    <t>Unequal cols</t>
  </si>
  <si>
    <t>2-col + 4-col (pads #N/A)</t>
  </si>
  <si>
    <t>Same array twice</t>
  </si>
  <si>
    <t>Duplicate stacking</t>
  </si>
  <si>
    <t>TOROW</t>
  </si>
  <si>
    <t>Table col to row</t>
  </si>
  <si>
    <t>Flatten Name col to row</t>
  </si>
  <si>
    <t>2D to row (by row)</t>
  </si>
  <si>
    <t>Scan by row (default)</t>
  </si>
  <si>
    <t>2D to row (by col)</t>
  </si>
  <si>
    <t>Scan by column</t>
  </si>
  <si>
    <t>Ignore blanks (1)</t>
  </si>
  <si>
    <t>Skip blank cells</t>
  </si>
  <si>
    <t>Ignore errors (2)</t>
  </si>
  <si>
    <t>Skip error cells</t>
  </si>
  <si>
    <t>Ignore both (3)</t>
  </si>
  <si>
    <t>Skip blanks and errors</t>
  </si>
  <si>
    <t>TOCOL</t>
  </si>
  <si>
    <t>Row to col</t>
  </si>
  <si>
    <t>Flatten numeric row to col</t>
  </si>
  <si>
    <t>2D to col (by row)</t>
  </si>
  <si>
    <t>2D to col (by col)</t>
  </si>
  <si>
    <t>TAKE</t>
  </si>
  <si>
    <t>First 2 rows</t>
  </si>
  <si>
    <t>Take top 2 rows of table</t>
  </si>
  <si>
    <t>Last 2 rows (-2)</t>
  </si>
  <si>
    <t>Take bottom 2 rows</t>
  </si>
  <si>
    <t>First 2 cols</t>
  </si>
  <si>
    <t>Take left 2 cols</t>
  </si>
  <si>
    <t>Last 1 col (-1)</t>
  </si>
  <si>
    <t>Take rightmost col</t>
  </si>
  <si>
    <t>2 rows, 2 cols</t>
  </si>
  <si>
    <t>Top-left 2×2 block</t>
  </si>
  <si>
    <t>-1 row, -1 col</t>
  </si>
  <si>
    <t>Bottom-right single cell</t>
  </si>
  <si>
    <t>3 rows, -2 cols</t>
  </si>
  <si>
    <t>3 rows, last 2 cols</t>
  </si>
  <si>
    <t>1D take first 3</t>
  </si>
  <si>
    <t>Take first 3 from numeric</t>
  </si>
  <si>
    <t>1D take last 2</t>
  </si>
  <si>
    <t>Take last 2 from numeric</t>
  </si>
  <si>
    <t>DROP</t>
  </si>
  <si>
    <t>Drop first 2 rows</t>
  </si>
  <si>
    <t>Remove top 2 rows</t>
  </si>
  <si>
    <t>Drop last 2 rows (-2)</t>
  </si>
  <si>
    <t>Remove bottom 2 rows</t>
  </si>
  <si>
    <t>Drop first 1 col</t>
  </si>
  <si>
    <t>Remove leftmost col</t>
  </si>
  <si>
    <t>Drop last 1 col (-1)</t>
  </si>
  <si>
    <t>Remove rightmost col</t>
  </si>
  <si>
    <t>Drop 2 rows, 1 col</t>
  </si>
  <si>
    <t>Remove top 2 rows + left col</t>
  </si>
  <si>
    <t>Remove last row + last col</t>
  </si>
  <si>
    <t>1D drop first 2</t>
  </si>
  <si>
    <t>Drop first 2 from numeric</t>
  </si>
  <si>
    <t>1D drop last 3</t>
  </si>
  <si>
    <t>Drop last 3 from numeric</t>
  </si>
  <si>
    <t>MAP</t>
  </si>
  <si>
    <t>Double each value</t>
  </si>
  <si>
    <t>Multiply each element by 2</t>
  </si>
  <si>
    <t>Square each value</t>
  </si>
  <si>
    <t>x^2 for each element</t>
  </si>
  <si>
    <t>Absolute value</t>
  </si>
  <si>
    <t>ABS of each element</t>
  </si>
  <si>
    <t>Add 100</t>
  </si>
  <si>
    <t>x + 100 for each element</t>
  </si>
  <si>
    <t>Is positive?</t>
  </si>
  <si>
    <t>TRUE/FALSE for &gt;0</t>
  </si>
  <si>
    <t>Text length</t>
  </si>
  <si>
    <t>LEN of each text element</t>
  </si>
  <si>
    <t>Uppercase text</t>
  </si>
  <si>
    <t>UPPER of each element</t>
  </si>
  <si>
    <t>Two arrays: sum</t>
  </si>
  <si>
    <t>Two arrays: max</t>
  </si>
  <si>
    <t>Element-wise MAX</t>
  </si>
  <si>
    <t>Conditional transform</t>
  </si>
  <si>
    <t>REDUCE</t>
  </si>
  <si>
    <t>Sum (init 0)</t>
  </si>
  <si>
    <t>Reduce to sum</t>
  </si>
  <si>
    <t>Product (init 1)</t>
  </si>
  <si>
    <t>Reduce to product</t>
  </si>
  <si>
    <t>Max value</t>
  </si>
  <si>
    <t>Reduce to find max</t>
  </si>
  <si>
    <t>Element-wise sum</t>
  </si>
  <si>
    <t>IF &gt;0 double else negate</t>
  </si>
  <si>
    <t>Map on scores col</t>
  </si>
  <si>
    <t>Score column × 1.1</t>
  </si>
  <si>
    <t>Min value</t>
  </si>
  <si>
    <t>Reduce to find min</t>
  </si>
  <si>
    <t>Count positives</t>
  </si>
  <si>
    <t>Count elements &gt; 0</t>
  </si>
  <si>
    <t>Concat text</t>
  </si>
  <si>
    <t>Join text with comma</t>
  </si>
  <si>
    <t>Sum of squares</t>
  </si>
  <si>
    <t>Sigma x squared</t>
  </si>
  <si>
    <t>Count non-zero</t>
  </si>
  <si>
    <t>Count &lt;&gt; 0</t>
  </si>
  <si>
    <t>SCAN</t>
  </si>
  <si>
    <t>Running sum</t>
  </si>
  <si>
    <t>Cumulative sum</t>
  </si>
  <si>
    <t>Running product</t>
  </si>
  <si>
    <t>Cumulative product</t>
  </si>
  <si>
    <t>Running max</t>
  </si>
  <si>
    <t>Cumulative max</t>
  </si>
  <si>
    <t>Running min</t>
  </si>
  <si>
    <t>Cumulative min</t>
  </si>
  <si>
    <t>Running count &gt;0</t>
  </si>
  <si>
    <t>Cumulative count of positives</t>
  </si>
  <si>
    <t>Running concat</t>
  </si>
  <si>
    <t>Cumulative text join</t>
  </si>
  <si>
    <t>Running sum (col)</t>
  </si>
  <si>
    <t>Cumulative score sum (vertical)</t>
  </si>
  <si>
    <t>LAMBDA</t>
  </si>
  <si>
    <t>Basic: add two values</t>
  </si>
  <si>
    <t>LAMBDA(a,b,a+b)(10,20)</t>
  </si>
  <si>
    <t>Multiply</t>
  </si>
  <si>
    <t>LAMBDA(a,b,a*b)(5,6)</t>
  </si>
  <si>
    <t>Single param square</t>
  </si>
  <si>
    <t>LAMBDA(x,x^2)(7)</t>
  </si>
  <si>
    <t>With cell refs</t>
  </si>
  <si>
    <t>LAMBDA using input cells</t>
  </si>
  <si>
    <t>Nested IF</t>
  </si>
  <si>
    <t>Classify score as Pass/Fail</t>
  </si>
  <si>
    <t>Nested LAMBDA</t>
  </si>
  <si>
    <t>Outer calls inner</t>
  </si>
  <si>
    <t>Three params</t>
  </si>
  <si>
    <t>Weighted average formula</t>
  </si>
  <si>
    <t>String operation</t>
  </si>
  <si>
    <t>Concatenate with separator</t>
  </si>
  <si>
    <t>Boolean logic</t>
  </si>
  <si>
    <t>AND via lambda</t>
  </si>
  <si>
    <t>Math composition</t>
  </si>
  <si>
    <t>sqrt(a^2 + b^2)</t>
  </si>
  <si>
    <t>With SEQUENCE</t>
  </si>
  <si>
    <t>Sum of SEQUENCE via LAMBDA</t>
  </si>
  <si>
    <t>Return array</t>
  </si>
  <si>
    <t>LAMBDA returning SEQUENCE</t>
  </si>
  <si>
    <t>Celsius to Fahrenheit</t>
  </si>
  <si>
    <t>C×9/5+32</t>
  </si>
  <si>
    <t>Percentage calc</t>
  </si>
  <si>
    <t>part/whole as %</t>
  </si>
  <si>
    <t>Clamp value</t>
  </si>
  <si>
    <t>Clamp between min and max</t>
  </si>
  <si>
    <t>Dynamic array result blocked by existing cell content</t>
  </si>
  <si>
    <t>Calculation engine error (e.g., empty array from FILTER)</t>
  </si>
  <si>
    <t>Wrong argument type or incompatible arrays</t>
  </si>
  <si>
    <t>Padding value when HSTACK/VSTACK arrays have unequal dimensions</t>
  </si>
  <si>
    <t>Invalid numeric result</t>
  </si>
  <si>
    <t>Function not recognized (may require Microsoft 365)</t>
  </si>
  <si>
    <t>All formulas reference cells C6:G6 (numeric), C7:G7 (text), and B11:E15 (table) — change inputs there to re-test</t>
  </si>
  <si>
    <t>Dynamic Arrays</t>
  </si>
  <si>
    <t>Results spill automatically into adjacent cells — keep spill ranges clear</t>
  </si>
  <si>
    <t>Available in Microsoft 365 — not supported in older Excel versions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</si>
</sst>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i/>
      <sz val="11"/>
      <color theme="1"/>
      <name val="Aptos Narrow"/>
      <scheme val="minor"/>
    </font>
    <font>
      <b/>
      <sz val="12"/>
      <color rgb="FFC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2" borderId="0" xfId="0" applyFont="1" applyFill="1"/>
    <xf numFmtId="0" fontId="4" fillId="0" borderId="0" xfId="0" applyFont="1"/>
    <xf numFmtId="0" fontId="6" fillId="3" borderId="0" xfId="0" applyFont="1" applyFill="1"/>
    <xf numFmtId="0" fontId="2" fillId="0" borderId="0" xfId="0" applyFont="1" applyAlignment="1">
      <alignment horizontal="center"/>
    </xf>
    <xf numFmtId="0" fontId="3" fillId="2" borderId="0" xfId="0" applyFont="1" applyFill="1"/>
    <xf numFmtId="0" fontId="7" fillId="0" borderId="0" xfId="0" applyFont="1"/>
    <xf numFmtId="0" fontId="8" fillId="0" borderId="0" xfId="0" applyFont="1"/>
    <xf numFmtId="0" fontId="6" fillId="3" borderId="0" xfId="0" applyFont="1" applyFill="1" applyAlignment="1">
      <alignment horizontal="center"/>
    </xf>
    <xf numFmtId="0" fontId="5" fillId="3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8</v>
    <v>0</v>
  </rv>
  <rv s="0">
    <v>13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35C4DCD-545D-9D4D-8B56-75C83A1C7825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A1EF2-BCA6-F243-9B8C-CA1D6B204217}">
  <dimension ref="B2:O701"/>
  <sheetViews>
    <sheetView tabSelected="1" workbookViewId="0">
      <selection activeCell="C4" sqref="C4"/>
    </sheetView>
  </sheetViews>
  <sheetFormatPr defaultColWidth="11.07421875" defaultRowHeight="15.5"/>
  <cols>
    <col min="2" max="2" width="39.4609375" bestFit="1" customWidth="1"/>
    <col min="3" max="3" width="92.15234375" bestFit="1" customWidth="1"/>
    <col min="4" max="4" width="6.69140625" bestFit="1" customWidth="1"/>
    <col min="5" max="5" width="6.4609375" bestFit="1" customWidth="1"/>
    <col min="6" max="6" width="30.4609375" bestFit="1" customWidth="1"/>
    <col min="7" max="7" width="12.15234375" bestFit="1" customWidth="1"/>
    <col min="8" max="8" width="17.69140625" bestFit="1" customWidth="1"/>
    <col min="9" max="9" width="22" bestFit="1" customWidth="1"/>
    <col min="10" max="10" width="30.4609375" bestFit="1" customWidth="1"/>
    <col min="11" max="11" width="5.4609375" bestFit="1" customWidth="1"/>
  </cols>
  <sheetData>
    <row r="2" spans="2:11" ht="18">
      <c r="B2" s="1" t="s">
        <v>2</v>
      </c>
    </row>
    <row r="3" spans="2:11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>
      <c r="B4" s="3" t="s">
        <v>3</v>
      </c>
      <c r="C4" s="3"/>
      <c r="D4" s="3"/>
      <c r="E4" s="3"/>
      <c r="F4" s="3"/>
      <c r="G4" s="3"/>
      <c r="H4" s="3"/>
      <c r="I4" s="3"/>
      <c r="J4" s="3"/>
      <c r="K4" s="3"/>
    </row>
    <row r="5" spans="2:11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>
      <c r="B6" s="4" t="s">
        <v>4</v>
      </c>
      <c r="C6" s="5">
        <v>10</v>
      </c>
      <c r="D6" s="5">
        <v>25</v>
      </c>
      <c r="E6" s="5">
        <v>-5</v>
      </c>
      <c r="F6" s="5">
        <v>42.5</v>
      </c>
      <c r="G6" s="5">
        <v>0</v>
      </c>
    </row>
    <row r="7" spans="2:11">
      <c r="B7" s="4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</row>
    <row r="8" spans="2:11">
      <c r="B8" s="2"/>
      <c r="C8" s="2"/>
      <c r="D8" s="2"/>
      <c r="E8" s="2"/>
      <c r="F8" s="2"/>
      <c r="G8" s="2"/>
      <c r="H8" s="2"/>
      <c r="I8" s="2"/>
      <c r="J8" s="2"/>
      <c r="K8" s="2"/>
    </row>
    <row r="9" spans="2:11">
      <c r="B9" s="3" t="s">
        <v>11</v>
      </c>
      <c r="C9" s="3"/>
      <c r="D9" s="3"/>
      <c r="E9" s="3"/>
      <c r="F9" s="3"/>
      <c r="G9" s="3"/>
      <c r="H9" s="3"/>
      <c r="I9" s="3"/>
      <c r="J9" s="3"/>
      <c r="K9" s="3"/>
    </row>
    <row r="10" spans="2:11">
      <c r="B10" s="6" t="s">
        <v>12</v>
      </c>
      <c r="C10" s="6" t="s">
        <v>13</v>
      </c>
      <c r="D10" s="6" t="s">
        <v>14</v>
      </c>
      <c r="E10" s="6" t="s">
        <v>15</v>
      </c>
    </row>
    <row r="11" spans="2:11">
      <c r="B11" s="4" t="s">
        <v>16</v>
      </c>
      <c r="C11" s="7">
        <v>85</v>
      </c>
      <c r="D11" s="7" t="s">
        <v>17</v>
      </c>
      <c r="E11" s="7" t="s">
        <v>18</v>
      </c>
    </row>
    <row r="12" spans="2:11">
      <c r="B12" s="4" t="s">
        <v>19</v>
      </c>
      <c r="C12" s="7">
        <v>62</v>
      </c>
      <c r="D12" s="7" t="s">
        <v>20</v>
      </c>
      <c r="E12" s="7" t="s">
        <v>21</v>
      </c>
    </row>
    <row r="13" spans="2:11">
      <c r="B13" s="4" t="s">
        <v>22</v>
      </c>
      <c r="C13" s="7">
        <v>91</v>
      </c>
      <c r="D13" s="7" t="s">
        <v>17</v>
      </c>
      <c r="E13" s="7" t="s">
        <v>18</v>
      </c>
    </row>
    <row r="14" spans="2:11">
      <c r="B14" s="4" t="s">
        <v>23</v>
      </c>
      <c r="C14" s="7">
        <v>78</v>
      </c>
      <c r="D14" s="7" t="s">
        <v>24</v>
      </c>
      <c r="E14" s="7" t="s">
        <v>21</v>
      </c>
    </row>
    <row r="15" spans="2:11">
      <c r="B15" s="4" t="s">
        <v>25</v>
      </c>
      <c r="C15" s="7">
        <v>91</v>
      </c>
      <c r="D15" s="7" t="s">
        <v>17</v>
      </c>
      <c r="E15" s="7" t="s">
        <v>26</v>
      </c>
    </row>
    <row r="17" spans="2:11">
      <c r="B17" s="8" t="s">
        <v>27</v>
      </c>
      <c r="C17" s="3"/>
      <c r="D17" s="3"/>
      <c r="E17" s="3"/>
      <c r="F17" s="3"/>
      <c r="G17" s="3"/>
      <c r="H17" s="3"/>
      <c r="I17" s="3"/>
      <c r="J17" s="3"/>
      <c r="K17" s="3"/>
    </row>
    <row r="19" spans="2:11">
      <c r="B19" s="6" t="s">
        <v>28</v>
      </c>
      <c r="C19" s="6" t="s">
        <v>29</v>
      </c>
      <c r="F19" s="11" t="s">
        <v>32</v>
      </c>
      <c r="G19" s="11"/>
      <c r="H19" s="11"/>
      <c r="I19" s="11"/>
      <c r="J19" s="11"/>
      <c r="K19" s="11"/>
    </row>
    <row r="20" spans="2:11">
      <c r="B20" s="4" t="s">
        <v>33</v>
      </c>
      <c r="C20" s="10" t="s">
        <v>34</v>
      </c>
      <c r="F20" s="7" cm="1">
        <f t="array" ref="F20:G20">_xlfn._xlws.FILTER($C$6:$G$6,$C$6:$G$6&gt;10)</f>
        <v>25</v>
      </c>
      <c r="G20" s="7">
        <v>42.5</v>
      </c>
      <c r="H20" s="7"/>
      <c r="I20" s="7"/>
      <c r="J20" s="7"/>
      <c r="K20" s="7"/>
    </row>
    <row r="21" spans="2:11">
      <c r="B21" s="4" t="s">
        <v>35</v>
      </c>
      <c r="C21" s="10" t="s">
        <v>36</v>
      </c>
      <c r="F21" s="7" cm="1">
        <f t="array" ref="F21">_xlfn._xlws.FILTER($C$6:$G$6,$C$6:$G$6&lt;0)</f>
        <v>-5</v>
      </c>
      <c r="G21" s="7"/>
      <c r="H21" s="7"/>
      <c r="I21" s="7"/>
      <c r="J21" s="7"/>
      <c r="K21" s="7"/>
    </row>
    <row r="22" spans="2:11">
      <c r="B22" s="4" t="s">
        <v>37</v>
      </c>
      <c r="C22" s="10" t="s">
        <v>38</v>
      </c>
      <c r="F22" s="7" cm="1">
        <f t="array" ref="F22">_xlfn._xlws.FILTER($C$6:$G$6,$C$6:$G$6=0)</f>
        <v>0</v>
      </c>
      <c r="G22" s="7"/>
      <c r="H22" s="7"/>
      <c r="I22" s="7"/>
      <c r="J22" s="7"/>
      <c r="K22" s="7"/>
    </row>
    <row r="23" spans="2:11">
      <c r="B23" s="4" t="s">
        <v>39</v>
      </c>
      <c r="C23" s="10" t="s">
        <v>40</v>
      </c>
      <c r="F23" s="7" cm="1">
        <f t="array" ref="F23:I23">_xlfn._xlws.FILTER($C$6:$G$6,$C$6:$G$6&lt;&gt;0)</f>
        <v>10</v>
      </c>
      <c r="G23" s="7">
        <v>25</v>
      </c>
      <c r="H23" s="7">
        <v>-5</v>
      </c>
      <c r="I23" s="7">
        <v>42.5</v>
      </c>
      <c r="J23" s="7"/>
      <c r="K23" s="7"/>
    </row>
    <row r="24" spans="2:11">
      <c r="B24" s="4" t="s">
        <v>41</v>
      </c>
      <c r="C24" s="10" t="s">
        <v>42</v>
      </c>
      <c r="F24" s="7" cm="1">
        <f t="array" ref="F24:G24">_xlfn._xlws.FILTER($C$6:$G$6,$C$6:$G$6&gt;=25)</f>
        <v>25</v>
      </c>
      <c r="G24" s="7">
        <v>42.5</v>
      </c>
      <c r="H24" s="7"/>
      <c r="I24" s="7"/>
      <c r="J24" s="7"/>
      <c r="K24" s="7"/>
    </row>
    <row r="25" spans="2:11">
      <c r="B25" s="4" t="s">
        <v>43</v>
      </c>
      <c r="C25" s="10" t="s">
        <v>44</v>
      </c>
      <c r="F25" s="7" cm="1">
        <f t="array" ref="F25:H25">_xlfn._xlws.FILTER($C$6:$G$6,$C$6:$G$6&lt;=10)</f>
        <v>10</v>
      </c>
      <c r="G25" s="7">
        <v>-5</v>
      </c>
      <c r="H25" s="7">
        <v>0</v>
      </c>
      <c r="I25" s="7"/>
      <c r="J25" s="7"/>
      <c r="K25" s="7"/>
    </row>
    <row r="26" spans="2:11">
      <c r="B26" s="4" t="s">
        <v>45</v>
      </c>
      <c r="C26" s="10" t="s">
        <v>46</v>
      </c>
      <c r="F26" s="7" t="str" cm="1">
        <f t="array" ref="F26">_xlfn._xlws.FILTER($C$6:$G$6,$C$6:$G$6&gt;1000,"No match")</f>
        <v>No match</v>
      </c>
      <c r="G26" s="7"/>
      <c r="H26" s="7"/>
      <c r="I26" s="7"/>
      <c r="J26" s="7"/>
      <c r="K26" s="7"/>
    </row>
    <row r="27" spans="2:11">
      <c r="B27" s="4" t="s">
        <v>47</v>
      </c>
      <c r="C27" s="10" t="s">
        <v>48</v>
      </c>
      <c r="F27" s="7" t="str" cm="1">
        <f t="array" ref="F27">IFERROR(_xlfn._xlws.FILTER($C$6:$G$6,$C$6:$G$6&gt;1000),"Error: No match")</f>
        <v>Error: No match</v>
      </c>
      <c r="G27" s="7"/>
      <c r="H27" s="7"/>
      <c r="I27" s="7"/>
      <c r="J27" s="7"/>
      <c r="K27" s="7"/>
    </row>
    <row r="28" spans="2:11">
      <c r="B28" s="4" t="s">
        <v>49</v>
      </c>
      <c r="C28" s="10" t="s">
        <v>50</v>
      </c>
      <c r="F28" s="7" cm="1">
        <f t="array" ref="F28:J28">_xlfn._xlws.FILTER($C$6:$G$6,$C$6:$G$6&lt;1000)</f>
        <v>10</v>
      </c>
      <c r="G28" s="7">
        <v>25</v>
      </c>
      <c r="H28" s="7">
        <v>-5</v>
      </c>
      <c r="I28" s="7">
        <v>42.5</v>
      </c>
      <c r="J28" s="7">
        <v>0</v>
      </c>
      <c r="K28" s="7"/>
    </row>
    <row r="30" spans="2:11">
      <c r="B30" s="4" t="s">
        <v>51</v>
      </c>
      <c r="C30" s="10" t="s">
        <v>52</v>
      </c>
      <c r="F30" s="7" t="str" cm="1">
        <f t="array" ref="F30:I32">_xlfn._xlws.FILTER($B$11:$E$15,$C$11:$C$15&gt;80)</f>
        <v>Alice</v>
      </c>
      <c r="G30" s="7">
        <v>85</v>
      </c>
      <c r="H30" s="7" t="str">
        <v>A</v>
      </c>
      <c r="I30" s="7" t="str">
        <v>East</v>
      </c>
    </row>
    <row r="31" spans="2:11">
      <c r="F31" t="str">
        <v>Charlie</v>
      </c>
      <c r="G31">
        <v>91</v>
      </c>
      <c r="H31" t="str">
        <v>A</v>
      </c>
      <c r="I31" t="str">
        <v>East</v>
      </c>
    </row>
    <row r="32" spans="2:11">
      <c r="F32" t="str">
        <v>Eve</v>
      </c>
      <c r="G32">
        <v>91</v>
      </c>
      <c r="H32" t="str">
        <v>A</v>
      </c>
      <c r="I32" t="str">
        <v>North</v>
      </c>
    </row>
    <row r="37" spans="2:9">
      <c r="B37" s="4" t="s">
        <v>53</v>
      </c>
      <c r="C37" s="10" t="s">
        <v>54</v>
      </c>
      <c r="F37" s="7" t="str" cm="1">
        <f t="array" ref="F37:I39">_xlfn._xlws.FILTER($B$11:$E$15,$D$11:$D$15="A")</f>
        <v>Alice</v>
      </c>
      <c r="G37" s="7">
        <v>85</v>
      </c>
      <c r="H37" s="7" t="str">
        <v>A</v>
      </c>
      <c r="I37" s="7" t="str">
        <v>East</v>
      </c>
    </row>
    <row r="38" spans="2:9">
      <c r="F38" t="str">
        <v>Charlie</v>
      </c>
      <c r="G38">
        <v>91</v>
      </c>
      <c r="H38" t="str">
        <v>A</v>
      </c>
      <c r="I38" t="str">
        <v>East</v>
      </c>
    </row>
    <row r="39" spans="2:9">
      <c r="F39" t="str">
        <v>Eve</v>
      </c>
      <c r="G39">
        <v>91</v>
      </c>
      <c r="H39" t="str">
        <v>A</v>
      </c>
      <c r="I39" t="str">
        <v>North</v>
      </c>
    </row>
    <row r="44" spans="2:9">
      <c r="B44" s="4" t="s">
        <v>55</v>
      </c>
      <c r="C44" s="10" t="s">
        <v>56</v>
      </c>
      <c r="F44" s="7" t="str" cm="1">
        <f t="array" ref="F44:I45">_xlfn._xlws.FILTER($B$11:$E$15,$E$11:$E$15="West")</f>
        <v>Bob</v>
      </c>
      <c r="G44" s="7">
        <v>62</v>
      </c>
      <c r="H44" s="7" t="str">
        <v>C</v>
      </c>
      <c r="I44" s="7" t="str">
        <v>West</v>
      </c>
    </row>
    <row r="45" spans="2:9">
      <c r="F45" t="str">
        <v>Diana</v>
      </c>
      <c r="G45">
        <v>78</v>
      </c>
      <c r="H45" t="str">
        <v>B</v>
      </c>
      <c r="I45" t="str">
        <v>West</v>
      </c>
    </row>
    <row r="51" spans="2:9">
      <c r="B51" s="4" t="s">
        <v>57</v>
      </c>
      <c r="C51" s="10" t="s">
        <v>30</v>
      </c>
      <c r="F51" s="7" t="str" cm="1">
        <f t="array" ref="F51:I53">_xlfn._xlws.FILTER($B$11:$E$15,($C$11:$C$15&gt;70)*($D$11:$D$15="A"))</f>
        <v>Alice</v>
      </c>
      <c r="G51" s="7">
        <v>85</v>
      </c>
      <c r="H51" s="7" t="str">
        <v>A</v>
      </c>
      <c r="I51" s="7" t="str">
        <v>East</v>
      </c>
    </row>
    <row r="52" spans="2:9">
      <c r="F52" t="str">
        <v>Charlie</v>
      </c>
      <c r="G52">
        <v>91</v>
      </c>
      <c r="H52" t="str">
        <v>A</v>
      </c>
      <c r="I52" t="str">
        <v>East</v>
      </c>
    </row>
    <row r="53" spans="2:9">
      <c r="F53" t="str">
        <v>Eve</v>
      </c>
      <c r="G53">
        <v>91</v>
      </c>
      <c r="H53" t="str">
        <v>A</v>
      </c>
      <c r="I53" t="str">
        <v>North</v>
      </c>
    </row>
    <row r="58" spans="2:9">
      <c r="B58" s="4" t="s">
        <v>58</v>
      </c>
      <c r="C58" s="10" t="s">
        <v>31</v>
      </c>
      <c r="F58" s="7" t="str" cm="1">
        <f t="array" ref="F58:I59">_xlfn._xlws.FILTER($B$11:$E$15,($C$11:$C$15&lt;70)+($E$11:$E$15="North"))</f>
        <v>Bob</v>
      </c>
      <c r="G58" s="7">
        <v>62</v>
      </c>
      <c r="H58" s="7" t="str">
        <v>C</v>
      </c>
      <c r="I58" s="7" t="str">
        <v>West</v>
      </c>
    </row>
    <row r="59" spans="2:9">
      <c r="F59" t="str">
        <v>Eve</v>
      </c>
      <c r="G59">
        <v>91</v>
      </c>
      <c r="H59" t="str">
        <v>A</v>
      </c>
      <c r="I59" t="str">
        <v>North</v>
      </c>
    </row>
    <row r="65" spans="2:11">
      <c r="B65" s="4" t="s">
        <v>59</v>
      </c>
      <c r="C65" s="10" t="s">
        <v>60</v>
      </c>
      <c r="F65" s="7" t="str" cm="1">
        <f t="array" ref="F65:I65">_xlfn._xlws.FILTER($B$11:$E$15,$B$11:$B$15="Alice")</f>
        <v>Alice</v>
      </c>
      <c r="G65" s="7">
        <v>85</v>
      </c>
      <c r="H65" s="7" t="str">
        <v>A</v>
      </c>
      <c r="I65" s="7" t="str">
        <v>East</v>
      </c>
    </row>
    <row r="72" spans="2:11">
      <c r="B72" s="3" t="s">
        <v>61</v>
      </c>
      <c r="C72" s="3"/>
      <c r="D72" s="3"/>
      <c r="E72" s="3"/>
      <c r="F72" s="3"/>
      <c r="G72" s="3"/>
      <c r="H72" s="3"/>
      <c r="I72" s="3"/>
      <c r="J72" s="3"/>
      <c r="K72" s="3"/>
    </row>
    <row r="74" spans="2:11">
      <c r="B74" s="6" t="s">
        <v>28</v>
      </c>
      <c r="C74" s="6" t="s">
        <v>29</v>
      </c>
      <c r="F74" s="11" t="s">
        <v>32</v>
      </c>
      <c r="G74" s="11"/>
      <c r="H74" s="11"/>
      <c r="I74" s="11"/>
      <c r="J74" s="11"/>
      <c r="K74" s="11"/>
    </row>
    <row r="75" spans="2:11">
      <c r="B75" s="4" t="s">
        <v>62</v>
      </c>
      <c r="C75" s="10" t="s">
        <v>63</v>
      </c>
      <c r="F75" s="7" cm="1">
        <f t="array" ref="F75:J75">_xlfn._xlws.SORT($C$6:$G$6,,1)</f>
        <v>10</v>
      </c>
      <c r="G75" s="7">
        <v>25</v>
      </c>
      <c r="H75" s="7">
        <v>-5</v>
      </c>
      <c r="I75" s="7">
        <v>42.5</v>
      </c>
      <c r="J75" s="7">
        <v>0</v>
      </c>
      <c r="K75" s="7"/>
    </row>
    <row r="76" spans="2:11">
      <c r="B76" s="4" t="s">
        <v>64</v>
      </c>
      <c r="C76" s="10" t="s">
        <v>65</v>
      </c>
      <c r="F76" s="7" cm="1">
        <f t="array" ref="F76:J76">_xlfn._xlws.SORT($C$6:$G$6,,-1)</f>
        <v>10</v>
      </c>
      <c r="G76" s="7">
        <v>25</v>
      </c>
      <c r="H76" s="7">
        <v>-5</v>
      </c>
      <c r="I76" s="7">
        <v>42.5</v>
      </c>
      <c r="J76" s="7">
        <v>0</v>
      </c>
      <c r="K76" s="7"/>
    </row>
    <row r="77" spans="2:11">
      <c r="B77" s="4" t="s">
        <v>66</v>
      </c>
      <c r="C77" s="10" t="s">
        <v>67</v>
      </c>
      <c r="F77" s="7" t="str" cm="1">
        <f t="array" ref="F77:J77">_xlfn._xlws.SORT($C$7:$G$7,,1)</f>
        <v>Apple</v>
      </c>
      <c r="G77" s="7" t="str">
        <v>Banana</v>
      </c>
      <c r="H77" s="7" t="str">
        <v>Cherry</v>
      </c>
      <c r="I77" s="7" t="str">
        <v>Date</v>
      </c>
      <c r="J77" s="7" t="str">
        <v>Elderberry</v>
      </c>
      <c r="K77" s="7"/>
    </row>
    <row r="78" spans="2:11">
      <c r="B78" s="4" t="s">
        <v>68</v>
      </c>
      <c r="C78" s="10" t="s">
        <v>69</v>
      </c>
      <c r="F78" s="7" t="str" cm="1">
        <f t="array" ref="F78:J78">_xlfn._xlws.SORT($C$7:$G$7,,-1)</f>
        <v>Apple</v>
      </c>
      <c r="G78" s="7" t="str">
        <v>Banana</v>
      </c>
      <c r="H78" s="7" t="str">
        <v>Cherry</v>
      </c>
      <c r="I78" s="7" t="str">
        <v>Date</v>
      </c>
      <c r="J78" s="7" t="str">
        <v>Elderberry</v>
      </c>
      <c r="K78" s="7"/>
    </row>
    <row r="80" spans="2:11">
      <c r="B80" s="4" t="s">
        <v>70</v>
      </c>
      <c r="C80" s="10" t="s">
        <v>71</v>
      </c>
      <c r="F80" s="7" t="str" cm="1">
        <f t="array" ref="F80:I84">_xlfn._xlws.SORT($B$11:$E$15,1,1)</f>
        <v>Alice</v>
      </c>
      <c r="G80" s="7">
        <v>85</v>
      </c>
      <c r="H80" s="7" t="str">
        <v>A</v>
      </c>
      <c r="I80" s="7" t="str">
        <v>East</v>
      </c>
    </row>
    <row r="81" spans="2:9">
      <c r="F81" t="str">
        <v>Bob</v>
      </c>
      <c r="G81">
        <v>62</v>
      </c>
      <c r="H81" t="str">
        <v>C</v>
      </c>
      <c r="I81" t="str">
        <v>West</v>
      </c>
    </row>
    <row r="82" spans="2:9">
      <c r="F82" t="str">
        <v>Charlie</v>
      </c>
      <c r="G82">
        <v>91</v>
      </c>
      <c r="H82" t="str">
        <v>A</v>
      </c>
      <c r="I82" t="str">
        <v>East</v>
      </c>
    </row>
    <row r="83" spans="2:9">
      <c r="F83" t="str">
        <v>Diana</v>
      </c>
      <c r="G83">
        <v>78</v>
      </c>
      <c r="H83" t="str">
        <v>B</v>
      </c>
      <c r="I83" t="str">
        <v>West</v>
      </c>
    </row>
    <row r="84" spans="2:9">
      <c r="F84" t="str">
        <v>Eve</v>
      </c>
      <c r="G84">
        <v>91</v>
      </c>
      <c r="H84" t="str">
        <v>A</v>
      </c>
      <c r="I84" t="str">
        <v>North</v>
      </c>
    </row>
    <row r="87" spans="2:9">
      <c r="B87" s="4" t="s">
        <v>72</v>
      </c>
      <c r="C87" s="10" t="s">
        <v>73</v>
      </c>
      <c r="F87" s="7" t="str" cm="1">
        <f t="array" ref="F87:I91">_xlfn._xlws.SORT($B$11:$E$15,2,1)</f>
        <v>Bob</v>
      </c>
      <c r="G87" s="7">
        <v>62</v>
      </c>
      <c r="H87" s="7" t="str">
        <v>C</v>
      </c>
      <c r="I87" s="7" t="str">
        <v>West</v>
      </c>
    </row>
    <row r="88" spans="2:9">
      <c r="F88" t="str">
        <v>Diana</v>
      </c>
      <c r="G88">
        <v>78</v>
      </c>
      <c r="H88" t="str">
        <v>B</v>
      </c>
      <c r="I88" t="str">
        <v>West</v>
      </c>
    </row>
    <row r="89" spans="2:9">
      <c r="F89" t="str">
        <v>Alice</v>
      </c>
      <c r="G89">
        <v>85</v>
      </c>
      <c r="H89" t="str">
        <v>A</v>
      </c>
      <c r="I89" t="str">
        <v>East</v>
      </c>
    </row>
    <row r="90" spans="2:9">
      <c r="F90" t="str">
        <v>Charlie</v>
      </c>
      <c r="G90">
        <v>91</v>
      </c>
      <c r="H90" t="str">
        <v>A</v>
      </c>
      <c r="I90" t="str">
        <v>East</v>
      </c>
    </row>
    <row r="91" spans="2:9">
      <c r="F91" t="str">
        <v>Eve</v>
      </c>
      <c r="G91">
        <v>91</v>
      </c>
      <c r="H91" t="str">
        <v>A</v>
      </c>
      <c r="I91" t="str">
        <v>North</v>
      </c>
    </row>
    <row r="94" spans="2:9">
      <c r="B94" s="4" t="s">
        <v>74</v>
      </c>
      <c r="C94" s="10" t="s">
        <v>75</v>
      </c>
      <c r="F94" s="7" t="str" cm="1">
        <f t="array" ref="F94:I98">_xlfn._xlws.SORT($B$11:$E$15,2,-1)</f>
        <v>Charlie</v>
      </c>
      <c r="G94" s="7">
        <v>91</v>
      </c>
      <c r="H94" s="7" t="str">
        <v>A</v>
      </c>
      <c r="I94" s="7" t="str">
        <v>East</v>
      </c>
    </row>
    <row r="95" spans="2:9">
      <c r="F95" t="str">
        <v>Eve</v>
      </c>
      <c r="G95">
        <v>91</v>
      </c>
      <c r="H95" t="str">
        <v>A</v>
      </c>
      <c r="I95" t="str">
        <v>North</v>
      </c>
    </row>
    <row r="96" spans="2:9">
      <c r="F96" t="str">
        <v>Alice</v>
      </c>
      <c r="G96">
        <v>85</v>
      </c>
      <c r="H96" t="str">
        <v>A</v>
      </c>
      <c r="I96" t="str">
        <v>East</v>
      </c>
    </row>
    <row r="97" spans="2:9">
      <c r="F97" t="str">
        <v>Diana</v>
      </c>
      <c r="G97">
        <v>78</v>
      </c>
      <c r="H97" t="str">
        <v>B</v>
      </c>
      <c r="I97" t="str">
        <v>West</v>
      </c>
    </row>
    <row r="98" spans="2:9">
      <c r="F98" t="str">
        <v>Bob</v>
      </c>
      <c r="G98">
        <v>62</v>
      </c>
      <c r="H98" t="str">
        <v>C</v>
      </c>
      <c r="I98" t="str">
        <v>West</v>
      </c>
    </row>
    <row r="101" spans="2:9">
      <c r="B101" s="4" t="s">
        <v>76</v>
      </c>
      <c r="C101" s="10" t="s">
        <v>77</v>
      </c>
      <c r="F101" s="7" t="str" cm="1">
        <f t="array" ref="F101:I105">_xlfn._xlws.SORT($B$11:$E$15,3,1)</f>
        <v>Alice</v>
      </c>
      <c r="G101" s="7">
        <v>85</v>
      </c>
      <c r="H101" s="7" t="str">
        <v>A</v>
      </c>
      <c r="I101" s="7" t="str">
        <v>East</v>
      </c>
    </row>
    <row r="102" spans="2:9">
      <c r="F102" t="str">
        <v>Charlie</v>
      </c>
      <c r="G102">
        <v>91</v>
      </c>
      <c r="H102" t="str">
        <v>A</v>
      </c>
      <c r="I102" t="str">
        <v>East</v>
      </c>
    </row>
    <row r="103" spans="2:9">
      <c r="F103" t="str">
        <v>Eve</v>
      </c>
      <c r="G103">
        <v>91</v>
      </c>
      <c r="H103" t="str">
        <v>A</v>
      </c>
      <c r="I103" t="str">
        <v>North</v>
      </c>
    </row>
    <row r="104" spans="2:9">
      <c r="F104" t="str">
        <v>Diana</v>
      </c>
      <c r="G104">
        <v>78</v>
      </c>
      <c r="H104" t="str">
        <v>B</v>
      </c>
      <c r="I104" t="str">
        <v>West</v>
      </c>
    </row>
    <row r="105" spans="2:9">
      <c r="F105" t="str">
        <v>Bob</v>
      </c>
      <c r="G105">
        <v>62</v>
      </c>
      <c r="H105" t="str">
        <v>C</v>
      </c>
      <c r="I105" t="str">
        <v>West</v>
      </c>
    </row>
    <row r="108" spans="2:9">
      <c r="B108" s="4" t="s">
        <v>78</v>
      </c>
      <c r="C108" s="10" t="s">
        <v>79</v>
      </c>
      <c r="F108" s="7" t="str" cm="1">
        <f t="array" ref="F108:I112">_xlfn._xlws.SORT($B$11:$E$15,4,-1)</f>
        <v>Bob</v>
      </c>
      <c r="G108" s="7">
        <v>62</v>
      </c>
      <c r="H108" s="7" t="str">
        <v>C</v>
      </c>
      <c r="I108" s="7" t="str">
        <v>West</v>
      </c>
    </row>
    <row r="109" spans="2:9">
      <c r="F109" t="str">
        <v>Diana</v>
      </c>
      <c r="G109">
        <v>78</v>
      </c>
      <c r="H109" t="str">
        <v>B</v>
      </c>
      <c r="I109" t="str">
        <v>West</v>
      </c>
    </row>
    <row r="110" spans="2:9">
      <c r="F110" t="str">
        <v>Eve</v>
      </c>
      <c r="G110">
        <v>91</v>
      </c>
      <c r="H110" t="str">
        <v>A</v>
      </c>
      <c r="I110" t="str">
        <v>North</v>
      </c>
    </row>
    <row r="111" spans="2:9">
      <c r="F111" t="str">
        <v>Alice</v>
      </c>
      <c r="G111">
        <v>85</v>
      </c>
      <c r="H111" t="str">
        <v>A</v>
      </c>
      <c r="I111" t="str">
        <v>East</v>
      </c>
    </row>
    <row r="112" spans="2:9">
      <c r="F112" t="str">
        <v>Charlie</v>
      </c>
      <c r="G112">
        <v>91</v>
      </c>
      <c r="H112" t="str">
        <v>A</v>
      </c>
      <c r="I112" t="str">
        <v>East</v>
      </c>
    </row>
    <row r="115" spans="2:11">
      <c r="B115" s="3" t="s">
        <v>80</v>
      </c>
      <c r="C115" s="3"/>
      <c r="D115" s="3"/>
      <c r="E115" s="3"/>
      <c r="F115" s="3"/>
      <c r="G115" s="3"/>
      <c r="H115" s="3"/>
      <c r="I115" s="3"/>
      <c r="J115" s="3"/>
      <c r="K115" s="3"/>
    </row>
    <row r="117" spans="2:11">
      <c r="B117" s="6" t="s">
        <v>28</v>
      </c>
      <c r="C117" s="6" t="s">
        <v>29</v>
      </c>
      <c r="F117" s="11" t="s">
        <v>32</v>
      </c>
      <c r="G117" s="11"/>
      <c r="H117" s="11"/>
      <c r="I117" s="11"/>
      <c r="J117" s="11"/>
      <c r="K117" s="11"/>
    </row>
    <row r="118" spans="2:11">
      <c r="B118" s="4" t="s">
        <v>81</v>
      </c>
      <c r="C118" s="10" t="s">
        <v>82</v>
      </c>
      <c r="F118" s="7" t="str" cm="1">
        <f t="array" ref="F118:F122">_xlfn.SORTBY($B$11:$B$15,$C$11:$C$15,1)</f>
        <v>Bob</v>
      </c>
    </row>
    <row r="119" spans="2:11">
      <c r="F119" t="str">
        <v>Diana</v>
      </c>
    </row>
    <row r="120" spans="2:11">
      <c r="F120" t="str">
        <v>Alice</v>
      </c>
    </row>
    <row r="121" spans="2:11">
      <c r="F121" t="str">
        <v>Charlie</v>
      </c>
    </row>
    <row r="122" spans="2:11">
      <c r="F122" t="str">
        <v>Eve</v>
      </c>
    </row>
    <row r="125" spans="2:11">
      <c r="B125" s="4" t="s">
        <v>83</v>
      </c>
      <c r="C125" s="10" t="s">
        <v>84</v>
      </c>
      <c r="F125" s="7" t="str" cm="1">
        <f t="array" ref="F125:F129">_xlfn.SORTBY($B$11:$B$15,$C$11:$C$15,-1)</f>
        <v>Charlie</v>
      </c>
    </row>
    <row r="126" spans="2:11">
      <c r="F126" t="str">
        <v>Eve</v>
      </c>
    </row>
    <row r="127" spans="2:11">
      <c r="F127" t="str">
        <v>Alice</v>
      </c>
    </row>
    <row r="128" spans="2:11">
      <c r="F128" t="str">
        <v>Diana</v>
      </c>
    </row>
    <row r="129" spans="2:9">
      <c r="F129" t="str">
        <v>Bob</v>
      </c>
    </row>
    <row r="132" spans="2:9">
      <c r="B132" s="4" t="s">
        <v>72</v>
      </c>
      <c r="C132" s="10" t="s">
        <v>85</v>
      </c>
      <c r="F132" s="7" t="str" cm="1">
        <f t="array" ref="F132:I136">_xlfn.SORTBY($B$11:$E$15,$C$11:$C$15,1)</f>
        <v>Bob</v>
      </c>
      <c r="G132" s="7">
        <v>62</v>
      </c>
      <c r="H132" s="7" t="str">
        <v>C</v>
      </c>
      <c r="I132" s="7" t="str">
        <v>West</v>
      </c>
    </row>
    <row r="133" spans="2:9">
      <c r="F133" t="str">
        <v>Diana</v>
      </c>
      <c r="G133">
        <v>78</v>
      </c>
      <c r="H133" t="str">
        <v>B</v>
      </c>
      <c r="I133" t="str">
        <v>West</v>
      </c>
    </row>
    <row r="134" spans="2:9">
      <c r="F134" t="str">
        <v>Alice</v>
      </c>
      <c r="G134">
        <v>85</v>
      </c>
      <c r="H134" t="str">
        <v>A</v>
      </c>
      <c r="I134" t="str">
        <v>East</v>
      </c>
    </row>
    <row r="135" spans="2:9">
      <c r="F135" t="str">
        <v>Charlie</v>
      </c>
      <c r="G135">
        <v>91</v>
      </c>
      <c r="H135" t="str">
        <v>A</v>
      </c>
      <c r="I135" t="str">
        <v>East</v>
      </c>
    </row>
    <row r="136" spans="2:9">
      <c r="F136" t="str">
        <v>Eve</v>
      </c>
      <c r="G136">
        <v>91</v>
      </c>
      <c r="H136" t="str">
        <v>A</v>
      </c>
      <c r="I136" t="str">
        <v>North</v>
      </c>
    </row>
    <row r="139" spans="2:9">
      <c r="B139" s="4" t="s">
        <v>86</v>
      </c>
      <c r="C139" s="10" t="s">
        <v>87</v>
      </c>
      <c r="F139" s="7" t="str" cm="1">
        <f t="array" ref="F139:I143">_xlfn.SORTBY($B$11:$E$15,$D$11:$D$15,1,$C$11:$C$15,-1)</f>
        <v>Charlie</v>
      </c>
      <c r="G139" s="7">
        <v>91</v>
      </c>
      <c r="H139" s="7" t="str">
        <v>A</v>
      </c>
      <c r="I139" s="7" t="str">
        <v>East</v>
      </c>
    </row>
    <row r="140" spans="2:9">
      <c r="F140" t="str">
        <v>Eve</v>
      </c>
      <c r="G140">
        <v>91</v>
      </c>
      <c r="H140" t="str">
        <v>A</v>
      </c>
      <c r="I140" t="str">
        <v>North</v>
      </c>
    </row>
    <row r="141" spans="2:9">
      <c r="F141" t="str">
        <v>Alice</v>
      </c>
      <c r="G141">
        <v>85</v>
      </c>
      <c r="H141" t="str">
        <v>A</v>
      </c>
      <c r="I141" t="str">
        <v>East</v>
      </c>
    </row>
    <row r="142" spans="2:9">
      <c r="F142" t="str">
        <v>Diana</v>
      </c>
      <c r="G142">
        <v>78</v>
      </c>
      <c r="H142" t="str">
        <v>B</v>
      </c>
      <c r="I142" t="str">
        <v>West</v>
      </c>
    </row>
    <row r="143" spans="2:9">
      <c r="F143" t="str">
        <v>Bob</v>
      </c>
      <c r="G143">
        <v>62</v>
      </c>
      <c r="H143" t="str">
        <v>C</v>
      </c>
      <c r="I143" t="str">
        <v>West</v>
      </c>
    </row>
    <row r="146" spans="2:11">
      <c r="B146" s="4" t="s">
        <v>88</v>
      </c>
      <c r="C146" s="10" t="s">
        <v>89</v>
      </c>
      <c r="F146" s="7" t="str" cm="1">
        <f t="array" ref="F146:J146">_xlfn.SORTBY($C$7:$G$7,$C$6:$G$6,1)</f>
        <v>Cherry</v>
      </c>
      <c r="G146" s="7" t="str">
        <v>Elderberry</v>
      </c>
      <c r="H146" s="7" t="str">
        <v>Apple</v>
      </c>
      <c r="I146" s="7" t="str">
        <v>Banana</v>
      </c>
      <c r="J146" t="str">
        <v>Date</v>
      </c>
    </row>
    <row r="154" spans="2:11">
      <c r="B154" s="3" t="s">
        <v>90</v>
      </c>
      <c r="C154" s="3"/>
      <c r="D154" s="3"/>
      <c r="E154" s="3"/>
      <c r="F154" s="3"/>
      <c r="G154" s="3"/>
      <c r="H154" s="3"/>
      <c r="I154" s="3"/>
      <c r="J154" s="3"/>
      <c r="K154" s="3"/>
    </row>
    <row r="156" spans="2:11">
      <c r="B156" s="6" t="s">
        <v>28</v>
      </c>
      <c r="C156" s="6" t="s">
        <v>29</v>
      </c>
      <c r="F156" s="11" t="s">
        <v>32</v>
      </c>
      <c r="G156" s="11"/>
      <c r="H156" s="11"/>
      <c r="I156" s="11"/>
      <c r="J156" s="11"/>
      <c r="K156" s="11"/>
    </row>
    <row r="157" spans="2:11">
      <c r="B157" s="4" t="s">
        <v>91</v>
      </c>
      <c r="C157" s="10" t="s">
        <v>92</v>
      </c>
      <c r="F157" s="7" t="str" cm="1">
        <f t="array" ref="F157:F159">_xlfn.UNIQUE($D$11:$D$15)</f>
        <v>A</v>
      </c>
      <c r="G157" s="7"/>
      <c r="H157" s="7"/>
      <c r="I157" s="7"/>
    </row>
    <row r="158" spans="2:11">
      <c r="F158" t="str">
        <v>C</v>
      </c>
    </row>
    <row r="159" spans="2:11">
      <c r="F159" t="str">
        <v>B</v>
      </c>
    </row>
    <row r="164" spans="2:9">
      <c r="B164" s="4" t="s">
        <v>93</v>
      </c>
      <c r="C164" s="10" t="s">
        <v>94</v>
      </c>
      <c r="F164" s="7" t="str" cm="1">
        <f t="array" ref="F164:F166">_xlfn.UNIQUE($E$11:$E$15)</f>
        <v>East</v>
      </c>
      <c r="G164" s="7"/>
      <c r="H164" s="7"/>
      <c r="I164" s="7"/>
    </row>
    <row r="165" spans="2:9">
      <c r="F165" t="str">
        <v>West</v>
      </c>
    </row>
    <row r="166" spans="2:9">
      <c r="F166" t="str">
        <v>North</v>
      </c>
    </row>
    <row r="171" spans="2:9">
      <c r="B171" s="4" t="s">
        <v>95</v>
      </c>
      <c r="C171" s="10" t="s">
        <v>96</v>
      </c>
      <c r="F171" s="7" cm="1">
        <f t="array" ref="F171:F174">_xlfn.UNIQUE($C$11:$C$15)</f>
        <v>85</v>
      </c>
      <c r="G171" s="7"/>
      <c r="H171" s="7"/>
      <c r="I171" s="7"/>
    </row>
    <row r="172" spans="2:9">
      <c r="F172">
        <v>62</v>
      </c>
    </row>
    <row r="173" spans="2:9">
      <c r="F173">
        <v>91</v>
      </c>
    </row>
    <row r="174" spans="2:9">
      <c r="F174">
        <v>78</v>
      </c>
    </row>
    <row r="178" spans="2:9">
      <c r="B178" s="4" t="s">
        <v>97</v>
      </c>
      <c r="C178" s="10" t="s">
        <v>98</v>
      </c>
      <c r="F178" s="7" t="str" cm="1">
        <f t="array" ref="F178:F179">_xlfn.UNIQUE($D$11:$D$15,,TRUE)</f>
        <v>C</v>
      </c>
      <c r="G178" s="7"/>
      <c r="H178" s="7"/>
      <c r="I178" s="7"/>
    </row>
    <row r="179" spans="2:9">
      <c r="F179" t="str">
        <v>B</v>
      </c>
    </row>
    <row r="185" spans="2:9">
      <c r="B185" s="4" t="s">
        <v>99</v>
      </c>
      <c r="C185" s="10" t="s">
        <v>100</v>
      </c>
      <c r="F185" s="7" cm="1">
        <f t="array" ref="F185:F187">_xlfn.UNIQUE($C$11:$C$15,,TRUE)</f>
        <v>85</v>
      </c>
      <c r="G185" s="7"/>
      <c r="H185" s="7"/>
      <c r="I185" s="7"/>
    </row>
    <row r="186" spans="2:9">
      <c r="F186">
        <v>62</v>
      </c>
    </row>
    <row r="187" spans="2:9">
      <c r="F187">
        <v>78</v>
      </c>
    </row>
    <row r="192" spans="2:9">
      <c r="B192" s="4" t="s">
        <v>101</v>
      </c>
      <c r="C192" s="10" t="s">
        <v>102</v>
      </c>
      <c r="F192" s="7" t="str" cm="1">
        <f t="array" ref="F192:I196">_xlfn.UNIQUE($B$11:$E$15)</f>
        <v>Alice</v>
      </c>
      <c r="G192" s="7">
        <v>85</v>
      </c>
      <c r="H192" s="7" t="str">
        <v>A</v>
      </c>
      <c r="I192" s="7" t="str">
        <v>East</v>
      </c>
    </row>
    <row r="193" spans="2:11">
      <c r="F193" t="str">
        <v>Bob</v>
      </c>
      <c r="G193">
        <v>62</v>
      </c>
      <c r="H193" t="str">
        <v>C</v>
      </c>
      <c r="I193" t="str">
        <v>West</v>
      </c>
    </row>
    <row r="194" spans="2:11">
      <c r="F194" t="str">
        <v>Charlie</v>
      </c>
      <c r="G194">
        <v>91</v>
      </c>
      <c r="H194" t="str">
        <v>A</v>
      </c>
      <c r="I194" t="str">
        <v>East</v>
      </c>
    </row>
    <row r="195" spans="2:11">
      <c r="F195" t="str">
        <v>Diana</v>
      </c>
      <c r="G195">
        <v>78</v>
      </c>
      <c r="H195" t="str">
        <v>B</v>
      </c>
      <c r="I195" t="str">
        <v>West</v>
      </c>
    </row>
    <row r="196" spans="2:11">
      <c r="F196" t="str">
        <v>Eve</v>
      </c>
      <c r="G196">
        <v>91</v>
      </c>
      <c r="H196" t="str">
        <v>A</v>
      </c>
      <c r="I196" t="str">
        <v>North</v>
      </c>
    </row>
    <row r="199" spans="2:11">
      <c r="B199" s="4" t="s">
        <v>103</v>
      </c>
      <c r="C199" s="10" t="s">
        <v>104</v>
      </c>
      <c r="F199" s="7" cm="1">
        <f t="array" ref="F199:J199">_xlfn.UNIQUE($C$6:$G$6,TRUE)</f>
        <v>10</v>
      </c>
      <c r="G199" s="7">
        <v>25</v>
      </c>
      <c r="H199" s="7">
        <v>-5</v>
      </c>
      <c r="I199" s="7">
        <v>42.5</v>
      </c>
      <c r="J199">
        <v>0</v>
      </c>
    </row>
    <row r="206" spans="2:11">
      <c r="B206" s="3" t="s">
        <v>105</v>
      </c>
      <c r="C206" s="3"/>
      <c r="D206" s="3"/>
      <c r="E206" s="3"/>
      <c r="F206" s="3"/>
      <c r="G206" s="3"/>
      <c r="H206" s="3"/>
      <c r="I206" s="3"/>
      <c r="J206" s="3"/>
      <c r="K206" s="3"/>
    </row>
    <row r="208" spans="2:11">
      <c r="B208" s="6" t="s">
        <v>28</v>
      </c>
      <c r="C208" s="6" t="s">
        <v>29</v>
      </c>
      <c r="F208" s="11" t="s">
        <v>32</v>
      </c>
      <c r="G208" s="11"/>
      <c r="H208" s="11"/>
      <c r="I208" s="11"/>
      <c r="J208" s="11"/>
      <c r="K208" s="11"/>
    </row>
    <row r="209" spans="2:10">
      <c r="B209" s="4" t="s">
        <v>106</v>
      </c>
      <c r="C209" s="10" t="s">
        <v>107</v>
      </c>
      <c r="F209" s="7" cm="1">
        <f t="array" ref="F209:F213">_xlfn.SEQUENCE(5)</f>
        <v>1</v>
      </c>
      <c r="G209" s="7"/>
      <c r="H209" s="7"/>
      <c r="I209" s="7"/>
    </row>
    <row r="210" spans="2:10">
      <c r="F210">
        <v>2</v>
      </c>
    </row>
    <row r="211" spans="2:10">
      <c r="F211">
        <v>3</v>
      </c>
    </row>
    <row r="212" spans="2:10">
      <c r="F212">
        <v>4</v>
      </c>
    </row>
    <row r="213" spans="2:10">
      <c r="F213">
        <v>5</v>
      </c>
    </row>
    <row r="215" spans="2:10">
      <c r="B215" s="4" t="s">
        <v>108</v>
      </c>
      <c r="C215" s="10" t="s">
        <v>109</v>
      </c>
      <c r="F215" s="7" cm="1">
        <f t="array" ref="F215:J215">_xlfn.SEQUENCE(1,5)</f>
        <v>1</v>
      </c>
      <c r="G215" s="7">
        <v>2</v>
      </c>
      <c r="H215" s="7">
        <v>3</v>
      </c>
      <c r="I215" s="7">
        <v>4</v>
      </c>
      <c r="J215">
        <v>5</v>
      </c>
    </row>
    <row r="217" spans="2:10">
      <c r="B217" s="4" t="s">
        <v>110</v>
      </c>
      <c r="C217" s="10" t="s">
        <v>111</v>
      </c>
      <c r="F217" s="7" cm="1">
        <f t="array" ref="F217:H219">_xlfn.SEQUENCE(3,3)</f>
        <v>1</v>
      </c>
      <c r="G217" s="7">
        <v>2</v>
      </c>
      <c r="H217" s="7">
        <v>3</v>
      </c>
      <c r="I217" s="7"/>
    </row>
    <row r="218" spans="2:10">
      <c r="F218">
        <v>4</v>
      </c>
      <c r="G218">
        <v>5</v>
      </c>
      <c r="H218">
        <v>6</v>
      </c>
    </row>
    <row r="219" spans="2:10">
      <c r="F219">
        <v>7</v>
      </c>
      <c r="G219">
        <v>8</v>
      </c>
      <c r="H219">
        <v>9</v>
      </c>
    </row>
    <row r="221" spans="2:10">
      <c r="B221" s="4" t="s">
        <v>112</v>
      </c>
      <c r="C221" s="10" t="s">
        <v>113</v>
      </c>
      <c r="F221" s="7" cm="1">
        <f t="array" ref="F221:F225">_xlfn.SEQUENCE(5,1,0)</f>
        <v>0</v>
      </c>
      <c r="G221" s="7"/>
      <c r="H221" s="7"/>
      <c r="I221" s="7"/>
    </row>
    <row r="222" spans="2:10">
      <c r="F222">
        <v>1</v>
      </c>
    </row>
    <row r="223" spans="2:10">
      <c r="F223">
        <v>2</v>
      </c>
    </row>
    <row r="224" spans="2:10">
      <c r="F224">
        <v>3</v>
      </c>
    </row>
    <row r="225" spans="2:9">
      <c r="F225">
        <v>4</v>
      </c>
    </row>
    <row r="227" spans="2:9">
      <c r="B227" s="4" t="s">
        <v>114</v>
      </c>
      <c r="C227" s="10" t="s">
        <v>115</v>
      </c>
      <c r="F227" s="7" cm="1">
        <f t="array" ref="F227:F231">_xlfn.SEQUENCE(5,1,10,2)</f>
        <v>10</v>
      </c>
      <c r="G227" s="7"/>
      <c r="H227" s="7"/>
      <c r="I227" s="7"/>
    </row>
    <row r="228" spans="2:9">
      <c r="F228">
        <v>12</v>
      </c>
    </row>
    <row r="229" spans="2:9">
      <c r="F229">
        <v>14</v>
      </c>
    </row>
    <row r="230" spans="2:9">
      <c r="F230">
        <v>16</v>
      </c>
    </row>
    <row r="231" spans="2:9">
      <c r="F231">
        <v>18</v>
      </c>
    </row>
    <row r="233" spans="2:9">
      <c r="B233" s="4" t="s">
        <v>116</v>
      </c>
      <c r="C233" s="10" t="s">
        <v>117</v>
      </c>
      <c r="F233" s="7" cm="1">
        <f t="array" ref="F233:F237">_xlfn.SEQUENCE(5,1,10,-2)</f>
        <v>10</v>
      </c>
      <c r="G233" s="7"/>
      <c r="H233" s="7"/>
      <c r="I233" s="7"/>
    </row>
    <row r="234" spans="2:9">
      <c r="F234">
        <v>8</v>
      </c>
    </row>
    <row r="235" spans="2:9">
      <c r="F235">
        <v>6</v>
      </c>
    </row>
    <row r="236" spans="2:9">
      <c r="F236">
        <v>4</v>
      </c>
    </row>
    <row r="237" spans="2:9">
      <c r="F237">
        <v>2</v>
      </c>
    </row>
    <row r="239" spans="2:9">
      <c r="B239" s="4" t="s">
        <v>118</v>
      </c>
      <c r="C239" s="10" t="s">
        <v>119</v>
      </c>
      <c r="F239" s="7" cm="1">
        <f t="array" ref="F239:F242">_xlfn.SEQUENCE(4,1,0,0.25)</f>
        <v>0</v>
      </c>
      <c r="G239" s="7"/>
      <c r="H239" s="7"/>
      <c r="I239" s="7"/>
    </row>
    <row r="240" spans="2:9">
      <c r="F240">
        <v>0.25</v>
      </c>
    </row>
    <row r="241" spans="2:9">
      <c r="F241">
        <v>0.5</v>
      </c>
    </row>
    <row r="242" spans="2:9">
      <c r="F242">
        <v>0.75</v>
      </c>
    </row>
    <row r="244" spans="2:9">
      <c r="B244" s="4" t="s">
        <v>120</v>
      </c>
      <c r="C244" s="10" t="s">
        <v>121</v>
      </c>
      <c r="F244" s="7" cm="1">
        <f t="array" ref="F244:I246">_xlfn.SEQUENCE(3,4,1,1)</f>
        <v>1</v>
      </c>
      <c r="G244" s="7">
        <v>2</v>
      </c>
      <c r="H244" s="7">
        <v>3</v>
      </c>
      <c r="I244" s="7">
        <v>4</v>
      </c>
    </row>
    <row r="245" spans="2:9">
      <c r="F245">
        <v>5</v>
      </c>
      <c r="G245">
        <v>6</v>
      </c>
      <c r="H245">
        <v>7</v>
      </c>
      <c r="I245">
        <v>8</v>
      </c>
    </row>
    <row r="246" spans="2:9">
      <c r="F246">
        <v>9</v>
      </c>
      <c r="G246">
        <v>10</v>
      </c>
      <c r="H246">
        <v>11</v>
      </c>
      <c r="I246">
        <v>12</v>
      </c>
    </row>
    <row r="248" spans="2:9">
      <c r="B248" s="4" t="s">
        <v>122</v>
      </c>
      <c r="C248" s="10" t="s">
        <v>123</v>
      </c>
      <c r="F248" s="7" cm="1">
        <f t="array" ref="F248">_xlfn.SEQUENCE(1,1)</f>
        <v>1</v>
      </c>
      <c r="G248" s="7"/>
      <c r="H248" s="7"/>
      <c r="I248" s="7"/>
    </row>
    <row r="250" spans="2:9">
      <c r="B250" s="4" t="s">
        <v>124</v>
      </c>
      <c r="C250" s="10" t="s">
        <v>125</v>
      </c>
      <c r="F250" s="7" cm="1">
        <f t="array" ref="F250:F254">_xlfn.SEQUENCE(5,1,100,-10)</f>
        <v>100</v>
      </c>
      <c r="G250" s="7"/>
      <c r="H250" s="7"/>
      <c r="I250" s="7"/>
    </row>
    <row r="251" spans="2:9">
      <c r="F251">
        <v>90</v>
      </c>
    </row>
    <row r="252" spans="2:9">
      <c r="F252">
        <v>80</v>
      </c>
    </row>
    <row r="253" spans="2:9">
      <c r="F253">
        <v>70</v>
      </c>
    </row>
    <row r="254" spans="2:9">
      <c r="F254">
        <v>60</v>
      </c>
    </row>
    <row r="258" spans="2:11">
      <c r="B258" s="3" t="s">
        <v>126</v>
      </c>
      <c r="C258" s="3"/>
      <c r="D258" s="3"/>
      <c r="E258" s="3"/>
      <c r="F258" s="3"/>
      <c r="G258" s="3"/>
      <c r="H258" s="3"/>
      <c r="I258" s="3"/>
      <c r="J258" s="3"/>
      <c r="K258" s="3"/>
    </row>
    <row r="260" spans="2:11">
      <c r="B260" s="6" t="s">
        <v>28</v>
      </c>
      <c r="C260" s="6" t="s">
        <v>29</v>
      </c>
      <c r="F260" s="11" t="s">
        <v>32</v>
      </c>
      <c r="G260" s="11"/>
      <c r="H260" s="11"/>
      <c r="I260" s="11"/>
      <c r="J260" s="11"/>
      <c r="K260" s="11"/>
    </row>
    <row r="261" spans="2:11">
      <c r="B261" s="4" t="s">
        <v>127</v>
      </c>
      <c r="C261" s="10" t="s">
        <v>128</v>
      </c>
      <c r="F261" s="7" cm="1">
        <f t="array" aca="1" ref="F261:F265" ca="1">_xlfn.RANDARRAY(5)</f>
        <v>0.57243352747772747</v>
      </c>
      <c r="G261" s="7"/>
      <c r="H261" s="7"/>
      <c r="I261" s="7"/>
    </row>
    <row r="262" spans="2:11">
      <c r="F262">
        <f ca="1"/>
        <v>0.61751194629877171</v>
      </c>
    </row>
    <row r="263" spans="2:11">
      <c r="F263">
        <f ca="1"/>
        <v>0.31830788779292951</v>
      </c>
    </row>
    <row r="264" spans="2:11">
      <c r="F264">
        <f ca="1"/>
        <v>0.34373512138354112</v>
      </c>
    </row>
    <row r="265" spans="2:11">
      <c r="F265">
        <f ca="1"/>
        <v>0.29954222157996191</v>
      </c>
    </row>
    <row r="267" spans="2:11">
      <c r="B267" s="4" t="s">
        <v>129</v>
      </c>
      <c r="C267" s="10" t="s">
        <v>130</v>
      </c>
      <c r="F267" s="7" cm="1">
        <f t="array" aca="1" ref="F267:J267" ca="1">_xlfn.RANDARRAY(1,5)</f>
        <v>0.18423928489038088</v>
      </c>
      <c r="G267" s="7">
        <f ca="1"/>
        <v>0.28482139876188284</v>
      </c>
      <c r="H267" s="7">
        <f ca="1"/>
        <v>4.7323291918601296E-2</v>
      </c>
      <c r="I267" s="7">
        <f ca="1"/>
        <v>0.8443054701595496</v>
      </c>
      <c r="J267">
        <f ca="1"/>
        <v>0.12829022953950298</v>
      </c>
    </row>
    <row r="269" spans="2:11">
      <c r="B269" s="4" t="s">
        <v>131</v>
      </c>
      <c r="C269" s="10" t="s">
        <v>132</v>
      </c>
      <c r="F269" s="7" cm="1">
        <f t="array" aca="1" ref="F269:H271" ca="1">_xlfn.RANDARRAY(3,3)</f>
        <v>0.21153681185713813</v>
      </c>
      <c r="G269" s="7">
        <f ca="1"/>
        <v>0.88834172996459837</v>
      </c>
      <c r="H269" s="7">
        <f ca="1"/>
        <v>0.67089533807136137</v>
      </c>
      <c r="I269" s="7"/>
    </row>
    <row r="270" spans="2:11">
      <c r="F270">
        <f ca="1"/>
        <v>0.5625954758203815</v>
      </c>
      <c r="G270">
        <f ca="1"/>
        <v>0.73533222280713928</v>
      </c>
      <c r="H270">
        <f ca="1"/>
        <v>0.96433453472560271</v>
      </c>
    </row>
    <row r="271" spans="2:11">
      <c r="F271">
        <f ca="1"/>
        <v>0.32565715639231541</v>
      </c>
      <c r="G271">
        <f ca="1"/>
        <v>0.49977432250368237</v>
      </c>
      <c r="H271">
        <f ca="1"/>
        <v>0.27038058784905061</v>
      </c>
    </row>
    <row r="273" spans="2:9">
      <c r="B273" s="4" t="s">
        <v>133</v>
      </c>
      <c r="C273" s="10" t="s">
        <v>134</v>
      </c>
      <c r="F273" s="7" cm="1">
        <f t="array" aca="1" ref="F273:F277" ca="1">_xlfn.RANDARRAY(5,1,1,100)</f>
        <v>85.079109463148555</v>
      </c>
      <c r="G273" s="7"/>
      <c r="H273" s="7"/>
      <c r="I273" s="7"/>
    </row>
    <row r="274" spans="2:9">
      <c r="F274">
        <f ca="1"/>
        <v>89.840549803467169</v>
      </c>
    </row>
    <row r="275" spans="2:9">
      <c r="F275">
        <f ca="1"/>
        <v>95.058302069372019</v>
      </c>
    </row>
    <row r="276" spans="2:9">
      <c r="F276">
        <f ca="1"/>
        <v>81.393760261566612</v>
      </c>
    </row>
    <row r="277" spans="2:9">
      <c r="F277">
        <f ca="1"/>
        <v>59.383871351836149</v>
      </c>
    </row>
    <row r="279" spans="2:9">
      <c r="B279" s="4" t="s">
        <v>135</v>
      </c>
      <c r="C279" s="10" t="s">
        <v>136</v>
      </c>
      <c r="F279" s="7" cm="1">
        <f t="array" aca="1" ref="F279:F283" ca="1">_xlfn.RANDARRAY(5,1,1,100,TRUE)</f>
        <v>62</v>
      </c>
      <c r="G279" s="7"/>
      <c r="H279" s="7"/>
      <c r="I279" s="7"/>
    </row>
    <row r="280" spans="2:9">
      <c r="F280">
        <f ca="1"/>
        <v>62</v>
      </c>
    </row>
    <row r="281" spans="2:9">
      <c r="F281">
        <f ca="1"/>
        <v>34</v>
      </c>
    </row>
    <row r="282" spans="2:9">
      <c r="F282">
        <f ca="1"/>
        <v>53</v>
      </c>
    </row>
    <row r="283" spans="2:9">
      <c r="F283">
        <f ca="1"/>
        <v>31</v>
      </c>
    </row>
    <row r="285" spans="2:9">
      <c r="B285" s="4" t="s">
        <v>137</v>
      </c>
      <c r="C285" s="10" t="s">
        <v>138</v>
      </c>
      <c r="F285" s="7" cm="1">
        <f t="array" aca="1" ref="F285:H287" ca="1">_xlfn.RANDARRAY(3,3,0,1,FALSE)</f>
        <v>0.35305737176224317</v>
      </c>
      <c r="G285" s="7">
        <f ca="1"/>
        <v>0.9472658112219301</v>
      </c>
      <c r="H285" s="7">
        <f ca="1"/>
        <v>0.80296539231388708</v>
      </c>
      <c r="I285" s="7"/>
    </row>
    <row r="286" spans="2:9">
      <c r="F286">
        <f ca="1"/>
        <v>0.39239173856285259</v>
      </c>
      <c r="G286">
        <f ca="1"/>
        <v>0.90594880643045728</v>
      </c>
      <c r="H286">
        <f ca="1"/>
        <v>0.47627072708332108</v>
      </c>
    </row>
    <row r="287" spans="2:9">
      <c r="F287">
        <f ca="1"/>
        <v>0.17558940487862595</v>
      </c>
      <c r="G287">
        <f ca="1"/>
        <v>0.91106683969571023</v>
      </c>
      <c r="H287">
        <f ca="1"/>
        <v>0.92604855822180343</v>
      </c>
    </row>
    <row r="289" spans="2:11">
      <c r="B289" s="4" t="s">
        <v>139</v>
      </c>
      <c r="C289" s="10" t="s">
        <v>140</v>
      </c>
      <c r="F289" s="7" cm="1">
        <f t="array" aca="1" ref="F289:F293" ca="1">_xlfn.RANDARRAY(5,1,-10,10,TRUE)</f>
        <v>3</v>
      </c>
      <c r="G289" s="7"/>
      <c r="H289" s="7"/>
      <c r="I289" s="7"/>
    </row>
    <row r="290" spans="2:11">
      <c r="F290">
        <f ca="1"/>
        <v>0</v>
      </c>
    </row>
    <row r="291" spans="2:11">
      <c r="F291">
        <f ca="1"/>
        <v>-3</v>
      </c>
    </row>
    <row r="292" spans="2:11">
      <c r="F292">
        <f ca="1"/>
        <v>3</v>
      </c>
    </row>
    <row r="293" spans="2:11">
      <c r="F293">
        <f ca="1"/>
        <v>2</v>
      </c>
    </row>
    <row r="295" spans="2:11">
      <c r="B295" s="4" t="s">
        <v>141</v>
      </c>
      <c r="C295" s="10" t="s">
        <v>142</v>
      </c>
      <c r="F295" s="7" cm="1">
        <f t="array" aca="1" ref="F295" ca="1">_xlfn.RANDARRAY(1,1)</f>
        <v>0.5449337063207409</v>
      </c>
      <c r="G295" s="7"/>
      <c r="H295" s="7"/>
      <c r="I295" s="7"/>
    </row>
    <row r="297" spans="2:11">
      <c r="B297" s="4" t="s">
        <v>143</v>
      </c>
      <c r="C297" s="10" t="s">
        <v>144</v>
      </c>
      <c r="F297" s="7" cm="1">
        <f t="array" aca="1" ref="F297:G300" ca="1">_xlfn.RANDARRAY(4,2,0,1000,TRUE)</f>
        <v>833</v>
      </c>
      <c r="G297" s="7">
        <f ca="1"/>
        <v>650</v>
      </c>
      <c r="H297" s="7"/>
      <c r="I297" s="7"/>
    </row>
    <row r="298" spans="2:11">
      <c r="F298">
        <f ca="1"/>
        <v>252</v>
      </c>
      <c r="G298">
        <f ca="1"/>
        <v>203</v>
      </c>
    </row>
    <row r="299" spans="2:11">
      <c r="F299">
        <f ca="1"/>
        <v>803</v>
      </c>
      <c r="G299">
        <f ca="1"/>
        <v>583</v>
      </c>
    </row>
    <row r="300" spans="2:11">
      <c r="F300">
        <f ca="1"/>
        <v>252</v>
      </c>
      <c r="G300">
        <f ca="1"/>
        <v>750</v>
      </c>
    </row>
    <row r="303" spans="2:11">
      <c r="B303" s="3" t="s">
        <v>145</v>
      </c>
      <c r="C303" s="3"/>
      <c r="D303" s="3"/>
      <c r="E303" s="3"/>
      <c r="F303" s="3"/>
      <c r="G303" s="3"/>
      <c r="H303" s="3"/>
      <c r="I303" s="3"/>
      <c r="J303" s="3"/>
      <c r="K303" s="3"/>
    </row>
    <row r="305" spans="2:11">
      <c r="B305" s="6" t="s">
        <v>28</v>
      </c>
      <c r="C305" s="6" t="s">
        <v>29</v>
      </c>
      <c r="F305" s="11" t="s">
        <v>32</v>
      </c>
      <c r="G305" s="11"/>
      <c r="H305" s="11"/>
      <c r="I305" s="11"/>
      <c r="J305" s="11"/>
      <c r="K305" s="11"/>
    </row>
    <row r="306" spans="2:11">
      <c r="B306" s="4" t="s">
        <v>146</v>
      </c>
      <c r="C306" s="10" t="s">
        <v>147</v>
      </c>
      <c r="F306" s="7" t="str" cm="1">
        <f t="array" ref="F306:F310">_xlfn.CHOOSECOLS($B$11:$E$15,1)</f>
        <v>Alice</v>
      </c>
      <c r="G306" s="7"/>
      <c r="H306" s="7"/>
      <c r="I306" s="7"/>
    </row>
    <row r="307" spans="2:11">
      <c r="F307" t="str">
        <v>Bob</v>
      </c>
    </row>
    <row r="308" spans="2:11">
      <c r="F308" t="str">
        <v>Charlie</v>
      </c>
    </row>
    <row r="309" spans="2:11">
      <c r="F309" t="str">
        <v>Diana</v>
      </c>
    </row>
    <row r="310" spans="2:11">
      <c r="F310" t="str">
        <v>Eve</v>
      </c>
    </row>
    <row r="313" spans="2:11">
      <c r="B313" s="4" t="s">
        <v>148</v>
      </c>
      <c r="C313" s="10" t="s">
        <v>149</v>
      </c>
      <c r="F313" s="7" t="str" cm="1">
        <f t="array" ref="F313:F317">_xlfn.CHOOSECOLS($B$11:$E$15,4)</f>
        <v>East</v>
      </c>
      <c r="G313" s="7"/>
      <c r="H313" s="7"/>
      <c r="I313" s="7"/>
    </row>
    <row r="314" spans="2:11">
      <c r="F314" t="str">
        <v>West</v>
      </c>
    </row>
    <row r="315" spans="2:11">
      <c r="F315" t="str">
        <v>East</v>
      </c>
    </row>
    <row r="316" spans="2:11">
      <c r="F316" t="str">
        <v>West</v>
      </c>
    </row>
    <row r="317" spans="2:11">
      <c r="F317" t="str">
        <v>North</v>
      </c>
    </row>
    <row r="320" spans="2:11">
      <c r="B320" s="4" t="s">
        <v>150</v>
      </c>
      <c r="C320" s="10" t="s">
        <v>151</v>
      </c>
      <c r="F320" s="7" t="str" cm="1">
        <f t="array" ref="F320:G324">_xlfn.CHOOSECOLS($B$11:$E$15,1,3)</f>
        <v>Alice</v>
      </c>
      <c r="G320" s="7" t="str">
        <v>A</v>
      </c>
      <c r="H320" s="7"/>
      <c r="I320" s="7"/>
    </row>
    <row r="321" spans="2:9">
      <c r="F321" t="str">
        <v>Bob</v>
      </c>
      <c r="G321" t="str">
        <v>C</v>
      </c>
    </row>
    <row r="322" spans="2:9">
      <c r="F322" t="str">
        <v>Charlie</v>
      </c>
      <c r="G322" t="str">
        <v>A</v>
      </c>
    </row>
    <row r="323" spans="2:9">
      <c r="F323" t="str">
        <v>Diana</v>
      </c>
      <c r="G323" t="str">
        <v>B</v>
      </c>
    </row>
    <row r="324" spans="2:9">
      <c r="F324" t="str">
        <v>Eve</v>
      </c>
      <c r="G324" t="str">
        <v>A</v>
      </c>
    </row>
    <row r="327" spans="2:9">
      <c r="B327" s="4" t="s">
        <v>152</v>
      </c>
      <c r="C327" s="10" t="s">
        <v>153</v>
      </c>
      <c r="F327" s="7" t="str" cm="1">
        <f t="array" ref="F327:H331">_xlfn.CHOOSECOLS($B$11:$E$15,4,2,1)</f>
        <v>East</v>
      </c>
      <c r="G327" s="7">
        <v>85</v>
      </c>
      <c r="H327" s="7" t="str">
        <v>Alice</v>
      </c>
      <c r="I327" s="7"/>
    </row>
    <row r="328" spans="2:9">
      <c r="F328" t="str">
        <v>West</v>
      </c>
      <c r="G328">
        <v>62</v>
      </c>
      <c r="H328" t="str">
        <v>Bob</v>
      </c>
    </row>
    <row r="329" spans="2:9">
      <c r="F329" t="str">
        <v>East</v>
      </c>
      <c r="G329">
        <v>91</v>
      </c>
      <c r="H329" t="str">
        <v>Charlie</v>
      </c>
    </row>
    <row r="330" spans="2:9">
      <c r="F330" t="str">
        <v>West</v>
      </c>
      <c r="G330">
        <v>78</v>
      </c>
      <c r="H330" t="str">
        <v>Diana</v>
      </c>
    </row>
    <row r="331" spans="2:9">
      <c r="F331" t="str">
        <v>North</v>
      </c>
      <c r="G331">
        <v>91</v>
      </c>
      <c r="H331" t="str">
        <v>Eve</v>
      </c>
    </row>
    <row r="334" spans="2:9">
      <c r="B334" s="4" t="s">
        <v>154</v>
      </c>
      <c r="C334" s="10" t="s">
        <v>155</v>
      </c>
      <c r="F334" s="7" t="str" cm="1">
        <f t="array" ref="F334:F338">_xlfn.CHOOSECOLS($B$11:$E$15,-1)</f>
        <v>East</v>
      </c>
      <c r="G334" s="7"/>
      <c r="H334" s="7"/>
      <c r="I334" s="7"/>
    </row>
    <row r="335" spans="2:9">
      <c r="F335" t="str">
        <v>West</v>
      </c>
    </row>
    <row r="336" spans="2:9">
      <c r="F336" t="str">
        <v>East</v>
      </c>
    </row>
    <row r="337" spans="2:9">
      <c r="F337" t="str">
        <v>West</v>
      </c>
    </row>
    <row r="338" spans="2:9">
      <c r="F338" t="str">
        <v>North</v>
      </c>
    </row>
    <row r="341" spans="2:9">
      <c r="B341" s="4" t="s">
        <v>156</v>
      </c>
      <c r="C341" s="10" t="s">
        <v>157</v>
      </c>
      <c r="F341" s="7" t="str" cm="1">
        <f t="array" ref="F341:G345">_xlfn.CHOOSECOLS($B$11:$E$15,-2,-1)</f>
        <v>A</v>
      </c>
      <c r="G341" s="7" t="str">
        <v>East</v>
      </c>
      <c r="H341" s="7"/>
      <c r="I341" s="7"/>
    </row>
    <row r="342" spans="2:9">
      <c r="F342" t="str">
        <v>C</v>
      </c>
      <c r="G342" t="str">
        <v>West</v>
      </c>
    </row>
    <row r="343" spans="2:9">
      <c r="F343" t="str">
        <v>A</v>
      </c>
      <c r="G343" t="str">
        <v>East</v>
      </c>
    </row>
    <row r="344" spans="2:9">
      <c r="F344" t="str">
        <v>B</v>
      </c>
      <c r="G344" t="str">
        <v>West</v>
      </c>
    </row>
    <row r="345" spans="2:9">
      <c r="F345" t="str">
        <v>A</v>
      </c>
      <c r="G345" t="str">
        <v>North</v>
      </c>
    </row>
    <row r="348" spans="2:9">
      <c r="B348" s="4" t="s">
        <v>158</v>
      </c>
      <c r="C348" s="10" t="s">
        <v>159</v>
      </c>
      <c r="F348" s="7" t="str" cm="1">
        <f t="array" ref="F348:H352">_xlfn.CHOOSECOLS($B$11:$E$15,1,1,1)</f>
        <v>Alice</v>
      </c>
      <c r="G348" s="7" t="str">
        <v>Alice</v>
      </c>
      <c r="H348" s="7" t="str">
        <v>Alice</v>
      </c>
      <c r="I348" s="7"/>
    </row>
    <row r="349" spans="2:9">
      <c r="F349" t="str">
        <v>Bob</v>
      </c>
      <c r="G349" t="str">
        <v>Bob</v>
      </c>
      <c r="H349" t="str">
        <v>Bob</v>
      </c>
    </row>
    <row r="350" spans="2:9">
      <c r="F350" t="str">
        <v>Charlie</v>
      </c>
      <c r="G350" t="str">
        <v>Charlie</v>
      </c>
      <c r="H350" t="str">
        <v>Charlie</v>
      </c>
    </row>
    <row r="351" spans="2:9">
      <c r="F351" t="str">
        <v>Diana</v>
      </c>
      <c r="G351" t="str">
        <v>Diana</v>
      </c>
      <c r="H351" t="str">
        <v>Diana</v>
      </c>
    </row>
    <row r="352" spans="2:9">
      <c r="F352" t="str">
        <v>Eve</v>
      </c>
      <c r="G352" t="str">
        <v>Eve</v>
      </c>
      <c r="H352" t="str">
        <v>Eve</v>
      </c>
    </row>
    <row r="357" spans="2:11">
      <c r="B357" s="3" t="s">
        <v>160</v>
      </c>
      <c r="C357" s="3"/>
      <c r="D357" s="3"/>
      <c r="E357" s="3"/>
      <c r="F357" s="3"/>
      <c r="G357" s="3"/>
      <c r="H357" s="3"/>
      <c r="I357" s="3"/>
      <c r="J357" s="3"/>
      <c r="K357" s="3"/>
    </row>
    <row r="359" spans="2:11">
      <c r="B359" s="6" t="s">
        <v>28</v>
      </c>
      <c r="C359" s="6" t="s">
        <v>29</v>
      </c>
      <c r="F359" s="11" t="s">
        <v>32</v>
      </c>
      <c r="G359" s="11"/>
      <c r="H359" s="11"/>
      <c r="I359" s="11"/>
      <c r="J359" s="11"/>
      <c r="K359" s="11"/>
    </row>
    <row r="360" spans="2:11">
      <c r="B360" s="4" t="s">
        <v>161</v>
      </c>
      <c r="C360" s="10" t="s">
        <v>162</v>
      </c>
      <c r="F360" s="7" t="str" cm="1">
        <f t="array" ref="F360:I360">_xlfn.CHOOSEROWS($B$11:$E$15,1)</f>
        <v>Alice</v>
      </c>
      <c r="G360" s="7">
        <v>85</v>
      </c>
      <c r="H360" s="7" t="str">
        <v>A</v>
      </c>
      <c r="I360" s="7" t="str">
        <v>East</v>
      </c>
    </row>
    <row r="362" spans="2:11">
      <c r="B362" s="4" t="s">
        <v>163</v>
      </c>
      <c r="C362" s="10" t="s">
        <v>164</v>
      </c>
      <c r="F362" s="7" t="str" cm="1">
        <f t="array" ref="F362:I362">_xlfn.CHOOSEROWS($B$11:$E$15,5)</f>
        <v>Eve</v>
      </c>
      <c r="G362" s="7">
        <v>91</v>
      </c>
      <c r="H362" s="7" t="str">
        <v>A</v>
      </c>
      <c r="I362" s="7" t="str">
        <v>North</v>
      </c>
    </row>
    <row r="364" spans="2:11">
      <c r="B364" s="4" t="s">
        <v>165</v>
      </c>
      <c r="C364" s="10" t="s">
        <v>166</v>
      </c>
      <c r="F364" s="7" t="str" cm="1">
        <f t="array" ref="F364:I366">_xlfn.CHOOSEROWS($B$11:$E$15,1,3,5)</f>
        <v>Alice</v>
      </c>
      <c r="G364" s="7">
        <v>85</v>
      </c>
      <c r="H364" s="7" t="str">
        <v>A</v>
      </c>
      <c r="I364" s="7" t="str">
        <v>East</v>
      </c>
    </row>
    <row r="365" spans="2:11">
      <c r="F365" t="str">
        <v>Charlie</v>
      </c>
      <c r="G365">
        <v>91</v>
      </c>
      <c r="H365" t="str">
        <v>A</v>
      </c>
      <c r="I365" t="str">
        <v>East</v>
      </c>
    </row>
    <row r="366" spans="2:11">
      <c r="F366" t="str">
        <v>Eve</v>
      </c>
      <c r="G366">
        <v>91</v>
      </c>
      <c r="H366" t="str">
        <v>A</v>
      </c>
      <c r="I366" t="str">
        <v>North</v>
      </c>
    </row>
    <row r="368" spans="2:11">
      <c r="B368" s="4" t="s">
        <v>167</v>
      </c>
      <c r="C368" s="10" t="s">
        <v>168</v>
      </c>
      <c r="F368" s="7" t="str" cm="1">
        <f t="array" ref="F368:I370">_xlfn.CHOOSEROWS($B$11:$E$15,5,3,1)</f>
        <v>Eve</v>
      </c>
      <c r="G368" s="7">
        <v>91</v>
      </c>
      <c r="H368" s="7" t="str">
        <v>A</v>
      </c>
      <c r="I368" s="7" t="str">
        <v>North</v>
      </c>
    </row>
    <row r="369" spans="2:11">
      <c r="F369" t="str">
        <v>Charlie</v>
      </c>
      <c r="G369">
        <v>91</v>
      </c>
      <c r="H369" t="str">
        <v>A</v>
      </c>
      <c r="I369" t="str">
        <v>East</v>
      </c>
    </row>
    <row r="370" spans="2:11">
      <c r="F370" t="str">
        <v>Alice</v>
      </c>
      <c r="G370">
        <v>85</v>
      </c>
      <c r="H370" t="str">
        <v>A</v>
      </c>
      <c r="I370" t="str">
        <v>East</v>
      </c>
    </row>
    <row r="372" spans="2:11">
      <c r="B372" s="4" t="s">
        <v>154</v>
      </c>
      <c r="C372" s="10" t="s">
        <v>169</v>
      </c>
      <c r="F372" s="7" t="str" cm="1">
        <f t="array" ref="F372:I372">_xlfn.CHOOSEROWS($B$11:$E$15,-1)</f>
        <v>Eve</v>
      </c>
      <c r="G372" s="7">
        <v>91</v>
      </c>
      <c r="H372" s="7" t="str">
        <v>A</v>
      </c>
      <c r="I372" s="7" t="str">
        <v>North</v>
      </c>
    </row>
    <row r="374" spans="2:11">
      <c r="B374" s="4" t="s">
        <v>170</v>
      </c>
      <c r="C374" s="10" t="s">
        <v>171</v>
      </c>
      <c r="F374" s="7" t="str" cm="1">
        <f t="array" ref="F374:I376">_xlfn.CHOOSEROWS($B$11:$E$15,-1,-2,-3)</f>
        <v>Eve</v>
      </c>
      <c r="G374" s="7">
        <v>91</v>
      </c>
      <c r="H374" s="7" t="str">
        <v>A</v>
      </c>
      <c r="I374" s="7" t="str">
        <v>North</v>
      </c>
    </row>
    <row r="375" spans="2:11">
      <c r="F375" t="str">
        <v>Diana</v>
      </c>
      <c r="G375">
        <v>78</v>
      </c>
      <c r="H375" t="str">
        <v>B</v>
      </c>
      <c r="I375" t="str">
        <v>West</v>
      </c>
    </row>
    <row r="376" spans="2:11">
      <c r="F376" t="str">
        <v>Charlie</v>
      </c>
      <c r="G376">
        <v>91</v>
      </c>
      <c r="H376" t="str">
        <v>A</v>
      </c>
      <c r="I376" t="str">
        <v>East</v>
      </c>
    </row>
    <row r="378" spans="2:11">
      <c r="B378" s="4" t="s">
        <v>172</v>
      </c>
      <c r="C378" s="10" t="s">
        <v>173</v>
      </c>
      <c r="F378" s="7" t="str" cm="1">
        <f t="array" ref="F378:I379">_xlfn.CHOOSEROWS($B$11:$E$15,1,1)</f>
        <v>Alice</v>
      </c>
      <c r="G378" s="7">
        <v>85</v>
      </c>
      <c r="H378" s="7" t="str">
        <v>A</v>
      </c>
      <c r="I378" s="7" t="str">
        <v>East</v>
      </c>
    </row>
    <row r="379" spans="2:11">
      <c r="F379" t="str">
        <v>Alice</v>
      </c>
      <c r="G379">
        <v>85</v>
      </c>
      <c r="H379" t="str">
        <v>A</v>
      </c>
      <c r="I379" t="str">
        <v>East</v>
      </c>
    </row>
    <row r="382" spans="2:11">
      <c r="B382" s="3" t="s">
        <v>174</v>
      </c>
      <c r="C382" s="3"/>
      <c r="D382" s="3"/>
      <c r="E382" s="3"/>
      <c r="F382" s="3"/>
      <c r="G382" s="3"/>
      <c r="H382" s="3"/>
      <c r="I382" s="3"/>
      <c r="J382" s="3"/>
      <c r="K382" s="3"/>
    </row>
    <row r="384" spans="2:11">
      <c r="B384" s="6" t="s">
        <v>28</v>
      </c>
      <c r="C384" s="6" t="s">
        <v>29</v>
      </c>
      <c r="F384" s="11" t="s">
        <v>32</v>
      </c>
      <c r="G384" s="11"/>
      <c r="H384" s="11"/>
      <c r="I384" s="11"/>
      <c r="J384" s="11"/>
      <c r="K384" s="11"/>
    </row>
    <row r="385" spans="2:15">
      <c r="B385" s="4" t="s">
        <v>175</v>
      </c>
      <c r="C385" s="10" t="s">
        <v>176</v>
      </c>
      <c r="F385" s="7" cm="1">
        <f t="array" ref="F385:O385">_xlfn.HSTACK($C$6:$G$6,$C$7:$G$7)</f>
        <v>10</v>
      </c>
      <c r="G385" s="7">
        <v>25</v>
      </c>
      <c r="H385" s="7">
        <v>-5</v>
      </c>
      <c r="I385" s="7">
        <v>42.5</v>
      </c>
      <c r="J385" s="7">
        <v>0</v>
      </c>
      <c r="K385" s="7" t="str">
        <v>Apple</v>
      </c>
      <c r="L385" t="str">
        <v>Banana</v>
      </c>
      <c r="M385" t="str">
        <v>Cherry</v>
      </c>
      <c r="N385" t="str">
        <v>Date</v>
      </c>
      <c r="O385" t="str">
        <v>Elderberry</v>
      </c>
    </row>
    <row r="387" spans="2:15">
      <c r="B387" s="4" t="s">
        <v>177</v>
      </c>
      <c r="C387" s="10" t="s">
        <v>178</v>
      </c>
      <c r="F387" s="7" t="str" cm="1">
        <f t="array" ref="F387:G391">_xlfn.HSTACK($B$11:$B$15,$C$11:$C$15)</f>
        <v>Alice</v>
      </c>
      <c r="G387" s="7">
        <v>85</v>
      </c>
      <c r="H387" s="7"/>
      <c r="I387" s="7"/>
      <c r="J387" s="7"/>
      <c r="K387" s="7"/>
    </row>
    <row r="388" spans="2:15">
      <c r="F388" t="str">
        <v>Bob</v>
      </c>
      <c r="G388">
        <v>62</v>
      </c>
    </row>
    <row r="389" spans="2:15">
      <c r="F389" t="str">
        <v>Charlie</v>
      </c>
      <c r="G389">
        <v>91</v>
      </c>
    </row>
    <row r="390" spans="2:15">
      <c r="F390" t="str">
        <v>Diana</v>
      </c>
      <c r="G390">
        <v>78</v>
      </c>
    </row>
    <row r="391" spans="2:15">
      <c r="F391" t="str">
        <v>Eve</v>
      </c>
      <c r="G391">
        <v>91</v>
      </c>
    </row>
    <row r="394" spans="2:15">
      <c r="B394" s="4" t="s">
        <v>179</v>
      </c>
      <c r="C394" s="10" t="s">
        <v>180</v>
      </c>
      <c r="F394" s="7" t="str" cm="1">
        <f t="array" ref="F394:H398">_xlfn.HSTACK($B$11:$B$15,$C$11:$C$15,$D$11:$D$15)</f>
        <v>Alice</v>
      </c>
      <c r="G394" s="7">
        <v>85</v>
      </c>
      <c r="H394" s="7" t="str">
        <v>A</v>
      </c>
      <c r="I394" s="7"/>
      <c r="J394" s="7"/>
      <c r="K394" s="7"/>
    </row>
    <row r="395" spans="2:15">
      <c r="F395" t="str">
        <v>Bob</v>
      </c>
      <c r="G395">
        <v>62</v>
      </c>
      <c r="H395" t="str">
        <v>C</v>
      </c>
    </row>
    <row r="396" spans="2:15">
      <c r="F396" t="str">
        <v>Charlie</v>
      </c>
      <c r="G396">
        <v>91</v>
      </c>
      <c r="H396" t="str">
        <v>A</v>
      </c>
    </row>
    <row r="397" spans="2:15">
      <c r="F397" t="str">
        <v>Diana</v>
      </c>
      <c r="G397">
        <v>78</v>
      </c>
      <c r="H397" t="str">
        <v>B</v>
      </c>
    </row>
    <row r="398" spans="2:15">
      <c r="F398" t="str">
        <v>Eve</v>
      </c>
      <c r="G398">
        <v>91</v>
      </c>
      <c r="H398" t="str">
        <v>A</v>
      </c>
    </row>
    <row r="401" spans="2:11">
      <c r="B401" s="4" t="s">
        <v>181</v>
      </c>
      <c r="C401" s="10" t="s">
        <v>182</v>
      </c>
      <c r="F401" s="7" cm="1">
        <f t="array" ref="F401:K401">_xlfn.HSTACK($C$6:$G$6,999)</f>
        <v>10</v>
      </c>
      <c r="G401" s="7">
        <v>25</v>
      </c>
      <c r="H401" s="7">
        <v>-5</v>
      </c>
      <c r="I401" s="7">
        <v>42.5</v>
      </c>
      <c r="J401" s="7">
        <v>0</v>
      </c>
      <c r="K401" s="7">
        <v>999</v>
      </c>
    </row>
    <row r="403" spans="2:11">
      <c r="B403" s="4" t="s">
        <v>183</v>
      </c>
      <c r="C403" s="10" t="s">
        <v>184</v>
      </c>
      <c r="F403" s="7" t="str" cm="1">
        <f t="array" ref="F403:G407">_xlfn.HSTACK($B$11:$B$13,$C$11:$C$15)</f>
        <v>Alice</v>
      </c>
      <c r="G403" s="7">
        <v>85</v>
      </c>
      <c r="H403" s="7"/>
      <c r="I403" s="7"/>
      <c r="J403" s="7"/>
      <c r="K403" s="7"/>
    </row>
    <row r="404" spans="2:11">
      <c r="F404" t="str">
        <v>Bob</v>
      </c>
      <c r="G404">
        <v>62</v>
      </c>
    </row>
    <row r="405" spans="2:11">
      <c r="F405" t="str">
        <v>Charlie</v>
      </c>
      <c r="G405">
        <v>91</v>
      </c>
    </row>
    <row r="406" spans="2:11">
      <c r="F406" t="e">
        <v>#N/A</v>
      </c>
      <c r="G406">
        <v>78</v>
      </c>
    </row>
    <row r="407" spans="2:11">
      <c r="F407" t="e">
        <v>#N/A</v>
      </c>
      <c r="G407">
        <v>91</v>
      </c>
    </row>
    <row r="410" spans="2:11">
      <c r="B410" s="4" t="s">
        <v>185</v>
      </c>
      <c r="C410" s="10" t="s">
        <v>186</v>
      </c>
      <c r="F410" s="7" t="str" cm="1">
        <f t="array" ref="F410:H414">_xlfn.HSTACK($B$11:$C$15,$E$11:$E$15)</f>
        <v>Alice</v>
      </c>
      <c r="G410" s="7">
        <v>85</v>
      </c>
      <c r="H410" s="7" t="str">
        <v>East</v>
      </c>
      <c r="I410" s="7"/>
      <c r="J410" s="7"/>
      <c r="K410" s="7"/>
    </row>
    <row r="411" spans="2:11">
      <c r="F411" t="str">
        <v>Bob</v>
      </c>
      <c r="G411">
        <v>62</v>
      </c>
      <c r="H411" t="str">
        <v>West</v>
      </c>
    </row>
    <row r="412" spans="2:11">
      <c r="F412" t="str">
        <v>Charlie</v>
      </c>
      <c r="G412">
        <v>91</v>
      </c>
      <c r="H412" t="str">
        <v>East</v>
      </c>
    </row>
    <row r="413" spans="2:11">
      <c r="F413" t="str">
        <v>Diana</v>
      </c>
      <c r="G413">
        <v>78</v>
      </c>
      <c r="H413" t="str">
        <v>West</v>
      </c>
    </row>
    <row r="414" spans="2:11">
      <c r="F414" t="str">
        <v>Eve</v>
      </c>
      <c r="G414">
        <v>91</v>
      </c>
      <c r="H414" t="str">
        <v>North</v>
      </c>
    </row>
    <row r="419" spans="2:11">
      <c r="B419" s="3" t="s">
        <v>187</v>
      </c>
      <c r="C419" s="3"/>
      <c r="D419" s="3"/>
      <c r="E419" s="3"/>
      <c r="F419" s="3"/>
      <c r="G419" s="3"/>
      <c r="H419" s="3"/>
      <c r="I419" s="3"/>
      <c r="J419" s="3"/>
      <c r="K419" s="3"/>
    </row>
    <row r="421" spans="2:11">
      <c r="B421" s="6" t="s">
        <v>28</v>
      </c>
      <c r="C421" s="6" t="s">
        <v>29</v>
      </c>
      <c r="F421" s="11" t="s">
        <v>32</v>
      </c>
      <c r="G421" s="11"/>
      <c r="H421" s="11"/>
      <c r="I421" s="11"/>
      <c r="J421" s="11"/>
      <c r="K421" s="11"/>
    </row>
    <row r="422" spans="2:11">
      <c r="B422" s="4" t="s">
        <v>188</v>
      </c>
      <c r="C422" s="10" t="s">
        <v>189</v>
      </c>
      <c r="F422" s="7" cm="1">
        <f t="array" ref="F422:J423">_xlfn.VSTACK($C$6:$G$6,$C$7:$G$7)</f>
        <v>10</v>
      </c>
      <c r="G422" s="7">
        <v>25</v>
      </c>
      <c r="H422" s="7">
        <v>-5</v>
      </c>
      <c r="I422" s="7">
        <v>42.5</v>
      </c>
      <c r="J422" s="7">
        <v>0</v>
      </c>
      <c r="K422" s="7"/>
    </row>
    <row r="423" spans="2:11">
      <c r="F423" t="str">
        <v>Apple</v>
      </c>
      <c r="G423" t="str">
        <v>Banana</v>
      </c>
      <c r="H423" t="str">
        <v>Cherry</v>
      </c>
      <c r="I423" t="str">
        <v>Date</v>
      </c>
      <c r="J423" t="str">
        <v>Elderberry</v>
      </c>
    </row>
    <row r="425" spans="2:11">
      <c r="B425" s="4" t="s">
        <v>190</v>
      </c>
      <c r="C425" s="10" t="s">
        <v>191</v>
      </c>
      <c r="F425" s="7" t="str" cm="1">
        <f t="array" ref="F425:I428">_xlfn.VSTACK($B$11:$E$12,$B$14:$E$15)</f>
        <v>Alice</v>
      </c>
      <c r="G425" s="7">
        <v>85</v>
      </c>
      <c r="H425" s="7" t="str">
        <v>A</v>
      </c>
      <c r="I425" s="7" t="str">
        <v>East</v>
      </c>
      <c r="J425" s="7"/>
      <c r="K425" s="7"/>
    </row>
    <row r="426" spans="2:11">
      <c r="F426" t="str">
        <v>Bob</v>
      </c>
      <c r="G426">
        <v>62</v>
      </c>
      <c r="H426" t="str">
        <v>C</v>
      </c>
      <c r="I426" t="str">
        <v>West</v>
      </c>
    </row>
    <row r="427" spans="2:11">
      <c r="F427" t="str">
        <v>Diana</v>
      </c>
      <c r="G427">
        <v>78</v>
      </c>
      <c r="H427" t="str">
        <v>B</v>
      </c>
      <c r="I427" t="str">
        <v>West</v>
      </c>
    </row>
    <row r="428" spans="2:11">
      <c r="F428" t="str">
        <v>Eve</v>
      </c>
      <c r="G428">
        <v>91</v>
      </c>
      <c r="H428" t="str">
        <v>A</v>
      </c>
      <c r="I428" t="str">
        <v>North</v>
      </c>
    </row>
    <row r="430" spans="2:11">
      <c r="B430" s="4" t="s">
        <v>192</v>
      </c>
      <c r="C430" s="10" t="s">
        <v>193</v>
      </c>
      <c r="F430" s="7" t="str" cm="1">
        <f t="array" ref="F430:I432">_xlfn.VSTACK($B$11:$E$11,$B$13:$E$13,$B$15:$E$15)</f>
        <v>Alice</v>
      </c>
      <c r="G430" s="7">
        <v>85</v>
      </c>
      <c r="H430" s="7" t="str">
        <v>A</v>
      </c>
      <c r="I430" s="7" t="str">
        <v>East</v>
      </c>
      <c r="J430" s="7"/>
      <c r="K430" s="7"/>
    </row>
    <row r="431" spans="2:11">
      <c r="F431" t="str">
        <v>Charlie</v>
      </c>
      <c r="G431">
        <v>91</v>
      </c>
      <c r="H431" t="str">
        <v>A</v>
      </c>
      <c r="I431" t="str">
        <v>East</v>
      </c>
    </row>
    <row r="432" spans="2:11">
      <c r="F432" t="str">
        <v>Eve</v>
      </c>
      <c r="G432">
        <v>91</v>
      </c>
      <c r="H432" t="str">
        <v>A</v>
      </c>
      <c r="I432" t="str">
        <v>North</v>
      </c>
    </row>
    <row r="434" spans="2:11">
      <c r="B434" s="4" t="s">
        <v>181</v>
      </c>
      <c r="C434" s="10" t="s">
        <v>194</v>
      </c>
      <c r="F434" s="7" cm="1">
        <f t="array" ref="F434:J435">_xlfn.VSTACK($C$6:$G$6,{100,200,300,400,500})</f>
        <v>10</v>
      </c>
      <c r="G434" s="7">
        <v>25</v>
      </c>
      <c r="H434" s="7">
        <v>-5</v>
      </c>
      <c r="I434" s="7">
        <v>42.5</v>
      </c>
      <c r="J434" s="7">
        <v>0</v>
      </c>
      <c r="K434" s="7"/>
    </row>
    <row r="435" spans="2:11">
      <c r="F435">
        <v>100</v>
      </c>
      <c r="G435">
        <v>200</v>
      </c>
      <c r="H435">
        <v>300</v>
      </c>
      <c r="I435">
        <v>400</v>
      </c>
      <c r="J435">
        <v>500</v>
      </c>
    </row>
    <row r="437" spans="2:11">
      <c r="B437" s="4" t="s">
        <v>195</v>
      </c>
      <c r="C437" s="10" t="s">
        <v>196</v>
      </c>
      <c r="F437" s="7" t="str" cm="1">
        <f t="array" ref="F437:I440">_xlfn.VSTACK($B$11:$C$12,$B$14:$E$15)</f>
        <v>Alice</v>
      </c>
      <c r="G437" s="7">
        <v>85</v>
      </c>
      <c r="H437" s="7" t="e">
        <v>#N/A</v>
      </c>
      <c r="I437" s="7" t="e">
        <v>#N/A</v>
      </c>
      <c r="J437" s="7"/>
      <c r="K437" s="7"/>
    </row>
    <row r="438" spans="2:11">
      <c r="F438" t="str">
        <v>Bob</v>
      </c>
      <c r="G438">
        <v>62</v>
      </c>
      <c r="H438" t="e">
        <v>#N/A</v>
      </c>
      <c r="I438" t="e">
        <v>#N/A</v>
      </c>
    </row>
    <row r="439" spans="2:11">
      <c r="F439" t="str">
        <v>Diana</v>
      </c>
      <c r="G439">
        <v>78</v>
      </c>
      <c r="H439" t="str">
        <v>B</v>
      </c>
      <c r="I439" t="str">
        <v>West</v>
      </c>
    </row>
    <row r="440" spans="2:11">
      <c r="F440" t="str">
        <v>Eve</v>
      </c>
      <c r="G440">
        <v>91</v>
      </c>
      <c r="H440" t="str">
        <v>A</v>
      </c>
      <c r="I440" t="str">
        <v>North</v>
      </c>
    </row>
    <row r="442" spans="2:11">
      <c r="B442" s="4" t="s">
        <v>197</v>
      </c>
      <c r="C442" s="10" t="s">
        <v>198</v>
      </c>
      <c r="F442" s="7" t="str" cm="1">
        <f t="array" ref="F442:I445">_xlfn.VSTACK($B$11:$E$12,$B$11:$E$12)</f>
        <v>Alice</v>
      </c>
      <c r="G442" s="7">
        <v>85</v>
      </c>
      <c r="H442" s="7" t="str">
        <v>A</v>
      </c>
      <c r="I442" s="7" t="str">
        <v>East</v>
      </c>
      <c r="J442" s="7"/>
      <c r="K442" s="7"/>
    </row>
    <row r="443" spans="2:11">
      <c r="F443" t="str">
        <v>Bob</v>
      </c>
      <c r="G443">
        <v>62</v>
      </c>
      <c r="H443" t="str">
        <v>C</v>
      </c>
      <c r="I443" t="str">
        <v>West</v>
      </c>
    </row>
    <row r="444" spans="2:11">
      <c r="F444" t="str">
        <v>Alice</v>
      </c>
      <c r="G444">
        <v>85</v>
      </c>
      <c r="H444" t="str">
        <v>A</v>
      </c>
      <c r="I444" t="str">
        <v>East</v>
      </c>
    </row>
    <row r="445" spans="2:11">
      <c r="F445" t="str">
        <v>Bob</v>
      </c>
      <c r="G445">
        <v>62</v>
      </c>
      <c r="H445" t="str">
        <v>C</v>
      </c>
      <c r="I445" t="str">
        <v>West</v>
      </c>
    </row>
    <row r="448" spans="2:11">
      <c r="B448" s="3" t="s">
        <v>199</v>
      </c>
      <c r="C448" s="3"/>
      <c r="D448" s="3"/>
      <c r="E448" s="3"/>
      <c r="F448" s="3"/>
      <c r="G448" s="3"/>
      <c r="H448" s="3"/>
      <c r="I448" s="3"/>
      <c r="J448" s="3"/>
      <c r="K448" s="3"/>
    </row>
    <row r="450" spans="2:11">
      <c r="B450" s="6" t="s">
        <v>28</v>
      </c>
      <c r="C450" s="6" t="s">
        <v>29</v>
      </c>
      <c r="F450" s="11" t="s">
        <v>32</v>
      </c>
      <c r="G450" s="11"/>
      <c r="H450" s="11"/>
      <c r="I450" s="11"/>
      <c r="J450" s="11"/>
      <c r="K450" s="11"/>
    </row>
    <row r="451" spans="2:11">
      <c r="B451" s="4" t="s">
        <v>200</v>
      </c>
      <c r="C451" s="10" t="s">
        <v>201</v>
      </c>
      <c r="F451" s="7" t="str" cm="1">
        <f t="array" ref="F451:J451">_xlfn.TOROW($B$11:$B$15)</f>
        <v>Alice</v>
      </c>
      <c r="G451" s="7" t="str">
        <v>Bob</v>
      </c>
      <c r="H451" s="7" t="str">
        <v>Charlie</v>
      </c>
      <c r="I451" s="7" t="str">
        <v>Diana</v>
      </c>
      <c r="J451" s="7" t="str">
        <v>Eve</v>
      </c>
      <c r="K451" s="7"/>
    </row>
    <row r="453" spans="2:11">
      <c r="B453" s="4" t="s">
        <v>202</v>
      </c>
      <c r="C453" s="10" t="s">
        <v>203</v>
      </c>
      <c r="F453" s="7" t="str" cm="1">
        <f t="array" ref="F453:K453">_xlfn.TOROW($B$11:$C$13)</f>
        <v>Alice</v>
      </c>
      <c r="G453" s="7">
        <v>85</v>
      </c>
      <c r="H453" s="7" t="str">
        <v>Bob</v>
      </c>
      <c r="I453" s="7">
        <v>62</v>
      </c>
      <c r="J453" s="7" t="str">
        <v>Charlie</v>
      </c>
      <c r="K453" s="7">
        <v>91</v>
      </c>
    </row>
    <row r="455" spans="2:11">
      <c r="B455" s="4" t="s">
        <v>204</v>
      </c>
      <c r="C455" s="10" t="s">
        <v>205</v>
      </c>
      <c r="F455" s="7" t="str" cm="1">
        <f t="array" ref="F455:K455">_xlfn.TOROW($B$11:$C$13,,TRUE)</f>
        <v>Alice</v>
      </c>
      <c r="G455" s="7" t="str">
        <v>Bob</v>
      </c>
      <c r="H455" s="7" t="str">
        <v>Charlie</v>
      </c>
      <c r="I455" s="7">
        <v>85</v>
      </c>
      <c r="J455" s="7">
        <v>62</v>
      </c>
      <c r="K455" s="7">
        <v>91</v>
      </c>
    </row>
    <row r="457" spans="2:11">
      <c r="B457" s="4" t="s">
        <v>206</v>
      </c>
      <c r="C457" s="10" t="s">
        <v>207</v>
      </c>
      <c r="F457" s="7" t="str" cm="1">
        <f t="array" ref="F457:J457">_xlfn.TOROW($B$11:$B$15,1)</f>
        <v>Alice</v>
      </c>
      <c r="G457" s="7" t="str">
        <v>Bob</v>
      </c>
      <c r="H457" s="7" t="str">
        <v>Charlie</v>
      </c>
      <c r="I457" s="7" t="str">
        <v>Diana</v>
      </c>
      <c r="J457" s="7" t="str">
        <v>Eve</v>
      </c>
      <c r="K457" s="7"/>
    </row>
    <row r="459" spans="2:11">
      <c r="B459" s="4" t="s">
        <v>208</v>
      </c>
      <c r="C459" s="10" t="s">
        <v>209</v>
      </c>
      <c r="F459" s="7" t="str" cm="1">
        <f t="array" ref="F459:J459">_xlfn.TOROW($B$11:$B$15,2)</f>
        <v>Alice</v>
      </c>
      <c r="G459" s="7" t="str">
        <v>Bob</v>
      </c>
      <c r="H459" s="7" t="str">
        <v>Charlie</v>
      </c>
      <c r="I459" s="7" t="str">
        <v>Diana</v>
      </c>
      <c r="J459" s="7" t="str">
        <v>Eve</v>
      </c>
      <c r="K459" s="7"/>
    </row>
    <row r="461" spans="2:11">
      <c r="B461" s="4" t="s">
        <v>210</v>
      </c>
      <c r="C461" s="10" t="s">
        <v>211</v>
      </c>
      <c r="F461" s="7" t="str" cm="1">
        <f t="array" ref="F461:J461">_xlfn.TOROW($B$11:$B$15,3)</f>
        <v>Alice</v>
      </c>
      <c r="G461" s="7" t="str">
        <v>Bob</v>
      </c>
      <c r="H461" s="7" t="str">
        <v>Charlie</v>
      </c>
      <c r="I461" s="7" t="str">
        <v>Diana</v>
      </c>
      <c r="J461" s="7" t="str">
        <v>Eve</v>
      </c>
      <c r="K461" s="7"/>
    </row>
    <row r="465" spans="2:11">
      <c r="B465" s="3" t="s">
        <v>212</v>
      </c>
      <c r="C465" s="3"/>
      <c r="D465" s="3"/>
      <c r="E465" s="3"/>
      <c r="F465" s="3"/>
      <c r="G465" s="3"/>
      <c r="H465" s="3"/>
      <c r="I465" s="3"/>
      <c r="J465" s="3"/>
      <c r="K465" s="3"/>
    </row>
    <row r="467" spans="2:11">
      <c r="B467" s="6" t="s">
        <v>28</v>
      </c>
      <c r="C467" s="6" t="s">
        <v>29</v>
      </c>
      <c r="F467" s="11" t="s">
        <v>32</v>
      </c>
      <c r="G467" s="11"/>
      <c r="H467" s="11"/>
      <c r="I467" s="11"/>
      <c r="J467" s="11"/>
      <c r="K467" s="11"/>
    </row>
    <row r="468" spans="2:11">
      <c r="B468" s="4" t="s">
        <v>213</v>
      </c>
      <c r="C468" s="10" t="s">
        <v>214</v>
      </c>
      <c r="F468" s="7" cm="1">
        <f t="array" ref="F468:F472">_xlfn.TOCOL($C$6:$G$6)</f>
        <v>10</v>
      </c>
      <c r="G468" s="7"/>
      <c r="H468" s="7"/>
      <c r="I468" s="7"/>
      <c r="J468" s="7"/>
      <c r="K468" s="7"/>
    </row>
    <row r="469" spans="2:11">
      <c r="F469">
        <v>25</v>
      </c>
    </row>
    <row r="470" spans="2:11">
      <c r="F470">
        <v>-5</v>
      </c>
    </row>
    <row r="471" spans="2:11">
      <c r="F471">
        <v>42.5</v>
      </c>
    </row>
    <row r="472" spans="2:11">
      <c r="F472">
        <v>0</v>
      </c>
    </row>
    <row r="475" spans="2:11">
      <c r="B475" s="4" t="s">
        <v>215</v>
      </c>
      <c r="C475" s="10" t="s">
        <v>203</v>
      </c>
      <c r="F475" s="7" t="str" cm="1">
        <f t="array" ref="F475:F480">_xlfn.TOCOL($B$11:$C$13)</f>
        <v>Alice</v>
      </c>
      <c r="G475" s="7"/>
      <c r="H475" s="7"/>
      <c r="I475" s="7"/>
      <c r="J475" s="7"/>
      <c r="K475" s="7"/>
    </row>
    <row r="476" spans="2:11">
      <c r="F476">
        <v>85</v>
      </c>
    </row>
    <row r="477" spans="2:11">
      <c r="F477" t="str">
        <v>Bob</v>
      </c>
    </row>
    <row r="478" spans="2:11">
      <c r="F478">
        <v>62</v>
      </c>
    </row>
    <row r="479" spans="2:11">
      <c r="F479" t="str">
        <v>Charlie</v>
      </c>
    </row>
    <row r="480" spans="2:11">
      <c r="F480">
        <v>91</v>
      </c>
    </row>
    <row r="483" spans="2:11">
      <c r="B483" s="4" t="s">
        <v>216</v>
      </c>
      <c r="C483" s="10" t="s">
        <v>205</v>
      </c>
      <c r="F483" s="7" t="str" cm="1">
        <f t="array" ref="F483:F488">_xlfn.TOCOL($B$11:$C$13,,TRUE)</f>
        <v>Alice</v>
      </c>
      <c r="G483" s="7"/>
      <c r="H483" s="7"/>
      <c r="I483" s="7"/>
      <c r="J483" s="7"/>
      <c r="K483" s="7"/>
    </row>
    <row r="484" spans="2:11">
      <c r="F484" t="str">
        <v>Bob</v>
      </c>
    </row>
    <row r="485" spans="2:11">
      <c r="F485" t="str">
        <v>Charlie</v>
      </c>
    </row>
    <row r="486" spans="2:11">
      <c r="F486">
        <v>85</v>
      </c>
    </row>
    <row r="487" spans="2:11">
      <c r="F487">
        <v>62</v>
      </c>
    </row>
    <row r="488" spans="2:11">
      <c r="F488">
        <v>91</v>
      </c>
    </row>
    <row r="491" spans="2:11">
      <c r="B491" s="4" t="s">
        <v>206</v>
      </c>
      <c r="C491" s="10" t="s">
        <v>207</v>
      </c>
      <c r="F491" s="7" cm="1">
        <f t="array" ref="F491:F495">_xlfn.TOCOL($C$6:$G$6,1)</f>
        <v>10</v>
      </c>
      <c r="G491" s="7"/>
      <c r="H491" s="7"/>
      <c r="I491" s="7"/>
      <c r="J491" s="7"/>
      <c r="K491" s="7"/>
    </row>
    <row r="492" spans="2:11">
      <c r="F492">
        <v>25</v>
      </c>
    </row>
    <row r="493" spans="2:11">
      <c r="F493">
        <v>-5</v>
      </c>
    </row>
    <row r="494" spans="2:11">
      <c r="F494">
        <v>42.5</v>
      </c>
    </row>
    <row r="495" spans="2:11">
      <c r="F495">
        <v>0</v>
      </c>
    </row>
    <row r="498" spans="2:11">
      <c r="B498" s="4" t="s">
        <v>208</v>
      </c>
      <c r="C498" s="10" t="s">
        <v>209</v>
      </c>
      <c r="F498" s="7" cm="1">
        <f t="array" ref="F498:F502">_xlfn.TOCOL($C$6:$G$6,2)</f>
        <v>10</v>
      </c>
      <c r="G498" s="7"/>
      <c r="H498" s="7"/>
      <c r="I498" s="7"/>
      <c r="J498" s="7"/>
      <c r="K498" s="7"/>
    </row>
    <row r="499" spans="2:11">
      <c r="F499">
        <v>25</v>
      </c>
    </row>
    <row r="500" spans="2:11">
      <c r="F500">
        <v>-5</v>
      </c>
    </row>
    <row r="501" spans="2:11">
      <c r="F501">
        <v>42.5</v>
      </c>
    </row>
    <row r="502" spans="2:11">
      <c r="F502">
        <v>0</v>
      </c>
    </row>
    <row r="507" spans="2:11">
      <c r="B507" s="3" t="s">
        <v>217</v>
      </c>
      <c r="C507" s="3"/>
      <c r="D507" s="3"/>
      <c r="E507" s="3"/>
      <c r="F507" s="3"/>
      <c r="G507" s="3"/>
      <c r="H507" s="3"/>
      <c r="I507" s="3"/>
      <c r="J507" s="3"/>
      <c r="K507" s="3"/>
    </row>
    <row r="509" spans="2:11">
      <c r="B509" s="6" t="s">
        <v>28</v>
      </c>
      <c r="C509" s="6" t="s">
        <v>29</v>
      </c>
      <c r="F509" s="11" t="s">
        <v>32</v>
      </c>
      <c r="G509" s="11"/>
      <c r="H509" s="11"/>
      <c r="I509" s="11"/>
      <c r="J509" s="11"/>
      <c r="K509" s="11"/>
    </row>
    <row r="510" spans="2:11">
      <c r="B510" s="4" t="s">
        <v>218</v>
      </c>
      <c r="C510" s="10" t="s">
        <v>219</v>
      </c>
      <c r="F510" s="7" t="str" cm="1">
        <f t="array" ref="F510:I511">_xlfn.TAKE($B$11:$E$15,2)</f>
        <v>Alice</v>
      </c>
      <c r="G510" s="7">
        <v>85</v>
      </c>
      <c r="H510" s="7" t="str">
        <v>A</v>
      </c>
      <c r="I510" s="7" t="str">
        <v>East</v>
      </c>
      <c r="J510" s="7"/>
      <c r="K510" s="7"/>
    </row>
    <row r="511" spans="2:11">
      <c r="F511" t="str">
        <v>Bob</v>
      </c>
      <c r="G511">
        <v>62</v>
      </c>
      <c r="H511" t="str">
        <v>C</v>
      </c>
      <c r="I511" t="str">
        <v>West</v>
      </c>
    </row>
    <row r="513" spans="2:11">
      <c r="B513" s="4" t="s">
        <v>220</v>
      </c>
      <c r="C513" s="10" t="s">
        <v>221</v>
      </c>
      <c r="F513" s="7" t="str" cm="1">
        <f t="array" ref="F513:I514">_xlfn.TAKE($B$11:$E$15,-2)</f>
        <v>Diana</v>
      </c>
      <c r="G513" s="7">
        <v>78</v>
      </c>
      <c r="H513" s="7" t="str">
        <v>B</v>
      </c>
      <c r="I513" s="7" t="str">
        <v>West</v>
      </c>
      <c r="J513" s="7"/>
      <c r="K513" s="7"/>
    </row>
    <row r="514" spans="2:11">
      <c r="F514" t="str">
        <v>Eve</v>
      </c>
      <c r="G514">
        <v>91</v>
      </c>
      <c r="H514" t="str">
        <v>A</v>
      </c>
      <c r="I514" t="str">
        <v>North</v>
      </c>
    </row>
    <row r="516" spans="2:11">
      <c r="B516" s="4" t="s">
        <v>222</v>
      </c>
      <c r="C516" s="10" t="s">
        <v>223</v>
      </c>
      <c r="F516" s="7" t="str" cm="1">
        <f t="array" ref="F516:G520">_xlfn.TAKE($B$11:$E$15,,2)</f>
        <v>Alice</v>
      </c>
      <c r="G516" s="7">
        <v>85</v>
      </c>
      <c r="H516" s="7"/>
      <c r="I516" s="7"/>
      <c r="J516" s="7"/>
      <c r="K516" s="7"/>
    </row>
    <row r="517" spans="2:11">
      <c r="F517" t="str">
        <v>Bob</v>
      </c>
      <c r="G517">
        <v>62</v>
      </c>
    </row>
    <row r="518" spans="2:11">
      <c r="F518" t="str">
        <v>Charlie</v>
      </c>
      <c r="G518">
        <v>91</v>
      </c>
    </row>
    <row r="519" spans="2:11">
      <c r="F519" t="str">
        <v>Diana</v>
      </c>
      <c r="G519">
        <v>78</v>
      </c>
    </row>
    <row r="520" spans="2:11">
      <c r="F520" t="str">
        <v>Eve</v>
      </c>
      <c r="G520">
        <v>91</v>
      </c>
    </row>
    <row r="523" spans="2:11">
      <c r="B523" s="4" t="s">
        <v>224</v>
      </c>
      <c r="C523" s="10" t="s">
        <v>225</v>
      </c>
      <c r="F523" s="7" t="str" cm="1">
        <f t="array" ref="F523:F527">_xlfn.TAKE($B$11:$E$15,,-1)</f>
        <v>East</v>
      </c>
      <c r="G523" s="7"/>
      <c r="H523" s="7"/>
      <c r="I523" s="7"/>
      <c r="J523" s="7"/>
      <c r="K523" s="7"/>
    </row>
    <row r="524" spans="2:11">
      <c r="F524" t="str">
        <v>West</v>
      </c>
    </row>
    <row r="525" spans="2:11">
      <c r="F525" t="str">
        <v>East</v>
      </c>
    </row>
    <row r="526" spans="2:11">
      <c r="F526" t="str">
        <v>West</v>
      </c>
    </row>
    <row r="527" spans="2:11">
      <c r="F527" t="str">
        <v>North</v>
      </c>
    </row>
    <row r="530" spans="2:11">
      <c r="B530" s="4" t="s">
        <v>226</v>
      </c>
      <c r="C530" s="10" t="s">
        <v>227</v>
      </c>
      <c r="F530" s="7" t="str" cm="1">
        <f t="array" ref="F530:G531">_xlfn.TAKE($B$11:$E$15,2,2)</f>
        <v>Alice</v>
      </c>
      <c r="G530" s="7">
        <v>85</v>
      </c>
      <c r="H530" s="7"/>
      <c r="I530" s="7"/>
      <c r="J530" s="7"/>
      <c r="K530" s="7"/>
    </row>
    <row r="531" spans="2:11">
      <c r="F531" t="str">
        <v>Bob</v>
      </c>
      <c r="G531">
        <v>62</v>
      </c>
    </row>
    <row r="533" spans="2:11">
      <c r="B533" s="4" t="s">
        <v>228</v>
      </c>
      <c r="C533" s="10" t="s">
        <v>229</v>
      </c>
      <c r="F533" s="7" t="str" cm="1">
        <f t="array" ref="F533">_xlfn.TAKE($B$11:$E$15,-1,-1)</f>
        <v>North</v>
      </c>
      <c r="G533" s="7"/>
      <c r="H533" s="7"/>
      <c r="I533" s="7"/>
      <c r="J533" s="7"/>
      <c r="K533" s="7"/>
    </row>
    <row r="535" spans="2:11">
      <c r="B535" s="4" t="s">
        <v>230</v>
      </c>
      <c r="C535" s="10" t="s">
        <v>231</v>
      </c>
      <c r="F535" s="7" t="str" cm="1">
        <f t="array" ref="F535:G537">_xlfn.TAKE($B$11:$E$15,3,-2)</f>
        <v>A</v>
      </c>
      <c r="G535" s="7" t="str">
        <v>East</v>
      </c>
      <c r="H535" s="7"/>
      <c r="I535" s="7"/>
      <c r="J535" s="7"/>
      <c r="K535" s="7"/>
    </row>
    <row r="536" spans="2:11">
      <c r="F536" t="str">
        <v>C</v>
      </c>
      <c r="G536" t="str">
        <v>West</v>
      </c>
    </row>
    <row r="537" spans="2:11">
      <c r="F537" t="str">
        <v>A</v>
      </c>
      <c r="G537" t="str">
        <v>East</v>
      </c>
    </row>
    <row r="539" spans="2:11">
      <c r="B539" s="4" t="s">
        <v>232</v>
      </c>
      <c r="C539" s="10" t="s">
        <v>233</v>
      </c>
      <c r="F539" s="7" cm="1">
        <f t="array" ref="F539:H539">_xlfn.TAKE($C$6:$G$6,,3)</f>
        <v>10</v>
      </c>
      <c r="G539" s="7">
        <v>25</v>
      </c>
      <c r="H539" s="7">
        <v>-5</v>
      </c>
      <c r="I539" s="7"/>
      <c r="J539" s="7"/>
      <c r="K539" s="7"/>
    </row>
    <row r="541" spans="2:11">
      <c r="B541" s="4" t="s">
        <v>234</v>
      </c>
      <c r="C541" s="10" t="s">
        <v>235</v>
      </c>
      <c r="F541" s="7" cm="1">
        <f t="array" ref="F541:G541">_xlfn.TAKE($C$6:$G$6,,-2)</f>
        <v>42.5</v>
      </c>
      <c r="G541" s="7">
        <v>0</v>
      </c>
      <c r="H541" s="7"/>
      <c r="I541" s="7"/>
      <c r="J541" s="7"/>
      <c r="K541" s="7"/>
    </row>
    <row r="545" spans="2:11">
      <c r="B545" s="3" t="s">
        <v>236</v>
      </c>
      <c r="C545" s="3"/>
      <c r="D545" s="3"/>
      <c r="E545" s="3"/>
      <c r="F545" s="3"/>
      <c r="G545" s="3"/>
      <c r="H545" s="3"/>
      <c r="I545" s="3"/>
      <c r="J545" s="3"/>
      <c r="K545" s="3"/>
    </row>
    <row r="547" spans="2:11">
      <c r="B547" s="6" t="s">
        <v>28</v>
      </c>
      <c r="C547" s="6" t="s">
        <v>29</v>
      </c>
      <c r="F547" s="11" t="s">
        <v>32</v>
      </c>
      <c r="G547" s="11"/>
      <c r="H547" s="11"/>
      <c r="I547" s="11"/>
      <c r="J547" s="11"/>
      <c r="K547" s="11"/>
    </row>
    <row r="548" spans="2:11">
      <c r="B548" s="4" t="s">
        <v>237</v>
      </c>
      <c r="C548" s="10" t="s">
        <v>238</v>
      </c>
      <c r="F548" s="7" t="str" cm="1">
        <f t="array" ref="F548:I550">_xlfn.DROP($B$11:$E$15,2)</f>
        <v>Charlie</v>
      </c>
      <c r="G548" s="7">
        <v>91</v>
      </c>
      <c r="H548" s="7" t="str">
        <v>A</v>
      </c>
      <c r="I548" s="7" t="str">
        <v>East</v>
      </c>
      <c r="J548" s="7"/>
      <c r="K548" s="7"/>
    </row>
    <row r="549" spans="2:11">
      <c r="F549" t="str">
        <v>Diana</v>
      </c>
      <c r="G549">
        <v>78</v>
      </c>
      <c r="H549" t="str">
        <v>B</v>
      </c>
      <c r="I549" t="str">
        <v>West</v>
      </c>
    </row>
    <row r="550" spans="2:11">
      <c r="F550" t="str">
        <v>Eve</v>
      </c>
      <c r="G550">
        <v>91</v>
      </c>
      <c r="H550" t="str">
        <v>A</v>
      </c>
      <c r="I550" t="str">
        <v>North</v>
      </c>
    </row>
    <row r="552" spans="2:11">
      <c r="B552" s="4" t="s">
        <v>239</v>
      </c>
      <c r="C552" s="10" t="s">
        <v>240</v>
      </c>
      <c r="F552" s="7" t="str" cm="1">
        <f t="array" ref="F552:I554">_xlfn.DROP($B$11:$E$15,-2)</f>
        <v>Alice</v>
      </c>
      <c r="G552" s="7">
        <v>85</v>
      </c>
      <c r="H552" s="7" t="str">
        <v>A</v>
      </c>
      <c r="I552" s="7" t="str">
        <v>East</v>
      </c>
      <c r="J552" s="7"/>
      <c r="K552" s="7"/>
    </row>
    <row r="553" spans="2:11">
      <c r="F553" t="str">
        <v>Bob</v>
      </c>
      <c r="G553">
        <v>62</v>
      </c>
      <c r="H553" t="str">
        <v>C</v>
      </c>
      <c r="I553" t="str">
        <v>West</v>
      </c>
    </row>
    <row r="554" spans="2:11">
      <c r="F554" t="str">
        <v>Charlie</v>
      </c>
      <c r="G554">
        <v>91</v>
      </c>
      <c r="H554" t="str">
        <v>A</v>
      </c>
      <c r="I554" t="str">
        <v>East</v>
      </c>
    </row>
    <row r="556" spans="2:11">
      <c r="B556" s="4" t="s">
        <v>241</v>
      </c>
      <c r="C556" s="10" t="s">
        <v>242</v>
      </c>
      <c r="F556" s="7" cm="1">
        <f t="array" ref="F556:H560">_xlfn.DROP($B$11:$E$15,,1)</f>
        <v>85</v>
      </c>
      <c r="G556" s="7" t="str">
        <v>A</v>
      </c>
      <c r="H556" s="7" t="str">
        <v>East</v>
      </c>
      <c r="I556" s="7"/>
      <c r="J556" s="7"/>
      <c r="K556" s="7"/>
    </row>
    <row r="557" spans="2:11">
      <c r="F557">
        <v>62</v>
      </c>
      <c r="G557" t="str">
        <v>C</v>
      </c>
      <c r="H557" t="str">
        <v>West</v>
      </c>
    </row>
    <row r="558" spans="2:11">
      <c r="F558">
        <v>91</v>
      </c>
      <c r="G558" t="str">
        <v>A</v>
      </c>
      <c r="H558" t="str">
        <v>East</v>
      </c>
    </row>
    <row r="559" spans="2:11">
      <c r="F559">
        <v>78</v>
      </c>
      <c r="G559" t="str">
        <v>B</v>
      </c>
      <c r="H559" t="str">
        <v>West</v>
      </c>
    </row>
    <row r="560" spans="2:11">
      <c r="F560">
        <v>91</v>
      </c>
      <c r="G560" t="str">
        <v>A</v>
      </c>
      <c r="H560" t="str">
        <v>North</v>
      </c>
    </row>
    <row r="563" spans="2:11">
      <c r="B563" s="4" t="s">
        <v>243</v>
      </c>
      <c r="C563" s="10" t="s">
        <v>244</v>
      </c>
      <c r="F563" s="7" t="str" cm="1">
        <f t="array" ref="F563:H567">_xlfn.DROP($B$11:$E$15,,-1)</f>
        <v>Alice</v>
      </c>
      <c r="G563" s="7">
        <v>85</v>
      </c>
      <c r="H563" s="7" t="str">
        <v>A</v>
      </c>
      <c r="I563" s="7"/>
      <c r="J563" s="7"/>
      <c r="K563" s="7"/>
    </row>
    <row r="564" spans="2:11">
      <c r="F564" t="str">
        <v>Bob</v>
      </c>
      <c r="G564">
        <v>62</v>
      </c>
      <c r="H564" t="str">
        <v>C</v>
      </c>
    </row>
    <row r="565" spans="2:11">
      <c r="F565" t="str">
        <v>Charlie</v>
      </c>
      <c r="G565">
        <v>91</v>
      </c>
      <c r="H565" t="str">
        <v>A</v>
      </c>
    </row>
    <row r="566" spans="2:11">
      <c r="F566" t="str">
        <v>Diana</v>
      </c>
      <c r="G566">
        <v>78</v>
      </c>
      <c r="H566" t="str">
        <v>B</v>
      </c>
    </row>
    <row r="567" spans="2:11">
      <c r="F567" t="str">
        <v>Eve</v>
      </c>
      <c r="G567">
        <v>91</v>
      </c>
      <c r="H567" t="str">
        <v>A</v>
      </c>
    </row>
    <row r="570" spans="2:11">
      <c r="B570" s="4" t="s">
        <v>245</v>
      </c>
      <c r="C570" s="10" t="s">
        <v>246</v>
      </c>
      <c r="F570" s="7" cm="1">
        <f t="array" ref="F570:H572">_xlfn.DROP($B$11:$E$15,2,1)</f>
        <v>91</v>
      </c>
      <c r="G570" s="7" t="str">
        <v>A</v>
      </c>
      <c r="H570" s="7" t="str">
        <v>East</v>
      </c>
      <c r="I570" s="7"/>
      <c r="J570" s="7"/>
      <c r="K570" s="7"/>
    </row>
    <row r="571" spans="2:11">
      <c r="F571">
        <v>78</v>
      </c>
      <c r="G571" t="str">
        <v>B</v>
      </c>
      <c r="H571" t="str">
        <v>West</v>
      </c>
    </row>
    <row r="572" spans="2:11">
      <c r="F572">
        <v>91</v>
      </c>
      <c r="G572" t="str">
        <v>A</v>
      </c>
      <c r="H572" t="str">
        <v>North</v>
      </c>
    </row>
    <row r="574" spans="2:11">
      <c r="B574" s="4" t="s">
        <v>228</v>
      </c>
      <c r="C574" s="10" t="s">
        <v>247</v>
      </c>
      <c r="F574" s="7" t="str" cm="1">
        <f t="array" ref="F574:H577">_xlfn.DROP($B$11:$E$15,-1,-1)</f>
        <v>Alice</v>
      </c>
      <c r="G574" s="7">
        <v>85</v>
      </c>
      <c r="H574" s="7" t="str">
        <v>A</v>
      </c>
      <c r="I574" s="7"/>
      <c r="J574" s="7"/>
      <c r="K574" s="7"/>
    </row>
    <row r="575" spans="2:11">
      <c r="F575" t="str">
        <v>Bob</v>
      </c>
      <c r="G575">
        <v>62</v>
      </c>
      <c r="H575" t="str">
        <v>C</v>
      </c>
    </row>
    <row r="576" spans="2:11">
      <c r="F576" t="str">
        <v>Charlie</v>
      </c>
      <c r="G576">
        <v>91</v>
      </c>
      <c r="H576" t="str">
        <v>A</v>
      </c>
    </row>
    <row r="577" spans="2:11">
      <c r="F577" t="str">
        <v>Diana</v>
      </c>
      <c r="G577">
        <v>78</v>
      </c>
      <c r="H577" t="str">
        <v>B</v>
      </c>
    </row>
    <row r="579" spans="2:11">
      <c r="B579" s="4" t="s">
        <v>248</v>
      </c>
      <c r="C579" s="10" t="s">
        <v>249</v>
      </c>
      <c r="F579" s="7" cm="1">
        <f t="array" ref="F579:H579">_xlfn.DROP($C$6:$G$6,,2)</f>
        <v>-5</v>
      </c>
      <c r="G579" s="7">
        <v>42.5</v>
      </c>
      <c r="H579" s="7">
        <v>0</v>
      </c>
      <c r="I579" s="7"/>
      <c r="J579" s="7"/>
      <c r="K579" s="7"/>
    </row>
    <row r="581" spans="2:11">
      <c r="B581" s="4" t="s">
        <v>250</v>
      </c>
      <c r="C581" s="10" t="s">
        <v>251</v>
      </c>
      <c r="F581" s="7" cm="1">
        <f t="array" ref="F581:G581">_xlfn.DROP($C$6:$G$6,,-3)</f>
        <v>10</v>
      </c>
      <c r="G581" s="7">
        <v>25</v>
      </c>
      <c r="H581" s="7"/>
      <c r="I581" s="7"/>
      <c r="J581" s="7"/>
      <c r="K581" s="7"/>
    </row>
    <row r="584" spans="2:11">
      <c r="B584" s="3" t="s">
        <v>252</v>
      </c>
      <c r="C584" s="3"/>
      <c r="D584" s="3"/>
      <c r="E584" s="3"/>
      <c r="F584" s="3"/>
      <c r="G584" s="3"/>
      <c r="H584" s="3"/>
      <c r="I584" s="3"/>
      <c r="J584" s="3"/>
      <c r="K584" s="3"/>
    </row>
    <row r="586" spans="2:11">
      <c r="B586" s="6" t="s">
        <v>28</v>
      </c>
      <c r="C586" s="6" t="s">
        <v>29</v>
      </c>
      <c r="F586" s="11" t="s">
        <v>32</v>
      </c>
      <c r="G586" s="11"/>
      <c r="H586" s="11"/>
      <c r="I586" s="11"/>
      <c r="J586" s="11"/>
      <c r="K586" s="11"/>
    </row>
    <row r="587" spans="2:11">
      <c r="B587" s="4" t="s">
        <v>253</v>
      </c>
      <c r="C587" s="10" t="s">
        <v>254</v>
      </c>
      <c r="F587" s="7" cm="1">
        <f t="array" ref="F587:J587">_xlfn.MAP($C$6:$G$6,_xlfn.LAMBDA(_xlpm.x,_xlpm.x*2))</f>
        <v>20</v>
      </c>
      <c r="G587" s="7">
        <v>50</v>
      </c>
      <c r="H587" s="7">
        <v>-10</v>
      </c>
      <c r="I587" s="7">
        <v>85</v>
      </c>
      <c r="J587" s="7">
        <v>0</v>
      </c>
      <c r="K587" s="7"/>
    </row>
    <row r="589" spans="2:11">
      <c r="B589" s="4" t="s">
        <v>255</v>
      </c>
      <c r="C589" s="10" t="s">
        <v>256</v>
      </c>
      <c r="F589" s="7" cm="1">
        <f t="array" ref="F589:J589">_xlfn.MAP($C$6:$G$6,_xlfn.LAMBDA(_xlpm.x,_xlpm.x^2))</f>
        <v>100</v>
      </c>
      <c r="G589" s="7">
        <v>625</v>
      </c>
      <c r="H589" s="7">
        <v>25</v>
      </c>
      <c r="I589" s="7">
        <v>1806.25</v>
      </c>
      <c r="J589" s="7">
        <v>0</v>
      </c>
      <c r="K589" s="7"/>
    </row>
    <row r="591" spans="2:11">
      <c r="B591" s="4" t="s">
        <v>257</v>
      </c>
      <c r="C591" s="10" t="s">
        <v>258</v>
      </c>
      <c r="F591" s="7" cm="1">
        <f t="array" ref="F591:J591">_xlfn.MAP($C$6:$G$6,_xlfn.LAMBDA(_xlpm.x,ABS(_xlpm.x)))</f>
        <v>10</v>
      </c>
      <c r="G591" s="7">
        <v>25</v>
      </c>
      <c r="H591" s="7">
        <v>5</v>
      </c>
      <c r="I591" s="7">
        <v>42.5</v>
      </c>
      <c r="J591" s="7">
        <v>0</v>
      </c>
      <c r="K591" s="7"/>
    </row>
    <row r="593" spans="2:11">
      <c r="B593" s="4" t="s">
        <v>259</v>
      </c>
      <c r="C593" s="10" t="s">
        <v>260</v>
      </c>
      <c r="F593" s="7" cm="1">
        <f t="array" ref="F593:J593">_xlfn.MAP($C$6:$G$6,_xlfn.LAMBDA(_xlpm.x,_xlpm.x+100))</f>
        <v>110</v>
      </c>
      <c r="G593" s="7">
        <v>125</v>
      </c>
      <c r="H593" s="7">
        <v>95</v>
      </c>
      <c r="I593" s="7">
        <v>142.5</v>
      </c>
      <c r="J593" s="7">
        <v>100</v>
      </c>
      <c r="K593" s="7"/>
    </row>
    <row r="595" spans="2:11">
      <c r="B595" s="4" t="s">
        <v>261</v>
      </c>
      <c r="C595" s="10" t="s">
        <v>262</v>
      </c>
      <c r="F595" s="7" t="b" cm="1">
        <f t="array" ref="F595:J595">_xlfn.MAP($C$6:$G$6,_xlfn.LAMBDA(_xlpm.x,_xlpm.x&gt;0))</f>
        <v>1</v>
      </c>
      <c r="G595" s="7" t="b">
        <v>1</v>
      </c>
      <c r="H595" s="7" t="b">
        <v>0</v>
      </c>
      <c r="I595" s="7" t="b">
        <v>1</v>
      </c>
      <c r="J595" s="7" t="b">
        <v>0</v>
      </c>
      <c r="K595" s="7"/>
    </row>
    <row r="597" spans="2:11">
      <c r="B597" s="4" t="s">
        <v>263</v>
      </c>
      <c r="C597" s="10" t="s">
        <v>264</v>
      </c>
      <c r="F597" s="7" cm="1">
        <f t="array" ref="F597:J597">_xlfn.MAP($C$7:$G$7,_xlfn.LAMBDA(_xlpm.x,LEN(_xlpm.x)))</f>
        <v>5</v>
      </c>
      <c r="G597" s="7">
        <v>6</v>
      </c>
      <c r="H597" s="7">
        <v>6</v>
      </c>
      <c r="I597" s="7">
        <v>4</v>
      </c>
      <c r="J597" s="7">
        <v>10</v>
      </c>
      <c r="K597" s="7"/>
    </row>
    <row r="599" spans="2:11">
      <c r="B599" s="4" t="s">
        <v>265</v>
      </c>
      <c r="C599" s="10" t="s">
        <v>266</v>
      </c>
      <c r="F599" s="7" t="str" cm="1">
        <f t="array" ref="F599:J599">_xlfn.MAP($C$7:$G$7,_xlfn.LAMBDA(_xlpm.x,UPPER(_xlpm.x)))</f>
        <v>APPLE</v>
      </c>
      <c r="G599" s="7" t="str">
        <v>BANANA</v>
      </c>
      <c r="H599" s="7" t="str">
        <v>CHERRY</v>
      </c>
      <c r="I599" s="7" t="str">
        <v>DATE</v>
      </c>
      <c r="J599" s="7" t="str">
        <v>ELDERBERRY</v>
      </c>
      <c r="K599" s="7"/>
    </row>
    <row r="601" spans="2:11">
      <c r="B601" s="4" t="s">
        <v>267</v>
      </c>
      <c r="C601" s="10" t="s">
        <v>278</v>
      </c>
      <c r="F601" s="7" cm="1">
        <f t="array" ref="F601:J601">_xlfn.MAP($C$6:$G$6,$C$6:$G$6,_xlfn.LAMBDA(_xlpm.a,_xlpm.b,_xlpm.a+_xlpm.b))</f>
        <v>20</v>
      </c>
      <c r="G601" s="7">
        <v>50</v>
      </c>
      <c r="H601" s="7">
        <v>-10</v>
      </c>
      <c r="I601" s="7">
        <v>85</v>
      </c>
      <c r="J601" s="7">
        <v>0</v>
      </c>
      <c r="K601" s="7"/>
    </row>
    <row r="603" spans="2:11">
      <c r="B603" s="4" t="s">
        <v>268</v>
      </c>
      <c r="C603" s="10" t="s">
        <v>269</v>
      </c>
      <c r="F603" s="7" cm="1">
        <f t="array" ref="F603:J603">_xlfn.MAP($C$6:$G$6,_xlfn.SEQUENCE(1,5,1),_xlfn.LAMBDA(_xlpm.a,_xlpm.b,MAX(_xlpm.a,_xlpm.b)))</f>
        <v>10</v>
      </c>
      <c r="G603" s="7">
        <v>25</v>
      </c>
      <c r="H603" s="7">
        <v>3</v>
      </c>
      <c r="I603" s="7">
        <v>42.5</v>
      </c>
      <c r="J603" s="7">
        <v>5</v>
      </c>
      <c r="K603" s="7"/>
    </row>
    <row r="605" spans="2:11">
      <c r="B605" s="4" t="s">
        <v>270</v>
      </c>
      <c r="C605" s="10" t="s">
        <v>279</v>
      </c>
      <c r="F605" s="7" cm="1">
        <f t="array" ref="F605:J605">_xlfn.MAP($C$6:$G$6,_xlfn.LAMBDA(_xlpm.x,IF(_xlpm.x&gt;0,_xlpm.x*2,-_xlpm.x)))</f>
        <v>20</v>
      </c>
      <c r="G605" s="7">
        <v>50</v>
      </c>
      <c r="H605" s="7">
        <v>5</v>
      </c>
      <c r="I605" s="7">
        <v>85</v>
      </c>
      <c r="J605" s="7">
        <v>0</v>
      </c>
      <c r="K605" s="7"/>
    </row>
    <row r="607" spans="2:11">
      <c r="B607" s="4" t="s">
        <v>280</v>
      </c>
      <c r="C607" s="10" t="s">
        <v>281</v>
      </c>
      <c r="F607" s="7" cm="1">
        <f t="array" ref="F607:F611">_xlfn.MAP($C$11:$C$15,_xlfn.LAMBDA(_xlpm.x,ROUND(_xlpm.x*1.1,0)))</f>
        <v>94</v>
      </c>
      <c r="G607" s="7"/>
      <c r="H607" s="7"/>
      <c r="I607" s="7"/>
      <c r="J607" s="7"/>
      <c r="K607" s="7"/>
    </row>
    <row r="608" spans="2:11">
      <c r="F608">
        <v>68</v>
      </c>
    </row>
    <row r="609" spans="2:11">
      <c r="F609">
        <v>100</v>
      </c>
    </row>
    <row r="610" spans="2:11">
      <c r="F610">
        <v>86</v>
      </c>
    </row>
    <row r="611" spans="2:11">
      <c r="F611">
        <v>100</v>
      </c>
    </row>
    <row r="615" spans="2:11">
      <c r="B615" s="3" t="s">
        <v>271</v>
      </c>
      <c r="C615" s="3"/>
      <c r="D615" s="3"/>
      <c r="E615" s="3"/>
      <c r="F615" s="3"/>
      <c r="G615" s="3"/>
      <c r="H615" s="3"/>
      <c r="I615" s="3"/>
      <c r="J615" s="3"/>
      <c r="K615" s="3"/>
    </row>
    <row r="617" spans="2:11">
      <c r="B617" s="6" t="s">
        <v>28</v>
      </c>
      <c r="C617" s="6" t="s">
        <v>29</v>
      </c>
      <c r="F617" s="11" t="s">
        <v>32</v>
      </c>
      <c r="G617" s="11"/>
      <c r="H617" s="11"/>
      <c r="I617" s="11"/>
      <c r="J617" s="11"/>
      <c r="K617" s="11"/>
    </row>
    <row r="618" spans="2:11">
      <c r="B618" s="4" t="s">
        <v>272</v>
      </c>
      <c r="C618" s="12" t="s">
        <v>273</v>
      </c>
      <c r="F618" s="11" cm="1">
        <f t="array" ref="F618">_xlfn.REDUCE(0,$C$6:$G$6,_xlfn.LAMBDA(_xlpm.acc,_xlpm.x,_xlpm.acc+_xlpm.x))</f>
        <v>72.5</v>
      </c>
      <c r="G618" s="11"/>
      <c r="H618" s="11"/>
      <c r="I618" s="11"/>
      <c r="J618" s="11"/>
      <c r="K618" s="11"/>
    </row>
    <row r="619" spans="2:11">
      <c r="B619" s="4" t="s">
        <v>272</v>
      </c>
      <c r="C619" s="10" t="s">
        <v>273</v>
      </c>
      <c r="F619" s="7" cm="1">
        <f t="array" ref="F619">_xlfn.REDUCE(0,$C$6:$G$6,_xlfn.LAMBDA(_xlpm.acc,_xlpm.x,_xlpm.acc+_xlpm.x))</f>
        <v>72.5</v>
      </c>
      <c r="G619" s="7"/>
      <c r="H619" s="7"/>
      <c r="I619" s="7"/>
      <c r="J619" s="7"/>
      <c r="K619" s="7"/>
    </row>
    <row r="620" spans="2:11">
      <c r="B620" s="4" t="s">
        <v>274</v>
      </c>
      <c r="C620" s="10" t="s">
        <v>275</v>
      </c>
      <c r="F620" s="7" cm="1">
        <f t="array" ref="F620">_xlfn.REDUCE(1,$C$6:$G$6,_xlfn.LAMBDA(_xlpm.acc,_xlpm.x,_xlpm.acc*_xlpm.x))</f>
        <v>0</v>
      </c>
    </row>
    <row r="621" spans="2:11">
      <c r="B621" s="4" t="s">
        <v>274</v>
      </c>
      <c r="C621" s="10" t="s">
        <v>275</v>
      </c>
      <c r="F621" s="7" cm="1">
        <f t="array" ref="F621">_xlfn.REDUCE(1,$C$6:$G$6,_xlfn.LAMBDA(_xlpm.acc,_xlpm.x,_xlpm.acc*_xlpm.x))</f>
        <v>0</v>
      </c>
      <c r="G621" s="7"/>
      <c r="H621" s="7"/>
      <c r="I621" s="7"/>
      <c r="J621" s="7"/>
      <c r="K621" s="7"/>
    </row>
    <row r="622" spans="2:11">
      <c r="B622" s="4" t="s">
        <v>276</v>
      </c>
      <c r="C622" s="10" t="s">
        <v>277</v>
      </c>
      <c r="F622" s="7" cm="1">
        <f t="array" ref="F622">_xlfn.REDUCE($C$6,$C$6:$G$6,_xlfn.LAMBDA(_xlpm.acc,_xlpm.x,MAX(_xlpm.acc,_xlpm.x)))</f>
        <v>42.5</v>
      </c>
    </row>
    <row r="623" spans="2:11">
      <c r="B623" t="s">
        <v>276</v>
      </c>
      <c r="C623" t="s">
        <v>277</v>
      </c>
    </row>
    <row r="624" spans="2:11">
      <c r="B624" s="4" t="s">
        <v>282</v>
      </c>
      <c r="C624" s="10" t="s">
        <v>283</v>
      </c>
      <c r="F624" s="7" cm="1">
        <f t="array" ref="F624">_xlfn.REDUCE($C$6,$C$6:$G$6,_xlfn.LAMBDA(_xlpm.acc,_xlpm.x,MIN(_xlpm.acc,_xlpm.x)))</f>
        <v>-5</v>
      </c>
    </row>
    <row r="626" spans="2:11">
      <c r="B626" s="4" t="s">
        <v>284</v>
      </c>
      <c r="C626" s="10" t="s">
        <v>285</v>
      </c>
      <c r="F626" s="7" cm="1">
        <f t="array" ref="F626">_xlfn.REDUCE(0,$C$6:$G$6,_xlfn.LAMBDA(_xlpm.acc,_xlpm.x,_xlpm.acc+IF(_xlpm.x&gt;0,1,0)))</f>
        <v>3</v>
      </c>
    </row>
    <row r="628" spans="2:11">
      <c r="B628" s="4" t="s">
        <v>286</v>
      </c>
      <c r="C628" s="10" t="s">
        <v>287</v>
      </c>
      <c r="F628" s="7" t="str" cm="1">
        <f t="array" ref="F628">_xlfn.REDUCE("",$C$7:$G$7,_xlfn.LAMBDA(_xlpm.acc,_xlpm.x,IF(_xlpm.acc="",_xlpm.x,_xlpm.acc&amp;", "&amp;_xlpm.x)))</f>
        <v>Apple, Banana, Cherry, Date, Elderberry</v>
      </c>
    </row>
    <row r="630" spans="2:11">
      <c r="B630" s="4" t="s">
        <v>288</v>
      </c>
      <c r="C630" s="10" t="s">
        <v>289</v>
      </c>
      <c r="F630" s="7" cm="1">
        <f t="array" ref="F630">_xlfn.REDUCE(0,$C$6:$G$6,_xlfn.LAMBDA(_xlpm.acc,_xlpm.x,_xlpm.acc+_xlpm.x^2))</f>
        <v>2556.25</v>
      </c>
    </row>
    <row r="632" spans="2:11">
      <c r="B632" s="4" t="s">
        <v>290</v>
      </c>
      <c r="C632" s="10" t="s">
        <v>291</v>
      </c>
      <c r="F632" s="7" cm="1">
        <f t="array" ref="F632">_xlfn.REDUCE(0,$C$6:$G$6,_xlfn.LAMBDA(_xlpm.acc,_xlpm.x,_xlpm.acc+IF(_xlpm.x&lt;&gt;0,1,0)))</f>
        <v>4</v>
      </c>
    </row>
    <row r="635" spans="2:11">
      <c r="B635" s="3" t="s">
        <v>292</v>
      </c>
      <c r="C635" s="3"/>
      <c r="D635" s="3"/>
      <c r="E635" s="3"/>
      <c r="F635" s="3"/>
      <c r="G635" s="3"/>
      <c r="H635" s="3"/>
      <c r="I635" s="3"/>
      <c r="J635" s="3"/>
      <c r="K635" s="3"/>
    </row>
    <row r="637" spans="2:11">
      <c r="B637" s="6" t="s">
        <v>28</v>
      </c>
      <c r="C637" s="6" t="s">
        <v>29</v>
      </c>
      <c r="F637" s="11" t="s">
        <v>32</v>
      </c>
      <c r="G637" s="11"/>
      <c r="H637" s="11"/>
      <c r="I637" s="11"/>
      <c r="J637" s="11"/>
      <c r="K637" s="11"/>
    </row>
    <row r="638" spans="2:11">
      <c r="B638" s="4" t="s">
        <v>293</v>
      </c>
      <c r="C638" s="10" t="s">
        <v>294</v>
      </c>
      <c r="F638" s="7" cm="1">
        <f t="array" ref="F638:J638">_xlfn.SCAN(0,$C$6:$G$6,_xlfn.LAMBDA(_xlpm.acc,_xlpm.x,_xlpm.acc+_xlpm.x))</f>
        <v>10</v>
      </c>
      <c r="G638" s="7">
        <v>35</v>
      </c>
      <c r="H638" s="7">
        <v>30</v>
      </c>
      <c r="I638" s="7">
        <v>72.5</v>
      </c>
      <c r="J638" s="7">
        <v>72.5</v>
      </c>
      <c r="K638" s="7"/>
    </row>
    <row r="640" spans="2:11">
      <c r="B640" s="4" t="s">
        <v>295</v>
      </c>
      <c r="C640" s="10" t="s">
        <v>296</v>
      </c>
      <c r="F640" s="7" cm="1">
        <f t="array" ref="F640:J640">_xlfn.SCAN(1,$C$6:$G$6,_xlfn.LAMBDA(_xlpm.acc,_xlpm.x,_xlpm.acc*_xlpm.x))</f>
        <v>10</v>
      </c>
      <c r="G640" s="7">
        <v>250</v>
      </c>
      <c r="H640" s="7">
        <v>-1250</v>
      </c>
      <c r="I640" s="7">
        <v>-53125</v>
      </c>
      <c r="J640" s="7">
        <v>0</v>
      </c>
      <c r="K640" s="7"/>
    </row>
    <row r="642" spans="2:11">
      <c r="B642" s="4" t="s">
        <v>297</v>
      </c>
      <c r="C642" s="10" t="s">
        <v>298</v>
      </c>
      <c r="F642" s="7" cm="1">
        <f t="array" ref="F642:J642">_xlfn.SCAN($C$6,$C$6:$G$6,_xlfn.LAMBDA(_xlpm.acc,_xlpm.x,MAX(_xlpm.acc,_xlpm.x)))</f>
        <v>10</v>
      </c>
      <c r="G642" s="7">
        <v>25</v>
      </c>
      <c r="H642" s="7">
        <v>25</v>
      </c>
      <c r="I642" s="7">
        <v>42.5</v>
      </c>
      <c r="J642" s="7">
        <v>42.5</v>
      </c>
      <c r="K642" s="7"/>
    </row>
    <row r="644" spans="2:11">
      <c r="B644" s="4" t="s">
        <v>299</v>
      </c>
      <c r="C644" s="10" t="s">
        <v>300</v>
      </c>
      <c r="F644" s="7" cm="1">
        <f t="array" ref="F644:J644">_xlfn.SCAN($C$6,$C$6:$G$6,_xlfn.LAMBDA(_xlpm.acc,_xlpm.x,MIN(_xlpm.acc,_xlpm.x)))</f>
        <v>10</v>
      </c>
      <c r="G644" s="7">
        <v>10</v>
      </c>
      <c r="H644" s="7">
        <v>-5</v>
      </c>
      <c r="I644" s="7">
        <v>-5</v>
      </c>
      <c r="J644" s="7">
        <v>-5</v>
      </c>
      <c r="K644" s="7"/>
    </row>
    <row r="646" spans="2:11">
      <c r="B646" s="4" t="s">
        <v>301</v>
      </c>
      <c r="C646" s="10" t="s">
        <v>302</v>
      </c>
      <c r="F646" s="7" cm="1">
        <f t="array" ref="F646:J646">_xlfn.SCAN(0,$C$6:$G$6,_xlfn.LAMBDA(_xlpm.acc,_xlpm.x,_xlpm.acc+IF(_xlpm.x&gt;0,1,0)))</f>
        <v>1</v>
      </c>
      <c r="G646" s="7">
        <v>2</v>
      </c>
      <c r="H646" s="7">
        <v>2</v>
      </c>
      <c r="I646" s="7">
        <v>3</v>
      </c>
      <c r="J646" s="7">
        <v>3</v>
      </c>
      <c r="K646" s="7"/>
    </row>
    <row r="648" spans="2:11">
      <c r="B648" s="4" t="s">
        <v>303</v>
      </c>
      <c r="C648" s="10" t="s">
        <v>304</v>
      </c>
      <c r="F648" s="7" t="str" cm="1">
        <f t="array" ref="F648:J648">_xlfn.SCAN("",$C$7:$G$7,_xlfn.LAMBDA(_xlpm.acc,_xlpm.x,IF(_xlpm.acc="",_xlpm.x,_xlpm.acc&amp;", "&amp;_xlpm.x)))</f>
        <v>Apple</v>
      </c>
      <c r="G648" s="7" t="str">
        <v>Apple, Banana</v>
      </c>
      <c r="H648" s="7" t="str">
        <v>Apple, Banana, Cherry</v>
      </c>
      <c r="I648" s="7" t="str">
        <v>Apple, Banana, Cherry, Date</v>
      </c>
      <c r="J648" s="7" t="str">
        <v>Apple, Banana, Cherry, Date, Elderberry</v>
      </c>
      <c r="K648" s="7"/>
    </row>
    <row r="650" spans="2:11">
      <c r="B650" s="4" t="s">
        <v>305</v>
      </c>
      <c r="C650" s="10" t="s">
        <v>306</v>
      </c>
      <c r="F650" s="7" cm="1">
        <f t="array" ref="F650:F654">_xlfn.SCAN(0,$C$11:$C$15,_xlfn.LAMBDA(_xlpm.acc,_xlpm.x,_xlpm.acc+_xlpm.x))</f>
        <v>85</v>
      </c>
      <c r="G650" s="7"/>
      <c r="H650" s="7"/>
      <c r="I650" s="7"/>
      <c r="J650" s="7"/>
      <c r="K650" s="7"/>
    </row>
    <row r="651" spans="2:11">
      <c r="F651">
        <v>147</v>
      </c>
    </row>
    <row r="652" spans="2:11">
      <c r="F652">
        <v>238</v>
      </c>
    </row>
    <row r="653" spans="2:11">
      <c r="F653">
        <v>316</v>
      </c>
    </row>
    <row r="654" spans="2:11">
      <c r="F654">
        <v>407</v>
      </c>
    </row>
    <row r="658" spans="2:11">
      <c r="B658" s="3" t="s">
        <v>307</v>
      </c>
      <c r="C658" s="3"/>
      <c r="D658" s="3"/>
      <c r="E658" s="3"/>
      <c r="F658" s="3"/>
      <c r="G658" s="3"/>
      <c r="H658" s="3"/>
      <c r="I658" s="3"/>
      <c r="J658" s="3"/>
      <c r="K658" s="3"/>
    </row>
    <row r="660" spans="2:11">
      <c r="B660" s="6" t="s">
        <v>28</v>
      </c>
      <c r="C660" s="6" t="s">
        <v>29</v>
      </c>
      <c r="F660" s="11" t="s">
        <v>32</v>
      </c>
      <c r="G660" s="11"/>
      <c r="H660" s="11"/>
      <c r="I660" s="11"/>
      <c r="J660" s="11"/>
      <c r="K660" s="11"/>
    </row>
    <row r="661" spans="2:11">
      <c r="B661" s="4" t="s">
        <v>308</v>
      </c>
      <c r="C661" s="10" t="s">
        <v>309</v>
      </c>
      <c r="F661" s="7" cm="1">
        <f t="array" ref="F661">_xlfn.LAMBDA(_xlpm.a,_xlpm.b,_xlpm.a+_xlpm.b)(10,20)</f>
        <v>30</v>
      </c>
      <c r="G661" s="7"/>
      <c r="H661" s="7"/>
      <c r="I661" s="7"/>
      <c r="J661" s="7"/>
      <c r="K661" s="7"/>
    </row>
    <row r="663" spans="2:11">
      <c r="B663" s="4" t="s">
        <v>310</v>
      </c>
      <c r="C663" s="10" t="s">
        <v>311</v>
      </c>
      <c r="F663" s="7" cm="1">
        <f t="array" ref="F663">_xlfn.LAMBDA(_xlpm.a,_xlpm.b,_xlpm.a*_xlpm.b)(5,6)</f>
        <v>30</v>
      </c>
      <c r="G663" s="7"/>
      <c r="H663" s="7"/>
      <c r="I663" s="7"/>
      <c r="J663" s="7"/>
      <c r="K663" s="7"/>
    </row>
    <row r="665" spans="2:11">
      <c r="B665" s="4" t="s">
        <v>312</v>
      </c>
      <c r="C665" s="10" t="s">
        <v>313</v>
      </c>
      <c r="F665" s="7" cm="1">
        <f t="array" ref="F665">_xlfn.LAMBDA(_xlpm.x,_xlpm.x^2)(7)</f>
        <v>49</v>
      </c>
      <c r="G665" s="7"/>
      <c r="H665" s="7"/>
      <c r="I665" s="7"/>
      <c r="J665" s="7"/>
      <c r="K665" s="7"/>
    </row>
    <row r="667" spans="2:11">
      <c r="B667" s="4" t="s">
        <v>314</v>
      </c>
      <c r="C667" s="10" t="s">
        <v>315</v>
      </c>
      <c r="F667" s="7" cm="1">
        <f t="array" ref="F667">_xlfn.LAMBDA(_xlpm.x,_xlpm.y,_xlpm.x+_xlpm.y)($C$6,$D$6)</f>
        <v>35</v>
      </c>
      <c r="G667" s="7"/>
      <c r="H667" s="7"/>
      <c r="I667" s="7"/>
      <c r="J667" s="7"/>
      <c r="K667" s="7"/>
    </row>
    <row r="669" spans="2:11">
      <c r="B669" s="4" t="s">
        <v>316</v>
      </c>
      <c r="C669" s="10" t="s">
        <v>317</v>
      </c>
      <c r="F669" s="7" t="str" cm="1">
        <f t="array" ref="F669">_xlfn.LAMBDA(_xlpm.x,IF(_xlpm.x&gt;=70,"Pass","Fail"))($C$11)</f>
        <v>Pass</v>
      </c>
      <c r="G669" s="7"/>
      <c r="H669" s="7"/>
      <c r="I669" s="7"/>
      <c r="J669" s="7"/>
      <c r="K669" s="7"/>
    </row>
    <row r="671" spans="2:11">
      <c r="B671" s="4" t="s">
        <v>318</v>
      </c>
      <c r="C671" s="10" t="s">
        <v>319</v>
      </c>
      <c r="F671" s="7" cm="1">
        <f t="array" ref="F671">_xlfn.LAMBDA(_xlpm.f,_xlpm.x,_xlpm.f(_xlpm.x))(_xlfn.LAMBDA(_xlpm.n,_xlpm.n*2),25)</f>
        <v>50</v>
      </c>
      <c r="G671" s="7"/>
      <c r="H671" s="7"/>
      <c r="I671" s="7"/>
      <c r="J671" s="7"/>
      <c r="K671" s="7"/>
    </row>
    <row r="673" spans="2:11">
      <c r="B673" s="4" t="s">
        <v>320</v>
      </c>
      <c r="C673" s="10" t="s">
        <v>321</v>
      </c>
      <c r="F673" s="7" cm="1">
        <f t="array" ref="F673">_xlfn.LAMBDA(_xlpm.a,_xlpm.b,_xlpm.w,(_xlpm.a*_xlpm.w+_xlpm.b*(1-_xlpm.w)))(80,60,0.7)</f>
        <v>74</v>
      </c>
      <c r="G673" s="7"/>
      <c r="H673" s="7"/>
      <c r="I673" s="7"/>
      <c r="J673" s="7"/>
      <c r="K673" s="7"/>
    </row>
    <row r="675" spans="2:11">
      <c r="B675" s="4" t="s">
        <v>322</v>
      </c>
      <c r="C675" s="10" t="s">
        <v>323</v>
      </c>
      <c r="F675" s="7" t="str" cm="1">
        <f t="array" ref="F675">_xlfn.LAMBDA(_xlpm.a,_xlpm.b,_xlpm.sep,_xlpm.a&amp;_xlpm.sep&amp;_xlpm.b)("Hello","World"," ")</f>
        <v>Hello World</v>
      </c>
      <c r="G675" s="7"/>
      <c r="H675" s="7"/>
      <c r="I675" s="7"/>
      <c r="J675" s="7"/>
      <c r="K675" s="7"/>
    </row>
    <row r="677" spans="2:11">
      <c r="B677" s="4" t="s">
        <v>324</v>
      </c>
      <c r="C677" s="10" t="s">
        <v>325</v>
      </c>
      <c r="F677" s="7" t="b" cm="1">
        <f t="array" ref="F677">_xlfn.LAMBDA(_xlpm.a,_xlpm.b,AND(_xlpm.a&gt;0,_xlpm.b&gt;0))(10,-5)</f>
        <v>0</v>
      </c>
      <c r="G677" s="7"/>
      <c r="H677" s="7"/>
      <c r="I677" s="7"/>
      <c r="J677" s="7"/>
      <c r="K677" s="7"/>
    </row>
    <row r="679" spans="2:11">
      <c r="B679" s="4" t="s">
        <v>326</v>
      </c>
      <c r="C679" s="10" t="s">
        <v>327</v>
      </c>
      <c r="F679" s="7" cm="1">
        <f t="array" ref="F679">_xlfn.LAMBDA(_xlpm.a,_xlpm.b,SQRT(_xlpm.a^2+_xlpm.b^2))(3,4)</f>
        <v>5</v>
      </c>
      <c r="G679" s="7"/>
      <c r="H679" s="7"/>
      <c r="I679" s="7"/>
      <c r="J679" s="7"/>
      <c r="K679" s="7"/>
    </row>
    <row r="681" spans="2:11">
      <c r="B681" s="4" t="s">
        <v>328</v>
      </c>
      <c r="C681" s="10" t="s">
        <v>329</v>
      </c>
      <c r="F681" s="7" cm="1">
        <f t="array" ref="F681">_xlfn.LAMBDA(_xlpm.n,SUM(_xlfn.SEQUENCE(_xlpm.n)))(10)</f>
        <v>55</v>
      </c>
      <c r="G681" s="7"/>
      <c r="H681" s="7"/>
      <c r="I681" s="7"/>
      <c r="J681" s="7"/>
      <c r="K681" s="7"/>
    </row>
    <row r="683" spans="2:11">
      <c r="B683" s="4" t="s">
        <v>330</v>
      </c>
      <c r="C683" s="10" t="s">
        <v>331</v>
      </c>
      <c r="F683" s="7" cm="1">
        <f t="array" ref="F683:J683">_xlfn.LAMBDA(_xlpm.r,_xlpm.c,_xlfn.SEQUENCE(_xlpm.r,_xlpm.c))(1,5)</f>
        <v>1</v>
      </c>
      <c r="G683" s="7">
        <v>2</v>
      </c>
      <c r="H683" s="7">
        <v>3</v>
      </c>
      <c r="I683" s="7">
        <v>4</v>
      </c>
      <c r="J683" s="7">
        <v>5</v>
      </c>
      <c r="K683" s="7"/>
    </row>
    <row r="685" spans="2:11">
      <c r="B685" s="4" t="s">
        <v>332</v>
      </c>
      <c r="C685" s="10" t="s">
        <v>333</v>
      </c>
      <c r="F685" s="7" cm="1">
        <f t="array" ref="F685">_xlfn.LAMBDA(_xlpm.c,_xlpm.c*9/5+32)(100)</f>
        <v>212</v>
      </c>
      <c r="G685" s="7"/>
      <c r="H685" s="7"/>
      <c r="I685" s="7"/>
      <c r="J685" s="7"/>
      <c r="K685" s="7"/>
    </row>
    <row r="687" spans="2:11">
      <c r="B687" s="4" t="s">
        <v>334</v>
      </c>
      <c r="C687" s="10" t="s">
        <v>335</v>
      </c>
      <c r="F687" s="7" cm="1">
        <f t="array" ref="F687">_xlfn.LAMBDA(_xlpm.part,_xlpm.whole,_xlpm.part/_xlpm.whole)(25,200)</f>
        <v>0.125</v>
      </c>
      <c r="G687" s="7"/>
      <c r="H687" s="7"/>
      <c r="I687" s="7"/>
      <c r="J687" s="7"/>
      <c r="K687" s="7"/>
    </row>
    <row r="689" spans="2:11">
      <c r="B689" s="4" t="s">
        <v>336</v>
      </c>
      <c r="C689" s="10" t="s">
        <v>337</v>
      </c>
      <c r="F689" s="7" cm="1">
        <f t="array" ref="F689">_xlfn.LAMBDA(_xlpm.x,_xlpm.lo,_xlpm.hi,MAX(_xlpm.lo,MIN(_xlpm.hi,_xlpm.x)))(150,0,100)</f>
        <v>100</v>
      </c>
      <c r="G689" s="7"/>
      <c r="H689" s="7"/>
      <c r="I689" s="7"/>
      <c r="J689" s="7"/>
      <c r="K689" s="7"/>
    </row>
    <row r="692" spans="2:11">
      <c r="B692" s="3" t="s">
        <v>0</v>
      </c>
    </row>
    <row r="693" spans="2:11">
      <c r="B693" s="13" t="e" vm="1">
        <v>#VALUE!</v>
      </c>
      <c r="C693" s="9" t="s">
        <v>338</v>
      </c>
    </row>
    <row r="694" spans="2:11">
      <c r="B694" s="13" t="e" vm="2">
        <v>#VALUE!</v>
      </c>
      <c r="C694" s="9" t="s">
        <v>339</v>
      </c>
    </row>
    <row r="695" spans="2:11">
      <c r="B695" s="13" t="e">
        <v>#VALUE!</v>
      </c>
      <c r="C695" s="9" t="s">
        <v>340</v>
      </c>
    </row>
    <row r="696" spans="2:11">
      <c r="B696" s="13" t="e">
        <v>#N/A</v>
      </c>
      <c r="C696" s="9" t="s">
        <v>341</v>
      </c>
    </row>
    <row r="697" spans="2:11">
      <c r="B697" s="13" t="e">
        <v>#NUM!</v>
      </c>
      <c r="C697" s="9" t="s">
        <v>342</v>
      </c>
    </row>
    <row r="698" spans="2:11">
      <c r="B698" s="13" t="e">
        <v>#NAME?</v>
      </c>
      <c r="C698" s="9" t="s">
        <v>343</v>
      </c>
    </row>
    <row r="699" spans="2:11">
      <c r="B699" s="13" t="s">
        <v>1</v>
      </c>
      <c r="C699" s="9" t="s">
        <v>344</v>
      </c>
    </row>
    <row r="700" spans="2:11">
      <c r="B700" s="13" t="s">
        <v>345</v>
      </c>
      <c r="C700" s="9" t="s">
        <v>346</v>
      </c>
    </row>
    <row r="701" spans="2:11">
      <c r="B701" s="13" t="s">
        <v>307</v>
      </c>
      <c r="C701" s="9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2026-02-10T00:49:54Z</dcterms:created>
  <dcterms:modified xsi:type="dcterms:W3CDTF">2026-09-08T20:02:07Z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8677f3f2-3089-429c-9fa7-c768e85811b9</vt:lpwstr>
  </property>
</Properties>
</file>